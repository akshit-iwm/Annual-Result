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0D6DCE3-C4DC-457C-932D-CAEFFA72B74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2" i="1" l="1"/>
  <c r="CL16" i="1"/>
  <c r="CM16" i="1" s="1"/>
  <c r="CN16" i="1" s="1"/>
  <c r="CO16" i="1" s="1"/>
  <c r="CP16" i="1" s="1"/>
  <c r="CQ16" i="1" s="1"/>
  <c r="CR16" i="1" s="1"/>
  <c r="CS16" i="1" s="1"/>
  <c r="CU16" i="1" s="1"/>
  <c r="CV16" i="1" s="1"/>
  <c r="CW16" i="1" s="1"/>
  <c r="CX16" i="1" s="1"/>
  <c r="CY16" i="1" s="1"/>
  <c r="CZ16" i="1" s="1"/>
  <c r="DA16" i="1" s="1"/>
  <c r="CL15" i="1"/>
  <c r="CL14" i="1"/>
  <c r="CL13" i="1"/>
  <c r="CL252" i="1"/>
  <c r="CK16" i="1"/>
  <c r="CK15" i="1"/>
  <c r="CK14" i="1"/>
  <c r="CK13" i="1"/>
  <c r="CK23" i="1"/>
  <c r="CK39" i="1"/>
  <c r="CK40" i="1" s="1"/>
  <c r="CN8" i="1" l="1"/>
  <c r="CR8" i="1" s="1"/>
  <c r="CV8" i="1" s="1"/>
  <c r="CZ8" i="1" s="1"/>
  <c r="CM8" i="1"/>
  <c r="CQ8" i="1" s="1"/>
  <c r="CU8" i="1" s="1"/>
  <c r="CY8" i="1" s="1"/>
  <c r="CO8" i="1"/>
  <c r="CS8" i="1" s="1"/>
  <c r="CW8" i="1" s="1"/>
  <c r="DA8" i="1" s="1"/>
  <c r="CN6" i="1"/>
  <c r="CR6" i="1" s="1"/>
  <c r="CV6" i="1" s="1"/>
  <c r="CZ6" i="1" s="1"/>
  <c r="CM6" i="1"/>
  <c r="CQ6" i="1" s="1"/>
  <c r="CU6" i="1" s="1"/>
  <c r="CY6" i="1" s="1"/>
  <c r="CO6" i="1"/>
  <c r="CS6" i="1" s="1"/>
  <c r="CW6" i="1" s="1"/>
  <c r="DA6" i="1" s="1"/>
  <c r="CP6" i="1" l="1"/>
  <c r="AB6" i="1"/>
  <c r="CP8" i="1"/>
  <c r="AB8" i="1"/>
  <c r="AA8" i="1"/>
  <c r="AA6" i="1"/>
  <c r="Z8" i="1"/>
  <c r="Z7" i="1"/>
  <c r="Z6" i="1"/>
  <c r="Z5" i="1"/>
  <c r="Y8" i="1"/>
  <c r="Y7" i="1"/>
  <c r="Y6" i="1"/>
  <c r="Y5" i="1"/>
  <c r="X8" i="1"/>
  <c r="X7" i="1"/>
  <c r="X6" i="1"/>
  <c r="X5" i="1"/>
  <c r="W8" i="1"/>
  <c r="W7" i="1"/>
  <c r="W6" i="1"/>
  <c r="W5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CI13" i="1"/>
  <c r="CM13" i="1" s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CJ16" i="1"/>
  <c r="CJ15" i="1"/>
  <c r="CJ14" i="1"/>
  <c r="CJ13" i="1"/>
  <c r="BR9" i="1"/>
  <c r="BP9" i="1"/>
  <c r="BO9" i="1"/>
  <c r="BN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CJ9" i="1"/>
  <c r="W9" i="1" l="1"/>
  <c r="CN13" i="1"/>
  <c r="CO13" i="1" s="1"/>
  <c r="AA14" i="1"/>
  <c r="Z15" i="1"/>
  <c r="X16" i="1"/>
  <c r="X14" i="1"/>
  <c r="X13" i="1"/>
  <c r="Z9" i="1"/>
  <c r="Z16" i="1"/>
  <c r="AA16" i="1"/>
  <c r="Y9" i="1"/>
  <c r="Y14" i="1"/>
  <c r="X9" i="1"/>
  <c r="X15" i="1"/>
  <c r="Y13" i="1"/>
  <c r="Y15" i="1"/>
  <c r="AB16" i="1"/>
  <c r="Y16" i="1"/>
  <c r="CT8" i="1"/>
  <c r="AC8" i="1"/>
  <c r="AC16" i="1" s="1"/>
  <c r="Z13" i="1"/>
  <c r="AB14" i="1"/>
  <c r="Z14" i="1"/>
  <c r="CT6" i="1"/>
  <c r="AC6" i="1"/>
  <c r="AC14" i="1" s="1"/>
  <c r="AE60" i="1"/>
  <c r="AD60" i="1"/>
  <c r="AC60" i="1"/>
  <c r="AE48" i="1"/>
  <c r="AD48" i="1"/>
  <c r="AC48" i="1"/>
  <c r="AE38" i="1"/>
  <c r="AD38" i="1"/>
  <c r="AC38" i="1"/>
  <c r="AB38" i="1"/>
  <c r="AE37" i="1"/>
  <c r="AD37" i="1"/>
  <c r="AC37" i="1"/>
  <c r="AE34" i="1"/>
  <c r="AD34" i="1"/>
  <c r="AC34" i="1"/>
  <c r="AE33" i="1"/>
  <c r="AD33" i="1"/>
  <c r="AC33" i="1"/>
  <c r="AE27" i="1"/>
  <c r="AD27" i="1"/>
  <c r="AC27" i="1"/>
  <c r="AE26" i="1"/>
  <c r="AD26" i="1"/>
  <c r="AC26" i="1"/>
  <c r="AE22" i="1"/>
  <c r="AD22" i="1"/>
  <c r="AC22" i="1"/>
  <c r="AE172" i="1"/>
  <c r="AD172" i="1"/>
  <c r="AC172" i="1"/>
  <c r="AB172" i="1"/>
  <c r="AE168" i="1"/>
  <c r="AD168" i="1"/>
  <c r="AC168" i="1"/>
  <c r="AB168" i="1"/>
  <c r="AE167" i="1"/>
  <c r="AD167" i="1"/>
  <c r="AC167" i="1"/>
  <c r="AB167" i="1"/>
  <c r="AE164" i="1"/>
  <c r="AD164" i="1"/>
  <c r="AC164" i="1"/>
  <c r="AB164" i="1"/>
  <c r="AE163" i="1"/>
  <c r="AD163" i="1"/>
  <c r="AC163" i="1"/>
  <c r="AB163" i="1"/>
  <c r="AE162" i="1"/>
  <c r="AD162" i="1"/>
  <c r="AC162" i="1"/>
  <c r="AB162" i="1"/>
  <c r="AE160" i="1"/>
  <c r="AD160" i="1"/>
  <c r="AC160" i="1"/>
  <c r="AB160" i="1"/>
  <c r="AE156" i="1"/>
  <c r="AD156" i="1"/>
  <c r="AC156" i="1"/>
  <c r="AB156" i="1"/>
  <c r="AE155" i="1"/>
  <c r="AD155" i="1"/>
  <c r="AC155" i="1"/>
  <c r="AB155" i="1"/>
  <c r="AB66" i="2"/>
  <c r="AE45" i="2"/>
  <c r="AD56" i="2"/>
  <c r="AF24" i="2"/>
  <c r="AC30" i="2"/>
  <c r="AF107" i="2"/>
  <c r="AF58" i="2"/>
  <c r="AC35" i="2"/>
  <c r="AF41" i="2"/>
  <c r="AB10" i="2"/>
  <c r="AE15" i="2"/>
  <c r="AF110" i="2"/>
  <c r="AD51" i="2"/>
  <c r="AG27" i="2"/>
  <c r="AB24" i="2"/>
  <c r="AG73" i="2"/>
  <c r="AB97" i="2"/>
  <c r="AG63" i="2"/>
  <c r="AB81" i="2"/>
  <c r="AC12" i="2"/>
  <c r="AB9" i="2"/>
  <c r="AB76" i="2"/>
  <c r="AA157" i="1" s="1"/>
  <c r="AE55" i="2"/>
  <c r="AD76" i="2"/>
  <c r="AF47" i="2"/>
  <c r="AB91" i="2"/>
  <c r="AB30" i="2"/>
  <c r="AA52" i="1" s="1"/>
  <c r="AC86" i="2"/>
  <c r="AF108" i="2"/>
  <c r="AF33" i="2"/>
  <c r="AC13" i="2"/>
  <c r="AC80" i="2"/>
  <c r="AD18" i="2"/>
  <c r="AD85" i="2"/>
  <c r="AG64" i="2"/>
  <c r="AG10" i="2"/>
  <c r="AD66" i="2"/>
  <c r="AC93" i="2"/>
  <c r="AE30" i="2"/>
  <c r="AD80" i="2"/>
  <c r="AB98" i="2"/>
  <c r="AE106" i="2"/>
  <c r="AC6" i="2"/>
  <c r="AB108" i="2"/>
  <c r="AA92" i="1" s="1"/>
  <c r="AF46" i="2"/>
  <c r="AC23" i="2"/>
  <c r="AF14" i="2"/>
  <c r="AE64" i="2"/>
  <c r="AG106" i="2"/>
  <c r="AC90" i="2"/>
  <c r="AD36" i="2"/>
  <c r="AG15" i="2"/>
  <c r="AG82" i="2"/>
  <c r="AG49" i="2"/>
  <c r="AE95" i="2"/>
  <c r="AD110" i="2"/>
  <c r="AF55" i="2"/>
  <c r="AC77" i="2"/>
  <c r="AC84" i="2"/>
  <c r="AE46" i="2"/>
  <c r="AB21" i="2"/>
  <c r="AB88" i="2"/>
  <c r="AE67" i="2"/>
  <c r="AC16" i="2"/>
  <c r="AF21" i="2"/>
  <c r="AF88" i="2"/>
  <c r="AC68" i="2"/>
  <c r="AD30" i="2"/>
  <c r="AG9" i="2"/>
  <c r="AG76" i="2"/>
  <c r="AG34" i="2"/>
  <c r="AE88" i="2"/>
  <c r="AB7" i="2"/>
  <c r="AA22" i="1" s="1"/>
  <c r="AB74" i="2"/>
  <c r="AE53" i="2"/>
  <c r="AD72" i="2"/>
  <c r="AF43" i="2"/>
  <c r="AC49" i="2"/>
  <c r="AF91" i="2"/>
  <c r="AF66" i="2"/>
  <c r="AC46" i="2"/>
  <c r="AF57" i="2"/>
  <c r="AB26" i="2"/>
  <c r="AE31" i="2"/>
  <c r="AD109" i="2"/>
  <c r="AD59" i="2"/>
  <c r="AG35" i="2"/>
  <c r="AB43" i="2"/>
  <c r="AA132" i="1" s="1"/>
  <c r="AD11" i="2"/>
  <c r="AG16" i="2"/>
  <c r="AE58" i="2"/>
  <c r="AC109" i="2"/>
  <c r="AG92" i="2"/>
  <c r="AC63" i="2"/>
  <c r="AB17" i="2"/>
  <c r="AA37" i="1" s="1"/>
  <c r="AB84" i="2"/>
  <c r="AE63" i="2"/>
  <c r="AC8" i="2"/>
  <c r="AF63" i="2"/>
  <c r="AB106" i="2"/>
  <c r="AA90" i="1" s="1"/>
  <c r="AB49" i="2"/>
  <c r="AA176" i="1" s="1"/>
  <c r="AF98" i="2"/>
  <c r="AE104" i="2"/>
  <c r="AF44" i="2"/>
  <c r="AC21" i="2"/>
  <c r="AF10" i="2"/>
  <c r="AD26" i="2"/>
  <c r="AG5" i="2"/>
  <c r="AG72" i="2"/>
  <c r="AG26" i="2"/>
  <c r="AD82" i="2"/>
  <c r="AG107" i="2"/>
  <c r="AB54" i="2"/>
  <c r="AA166" i="1" s="1"/>
  <c r="AE49" i="2"/>
  <c r="AC28" i="2"/>
  <c r="AB22" i="2"/>
  <c r="AB11" i="2"/>
  <c r="AA26" i="1" s="1"/>
  <c r="AC61" i="2"/>
  <c r="AE98" i="2"/>
  <c r="AF54" i="2"/>
  <c r="AC31" i="2"/>
  <c r="AF30" i="2"/>
  <c r="AE80" i="2"/>
  <c r="AE7" i="2"/>
  <c r="AB23" i="2"/>
  <c r="AA48" i="1" s="1"/>
  <c r="AE18" i="2"/>
  <c r="AD40" i="2"/>
  <c r="AF75" i="2"/>
  <c r="AG67" i="2"/>
  <c r="AF50" i="2"/>
  <c r="AC62" i="2"/>
  <c r="AE40" i="2"/>
  <c r="AG110" i="2"/>
  <c r="AD8" i="2"/>
  <c r="AD91" i="2"/>
  <c r="AB8" i="2"/>
  <c r="AD46" i="2"/>
  <c r="AC105" i="2"/>
  <c r="AE70" i="2"/>
  <c r="AD88" i="2"/>
  <c r="AB68" i="2"/>
  <c r="AA149" i="1" s="1"/>
  <c r="AE79" i="2"/>
  <c r="AC75" i="2"/>
  <c r="AC53" i="2"/>
  <c r="AE19" i="2"/>
  <c r="AC106" i="2"/>
  <c r="AF25" i="2"/>
  <c r="AC40" i="2"/>
  <c r="AG91" i="2"/>
  <c r="AD77" i="2"/>
  <c r="AB12" i="2"/>
  <c r="AA28" i="1" s="1"/>
  <c r="AD15" i="2"/>
  <c r="AG55" i="2"/>
  <c r="AB70" i="2"/>
  <c r="AD13" i="2"/>
  <c r="AC97" i="2"/>
  <c r="AB27" i="2"/>
  <c r="AA45" i="1" s="1"/>
  <c r="AB57" i="2"/>
  <c r="AA168" i="1" s="1"/>
  <c r="AF35" i="2"/>
  <c r="AC50" i="2"/>
  <c r="AE13" i="2"/>
  <c r="AG94" i="2"/>
  <c r="AG90" i="2"/>
  <c r="AD63" i="2"/>
  <c r="AG50" i="2"/>
  <c r="AB83" i="2"/>
  <c r="AA177" i="1" s="1"/>
  <c r="AD70" i="2"/>
  <c r="AE110" i="2"/>
  <c r="AF71" i="2"/>
  <c r="AE92" i="2"/>
  <c r="AE33" i="2"/>
  <c r="AF105" i="2"/>
  <c r="AB64" i="2"/>
  <c r="AA146" i="1" s="1"/>
  <c r="AE51" i="2"/>
  <c r="AD84" i="2"/>
  <c r="AF29" i="2"/>
  <c r="AC17" i="2"/>
  <c r="AF69" i="2"/>
  <c r="AD65" i="2"/>
  <c r="AG52" i="2"/>
  <c r="AD86" i="2"/>
  <c r="AD74" i="2"/>
  <c r="AB31" i="2"/>
  <c r="AE26" i="2"/>
  <c r="AC87" i="2"/>
  <c r="AE89" i="2"/>
  <c r="AC95" i="2"/>
  <c r="AF74" i="2"/>
  <c r="AC70" i="2"/>
  <c r="AE56" i="2"/>
  <c r="AE50" i="2"/>
  <c r="AD16" i="2"/>
  <c r="AG11" i="2"/>
  <c r="AB59" i="2"/>
  <c r="AD62" i="2"/>
  <c r="AF89" i="2"/>
  <c r="AB105" i="2"/>
  <c r="AC69" i="2"/>
  <c r="AD93" i="2"/>
  <c r="AB92" i="2"/>
  <c r="AD9" i="2"/>
  <c r="AF12" i="2"/>
  <c r="AG83" i="2"/>
  <c r="AE35" i="2"/>
  <c r="AC22" i="2"/>
  <c r="AF52" i="2"/>
  <c r="AC48" i="2"/>
  <c r="AF94" i="2"/>
  <c r="AG13" i="2"/>
  <c r="AB28" i="2"/>
  <c r="AD31" i="2"/>
  <c r="AC99" i="2"/>
  <c r="AB78" i="2"/>
  <c r="AA173" i="1" s="1"/>
  <c r="AD29" i="2"/>
  <c r="AE27" i="2"/>
  <c r="AB35" i="2"/>
  <c r="AA64" i="1" s="1"/>
  <c r="AG96" i="2"/>
  <c r="AF62" i="2"/>
  <c r="AC58" i="2"/>
  <c r="AE29" i="2"/>
  <c r="AE23" i="2"/>
  <c r="AB73" i="2"/>
  <c r="AA156" i="1" s="1"/>
  <c r="AD71" i="2"/>
  <c r="AG58" i="2"/>
  <c r="AG14" i="2"/>
  <c r="AG85" i="2"/>
  <c r="AE91" i="2"/>
  <c r="AG86" i="2"/>
  <c r="AC107" i="2"/>
  <c r="AE52" i="2"/>
  <c r="AE96" i="2"/>
  <c r="AB72" i="2"/>
  <c r="AA155" i="1" s="1"/>
  <c r="AE59" i="2"/>
  <c r="AC32" i="2"/>
  <c r="AF40" i="2"/>
  <c r="AC25" i="2"/>
  <c r="AE85" i="2"/>
  <c r="AD73" i="2"/>
  <c r="AG60" i="2"/>
  <c r="AG18" i="2"/>
  <c r="AE97" i="2"/>
  <c r="AB42" i="2"/>
  <c r="AA131" i="1" s="1"/>
  <c r="AE34" i="2"/>
  <c r="AC20" i="2"/>
  <c r="AC98" i="2"/>
  <c r="AG109" i="2"/>
  <c r="AF82" i="2"/>
  <c r="AC78" i="2"/>
  <c r="AE72" i="2"/>
  <c r="AG88" i="2"/>
  <c r="AD24" i="2"/>
  <c r="AG19" i="2"/>
  <c r="AB75" i="2"/>
  <c r="AA172" i="1" s="1"/>
  <c r="AA174" i="1" s="1"/>
  <c r="AD78" i="2"/>
  <c r="AE78" i="2"/>
  <c r="AF77" i="2"/>
  <c r="AB110" i="2"/>
  <c r="AA80" i="1" s="1"/>
  <c r="AE62" i="2"/>
  <c r="AE12" i="2"/>
  <c r="AD25" i="2"/>
  <c r="AF28" i="2"/>
  <c r="AE94" i="2"/>
  <c r="AE54" i="2"/>
  <c r="AC41" i="2"/>
  <c r="AF60" i="2"/>
  <c r="AC56" i="2"/>
  <c r="AD10" i="2"/>
  <c r="AG21" i="2"/>
  <c r="AB47" i="2"/>
  <c r="AA137" i="1" s="1"/>
  <c r="AD50" i="2"/>
  <c r="AG87" i="2"/>
  <c r="AD48" i="2"/>
  <c r="AF97" i="2"/>
  <c r="AB46" i="2"/>
  <c r="AG108" i="2"/>
  <c r="AF70" i="2"/>
  <c r="AC66" i="2"/>
  <c r="AE48" i="2"/>
  <c r="AE42" i="2"/>
  <c r="AE11" i="2"/>
  <c r="AD79" i="2"/>
  <c r="AG66" i="2"/>
  <c r="AG30" i="2"/>
  <c r="AE107" i="2"/>
  <c r="AD106" i="2"/>
  <c r="AC96" i="2"/>
  <c r="AD97" i="2"/>
  <c r="AE68" i="2"/>
  <c r="AB5" i="2"/>
  <c r="AB80" i="2"/>
  <c r="AA160" i="1" s="1"/>
  <c r="AE75" i="2"/>
  <c r="AC51" i="2"/>
  <c r="AF48" i="2"/>
  <c r="AC33" i="2"/>
  <c r="AD6" i="2"/>
  <c r="AD81" i="2"/>
  <c r="AG68" i="2"/>
  <c r="AG53" i="2"/>
  <c r="AE109" i="2"/>
  <c r="AB50" i="2"/>
  <c r="AA162" i="1" s="1"/>
  <c r="AE61" i="2"/>
  <c r="AC36" i="2"/>
  <c r="AC110" i="2"/>
  <c r="AF7" i="2"/>
  <c r="AF90" i="2"/>
  <c r="AF6" i="2"/>
  <c r="AB45" i="2"/>
  <c r="AA135" i="1" s="1"/>
  <c r="AD104" i="2"/>
  <c r="AD32" i="2"/>
  <c r="AG46" i="2"/>
  <c r="AG6" i="2"/>
  <c r="AC91" i="2"/>
  <c r="AF93" i="2"/>
  <c r="AE25" i="2"/>
  <c r="AE65" i="2"/>
  <c r="AB25" i="2"/>
  <c r="AA49" i="1" s="1"/>
  <c r="AE20" i="2"/>
  <c r="AD44" i="2"/>
  <c r="AF79" i="2"/>
  <c r="AF61" i="2"/>
  <c r="AD92" i="2"/>
  <c r="AB41" i="2"/>
  <c r="AA130" i="1" s="1"/>
  <c r="AA133" i="1" s="1"/>
  <c r="AF68" i="2"/>
  <c r="AC64" i="2"/>
  <c r="AD34" i="2"/>
  <c r="AG29" i="2"/>
  <c r="AB63" i="2"/>
  <c r="AA145" i="1" s="1"/>
  <c r="AE93" i="2"/>
  <c r="AF99" i="2"/>
  <c r="AE14" i="2"/>
  <c r="AC79" i="2"/>
  <c r="AC57" i="2"/>
  <c r="AE6" i="2"/>
  <c r="AB109" i="2"/>
  <c r="AF78" i="2"/>
  <c r="AC74" i="2"/>
  <c r="AB18" i="2"/>
  <c r="AA34" i="1" s="1"/>
  <c r="AE66" i="2"/>
  <c r="AD12" i="2"/>
  <c r="AD87" i="2"/>
  <c r="AG74" i="2"/>
  <c r="AG65" i="2"/>
  <c r="AG8" i="2"/>
  <c r="AG93" i="2"/>
  <c r="AC108" i="2"/>
  <c r="AC88" i="2"/>
  <c r="AB6" i="2"/>
  <c r="AA21" i="1" s="1"/>
  <c r="AB13" i="2"/>
  <c r="AA33" i="1" s="1"/>
  <c r="AE8" i="2"/>
  <c r="AE83" i="2"/>
  <c r="AC67" i="2"/>
  <c r="AC44" i="2"/>
  <c r="AD14" i="2"/>
  <c r="AG84" i="2"/>
  <c r="AG12" i="2"/>
  <c r="AB58" i="2"/>
  <c r="AC55" i="2"/>
  <c r="AC14" i="2"/>
  <c r="AC11" i="2"/>
  <c r="AB61" i="2"/>
  <c r="AB87" i="2"/>
  <c r="AA139" i="1" s="1"/>
  <c r="AD43" i="2"/>
  <c r="AG22" i="2"/>
  <c r="AE99" i="2"/>
  <c r="AD108" i="2"/>
  <c r="AD64" i="2"/>
  <c r="AE28" i="2"/>
  <c r="AD60" i="2"/>
  <c r="AE9" i="2"/>
  <c r="AC85" i="2"/>
  <c r="AF76" i="2"/>
  <c r="AD45" i="2"/>
  <c r="AE105" i="2"/>
  <c r="AE22" i="2"/>
  <c r="AC89" i="2"/>
  <c r="AB86" i="2"/>
  <c r="AA148" i="1" s="1"/>
  <c r="AF56" i="2"/>
  <c r="AD89" i="2"/>
  <c r="AG69" i="2"/>
  <c r="AE69" i="2"/>
  <c r="AF15" i="2"/>
  <c r="AF22" i="2"/>
  <c r="AG54" i="2"/>
  <c r="AE60" i="2"/>
  <c r="AB33" i="2"/>
  <c r="AA59" i="1" s="1"/>
  <c r="AC92" i="2"/>
  <c r="AF95" i="2"/>
  <c r="AC72" i="2"/>
  <c r="AG40" i="2"/>
  <c r="AB79" i="2"/>
  <c r="AA159" i="1" s="1"/>
  <c r="AC81" i="2"/>
  <c r="AF32" i="2"/>
  <c r="AE41" i="2"/>
  <c r="AD21" i="2"/>
  <c r="AF31" i="2"/>
  <c r="AB77" i="2"/>
  <c r="AA158" i="1" s="1"/>
  <c r="AA193" i="1" s="1"/>
  <c r="AD83" i="2"/>
  <c r="AG51" i="2"/>
  <c r="AF16" i="2"/>
  <c r="AE71" i="2"/>
  <c r="AB14" i="2"/>
  <c r="AA36" i="1" s="1"/>
  <c r="AF84" i="2"/>
  <c r="AD69" i="2"/>
  <c r="AG20" i="2"/>
  <c r="AF67" i="2"/>
  <c r="AE84" i="2"/>
  <c r="AC42" i="2"/>
  <c r="AB85" i="2"/>
  <c r="AA183" i="1" s="1"/>
  <c r="AD55" i="2"/>
  <c r="AB67" i="2"/>
  <c r="AA150" i="1" s="1"/>
  <c r="AG95" i="2"/>
  <c r="AF96" i="2"/>
  <c r="AF104" i="2"/>
  <c r="AE43" i="2"/>
  <c r="AF13" i="2"/>
  <c r="AF18" i="2"/>
  <c r="AG44" i="2"/>
  <c r="AD58" i="2"/>
  <c r="AG70" i="2"/>
  <c r="AD95" i="2"/>
  <c r="AG56" i="2"/>
  <c r="AB89" i="2"/>
  <c r="AF49" i="2"/>
  <c r="AG23" i="2"/>
  <c r="AB99" i="2"/>
  <c r="AB40" i="2"/>
  <c r="AF72" i="2"/>
  <c r="AG47" i="2"/>
  <c r="AG78" i="2"/>
  <c r="AB44" i="2"/>
  <c r="AC47" i="2"/>
  <c r="AG59" i="2"/>
  <c r="AF65" i="2"/>
  <c r="AG31" i="2"/>
  <c r="AC83" i="2"/>
  <c r="AB48" i="2"/>
  <c r="AA138" i="1" s="1"/>
  <c r="AF80" i="2"/>
  <c r="AB55" i="2"/>
  <c r="AA167" i="1" s="1"/>
  <c r="AB90" i="2"/>
  <c r="AC54" i="2"/>
  <c r="AG41" i="2"/>
  <c r="AB52" i="2"/>
  <c r="AA164" i="1" s="1"/>
  <c r="AF51" i="2"/>
  <c r="AG45" i="2"/>
  <c r="AF106" i="2"/>
  <c r="AF81" i="2"/>
  <c r="AG42" i="2"/>
  <c r="AF36" i="2"/>
  <c r="AB56" i="2"/>
  <c r="AA140" i="1" s="1"/>
  <c r="AC9" i="2"/>
  <c r="AD57" i="2"/>
  <c r="AG111" i="2"/>
  <c r="AD99" i="2"/>
  <c r="AF92" i="2"/>
  <c r="AE76" i="2"/>
  <c r="AC18" i="2"/>
  <c r="AD94" i="2"/>
  <c r="AE57" i="2"/>
  <c r="AF86" i="2"/>
  <c r="AD20" i="2"/>
  <c r="AG24" i="2"/>
  <c r="AC10" i="2"/>
  <c r="AF87" i="2"/>
  <c r="AF20" i="2"/>
  <c r="AC52" i="2"/>
  <c r="AD7" i="2"/>
  <c r="AE77" i="2"/>
  <c r="AE5" i="2"/>
  <c r="AD67" i="2"/>
  <c r="AD27" i="2"/>
  <c r="AB65" i="2"/>
  <c r="AE36" i="2"/>
  <c r="AF9" i="2"/>
  <c r="AD53" i="2"/>
  <c r="AE73" i="2"/>
  <c r="AC7" i="2"/>
  <c r="AD28" i="2"/>
  <c r="AG43" i="2"/>
  <c r="AE82" i="2"/>
  <c r="AF34" i="2"/>
  <c r="AG25" i="2"/>
  <c r="AD75" i="2"/>
  <c r="AB107" i="2"/>
  <c r="AA91" i="1" s="1"/>
  <c r="AE44" i="2"/>
  <c r="AD61" i="2"/>
  <c r="AE81" i="2"/>
  <c r="AC15" i="2"/>
  <c r="AD47" i="2"/>
  <c r="AG71" i="2"/>
  <c r="AE32" i="2"/>
  <c r="AC76" i="2"/>
  <c r="AG33" i="2"/>
  <c r="AC71" i="2"/>
  <c r="AF42" i="2"/>
  <c r="AD90" i="2"/>
  <c r="AG62" i="2"/>
  <c r="AG89" i="2"/>
  <c r="AF83" i="2"/>
  <c r="AC24" i="2"/>
  <c r="AG104" i="2"/>
  <c r="AC5" i="2"/>
  <c r="AG48" i="2"/>
  <c r="AG36" i="2"/>
  <c r="AB94" i="2"/>
  <c r="AD107" i="2"/>
  <c r="AC82" i="2"/>
  <c r="AB95" i="2"/>
  <c r="AA184" i="1" s="1"/>
  <c r="AG7" i="2"/>
  <c r="AG81" i="2"/>
  <c r="AE86" i="2"/>
  <c r="AG99" i="2"/>
  <c r="AB29" i="2"/>
  <c r="AA60" i="1" s="1"/>
  <c r="AD17" i="2"/>
  <c r="AF64" i="2"/>
  <c r="AD22" i="2"/>
  <c r="AB20" i="2"/>
  <c r="AG28" i="2"/>
  <c r="AB15" i="2"/>
  <c r="AA35" i="1" s="1"/>
  <c r="AF8" i="2"/>
  <c r="AC19" i="2"/>
  <c r="AG98" i="2"/>
  <c r="AD98" i="2"/>
  <c r="AC94" i="2"/>
  <c r="AC43" i="2"/>
  <c r="AC29" i="2"/>
  <c r="AE74" i="2"/>
  <c r="AF11" i="2"/>
  <c r="AF109" i="2"/>
  <c r="AD19" i="2"/>
  <c r="AC65" i="2"/>
  <c r="AD33" i="2"/>
  <c r="AD41" i="2"/>
  <c r="AB36" i="2"/>
  <c r="AB82" i="2"/>
  <c r="AF59" i="2"/>
  <c r="AC27" i="2"/>
  <c r="AC73" i="2"/>
  <c r="AB93" i="2"/>
  <c r="AA185" i="1" s="1"/>
  <c r="AC59" i="2"/>
  <c r="AF26" i="2"/>
  <c r="AG80" i="2"/>
  <c r="AD96" i="2"/>
  <c r="AF19" i="2"/>
  <c r="AE108" i="2"/>
  <c r="AD35" i="2"/>
  <c r="AF53" i="2"/>
  <c r="AD52" i="2"/>
  <c r="AD49" i="2"/>
  <c r="AF85" i="2"/>
  <c r="AE87" i="2"/>
  <c r="AB96" i="2"/>
  <c r="AG97" i="2"/>
  <c r="AC104" i="2"/>
  <c r="AF45" i="2"/>
  <c r="AB62" i="2"/>
  <c r="AF27" i="2"/>
  <c r="AD105" i="2"/>
  <c r="AD54" i="2"/>
  <c r="AE17" i="2"/>
  <c r="AD68" i="2"/>
  <c r="AB71" i="2"/>
  <c r="AA153" i="1" s="1"/>
  <c r="AE10" i="2"/>
  <c r="AF73" i="2"/>
  <c r="AG57" i="2"/>
  <c r="AB60" i="2"/>
  <c r="AE90" i="2"/>
  <c r="AG61" i="2"/>
  <c r="AB19" i="2"/>
  <c r="AA38" i="1" s="1"/>
  <c r="AB34" i="2"/>
  <c r="AB16" i="2"/>
  <c r="AE16" i="2"/>
  <c r="AG17" i="2"/>
  <c r="AG75" i="2"/>
  <c r="AC34" i="2"/>
  <c r="AG77" i="2"/>
  <c r="AG105" i="2"/>
  <c r="AB53" i="2"/>
  <c r="AB32" i="2"/>
  <c r="AA58" i="1" s="1"/>
  <c r="AC26" i="2"/>
  <c r="AE24" i="2"/>
  <c r="AC60" i="2"/>
  <c r="AD23" i="2"/>
  <c r="AD5" i="2"/>
  <c r="AF23" i="2"/>
  <c r="AE21" i="2"/>
  <c r="AG32" i="2"/>
  <c r="AE47" i="2"/>
  <c r="AF17" i="2"/>
  <c r="AG79" i="2"/>
  <c r="AB69" i="2"/>
  <c r="AB51" i="2"/>
  <c r="AA163" i="1" s="1"/>
  <c r="AC45" i="2"/>
  <c r="AB104" i="2"/>
  <c r="AF5" i="2"/>
  <c r="AD42" i="2"/>
  <c r="AF111" i="2"/>
  <c r="AF113" i="2"/>
  <c r="AA169" i="1" l="1"/>
  <c r="AA198" i="1" s="1"/>
  <c r="AB112" i="2"/>
  <c r="AA86" i="1" s="1"/>
  <c r="AD113" i="2"/>
  <c r="AF112" i="2"/>
  <c r="AA207" i="1"/>
  <c r="AA266" i="1"/>
  <c r="AA261" i="1"/>
  <c r="AA265" i="1"/>
  <c r="AA244" i="1"/>
  <c r="AA23" i="1"/>
  <c r="AA188" i="1"/>
  <c r="AA186" i="1"/>
  <c r="AA192" i="1"/>
  <c r="AA196" i="1"/>
  <c r="AA197" i="1" s="1"/>
  <c r="AA141" i="1"/>
  <c r="AA39" i="1"/>
  <c r="AA40" i="1" s="1"/>
  <c r="AA161" i="1"/>
  <c r="AA144" i="1"/>
  <c r="AA147" i="1" s="1"/>
  <c r="AA151" i="1" s="1"/>
  <c r="AG112" i="2"/>
  <c r="AG113" i="2"/>
  <c r="AB111" i="2"/>
  <c r="AB113" i="2"/>
  <c r="AA87" i="1" s="1"/>
  <c r="AE111" i="2"/>
  <c r="AE113" i="2"/>
  <c r="CP13" i="1"/>
  <c r="CQ13" i="1"/>
  <c r="CR13" i="1" s="1"/>
  <c r="CS13" i="1" s="1"/>
  <c r="CX6" i="1"/>
  <c r="AE6" i="1" s="1"/>
  <c r="AD6" i="1"/>
  <c r="AD14" i="1" s="1"/>
  <c r="AD8" i="1"/>
  <c r="AD16" i="1" s="1"/>
  <c r="CX8" i="1"/>
  <c r="AE8" i="1" s="1"/>
  <c r="CM15" i="1"/>
  <c r="AA7" i="1"/>
  <c r="AA15" i="1" s="1"/>
  <c r="CK9" i="1"/>
  <c r="CK10" i="1" s="1"/>
  <c r="AA5" i="1"/>
  <c r="CG165" i="1"/>
  <c r="AE112" i="2"/>
  <c r="AD111" i="2"/>
  <c r="AC111" i="2"/>
  <c r="AC113" i="2"/>
  <c r="AD112" i="2"/>
  <c r="AC112" i="2"/>
  <c r="AA50" i="1" l="1"/>
  <c r="AA111" i="1"/>
  <c r="AA257" i="1"/>
  <c r="AA29" i="1"/>
  <c r="AA181" i="1"/>
  <c r="AA122" i="1" s="1"/>
  <c r="AA142" i="1"/>
  <c r="AA170" i="1"/>
  <c r="AA178" i="1" s="1"/>
  <c r="AA179" i="1" s="1"/>
  <c r="AA195" i="1"/>
  <c r="AA46" i="1"/>
  <c r="AA259" i="1"/>
  <c r="AE16" i="1"/>
  <c r="AE14" i="1"/>
  <c r="AA9" i="1"/>
  <c r="AA13" i="1"/>
  <c r="CM5" i="1"/>
  <c r="CN15" i="1"/>
  <c r="CM7" i="1"/>
  <c r="CG136" i="1"/>
  <c r="AL149" i="1"/>
  <c r="AJ149" i="1"/>
  <c r="AP149" i="1"/>
  <c r="AN149" i="1"/>
  <c r="AT149" i="1"/>
  <c r="AR149" i="1"/>
  <c r="AX149" i="1"/>
  <c r="AV149" i="1"/>
  <c r="BB149" i="1"/>
  <c r="AZ149" i="1"/>
  <c r="BF149" i="1"/>
  <c r="BD149" i="1"/>
  <c r="BJ149" i="1"/>
  <c r="BH149" i="1"/>
  <c r="BN149" i="1"/>
  <c r="BL149" i="1"/>
  <c r="BR149" i="1"/>
  <c r="BP149" i="1"/>
  <c r="BV149" i="1"/>
  <c r="BT149" i="1"/>
  <c r="BZ149" i="1"/>
  <c r="BX149" i="1"/>
  <c r="CD149" i="1"/>
  <c r="CB149" i="1"/>
  <c r="CJ149" i="1"/>
  <c r="CH165" i="1"/>
  <c r="CF149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41" i="1" l="1"/>
  <c r="AA30" i="1"/>
  <c r="AA199" i="1"/>
  <c r="AA194" i="1"/>
  <c r="CO15" i="1"/>
  <c r="CN7" i="1"/>
  <c r="CM9" i="1"/>
  <c r="CM21" i="1" s="1"/>
  <c r="CL9" i="1"/>
  <c r="B1" i="9"/>
  <c r="L1" i="9"/>
  <c r="A1" i="9"/>
  <c r="CO7" i="1" l="1"/>
  <c r="CP15" i="1"/>
  <c r="AA125" i="1"/>
  <c r="AA47" i="1"/>
  <c r="AA42" i="1"/>
  <c r="AA245" i="1"/>
  <c r="AA246" i="1" s="1"/>
  <c r="CQ15" i="1"/>
  <c r="CP7" i="1"/>
  <c r="AB7" i="1"/>
  <c r="AB15" i="1" s="1"/>
  <c r="CN5" i="1"/>
  <c r="CO5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K252" i="1"/>
  <c r="CL149" i="1"/>
  <c r="CJ252" i="1"/>
  <c r="Z252" i="1"/>
  <c r="CR15" i="1" l="1"/>
  <c r="CS15" i="1" s="1"/>
  <c r="AA51" i="1"/>
  <c r="AA68" i="1"/>
  <c r="AB5" i="1"/>
  <c r="CO9" i="1"/>
  <c r="CO21" i="1" s="1"/>
  <c r="CN9" i="1"/>
  <c r="CN21" i="1" s="1"/>
  <c r="CQ7" i="1"/>
  <c r="CR7" i="1"/>
  <c r="CM149" i="1"/>
  <c r="CN149" i="1" s="1"/>
  <c r="CO149" i="1" s="1"/>
  <c r="CI252" i="1"/>
  <c r="CG252" i="1"/>
  <c r="CH252" i="1"/>
  <c r="AB186" i="1"/>
  <c r="AC186" i="1"/>
  <c r="AD186" i="1"/>
  <c r="AE186" i="1"/>
  <c r="CE252" i="1"/>
  <c r="CF252" i="1"/>
  <c r="AI222" i="1"/>
  <c r="AI252" i="1"/>
  <c r="Y252" i="1"/>
  <c r="CD252" i="1"/>
  <c r="CC252" i="1"/>
  <c r="AJ252" i="1"/>
  <c r="AK252" i="1"/>
  <c r="AL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C1" i="1"/>
  <c r="AA54" i="1" l="1"/>
  <c r="AA53" i="1"/>
  <c r="AB13" i="1"/>
  <c r="AB9" i="1"/>
  <c r="CS7" i="1"/>
  <c r="AC7" i="1" s="1"/>
  <c r="AC15" i="1" s="1"/>
  <c r="CP5" i="1"/>
  <c r="CP149" i="1"/>
  <c r="CQ149" i="1" s="1"/>
  <c r="CR149" i="1" s="1"/>
  <c r="CS149" i="1" s="1"/>
  <c r="AB149" i="1"/>
  <c r="A1" i="3"/>
  <c r="AA61" i="1" l="1"/>
  <c r="AA55" i="1"/>
  <c r="AA258" i="1" s="1"/>
  <c r="AA247" i="1"/>
  <c r="CT15" i="1"/>
  <c r="CQ5" i="1"/>
  <c r="CS5" i="1"/>
  <c r="CP9" i="1"/>
  <c r="CP21" i="1" s="1"/>
  <c r="CT149" i="1"/>
  <c r="CU149" i="1" s="1"/>
  <c r="CV149" i="1" s="1"/>
  <c r="CW149" i="1" s="1"/>
  <c r="AC149" i="1"/>
  <c r="A1" i="6"/>
  <c r="A1" i="4"/>
  <c r="BN41" i="3"/>
  <c r="BQ16" i="3"/>
  <c r="BT12" i="3"/>
  <c r="BT17" i="3"/>
  <c r="BE23" i="3"/>
  <c r="BJ21" i="3"/>
  <c r="BN28" i="3"/>
  <c r="BU5" i="3"/>
  <c r="BE17" i="3"/>
  <c r="BI32" i="3"/>
  <c r="BK29" i="3"/>
  <c r="BK34" i="3"/>
  <c r="BG37" i="3"/>
  <c r="BQ26" i="3"/>
  <c r="BS19" i="3"/>
  <c r="BK30" i="3"/>
  <c r="BT28" i="3"/>
  <c r="BT33" i="3"/>
  <c r="BT36" i="3"/>
  <c r="BJ29" i="3"/>
  <c r="BQ6" i="3"/>
  <c r="BU13" i="3"/>
  <c r="BP25" i="3"/>
  <c r="BF11" i="3"/>
  <c r="BM11" i="3"/>
  <c r="BM16" i="3"/>
  <c r="BO21" i="3"/>
  <c r="BO20" i="3"/>
  <c r="BS27" i="3"/>
  <c r="BI5" i="3"/>
  <c r="BG18" i="3"/>
  <c r="BH9" i="3"/>
  <c r="BE11" i="3"/>
  <c r="BE16" i="3"/>
  <c r="BG21" i="3"/>
  <c r="BK20" i="3"/>
  <c r="BO27" i="3"/>
  <c r="BE5" i="3"/>
  <c r="BF41" i="3"/>
  <c r="BG33" i="3"/>
  <c r="BM36" i="3"/>
  <c r="BE39" i="3"/>
  <c r="BL31" i="3"/>
  <c r="BS8" i="3"/>
  <c r="BF16" i="3"/>
  <c r="BQ38" i="3"/>
  <c r="BL5" i="3"/>
  <c r="BF10" i="3"/>
  <c r="BF15" i="3"/>
  <c r="BH20" i="3"/>
  <c r="BT19" i="3"/>
  <c r="BG27" i="3"/>
  <c r="BH39" i="3"/>
  <c r="BH32" i="3"/>
  <c r="BE36" i="3"/>
  <c r="BN38" i="3"/>
  <c r="BT21" i="3"/>
  <c r="BQ41" i="3"/>
  <c r="BI46" i="3"/>
  <c r="BM8" i="3"/>
  <c r="BO13" i="3"/>
  <c r="BO16" i="3"/>
  <c r="BS23" i="3"/>
  <c r="BE12" i="3"/>
  <c r="BS35" i="3"/>
  <c r="BK38" i="3"/>
  <c r="BT40" i="3"/>
  <c r="BJ33" i="3"/>
  <c r="BQ10" i="3"/>
  <c r="BU17" i="3"/>
  <c r="BS36" i="3"/>
  <c r="BF46" i="3"/>
  <c r="BH8" i="3"/>
  <c r="BH13" i="3"/>
  <c r="BJ18" i="3"/>
  <c r="BU18" i="3"/>
  <c r="BH26" i="3"/>
  <c r="BS30" i="3"/>
  <c r="BH38" i="3"/>
  <c r="BQ40" i="3"/>
  <c r="BE9" i="3"/>
  <c r="BG28" i="3"/>
  <c r="BH27" i="3"/>
  <c r="BL71" i="3"/>
  <c r="BU78" i="3"/>
  <c r="BL84" i="3"/>
  <c r="BL18" i="3"/>
  <c r="BR23" i="3"/>
  <c r="BO45" i="3"/>
  <c r="BI7" i="3"/>
  <c r="BI12" i="3"/>
  <c r="BK17" i="3"/>
  <c r="BM18" i="3"/>
  <c r="BQ25" i="3"/>
  <c r="BU81" i="3"/>
  <c r="BH14" i="3"/>
  <c r="BP9" i="3"/>
  <c r="BQ23" i="3"/>
  <c r="BQ28" i="3"/>
  <c r="BS33" i="3"/>
  <c r="BT23" i="3"/>
  <c r="BK11" i="3"/>
  <c r="BR7" i="3"/>
  <c r="BI23" i="3"/>
  <c r="BI28" i="3"/>
  <c r="BK33" i="3"/>
  <c r="BM26" i="3"/>
  <c r="BQ33" i="3"/>
  <c r="BG11" i="3"/>
  <c r="BM12" i="3"/>
  <c r="BT42" i="3"/>
  <c r="BS5" i="3"/>
  <c r="BS10" i="3"/>
  <c r="BU15" i="3"/>
  <c r="BR17" i="3"/>
  <c r="BE25" i="3"/>
  <c r="BL45" i="3"/>
  <c r="BP42" i="3"/>
  <c r="BK5" i="3"/>
  <c r="BK10" i="3"/>
  <c r="BM15" i="3"/>
  <c r="BN17" i="3"/>
  <c r="BR24" i="3"/>
  <c r="BK79" i="3"/>
  <c r="BQ24" i="3"/>
  <c r="BM27" i="3"/>
  <c r="BM32" i="3"/>
  <c r="BH36" i="3"/>
  <c r="BO28" i="3"/>
  <c r="BE6" i="3"/>
  <c r="BI13" i="3"/>
  <c r="BS68" i="3"/>
  <c r="BT35" i="3"/>
  <c r="BH42" i="3"/>
  <c r="BQ46" i="3"/>
  <c r="BL9" i="3"/>
  <c r="BN14" i="3"/>
  <c r="BF17" i="3"/>
  <c r="BJ24" i="3"/>
  <c r="BS74" i="3"/>
  <c r="BU20" i="3"/>
  <c r="BN26" i="3"/>
  <c r="BN31" i="3"/>
  <c r="BQ35" i="3"/>
  <c r="BP35" i="3"/>
  <c r="BT38" i="3"/>
  <c r="BL41" i="3"/>
  <c r="BU45" i="3"/>
  <c r="BH45" i="3"/>
  <c r="BR40" i="3"/>
  <c r="BJ45" i="3"/>
  <c r="BO6" i="3"/>
  <c r="BQ11" i="3"/>
  <c r="BP15" i="3"/>
  <c r="BT22" i="3"/>
  <c r="BN22" i="3"/>
  <c r="BN8" i="3"/>
  <c r="BG36" i="3"/>
  <c r="BF18" i="3"/>
  <c r="BF23" i="3"/>
  <c r="BH28" i="3"/>
  <c r="BF21" i="3"/>
  <c r="BQ5" i="3"/>
  <c r="BQ49" i="3" s="1"/>
  <c r="BH35" i="3"/>
  <c r="BO17" i="3"/>
  <c r="BO22" i="3"/>
  <c r="BQ27" i="3"/>
  <c r="BP23" i="3"/>
  <c r="BT30" i="3"/>
  <c r="BJ8" i="3"/>
  <c r="BK40" i="3"/>
  <c r="BF40" i="3"/>
  <c r="BO42" i="3"/>
  <c r="BH5" i="3"/>
  <c r="BJ10" i="3"/>
  <c r="BU14" i="3"/>
  <c r="BH22" i="3"/>
  <c r="BL39" i="3"/>
  <c r="BS39" i="3"/>
  <c r="BK42" i="3"/>
  <c r="BT46" i="3"/>
  <c r="BS9" i="3"/>
  <c r="BQ14" i="3"/>
  <c r="BU21" i="3"/>
  <c r="BQ58" i="3"/>
  <c r="BP45" i="3"/>
  <c r="BS21" i="3"/>
  <c r="BS26" i="3"/>
  <c r="BU31" i="3"/>
  <c r="BR25" i="3"/>
  <c r="BE33" i="3"/>
  <c r="BL10" i="3"/>
  <c r="BS75" i="3"/>
  <c r="BH86" i="3"/>
  <c r="BN37" i="3"/>
  <c r="BK39" i="3"/>
  <c r="BT41" i="3"/>
  <c r="BL46" i="3"/>
  <c r="BT8" i="3"/>
  <c r="BI14" i="3"/>
  <c r="BM21" i="3"/>
  <c r="BS80" i="3"/>
  <c r="BR41" i="3"/>
  <c r="BT20" i="3"/>
  <c r="BT25" i="3"/>
  <c r="BE31" i="3"/>
  <c r="BT13" i="3"/>
  <c r="BF36" i="3"/>
  <c r="BO38" i="3"/>
  <c r="BG41" i="3"/>
  <c r="BN33" i="3"/>
  <c r="BU10" i="3"/>
  <c r="BH18" i="3"/>
  <c r="BS88" i="3"/>
  <c r="BH50" i="3"/>
  <c r="BH17" i="3"/>
  <c r="BO25" i="3"/>
  <c r="BO30" i="3"/>
  <c r="BI35" i="3"/>
  <c r="BP27" i="3"/>
  <c r="BF5" i="3"/>
  <c r="BJ12" i="3"/>
  <c r="BL75" i="3"/>
  <c r="BF75" i="3"/>
  <c r="BQ32" i="3"/>
  <c r="BL38" i="3"/>
  <c r="BU40" i="3"/>
  <c r="BM45" i="3"/>
  <c r="BE7" i="3"/>
  <c r="BJ13" i="3"/>
  <c r="BN20" i="3"/>
  <c r="BS95" i="3"/>
  <c r="BH73" i="3"/>
  <c r="BU96" i="3"/>
  <c r="BL35" i="3"/>
  <c r="BJ30" i="3"/>
  <c r="BP29" i="3"/>
  <c r="BS72" i="3"/>
  <c r="BU57" i="3"/>
  <c r="BF24" i="3"/>
  <c r="BG23" i="3"/>
  <c r="BU59" i="3"/>
  <c r="BM22" i="3"/>
  <c r="BH95" i="3"/>
  <c r="BL34" i="3"/>
  <c r="BT26" i="3"/>
  <c r="BS55" i="3"/>
  <c r="BN11" i="3"/>
  <c r="BP37" i="3"/>
  <c r="BP28" i="3"/>
  <c r="BH7" i="3"/>
  <c r="BI18" i="3"/>
  <c r="BF27" i="3"/>
  <c r="BR6" i="3"/>
  <c r="BU39" i="3"/>
  <c r="BU6" i="3"/>
  <c r="BU12" i="3"/>
  <c r="BE40" i="3"/>
  <c r="BL16" i="3"/>
  <c r="BN9" i="3"/>
  <c r="BJ23" i="3"/>
  <c r="BR22" i="3"/>
  <c r="BM39" i="3"/>
  <c r="BL23" i="3"/>
  <c r="BQ13" i="3"/>
  <c r="BL21" i="3"/>
  <c r="BJ22" i="3"/>
  <c r="BI39" i="3"/>
  <c r="BH23" i="3"/>
  <c r="BM13" i="3"/>
  <c r="BJ7" i="3"/>
  <c r="BJ39" i="3"/>
  <c r="BE15" i="3"/>
  <c r="BH30" i="3"/>
  <c r="BE27" i="3"/>
  <c r="BO41" i="3"/>
  <c r="BN25" i="3"/>
  <c r="BS15" i="3"/>
  <c r="BL83" i="3"/>
  <c r="BU41" i="3"/>
  <c r="BI20" i="3"/>
  <c r="BL8" i="3"/>
  <c r="BF26" i="3"/>
  <c r="BG14" i="3"/>
  <c r="BT27" i="3"/>
  <c r="BM29" i="3"/>
  <c r="BJ37" i="3"/>
  <c r="BJ14" i="3"/>
  <c r="BE8" i="3"/>
  <c r="BM30" i="3"/>
  <c r="BI29" i="3"/>
  <c r="BS6" i="3"/>
  <c r="BR30" i="3"/>
  <c r="BM24" i="3"/>
  <c r="BP12" i="3"/>
  <c r="BP7" i="3"/>
  <c r="BI9" i="3"/>
  <c r="BS90" i="3"/>
  <c r="BI8" i="3"/>
  <c r="BE19" i="3"/>
  <c r="BF13" i="3"/>
  <c r="BQ57" i="3"/>
  <c r="BL81" i="3"/>
  <c r="BE14" i="3"/>
  <c r="BH71" i="3"/>
  <c r="BU68" i="3"/>
  <c r="BG29" i="3"/>
  <c r="BH12" i="3"/>
  <c r="BQ63" i="3"/>
  <c r="BS78" i="3"/>
  <c r="BS65" i="3"/>
  <c r="BH75" i="3"/>
  <c r="BL49" i="3"/>
  <c r="BL64" i="3"/>
  <c r="BF79" i="3"/>
  <c r="BL36" i="3"/>
  <c r="BP17" i="3"/>
  <c r="BK21" i="3"/>
  <c r="BR38" i="3"/>
  <c r="BE13" i="3"/>
  <c r="BG39" i="3"/>
  <c r="BK46" i="3"/>
  <c r="BJ38" i="3"/>
  <c r="BF25" i="3"/>
  <c r="BL50" i="3"/>
  <c r="BT39" i="3"/>
  <c r="BQ45" i="3"/>
  <c r="BL26" i="3"/>
  <c r="BG10" i="3"/>
  <c r="BG25" i="3"/>
  <c r="BF33" i="3"/>
  <c r="BP34" i="3"/>
  <c r="BS96" i="3"/>
  <c r="BL13" i="3"/>
  <c r="BU25" i="3"/>
  <c r="BH78" i="3"/>
  <c r="BS62" i="3"/>
  <c r="BR34" i="3"/>
  <c r="BK24" i="3"/>
  <c r="BP19" i="3"/>
  <c r="BL62" i="3"/>
  <c r="BS60" i="3"/>
  <c r="BF91" i="3"/>
  <c r="BS94" i="3"/>
  <c r="BS85" i="3"/>
  <c r="BH74" i="3"/>
  <c r="BL73" i="3"/>
  <c r="BF63" i="3"/>
  <c r="BL19" i="3"/>
  <c r="BH47" i="3"/>
  <c r="BP40" i="3"/>
  <c r="BN45" i="3"/>
  <c r="BF60" i="3"/>
  <c r="BH60" i="3"/>
  <c r="BK8" i="3"/>
  <c r="BN5" i="3"/>
  <c r="BI97" i="3"/>
  <c r="BN88" i="3"/>
  <c r="BH93" i="3"/>
  <c r="BQ12" i="3"/>
  <c r="BH66" i="3"/>
  <c r="BS29" i="3"/>
  <c r="BN40" i="3"/>
  <c r="BK32" i="3"/>
  <c r="BN34" i="3"/>
  <c r="BO19" i="3"/>
  <c r="BQ34" i="3"/>
  <c r="BR31" i="3"/>
  <c r="BU32" i="3"/>
  <c r="BH16" i="3"/>
  <c r="BG20" i="3"/>
  <c r="BQ42" i="3"/>
  <c r="BR5" i="3"/>
  <c r="BK41" i="3"/>
  <c r="BT24" i="3"/>
  <c r="BN12" i="3"/>
  <c r="BH80" i="3"/>
  <c r="BN35" i="3"/>
  <c r="BK16" i="3"/>
  <c r="BL95" i="3"/>
  <c r="BU88" i="3"/>
  <c r="BR45" i="3"/>
  <c r="BO24" i="3"/>
  <c r="BL59" i="3"/>
  <c r="BI89" i="3"/>
  <c r="BT37" i="3"/>
  <c r="BH11" i="3"/>
  <c r="BR57" i="3"/>
  <c r="BI21" i="3"/>
  <c r="BS17" i="3"/>
  <c r="BF62" i="3"/>
  <c r="BL67" i="3"/>
  <c r="BH24" i="3"/>
  <c r="BR37" i="3"/>
  <c r="BR11" i="3"/>
  <c r="BJ41" i="3"/>
  <c r="BN42" i="3"/>
  <c r="BR16" i="3"/>
  <c r="BI37" i="3"/>
  <c r="BR27" i="3"/>
  <c r="BJ27" i="3"/>
  <c r="BL30" i="3"/>
  <c r="BM38" i="3"/>
  <c r="BJ17" i="3"/>
  <c r="BO7" i="3"/>
  <c r="BE32" i="3"/>
  <c r="BE34" i="3"/>
  <c r="BR32" i="3"/>
  <c r="BR15" i="3"/>
  <c r="BI24" i="3"/>
  <c r="BG8" i="3"/>
  <c r="BS59" i="3"/>
  <c r="BP38" i="3"/>
  <c r="BN13" i="3"/>
  <c r="BS63" i="3"/>
  <c r="BM20" i="3"/>
  <c r="BG38" i="3"/>
  <c r="BR21" i="3"/>
  <c r="BE41" i="3"/>
  <c r="BF58" i="3"/>
  <c r="BF37" i="3"/>
  <c r="BS34" i="3"/>
  <c r="BF6" i="3"/>
  <c r="BH34" i="3"/>
  <c r="BR9" i="3"/>
  <c r="BS46" i="3"/>
  <c r="BF45" i="3"/>
  <c r="BT16" i="3"/>
  <c r="BU33" i="3"/>
  <c r="BG45" i="3"/>
  <c r="BH37" i="3"/>
  <c r="BR10" i="3"/>
  <c r="BF28" i="3"/>
  <c r="BU42" i="3"/>
  <c r="BG17" i="3"/>
  <c r="BP36" i="3"/>
  <c r="BG12" i="3"/>
  <c r="BT10" i="3"/>
  <c r="BE42" i="3"/>
  <c r="BP16" i="3"/>
  <c r="BT11" i="3"/>
  <c r="BP10" i="3"/>
  <c r="BL42" i="3"/>
  <c r="BH21" i="3"/>
  <c r="BK9" i="3"/>
  <c r="BK27" i="3"/>
  <c r="BQ22" i="3"/>
  <c r="BO14" i="3"/>
  <c r="BL20" i="3"/>
  <c r="BP26" i="3"/>
  <c r="BP8" i="3"/>
  <c r="BS24" i="3"/>
  <c r="BS18" i="3"/>
  <c r="BL6" i="3"/>
  <c r="BK13" i="3"/>
  <c r="BH59" i="3"/>
  <c r="BF69" i="3"/>
  <c r="BR83" i="3"/>
  <c r="BR93" i="3"/>
  <c r="BR76" i="3"/>
  <c r="BL89" i="3"/>
  <c r="BG9" i="3"/>
  <c r="BF85" i="3"/>
  <c r="BE29" i="3"/>
  <c r="BQ74" i="3"/>
  <c r="BJ20" i="3"/>
  <c r="BO15" i="3"/>
  <c r="BR33" i="3"/>
  <c r="BS81" i="3"/>
  <c r="BL72" i="3"/>
  <c r="BS20" i="3"/>
  <c r="BL33" i="3"/>
  <c r="BI33" i="3"/>
  <c r="BP39" i="3"/>
  <c r="BT18" i="3"/>
  <c r="BS25" i="3"/>
  <c r="BO36" i="3"/>
  <c r="BR35" i="3"/>
  <c r="BR13" i="3"/>
  <c r="BM41" i="3"/>
  <c r="BU38" i="3"/>
  <c r="BF95" i="3"/>
  <c r="BR82" i="3"/>
  <c r="BN6" i="3"/>
  <c r="BS16" i="3"/>
  <c r="BH70" i="3"/>
  <c r="BS67" i="3"/>
  <c r="BR47" i="3"/>
  <c r="BH40" i="3"/>
  <c r="BS69" i="3"/>
  <c r="BS73" i="3"/>
  <c r="BS41" i="3"/>
  <c r="BQ62" i="3"/>
  <c r="BL58" i="3"/>
  <c r="BK25" i="3"/>
  <c r="BI19" i="3"/>
  <c r="BR18" i="3"/>
  <c r="BQ77" i="3"/>
  <c r="BQ17" i="3"/>
  <c r="BH90" i="3"/>
  <c r="BG7" i="3"/>
  <c r="BL87" i="3"/>
  <c r="BF73" i="3"/>
  <c r="BQ18" i="3"/>
  <c r="BU9" i="3"/>
  <c r="BS77" i="3"/>
  <c r="BR81" i="3"/>
  <c r="BU37" i="3"/>
  <c r="BH29" i="3"/>
  <c r="BO32" i="3"/>
  <c r="BK31" i="3"/>
  <c r="BG31" i="3"/>
  <c r="BS14" i="3"/>
  <c r="BI40" i="3"/>
  <c r="BI11" i="3"/>
  <c r="BP22" i="3"/>
  <c r="BJ40" i="3"/>
  <c r="BU16" i="3"/>
  <c r="BG5" i="3"/>
  <c r="BI25" i="3"/>
  <c r="BM28" i="3"/>
  <c r="BR39" i="3"/>
  <c r="BT32" i="3"/>
  <c r="BJ9" i="3"/>
  <c r="BF8" i="3"/>
  <c r="BO26" i="3"/>
  <c r="BN39" i="3"/>
  <c r="BL32" i="3"/>
  <c r="BF9" i="3"/>
  <c r="BS7" i="3"/>
  <c r="BO39" i="3"/>
  <c r="BN15" i="3"/>
  <c r="BI34" i="3"/>
  <c r="BN24" i="3"/>
  <c r="BS76" i="3"/>
  <c r="BG40" i="3"/>
  <c r="BQ15" i="3"/>
  <c r="BU35" i="3"/>
  <c r="BL11" i="3"/>
  <c r="BH10" i="3"/>
  <c r="BN27" i="3"/>
  <c r="BJ36" i="3"/>
  <c r="BU8" i="3"/>
  <c r="BI38" i="3"/>
  <c r="BR14" i="3"/>
  <c r="BM35" i="3"/>
  <c r="BI22" i="3"/>
  <c r="BE21" i="3"/>
  <c r="BL70" i="3"/>
  <c r="BG81" i="3"/>
  <c r="BK22" i="3"/>
  <c r="BE46" i="3"/>
  <c r="BF38" i="3"/>
  <c r="BE22" i="3"/>
  <c r="BO23" i="3"/>
  <c r="BL55" i="3"/>
  <c r="BG69" i="3"/>
  <c r="BF66" i="3"/>
  <c r="BK36" i="3"/>
  <c r="BM19" i="3"/>
  <c r="BN7" i="3"/>
  <c r="BI30" i="3"/>
  <c r="BS31" i="3"/>
  <c r="BF70" i="3"/>
  <c r="BE38" i="3"/>
  <c r="BQ7" i="3"/>
  <c r="BL63" i="3"/>
  <c r="BS83" i="3"/>
  <c r="BF84" i="3"/>
  <c r="BJ25" i="3"/>
  <c r="BG49" i="3"/>
  <c r="BI50" i="3"/>
  <c r="BL7" i="3"/>
  <c r="BR59" i="3"/>
  <c r="BG56" i="3"/>
  <c r="BR85" i="3"/>
  <c r="BN32" i="3"/>
  <c r="BG61" i="3"/>
  <c r="BH48" i="3"/>
  <c r="BN85" i="3"/>
  <c r="BK18" i="3"/>
  <c r="BF7" i="3"/>
  <c r="BR90" i="3"/>
  <c r="BG70" i="3"/>
  <c r="BS93" i="3"/>
  <c r="BH55" i="3"/>
  <c r="BL80" i="3"/>
  <c r="BL60" i="3"/>
  <c r="BR96" i="3"/>
  <c r="BN87" i="3"/>
  <c r="BG35" i="3"/>
  <c r="BN23" i="3"/>
  <c r="BR29" i="3"/>
  <c r="BF20" i="3"/>
  <c r="BJ28" i="3"/>
  <c r="BK45" i="3"/>
  <c r="BL37" i="3"/>
  <c r="BO5" i="3"/>
  <c r="BH33" i="3"/>
  <c r="BM37" i="3"/>
  <c r="BJ11" i="3"/>
  <c r="BG32" i="3"/>
  <c r="BL22" i="3"/>
  <c r="BO80" i="3"/>
  <c r="BT5" i="3"/>
  <c r="BU36" i="3"/>
  <c r="BI27" i="3"/>
  <c r="BM6" i="3"/>
  <c r="BT70" i="3"/>
  <c r="BO46" i="3"/>
  <c r="BQ36" i="3"/>
  <c r="BR26" i="3"/>
  <c r="BI6" i="3"/>
  <c r="BT75" i="3"/>
  <c r="BH63" i="3"/>
  <c r="BO10" i="3"/>
  <c r="BR36" i="3"/>
  <c r="BT9" i="3"/>
  <c r="BU22" i="3"/>
  <c r="BQ21" i="3"/>
  <c r="BO92" i="3"/>
  <c r="BS22" i="3"/>
  <c r="BF39" i="3"/>
  <c r="BM31" i="3"/>
  <c r="BO8" i="3"/>
  <c r="BK7" i="3"/>
  <c r="BL29" i="3"/>
  <c r="BI15" i="3"/>
  <c r="BH46" i="3"/>
  <c r="BF19" i="3"/>
  <c r="BN30" i="3"/>
  <c r="BK15" i="3"/>
  <c r="BL78" i="3"/>
  <c r="BH68" i="3"/>
  <c r="BR66" i="3"/>
  <c r="BJ46" i="3"/>
  <c r="BH41" i="3"/>
  <c r="BF30" i="3"/>
  <c r="BH19" i="3"/>
  <c r="BR20" i="3"/>
  <c r="BL82" i="3"/>
  <c r="BG89" i="3"/>
  <c r="BJ15" i="3"/>
  <c r="BS13" i="3"/>
  <c r="BL27" i="3"/>
  <c r="BO18" i="3"/>
  <c r="BL40" i="3"/>
  <c r="BG79" i="3"/>
  <c r="BF35" i="3"/>
  <c r="BH88" i="3"/>
  <c r="BL96" i="3"/>
  <c r="BN67" i="3"/>
  <c r="BE45" i="3"/>
  <c r="BU26" i="3"/>
  <c r="BI17" i="3"/>
  <c r="BM25" i="3"/>
  <c r="BL17" i="3"/>
  <c r="BQ8" i="3"/>
  <c r="BP5" i="3"/>
  <c r="BP33" i="3"/>
  <c r="BM33" i="3"/>
  <c r="BM34" i="3"/>
  <c r="BH81" i="3"/>
  <c r="BP46" i="3"/>
  <c r="BI36" i="3"/>
  <c r="BT83" i="3"/>
  <c r="BO9" i="3"/>
  <c r="BS40" i="3"/>
  <c r="BL91" i="3"/>
  <c r="BM42" i="3"/>
  <c r="BL24" i="3"/>
  <c r="BG15" i="3"/>
  <c r="BH72" i="3"/>
  <c r="BR48" i="3"/>
  <c r="BS37" i="3"/>
  <c r="BK23" i="3"/>
  <c r="BS45" i="3"/>
  <c r="BH62" i="3"/>
  <c r="BH57" i="3"/>
  <c r="BL90" i="3"/>
  <c r="BF77" i="3"/>
  <c r="BR89" i="3"/>
  <c r="BF71" i="3"/>
  <c r="BS32" i="3"/>
  <c r="BQ82" i="3"/>
  <c r="BT54" i="3"/>
  <c r="BH65" i="3"/>
  <c r="BL94" i="3"/>
  <c r="BU28" i="3"/>
  <c r="BG24" i="3"/>
  <c r="BL14" i="3"/>
  <c r="BQ37" i="3"/>
  <c r="BN29" i="3"/>
  <c r="BU11" i="3"/>
  <c r="BE18" i="3"/>
  <c r="BG78" i="3"/>
  <c r="BT31" i="3"/>
  <c r="BP30" i="3"/>
  <c r="BE37" i="3"/>
  <c r="BP31" i="3"/>
  <c r="BO82" i="3"/>
  <c r="BN10" i="3"/>
  <c r="BE28" i="3"/>
  <c r="BM46" i="3"/>
  <c r="BF31" i="3"/>
  <c r="BQ9" i="3"/>
  <c r="BO40" i="3"/>
  <c r="BU24" i="3"/>
  <c r="BM9" i="3"/>
  <c r="BH67" i="3"/>
  <c r="BR65" i="3"/>
  <c r="BE35" i="3"/>
  <c r="BL77" i="3"/>
  <c r="BE20" i="3"/>
  <c r="BE24" i="3"/>
  <c r="BF94" i="3"/>
  <c r="BR92" i="3"/>
  <c r="BO37" i="3"/>
  <c r="BT59" i="3"/>
  <c r="BH49" i="3"/>
  <c r="BF87" i="3"/>
  <c r="BO95" i="3"/>
  <c r="BQ67" i="3"/>
  <c r="BQ29" i="3"/>
  <c r="BT15" i="3"/>
  <c r="BO64" i="3"/>
  <c r="BP78" i="3"/>
  <c r="BT65" i="3"/>
  <c r="BT64" i="3"/>
  <c r="BH58" i="3"/>
  <c r="BL68" i="3"/>
  <c r="BL85" i="3"/>
  <c r="BK6" i="3"/>
  <c r="BO11" i="3"/>
  <c r="BL15" i="3"/>
  <c r="BH15" i="3"/>
  <c r="BG22" i="3"/>
  <c r="BO33" i="3"/>
  <c r="BS70" i="3"/>
  <c r="BJ26" i="3"/>
  <c r="BU29" i="3"/>
  <c r="BQ19" i="3"/>
  <c r="BJ5" i="3"/>
  <c r="BK14" i="3"/>
  <c r="BT7" i="3"/>
  <c r="BR67" i="3"/>
  <c r="BO29" i="3"/>
  <c r="BH76" i="3"/>
  <c r="BI45" i="3"/>
  <c r="BJ64" i="3"/>
  <c r="BS48" i="3"/>
  <c r="BH83" i="3"/>
  <c r="BP83" i="3"/>
  <c r="BQ65" i="3"/>
  <c r="BO62" i="3"/>
  <c r="BS58" i="3"/>
  <c r="BL56" i="3"/>
  <c r="BT72" i="3"/>
  <c r="BE10" i="3"/>
  <c r="BL28" i="3"/>
  <c r="BG42" i="3"/>
  <c r="BG30" i="3"/>
  <c r="BS84" i="3"/>
  <c r="BH77" i="3"/>
  <c r="BL88" i="3"/>
  <c r="BG34" i="3"/>
  <c r="BR8" i="3"/>
  <c r="BO12" i="3"/>
  <c r="BK12" i="3"/>
  <c r="BJ42" i="3"/>
  <c r="BU27" i="3"/>
  <c r="BS71" i="3"/>
  <c r="BP20" i="3"/>
  <c r="BS79" i="3"/>
  <c r="BP18" i="3"/>
  <c r="BF14" i="3"/>
  <c r="BJ32" i="3"/>
  <c r="BO34" i="3"/>
  <c r="BF32" i="3"/>
  <c r="BU23" i="3"/>
  <c r="BH92" i="3"/>
  <c r="BE30" i="3"/>
  <c r="BH64" i="3"/>
  <c r="BO94" i="3"/>
  <c r="BH89" i="3"/>
  <c r="BU30" i="3"/>
  <c r="BG82" i="3"/>
  <c r="BS54" i="3"/>
  <c r="BR68" i="3"/>
  <c r="BS12" i="3"/>
  <c r="BG19" i="3"/>
  <c r="BP41" i="3"/>
  <c r="BO77" i="3"/>
  <c r="BJ35" i="3"/>
  <c r="BL65" i="3"/>
  <c r="BP62" i="3"/>
  <c r="BR28" i="3"/>
  <c r="BL48" i="3"/>
  <c r="BR42" i="3"/>
  <c r="BJ16" i="3"/>
  <c r="BK28" i="3"/>
  <c r="BM7" i="3"/>
  <c r="BL74" i="3"/>
  <c r="BF74" i="3"/>
  <c r="BS11" i="3"/>
  <c r="BN18" i="3"/>
  <c r="BI16" i="3"/>
  <c r="BH25" i="3"/>
  <c r="BM5" i="3"/>
  <c r="BF29" i="3"/>
  <c r="BP21" i="3"/>
  <c r="BM14" i="3"/>
  <c r="BN36" i="3"/>
  <c r="BL57" i="3"/>
  <c r="BN46" i="3"/>
  <c r="BT6" i="3"/>
  <c r="BI31" i="3"/>
  <c r="BP6" i="3"/>
  <c r="BI88" i="3"/>
  <c r="BG16" i="3"/>
  <c r="BR49" i="3"/>
  <c r="BI10" i="3"/>
  <c r="BF54" i="3"/>
  <c r="BF92" i="3"/>
  <c r="BJ81" i="3"/>
  <c r="BR12" i="3"/>
  <c r="BS89" i="3"/>
  <c r="BR80" i="3"/>
  <c r="BM40" i="3"/>
  <c r="BI42" i="3"/>
  <c r="BT45" i="3"/>
  <c r="BP49" i="3"/>
  <c r="BI26" i="3"/>
  <c r="BF42" i="3"/>
  <c r="BO88" i="3"/>
  <c r="BP11" i="3"/>
  <c r="BP32" i="3"/>
  <c r="BL66" i="3"/>
  <c r="BQ31" i="3"/>
  <c r="BT63" i="3"/>
  <c r="BU19" i="3"/>
  <c r="BT49" i="3"/>
  <c r="BU34" i="3"/>
  <c r="BM10" i="3"/>
  <c r="BR74" i="3"/>
  <c r="BO84" i="3"/>
  <c r="BH6" i="3"/>
  <c r="BF88" i="3"/>
  <c r="BM23" i="3"/>
  <c r="BF81" i="3"/>
  <c r="BF50" i="3"/>
  <c r="BS57" i="3"/>
  <c r="BR56" i="3"/>
  <c r="BK37" i="3"/>
  <c r="BT34" i="3"/>
  <c r="BJ6" i="3"/>
  <c r="BG76" i="3"/>
  <c r="BK19" i="3"/>
  <c r="BS28" i="3"/>
  <c r="BN19" i="3"/>
  <c r="BK26" i="3"/>
  <c r="BG26" i="3"/>
  <c r="BL25" i="3"/>
  <c r="BS87" i="3"/>
  <c r="BJ19" i="3"/>
  <c r="BS86" i="3"/>
  <c r="BI41" i="3"/>
  <c r="BT14" i="3"/>
  <c r="BJ31" i="3"/>
  <c r="BF72" i="3"/>
  <c r="BR58" i="3"/>
  <c r="BN21" i="3"/>
  <c r="BO31" i="3"/>
  <c r="BP66" i="3"/>
  <c r="BL79" i="3"/>
  <c r="BJ34" i="3"/>
  <c r="BL12" i="3"/>
  <c r="BS42" i="3"/>
  <c r="BN16" i="3"/>
  <c r="BE26" i="3"/>
  <c r="BT29" i="3"/>
  <c r="BT77" i="3"/>
  <c r="BQ20" i="3"/>
  <c r="BR46" i="3"/>
  <c r="BR19" i="3"/>
  <c r="BP13" i="3"/>
  <c r="BS91" i="3"/>
  <c r="BO35" i="3"/>
  <c r="BF12" i="3"/>
  <c r="BG46" i="3"/>
  <c r="BH69" i="3"/>
  <c r="BM17" i="3"/>
  <c r="BP14" i="3"/>
  <c r="BG68" i="3"/>
  <c r="BP58" i="3"/>
  <c r="BL61" i="3"/>
  <c r="BG6" i="3"/>
  <c r="BQ39" i="3"/>
  <c r="BF34" i="3"/>
  <c r="BS64" i="3"/>
  <c r="BU46" i="3"/>
  <c r="BH31" i="3"/>
  <c r="BU7" i="3"/>
  <c r="BG13" i="3"/>
  <c r="BL86" i="3"/>
  <c r="BK35" i="3"/>
  <c r="BF83" i="3"/>
  <c r="BF22" i="3"/>
  <c r="BS66" i="3"/>
  <c r="BH91" i="3"/>
  <c r="BS38" i="3"/>
  <c r="BQ30" i="3"/>
  <c r="BO85" i="3"/>
  <c r="BP24" i="3"/>
  <c r="BM48" i="3"/>
  <c r="BG92" i="3"/>
  <c r="BT58" i="3"/>
  <c r="BK84" i="3"/>
  <c r="BK96" i="3"/>
  <c r="BK76" i="3"/>
  <c r="BK92" i="3"/>
  <c r="BK62" i="3"/>
  <c r="BE71" i="3"/>
  <c r="BF93" i="3"/>
  <c r="BS61" i="3"/>
  <c r="BL92" i="3"/>
  <c r="BR84" i="3"/>
  <c r="BF89" i="3"/>
  <c r="BI47" i="3"/>
  <c r="BM74" i="3"/>
  <c r="GI6" i="4" a="1"/>
  <c r="FI6" i="4" a="1"/>
  <c r="GY5" i="4" a="1"/>
  <c r="HD11" i="4" a="1"/>
  <c r="GU9" i="4" a="1"/>
  <c r="HD15" i="4" a="1"/>
  <c r="GN12" i="4" a="1"/>
  <c r="HG16" i="4" a="1"/>
  <c r="HE5" i="4" a="1"/>
  <c r="FI12" i="4" a="1"/>
  <c r="BE93" i="3"/>
  <c r="BI55" i="3"/>
  <c r="GB8" i="4" a="1"/>
  <c r="HD7" i="4" a="1"/>
  <c r="GG7" i="4" a="1"/>
  <c r="HD14" i="4" a="1"/>
  <c r="GQ11" i="4" a="1"/>
  <c r="GM13" i="4" a="1"/>
  <c r="GS11" i="4" a="1"/>
  <c r="GJ8" i="4" a="1"/>
  <c r="FQ13" i="4" a="1"/>
  <c r="FG13" i="4" a="1"/>
  <c r="FU15" i="4" a="1"/>
  <c r="GY13" i="4" a="1"/>
  <c r="FH8" i="4" a="1"/>
  <c r="BU87" i="3"/>
  <c r="BU85" i="3"/>
  <c r="BE55" i="3"/>
  <c r="FN13" i="4" a="1"/>
  <c r="HH12" i="4" a="1"/>
  <c r="FZ9" i="4" a="1"/>
  <c r="GV5" i="4" a="1"/>
  <c r="FT15" i="4" a="1"/>
  <c r="BQ76" i="3"/>
  <c r="BQ68" i="3"/>
  <c r="FP12" i="4" a="1"/>
  <c r="BQ90" i="3"/>
  <c r="BQ84" i="3"/>
  <c r="GK14" i="4" a="1"/>
  <c r="GR12" i="4" a="1"/>
  <c r="FK5" i="4" a="1"/>
  <c r="FL11" i="4" a="1"/>
  <c r="FS15" i="4" a="1"/>
  <c r="GD14" i="4" a="1"/>
  <c r="GJ7" i="4" a="1"/>
  <c r="GN9" i="4" a="1"/>
  <c r="GV16" i="4" a="1"/>
  <c r="GY8" i="4" a="1"/>
  <c r="BI76" i="3"/>
  <c r="BI65" i="3"/>
  <c r="GX7" i="4" a="1"/>
  <c r="FX7" i="4" a="1"/>
  <c r="HC6" i="4" a="1"/>
  <c r="FO13" i="4" a="1"/>
  <c r="GA11" i="4" a="1"/>
  <c r="FW13" i="4" a="1"/>
  <c r="HG13" i="4" a="1"/>
  <c r="FZ12" i="4" a="1"/>
  <c r="BE56" i="3"/>
  <c r="CK130" i="1" s="1"/>
  <c r="CL130" i="1" s="1"/>
  <c r="BQ93" i="3"/>
  <c r="BQ64" i="3"/>
  <c r="FJ5" i="4" a="1"/>
  <c r="GO5" i="4" a="1"/>
  <c r="FW9" i="4" a="1"/>
  <c r="BQ87" i="3"/>
  <c r="BQ70" i="3"/>
  <c r="FN5" i="4" a="1"/>
  <c r="FY16" i="4" a="1"/>
  <c r="GR9" i="4" a="1"/>
  <c r="BI68" i="3"/>
  <c r="GQ5" i="4" a="1"/>
  <c r="BU80" i="3"/>
  <c r="BI78" i="3"/>
  <c r="BI87" i="3"/>
  <c r="FL8" i="4" a="1"/>
  <c r="GN7" i="4" a="1"/>
  <c r="FQ7" i="4" a="1"/>
  <c r="FX14" i="4" a="1"/>
  <c r="GI11" i="4" a="1"/>
  <c r="GE13" i="4" a="1"/>
  <c r="GQ7" i="4" a="1"/>
  <c r="HA11" i="4" a="1"/>
  <c r="BN64" i="3"/>
  <c r="BM86" i="3"/>
  <c r="GA6" i="4" a="1"/>
  <c r="FW5" i="4" a="1"/>
  <c r="GQ9" i="4" a="1"/>
  <c r="GV15" i="4" a="1"/>
  <c r="BU69" i="3"/>
  <c r="BQ61" i="3"/>
  <c r="FT8" i="4" a="1"/>
  <c r="GU14" i="4" a="1"/>
  <c r="GM9" i="4" a="1"/>
  <c r="GY11" i="4" a="1"/>
  <c r="GG14" i="4" a="1"/>
  <c r="GG11" i="4" a="1"/>
  <c r="FP9" i="4" a="1"/>
  <c r="GT16" i="4" a="1"/>
  <c r="GJ11" i="4" a="1"/>
  <c r="FR11" i="4" a="1"/>
  <c r="BE74" i="3"/>
  <c r="CK150" i="1" s="1"/>
  <c r="BI74" i="3"/>
  <c r="FR8" i="4" a="1"/>
  <c r="GW7" i="4" a="1"/>
  <c r="GH15" i="4" a="1"/>
  <c r="GU13" i="4" a="1"/>
  <c r="GT5" i="4" a="1"/>
  <c r="FM7" i="4" a="1"/>
  <c r="BQ59" i="3"/>
  <c r="HH5" i="4" a="1"/>
  <c r="FT6" i="4" a="1"/>
  <c r="BQ80" i="3"/>
  <c r="GX5" i="4" a="1"/>
  <c r="FG15" i="4" a="1"/>
  <c r="BE96" i="3"/>
  <c r="CK176" i="1" s="1"/>
  <c r="BQ88" i="3"/>
  <c r="BE47" i="3"/>
  <c r="BI63" i="3"/>
  <c r="HH8" i="4" a="1"/>
  <c r="FL16" i="4" a="1"/>
  <c r="GX11" i="4" a="1"/>
  <c r="GW16" i="4" a="1"/>
  <c r="BN56" i="3"/>
  <c r="BI48" i="3"/>
  <c r="FM11" i="4" a="1"/>
  <c r="BQ79" i="3"/>
  <c r="FJ14" i="4" a="1"/>
  <c r="GN15" i="4" a="1"/>
  <c r="GC13" i="4" a="1"/>
  <c r="GQ12" i="4" a="1"/>
  <c r="FY11" i="4" a="1"/>
  <c r="FY13" i="4" a="1"/>
  <c r="GO6" i="4" a="1"/>
  <c r="BU55" i="3"/>
  <c r="FM14" i="4" a="1"/>
  <c r="GY12" i="4" a="1"/>
  <c r="GC15" i="4" a="1"/>
  <c r="HG9" i="4" a="1"/>
  <c r="BI73" i="3"/>
  <c r="HA7" i="4" a="1"/>
  <c r="BI72" i="3"/>
  <c r="HG12" i="4" a="1"/>
  <c r="BE86" i="3"/>
  <c r="GD15" i="4" a="1"/>
  <c r="GS15" i="4" a="1"/>
  <c r="GH6" i="4" a="1"/>
  <c r="BE80" i="3"/>
  <c r="CK172" i="1" s="1"/>
  <c r="HF11" i="4" a="1"/>
  <c r="GW15" i="4" a="1"/>
  <c r="HB6" i="4" a="1"/>
  <c r="GB16" i="4" a="1"/>
  <c r="GO15" i="4" a="1"/>
  <c r="GE6" i="4" a="1"/>
  <c r="FM9" i="4" a="1"/>
  <c r="BK55" i="3"/>
  <c r="BL69" i="3"/>
  <c r="BR55" i="3"/>
  <c r="BF67" i="3"/>
  <c r="BU70" i="3"/>
  <c r="BF55" i="3"/>
  <c r="GJ12" i="4" a="1"/>
  <c r="GF12" i="4" a="1"/>
  <c r="FV14" i="4" a="1"/>
  <c r="GQ14" i="4" a="1"/>
  <c r="FK9" i="4" a="1"/>
  <c r="HC16" i="4" a="1"/>
  <c r="GQ15" i="4" a="1"/>
  <c r="BN96" i="3"/>
  <c r="FQ6" i="4" a="1"/>
  <c r="GZ16" i="4" a="1"/>
  <c r="BI69" i="3"/>
  <c r="BE85" i="3"/>
  <c r="CK160" i="1" s="1"/>
  <c r="CL160" i="1" s="1"/>
  <c r="BI96" i="3"/>
  <c r="GT7" i="4" a="1"/>
  <c r="GZ11" i="4" a="1"/>
  <c r="FO5" i="4" a="1"/>
  <c r="GD8" i="4" a="1"/>
  <c r="BQ54" i="3"/>
  <c r="GT13" i="4" a="1"/>
  <c r="FG11" i="4" a="1"/>
  <c r="BU77" i="3"/>
  <c r="FQ16" i="4" a="1"/>
  <c r="GU5" i="4" a="1"/>
  <c r="FT16" i="4" a="1"/>
  <c r="BU95" i="3"/>
  <c r="BN57" i="3"/>
  <c r="FJ6" i="4" a="1"/>
  <c r="BN79" i="3"/>
  <c r="BK58" i="3"/>
  <c r="BK71" i="3"/>
  <c r="BK48" i="3"/>
  <c r="BK63" i="3"/>
  <c r="BK57" i="3"/>
  <c r="BE69" i="3"/>
  <c r="BF76" i="3"/>
  <c r="BH79" i="3"/>
  <c r="BL97" i="3"/>
  <c r="BR72" i="3"/>
  <c r="BF49" i="3"/>
  <c r="BN70" i="3"/>
  <c r="BI60" i="3"/>
  <c r="BI82" i="3"/>
  <c r="GC7" i="4" a="1"/>
  <c r="HE6" i="4" a="1"/>
  <c r="GJ6" i="4" a="1"/>
  <c r="GX12" i="4" a="1"/>
  <c r="FQ11" i="4" a="1"/>
  <c r="GX16" i="4" a="1"/>
  <c r="GY9" i="4" a="1"/>
  <c r="BE61" i="3"/>
  <c r="GU6" i="4" a="1"/>
  <c r="HD16" i="4" a="1"/>
  <c r="BU56" i="3"/>
  <c r="BE83" i="3"/>
  <c r="CK173" i="1" s="1"/>
  <c r="BE84" i="3"/>
  <c r="CK159" i="1" s="1"/>
  <c r="FV9" i="4" a="1"/>
  <c r="GX8" i="4" a="1"/>
  <c r="GA8" i="4" a="1"/>
  <c r="GR16" i="4" a="1"/>
  <c r="GG12" i="4" a="1"/>
  <c r="FS14" i="4" a="1"/>
  <c r="GB14" i="4" a="1"/>
  <c r="GD9" i="4" a="1"/>
  <c r="FI5" i="4" a="1"/>
  <c r="GW11" i="4" a="1"/>
  <c r="HH16" i="4" a="1"/>
  <c r="GE16" i="4" a="1"/>
  <c r="HD8" i="4" a="1"/>
  <c r="BQ47" i="3"/>
  <c r="BQ89" i="3"/>
  <c r="FO7" i="4" a="1"/>
  <c r="GX6" i="4" a="1"/>
  <c r="HA6" i="4" a="1"/>
  <c r="FI13" i="4" a="1"/>
  <c r="FM12" i="4" a="1"/>
  <c r="FS13" i="4" a="1"/>
  <c r="BQ94" i="3"/>
  <c r="BQ73" i="3"/>
  <c r="FJ13" i="4" a="1"/>
  <c r="BM88" i="3"/>
  <c r="BM97" i="3"/>
  <c r="GZ5" i="4" a="1"/>
  <c r="GN5" i="4" a="1"/>
  <c r="GI5" i="4" a="1"/>
  <c r="GE9" i="4" a="1"/>
  <c r="FX15" i="4" a="1"/>
  <c r="GG6" i="4" a="1"/>
  <c r="GC14" i="4" a="1"/>
  <c r="GF15" i="4" a="1"/>
  <c r="GR8" i="4" a="1"/>
  <c r="HC11" i="4" a="1"/>
  <c r="GP15" i="4" a="1"/>
  <c r="BQ50" i="3"/>
  <c r="FO6" i="4" a="1"/>
  <c r="BM49" i="3"/>
  <c r="FK6" i="4" a="1"/>
  <c r="GV9" i="4" a="1"/>
  <c r="BN92" i="3"/>
  <c r="GH8" i="4" a="1"/>
  <c r="FK8" i="4" a="1"/>
  <c r="FQ12" i="4" a="1"/>
  <c r="HE13" i="4" a="1"/>
  <c r="BM54" i="3"/>
  <c r="BI83" i="3"/>
  <c r="FO8" i="4" a="1"/>
  <c r="GB6" i="4" a="1"/>
  <c r="GP16" i="4" a="1"/>
  <c r="BQ48" i="3"/>
  <c r="FU6" i="4" a="1"/>
  <c r="HE16" i="4" a="1"/>
  <c r="FI11" i="4" a="1"/>
  <c r="GI13" i="4" a="1"/>
  <c r="GW5" i="4" a="1"/>
  <c r="GF5" i="4" a="1"/>
  <c r="HB13" i="4" a="1"/>
  <c r="BE91" i="3"/>
  <c r="CK167" i="1" s="1"/>
  <c r="CL167" i="1" s="1"/>
  <c r="GJ9" i="4" a="1"/>
  <c r="BN77" i="3"/>
  <c r="GC12" i="4" a="1"/>
  <c r="GF7" i="4" a="1"/>
  <c r="BM73" i="3"/>
  <c r="GZ9" i="4" a="1"/>
  <c r="GF14" i="4" a="1"/>
  <c r="GP12" i="4" a="1"/>
  <c r="BM72" i="3"/>
  <c r="FZ11" i="4" a="1"/>
  <c r="BK73" i="3"/>
  <c r="BN97" i="3"/>
  <c r="GB12" i="4" a="1"/>
  <c r="FL14" i="4" a="1"/>
  <c r="GV6" i="4" a="1"/>
  <c r="BQ78" i="3"/>
  <c r="FO15" i="4" a="1"/>
  <c r="GO13" i="4" a="1"/>
  <c r="BM64" i="3"/>
  <c r="BN68" i="3"/>
  <c r="FM8" i="4" a="1"/>
  <c r="FZ15" i="4" a="1"/>
  <c r="GS13" i="4" a="1"/>
  <c r="GW13" i="4" a="1"/>
  <c r="GU7" i="4" a="1"/>
  <c r="GR7" i="4" a="1"/>
  <c r="BN90" i="3"/>
  <c r="GX13" i="4" a="1"/>
  <c r="BN69" i="3"/>
  <c r="FZ8" i="4" a="1"/>
  <c r="BN82" i="3"/>
  <c r="FV8" i="4" a="1"/>
  <c r="HD13" i="4" a="1"/>
  <c r="GF6" i="4" a="1"/>
  <c r="FX12" i="4" a="1"/>
  <c r="BK75" i="3"/>
  <c r="BK91" i="3"/>
  <c r="BK77" i="3"/>
  <c r="BK78" i="3"/>
  <c r="BK60" i="3"/>
  <c r="BE62" i="3"/>
  <c r="CK137" i="1" s="1"/>
  <c r="BF90" i="3"/>
  <c r="BH61" i="3"/>
  <c r="BR87" i="3"/>
  <c r="BF47" i="3"/>
  <c r="BJ56" i="3"/>
  <c r="BE77" i="3"/>
  <c r="CK153" i="1" s="1"/>
  <c r="BI49" i="3"/>
  <c r="FW8" i="4" a="1"/>
  <c r="GY7" i="4" a="1"/>
  <c r="GD7" i="4" a="1"/>
  <c r="GV14" i="4" a="1"/>
  <c r="GO11" i="4" a="1"/>
  <c r="GK13" i="4" a="1"/>
  <c r="GL12" i="4" a="1"/>
  <c r="BE88" i="3"/>
  <c r="CK140" i="1" s="1"/>
  <c r="GI8" i="4" a="1"/>
  <c r="GP14" i="4" a="1"/>
  <c r="BU64" i="3"/>
  <c r="BF82" i="3"/>
  <c r="BE50" i="3"/>
  <c r="GU12" i="4" a="1"/>
  <c r="GM12" i="4" a="1"/>
  <c r="FU9" i="4" a="1"/>
  <c r="GI12" i="4" a="1"/>
  <c r="FT14" i="4" a="1"/>
  <c r="FM15" i="4" a="1"/>
  <c r="FP15" i="4" a="1"/>
  <c r="GB13" i="4" a="1"/>
  <c r="GG5" i="4" a="1"/>
  <c r="FK15" i="4" a="1"/>
  <c r="GX15" i="4" a="1"/>
  <c r="BK80" i="3"/>
  <c r="GH12" i="4" a="1"/>
  <c r="BQ83" i="3"/>
  <c r="BQ97" i="3"/>
  <c r="HC12" i="4" a="1"/>
  <c r="GA9" i="4" a="1"/>
  <c r="FG5" i="4" a="1"/>
  <c r="FH11" i="4" a="1"/>
  <c r="FR15" i="4" a="1"/>
  <c r="GA14" i="4" a="1"/>
  <c r="BM62" i="3"/>
  <c r="BM60" i="3"/>
  <c r="BN81" i="3"/>
  <c r="BI61" i="3"/>
  <c r="BM71" i="3"/>
  <c r="GY6" i="4" a="1"/>
  <c r="FY6" i="4" a="1"/>
  <c r="HG5" i="4" a="1"/>
  <c r="FR12" i="4" a="1"/>
  <c r="HC9" i="4" a="1"/>
  <c r="FR16" i="4" a="1"/>
  <c r="FU8" i="4" a="1"/>
  <c r="GN11" i="4" a="1"/>
  <c r="FZ16" i="4" a="1"/>
  <c r="BM68" i="3"/>
  <c r="BU71" i="3"/>
  <c r="BK82" i="3"/>
  <c r="BE79" i="3"/>
  <c r="CK156" i="1" s="1"/>
  <c r="CL156" i="1" s="1"/>
  <c r="GL9" i="4" a="1"/>
  <c r="FL9" i="4" a="1"/>
  <c r="GQ8" i="4" a="1"/>
  <c r="HE11" i="4" a="1"/>
  <c r="GW12" i="4" a="1"/>
  <c r="GI14" i="4" a="1"/>
  <c r="GA7" i="4" a="1"/>
  <c r="GI9" i="4" a="1"/>
  <c r="HC15" i="4" a="1"/>
  <c r="BM66" i="3"/>
  <c r="BM61" i="3"/>
  <c r="HG6" i="4" a="1"/>
  <c r="GP11" i="4" a="1"/>
  <c r="FT11" i="4" a="1"/>
  <c r="BM78" i="3"/>
  <c r="BM67" i="3"/>
  <c r="FJ7" i="4" a="1"/>
  <c r="GL6" i="4" a="1"/>
  <c r="FH14" i="4" a="1"/>
  <c r="FR5" i="4" a="1"/>
  <c r="FP14" i="4" a="1"/>
  <c r="BM58" i="3"/>
  <c r="BU67" i="3"/>
  <c r="BE64" i="3"/>
  <c r="CK162" i="1" s="1"/>
  <c r="BE70" i="3"/>
  <c r="CK146" i="1" s="1"/>
  <c r="HB9" i="4" a="1"/>
  <c r="GB9" i="4" a="1"/>
  <c r="HG8" i="4" a="1"/>
  <c r="FS12" i="4" a="1"/>
  <c r="FK13" i="4" a="1"/>
  <c r="GY14" i="4" a="1"/>
  <c r="GO16" i="4" a="1"/>
  <c r="FX11" i="4" a="1"/>
  <c r="BE66" i="3"/>
  <c r="CK164" i="1" s="1"/>
  <c r="CL164" i="1" s="1"/>
  <c r="BN63" i="3"/>
  <c r="BE63" i="3"/>
  <c r="CK138" i="1" s="1"/>
  <c r="BI92" i="3"/>
  <c r="FI9" i="4" a="1"/>
  <c r="GV11" i="4" a="1"/>
  <c r="GK11" i="4" a="1"/>
  <c r="GG13" i="4" a="1"/>
  <c r="BM90" i="3"/>
  <c r="BM94" i="3"/>
  <c r="GT8" i="4" a="1"/>
  <c r="HG14" i="4" a="1"/>
  <c r="GP8" i="4" a="1"/>
  <c r="GT14" i="4" a="1"/>
  <c r="FV15" i="4" a="1"/>
  <c r="FN12" i="4" a="1"/>
  <c r="GH16" i="4" a="1"/>
  <c r="FS8" i="4" a="1"/>
  <c r="BK88" i="3"/>
  <c r="BK93" i="3"/>
  <c r="BK65" i="3"/>
  <c r="BK70" i="3"/>
  <c r="BK90" i="3"/>
  <c r="BE67" i="3"/>
  <c r="BF86" i="3"/>
  <c r="BL47" i="3"/>
  <c r="BR69" i="3"/>
  <c r="BJ94" i="3"/>
  <c r="BF56" i="3"/>
  <c r="BU91" i="3"/>
  <c r="BE87" i="3"/>
  <c r="CK165" i="1" s="1"/>
  <c r="BE97" i="3"/>
  <c r="FQ9" i="4" a="1"/>
  <c r="GS8" i="4" a="1"/>
  <c r="FX8" i="4" a="1"/>
  <c r="GJ16" i="4" a="1"/>
  <c r="GD12" i="4" a="1"/>
  <c r="FO14" i="4" a="1"/>
  <c r="FP16" i="4" a="1"/>
  <c r="GN13" i="4" a="1"/>
  <c r="FN16" i="4" a="1"/>
  <c r="GA13" i="4" a="1"/>
  <c r="BU54" i="3"/>
  <c r="BQ92" i="3"/>
  <c r="HF6" i="4" a="1"/>
  <c r="GK6" i="4" a="1"/>
  <c r="GS6" i="4" a="1"/>
  <c r="GZ12" i="4" a="1"/>
  <c r="GD13" i="4" a="1"/>
  <c r="FH16" i="4" a="1"/>
  <c r="FG16" i="4" a="1"/>
  <c r="HF16" i="4" a="1"/>
  <c r="FG7" i="4" a="1"/>
  <c r="GO7" i="4" a="1"/>
  <c r="HA9" i="4" a="1"/>
  <c r="HC13" i="4" a="1"/>
  <c r="HC8" i="4" a="1"/>
  <c r="HF15" i="4" a="1"/>
  <c r="GR5" i="4" a="1"/>
  <c r="GE5" i="4" a="1"/>
  <c r="HF12" i="4" a="1"/>
  <c r="BN71" i="3"/>
  <c r="BI79" i="3"/>
  <c r="BM50" i="3"/>
  <c r="BI70" i="3"/>
  <c r="BI86" i="3"/>
  <c r="GS7" i="4" a="1"/>
  <c r="FS7" i="4" a="1"/>
  <c r="GZ6" i="4" a="1"/>
  <c r="FL13" i="4" a="1"/>
  <c r="FU13" i="4" a="1"/>
  <c r="HC7" i="4" a="1"/>
  <c r="BU94" i="3"/>
  <c r="GV13" i="4" a="1"/>
  <c r="GZ14" i="4" a="1"/>
  <c r="FO9" i="4" a="1"/>
  <c r="BN93" i="3"/>
  <c r="BI54" i="3"/>
  <c r="HF7" i="4" a="1"/>
  <c r="FS6" i="4" a="1"/>
  <c r="BN47" i="3"/>
  <c r="BU83" i="3"/>
  <c r="BK85" i="3"/>
  <c r="GG16" i="4" a="1"/>
  <c r="FI16" i="4" a="1"/>
  <c r="FM13" i="4" a="1"/>
  <c r="HB8" i="4" a="1"/>
  <c r="BU72" i="3"/>
  <c r="BE54" i="3"/>
  <c r="FV12" i="4" a="1"/>
  <c r="BI90" i="3"/>
  <c r="FM6" i="4" a="1"/>
  <c r="FY12" i="4" a="1"/>
  <c r="BK49" i="3"/>
  <c r="BK81" i="3"/>
  <c r="BK68" i="3"/>
  <c r="BE94" i="3"/>
  <c r="BF80" i="3"/>
  <c r="BR78" i="3"/>
  <c r="BF68" i="3"/>
  <c r="BE59" i="3"/>
  <c r="FR9" i="4" a="1"/>
  <c r="FI15" i="4" a="1"/>
  <c r="GQ13" i="4" a="1"/>
  <c r="BQ96" i="3"/>
  <c r="FL12" i="4" a="1"/>
  <c r="HH9" i="4" a="1"/>
  <c r="GW14" i="4" a="1"/>
  <c r="FR14" i="4" a="1"/>
  <c r="FW12" i="4" a="1"/>
  <c r="GC9" i="4" a="1"/>
  <c r="GU11" i="4" a="1"/>
  <c r="HB5" i="4" a="1"/>
  <c r="BI64" i="3"/>
  <c r="GQ6" i="4" a="1"/>
  <c r="HC5" i="4" a="1"/>
  <c r="GL13" i="4" a="1"/>
  <c r="BI85" i="3"/>
  <c r="GM8" i="4" a="1"/>
  <c r="FH12" i="4" a="1"/>
  <c r="BQ66" i="3"/>
  <c r="GE7" i="4" a="1"/>
  <c r="GZ13" i="4" a="1"/>
  <c r="GN16" i="4" a="1"/>
  <c r="FW16" i="4" a="1"/>
  <c r="FU14" i="4" a="1"/>
  <c r="HB12" i="4" a="1"/>
  <c r="BI62" i="3"/>
  <c r="BI93" i="3"/>
  <c r="GK15" i="4" a="1"/>
  <c r="BI94" i="3"/>
  <c r="BI95" i="3"/>
  <c r="GZ8" i="4" a="1"/>
  <c r="FG8" i="4" a="1"/>
  <c r="BI91" i="3"/>
  <c r="BU74" i="3"/>
  <c r="GL8" i="4" a="1"/>
  <c r="GO8" i="4" a="1"/>
  <c r="FQ14" i="4" a="1"/>
  <c r="GM16" i="4" a="1"/>
  <c r="BE65" i="3"/>
  <c r="CK163" i="1" s="1"/>
  <c r="CL163" i="1" s="1"/>
  <c r="FP13" i="4" a="1"/>
  <c r="BI81" i="3"/>
  <c r="BK66" i="3"/>
  <c r="BK94" i="3"/>
  <c r="BF65" i="3"/>
  <c r="BL76" i="3"/>
  <c r="BJ67" i="3"/>
  <c r="FX9" i="4" a="1"/>
  <c r="GE12" i="4" a="1"/>
  <c r="FH15" i="4" a="1"/>
  <c r="FJ8" i="4" a="1"/>
  <c r="BM83" i="3"/>
  <c r="GH7" i="4" a="1"/>
  <c r="HG11" i="4" a="1"/>
  <c r="GF11" i="4" a="1"/>
  <c r="HF8" i="4" a="1"/>
  <c r="HE12" i="4" a="1"/>
  <c r="BI66" i="3"/>
  <c r="FY9" i="4" a="1"/>
  <c r="GS16" i="4" a="1"/>
  <c r="BE92" i="3"/>
  <c r="CK168" i="1" s="1"/>
  <c r="CL168" i="1" s="1"/>
  <c r="BQ69" i="3"/>
  <c r="GR13" i="4" a="1"/>
  <c r="HB11" i="4" a="1"/>
  <c r="FS16" i="4" a="1"/>
  <c r="HA14" i="4" a="1"/>
  <c r="BQ85" i="3"/>
  <c r="GD6" i="4" a="1"/>
  <c r="GG9" i="4" a="1"/>
  <c r="FL6" i="4" a="1"/>
  <c r="BU75" i="3"/>
  <c r="HH14" i="4" a="1"/>
  <c r="BE95" i="3"/>
  <c r="CK177" i="1" s="1"/>
  <c r="GZ7" i="4" a="1"/>
  <c r="FI8" i="4" a="1"/>
  <c r="BQ56" i="3"/>
  <c r="FR7" i="4" a="1"/>
  <c r="GT11" i="4" a="1"/>
  <c r="FU7" i="4" a="1"/>
  <c r="GQ16" i="4" a="1"/>
  <c r="BQ81" i="3"/>
  <c r="FR13" i="4" a="1"/>
  <c r="BU73" i="3"/>
  <c r="FT12" i="4" a="1"/>
  <c r="GS9" i="4" a="1"/>
  <c r="GS12" i="4" a="1"/>
  <c r="FH13" i="4" a="1"/>
  <c r="FL5" i="4" a="1"/>
  <c r="GG8" i="4" a="1"/>
  <c r="FZ7" i="4" a="1"/>
  <c r="BE76" i="3"/>
  <c r="FU16" i="4" a="1"/>
  <c r="GA12" i="4" a="1"/>
  <c r="FP6" i="4" a="1"/>
  <c r="BE81" i="3"/>
  <c r="CK157" i="1" s="1"/>
  <c r="FQ5" i="4" a="1"/>
  <c r="BU61" i="3"/>
  <c r="GS5" i="4" a="1"/>
  <c r="GX14" i="4" a="1"/>
  <c r="BE68" i="3"/>
  <c r="CK147" i="1" s="1"/>
  <c r="FV13" i="4" a="1"/>
  <c r="BK72" i="3"/>
  <c r="FK16" i="4" a="1"/>
  <c r="GM6" i="4" a="1"/>
  <c r="HH15" i="4" a="1"/>
  <c r="FV6" i="4" a="1"/>
  <c r="FZ14" i="4" a="1"/>
  <c r="GK7" i="4" a="1"/>
  <c r="GF8" i="4" a="1"/>
  <c r="BU62" i="3"/>
  <c r="BU63" i="3"/>
  <c r="GF9" i="4" a="1"/>
  <c r="HH11" i="4" a="1"/>
  <c r="FX13" i="4" a="1"/>
  <c r="GP9" i="4" a="1"/>
  <c r="BU50" i="3"/>
  <c r="GT9" i="4" a="1"/>
  <c r="FV5" i="4" a="1"/>
  <c r="FW6" i="4" a="1"/>
  <c r="FG14" i="4" a="1"/>
  <c r="BS97" i="3"/>
  <c r="BN58" i="3"/>
  <c r="GP6" i="4" a="1"/>
  <c r="GA5" i="4" a="1"/>
  <c r="GJ5" i="4" a="1"/>
  <c r="GN6" i="4" a="1"/>
  <c r="GD11" i="4" a="1"/>
  <c r="FP7" i="4" a="1"/>
  <c r="BU79" i="3"/>
  <c r="HE14" i="4" a="1"/>
  <c r="BU49" i="3"/>
  <c r="GJ13" i="4" a="1"/>
  <c r="GM14" i="4" a="1"/>
  <c r="BI67" i="3"/>
  <c r="GX9" i="4" a="1"/>
  <c r="FV11" i="4" a="1"/>
  <c r="GL16" i="4" a="1"/>
  <c r="BU90" i="3"/>
  <c r="HA13" i="4" a="1"/>
  <c r="BK83" i="3"/>
  <c r="BK54" i="3"/>
  <c r="BF78" i="3"/>
  <c r="BL54" i="3"/>
  <c r="BF61" i="3"/>
  <c r="BU47" i="3"/>
  <c r="GH5" i="4" a="1"/>
  <c r="HF9" i="4" a="1"/>
  <c r="HE15" i="4" a="1"/>
  <c r="FL7" i="4" a="1"/>
  <c r="BI75" i="3"/>
  <c r="GB5" i="4" a="1"/>
  <c r="HA12" i="4" a="1"/>
  <c r="FJ15" i="4" a="1"/>
  <c r="FT13" i="4" a="1"/>
  <c r="GJ15" i="4" a="1"/>
  <c r="BE48" i="3"/>
  <c r="FK7" i="4" a="1"/>
  <c r="FU11" i="4" a="1"/>
  <c r="BK56" i="3"/>
  <c r="BK69" i="3"/>
  <c r="FT7" i="4" a="1"/>
  <c r="GV12" i="4" a="1"/>
  <c r="GM5" i="4" a="1"/>
  <c r="FI7" i="4" a="1"/>
  <c r="BM95" i="3"/>
  <c r="FM5" i="4" a="1"/>
  <c r="HE9" i="4" a="1"/>
  <c r="HH6" i="4" a="1"/>
  <c r="BE82" i="3"/>
  <c r="CK158" i="1" s="1"/>
  <c r="GL14" i="4" a="1"/>
  <c r="BK87" i="3"/>
  <c r="FT9" i="4" a="1"/>
  <c r="GI7" i="4" a="1"/>
  <c r="BM63" i="3"/>
  <c r="GK12" i="4" a="1"/>
  <c r="FY14" i="4" a="1"/>
  <c r="FO11" i="4" a="1"/>
  <c r="GF16" i="4" a="1"/>
  <c r="BE60" i="3"/>
  <c r="CK135" i="1" s="1"/>
  <c r="BE58" i="3"/>
  <c r="CK132" i="1" s="1"/>
  <c r="FP5" i="4" a="1"/>
  <c r="GI16" i="4" a="1"/>
  <c r="BT62" i="3"/>
  <c r="FS9" i="4" a="1"/>
  <c r="GE14" i="4" a="1"/>
  <c r="HH7" i="4" a="1"/>
  <c r="BU86" i="3"/>
  <c r="GR15" i="4" a="1"/>
  <c r="GW6" i="4" a="1"/>
  <c r="GV7" i="4" a="1"/>
  <c r="BE57" i="3"/>
  <c r="CK131" i="1" s="1"/>
  <c r="CK133" i="1" s="1"/>
  <c r="BN74" i="3"/>
  <c r="GE11" i="4" a="1"/>
  <c r="BU58" i="3"/>
  <c r="FY15" i="4" a="1"/>
  <c r="GP5" i="4" a="1"/>
  <c r="GS14" i="4" a="1"/>
  <c r="GC11" i="4" a="1"/>
  <c r="FW15" i="4" a="1"/>
  <c r="HC14" i="4" a="1"/>
  <c r="BU92" i="3"/>
  <c r="FY7" i="4" a="1"/>
  <c r="BK89" i="3"/>
  <c r="BK86" i="3"/>
  <c r="BN65" i="3"/>
  <c r="BL93" i="3"/>
  <c r="BF97" i="3"/>
  <c r="BQ95" i="3"/>
  <c r="GC6" i="4" a="1"/>
  <c r="GB11" i="4" a="1"/>
  <c r="GY16" i="4" a="1"/>
  <c r="FO16" i="4" a="1"/>
  <c r="BI58" i="3"/>
  <c r="FN6" i="4" a="1"/>
  <c r="GK16" i="4" a="1"/>
  <c r="GH13" i="4" a="1"/>
  <c r="FJ11" i="4" a="1"/>
  <c r="GC8" i="4" a="1"/>
  <c r="BK50" i="3"/>
  <c r="HG7" i="4" a="1"/>
  <c r="HA16" i="4" a="1"/>
  <c r="BU82" i="3"/>
  <c r="BU65" i="3"/>
  <c r="FG9" i="4" a="1"/>
  <c r="GP13" i="4" a="1"/>
  <c r="HB7" i="4" a="1"/>
  <c r="FN7" i="4" a="1"/>
  <c r="BM96" i="3"/>
  <c r="GK5" i="4" a="1"/>
  <c r="GH14" i="4" a="1"/>
  <c r="FP11" i="4" a="1"/>
  <c r="BK67" i="3"/>
  <c r="BU89" i="3"/>
  <c r="FQ8" i="4" a="1"/>
  <c r="BN80" i="3"/>
  <c r="BM87" i="3"/>
  <c r="HF5" i="4" a="1"/>
  <c r="HG15" i="4" a="1"/>
  <c r="FH6" i="4" a="1"/>
  <c r="FN9" i="4" a="1"/>
  <c r="FR6" i="4" a="1"/>
  <c r="FM16" i="4" a="1"/>
  <c r="BE72" i="3"/>
  <c r="CK148" i="1" s="1"/>
  <c r="GT15" i="4" a="1"/>
  <c r="GY15" i="4" a="1"/>
  <c r="HF14" i="4" a="1"/>
  <c r="FY5" i="4" a="1"/>
  <c r="BK64" i="3"/>
  <c r="BK97" i="3"/>
  <c r="BN78" i="3"/>
  <c r="BR61" i="3"/>
  <c r="BF59" i="3"/>
  <c r="BM75" i="3"/>
  <c r="HE8" i="4" a="1"/>
  <c r="FZ13" i="4" a="1"/>
  <c r="FJ12" i="4" a="1"/>
  <c r="FK12" i="4" a="1"/>
  <c r="BM57" i="3"/>
  <c r="FH7" i="4" a="1"/>
  <c r="GW9" i="4" a="1"/>
  <c r="FQ15" i="4" a="1"/>
  <c r="GH11" i="4" a="1"/>
  <c r="GE15" i="4" a="1"/>
  <c r="BI80" i="3"/>
  <c r="HA8" i="4" a="1"/>
  <c r="FW11" i="4" a="1"/>
  <c r="BI71" i="3"/>
  <c r="BQ55" i="3"/>
  <c r="GF13" i="4" a="1"/>
  <c r="GT12" i="4" a="1"/>
  <c r="GV8" i="4" a="1"/>
  <c r="GR11" i="4" a="1"/>
  <c r="GU15" i="4" a="1"/>
  <c r="FG6" i="4" a="1"/>
  <c r="GB15" i="4" a="1"/>
  <c r="GG15" i="4" a="1"/>
  <c r="BU97" i="3"/>
  <c r="BI84" i="3"/>
  <c r="BE89" i="3"/>
  <c r="CK166" i="1" s="1"/>
  <c r="HE7" i="4" a="1"/>
  <c r="BU48" i="3"/>
  <c r="BQ91" i="3"/>
  <c r="GT6" i="4" a="1"/>
  <c r="GO9" i="4" a="1"/>
  <c r="FV7" i="4" a="1"/>
  <c r="FO12" i="4" a="1"/>
  <c r="GW8" i="4" a="1"/>
  <c r="GL15" i="4" a="1"/>
  <c r="BN60" i="3"/>
  <c r="FK14" i="4" a="1"/>
  <c r="FG12" i="4" a="1"/>
  <c r="HA15" i="4" a="1"/>
  <c r="GM11" i="4" a="1"/>
  <c r="BK61" i="3"/>
  <c r="BK95" i="3"/>
  <c r="BN76" i="3"/>
  <c r="BR91" i="3"/>
  <c r="BF96" i="3"/>
  <c r="BQ71" i="3"/>
  <c r="FX5" i="4" a="1"/>
  <c r="GO14" i="4" a="1"/>
  <c r="FJ16" i="4" a="1"/>
  <c r="GK9" i="4" a="1"/>
  <c r="BM70" i="3"/>
  <c r="GC5" i="4" a="1"/>
  <c r="FS11" i="4" a="1"/>
  <c r="GB7" i="4" a="1"/>
  <c r="GO12" i="4" a="1"/>
  <c r="FS5" i="4" a="1"/>
  <c r="BI57" i="3"/>
  <c r="GR6" i="4" a="1"/>
  <c r="FX16" i="4" a="1"/>
  <c r="FH5" i="4" a="1"/>
  <c r="BE75" i="3"/>
  <c r="FW7" i="4" a="1"/>
  <c r="GR14" i="4" a="1"/>
  <c r="HD12" i="4" a="1"/>
  <c r="BN72" i="3"/>
  <c r="HD5" i="4" a="1"/>
  <c r="FN11" i="4" a="1"/>
  <c r="FV16" i="4" a="1"/>
  <c r="GA16" i="4" a="1"/>
  <c r="BI56" i="3"/>
  <c r="FY8" i="4" a="1"/>
  <c r="BE90" i="3"/>
  <c r="CK139" i="1" s="1"/>
  <c r="FN15" i="4" a="1"/>
  <c r="BU60" i="3"/>
  <c r="BM84" i="3"/>
  <c r="FU5" i="4" a="1"/>
  <c r="FK11" i="4" a="1"/>
  <c r="FP8" i="4" a="1"/>
  <c r="BU93" i="3"/>
  <c r="FZ5" i="4" a="1"/>
  <c r="HH13" i="4" a="1"/>
  <c r="BI77" i="3"/>
  <c r="GZ15" i="4" a="1"/>
  <c r="GN14" i="4" a="1"/>
  <c r="FI14" i="4" a="1"/>
  <c r="BK59" i="3"/>
  <c r="BK74" i="3"/>
  <c r="BT69" i="3"/>
  <c r="BR86" i="3"/>
  <c r="BN73" i="3"/>
  <c r="BQ75" i="3"/>
  <c r="FZ6" i="4" a="1"/>
  <c r="GC16" i="4" a="1"/>
  <c r="FW14" i="4" a="1"/>
  <c r="BQ60" i="3"/>
  <c r="BI59" i="3"/>
  <c r="HA5" i="4" a="1"/>
  <c r="FL15" i="4" a="1"/>
  <c r="GP7" i="4" a="1"/>
  <c r="GJ14" i="4" a="1"/>
  <c r="BN54" i="3"/>
  <c r="BE78" i="3"/>
  <c r="CK155" i="1" s="1"/>
  <c r="GL7" i="4" a="1"/>
  <c r="BJ65" i="3"/>
  <c r="GM15" i="4" a="1"/>
  <c r="GN8" i="4" a="1"/>
  <c r="GI15" i="4" a="1"/>
  <c r="BQ86" i="3"/>
  <c r="HD6" i="4" a="1"/>
  <c r="GL11" i="4" a="1"/>
  <c r="GU8" i="4" a="1"/>
  <c r="FN8" i="4" a="1"/>
  <c r="GD16" i="4" a="1"/>
  <c r="BM89" i="3"/>
  <c r="FJ9" i="4" a="1"/>
  <c r="BQ72" i="3"/>
  <c r="HB14" i="4" a="1"/>
  <c r="FT5" i="4" a="1"/>
  <c r="BE49" i="3"/>
  <c r="BM82" i="3"/>
  <c r="HB15" i="4" a="1"/>
  <c r="GL5" i="4" a="1"/>
  <c r="BJ95" i="3"/>
  <c r="GM7" i="4" a="1"/>
  <c r="BM92" i="3"/>
  <c r="FU12" i="4" a="1"/>
  <c r="BU84" i="3"/>
  <c r="BE73" i="3"/>
  <c r="BM65" i="3"/>
  <c r="BJ50" i="3"/>
  <c r="FH9" i="4" a="1"/>
  <c r="GU16" i="4" a="1"/>
  <c r="HF13" i="4" a="1"/>
  <c r="BK47" i="3"/>
  <c r="BJ84" i="3"/>
  <c r="FN14" i="4" a="1"/>
  <c r="HB16" i="4" a="1"/>
  <c r="GE8" i="4" a="1"/>
  <c r="GH9" i="4" a="1"/>
  <c r="GA15" i="4" a="1"/>
  <c r="BU76" i="3"/>
  <c r="BU66" i="3"/>
  <c r="FX6" i="4" a="1"/>
  <c r="GK8" i="4" a="1"/>
  <c r="GD5" i="4" a="1"/>
  <c r="HD9" i="4" a="1"/>
  <c r="BS56" i="3"/>
  <c r="BS92" i="3"/>
  <c r="BS82" i="3"/>
  <c r="BS50" i="3"/>
  <c r="BS49" i="3"/>
  <c r="BS47" i="3"/>
  <c r="BH85" i="3"/>
  <c r="BH87" i="3"/>
  <c r="BH96" i="3"/>
  <c r="BH94" i="3"/>
  <c r="BH54" i="3"/>
  <c r="BH84" i="3"/>
  <c r="BH97" i="3"/>
  <c r="BH56" i="3"/>
  <c r="BH82" i="3"/>
  <c r="BF57" i="3"/>
  <c r="BF64" i="3"/>
  <c r="BF48" i="3"/>
  <c r="BN59" i="3"/>
  <c r="BN84" i="3"/>
  <c r="BR79" i="3"/>
  <c r="BR97" i="3"/>
  <c r="BR54" i="3"/>
  <c r="BR63" i="3"/>
  <c r="BR77" i="3"/>
  <c r="BR60" i="3"/>
  <c r="BR71" i="3"/>
  <c r="BR50" i="3"/>
  <c r="BR95" i="3"/>
  <c r="BR88" i="3"/>
  <c r="BR70" i="3"/>
  <c r="BR64" i="3"/>
  <c r="BR75" i="3"/>
  <c r="BR62" i="3"/>
  <c r="BG71" i="3"/>
  <c r="BG67" i="3"/>
  <c r="BG54" i="3"/>
  <c r="BG50" i="3"/>
  <c r="BG66" i="3"/>
  <c r="BG65" i="3"/>
  <c r="BG86" i="3"/>
  <c r="BG63" i="3"/>
  <c r="BG84" i="3"/>
  <c r="BG91" i="3"/>
  <c r="BG47" i="3"/>
  <c r="BG80" i="3"/>
  <c r="BG77" i="3"/>
  <c r="BG94" i="3"/>
  <c r="BG57" i="3"/>
  <c r="BG59" i="3"/>
  <c r="BG60" i="3"/>
  <c r="BG93" i="3"/>
  <c r="BG97" i="3"/>
  <c r="BG87" i="3"/>
  <c r="BG90" i="3"/>
  <c r="BG96" i="3"/>
  <c r="BG58" i="3"/>
  <c r="BG48" i="3"/>
  <c r="BG85" i="3"/>
  <c r="BG74" i="3"/>
  <c r="BG64" i="3"/>
  <c r="BG83" i="3"/>
  <c r="BO73" i="3"/>
  <c r="BO67" i="3"/>
  <c r="BO97" i="3"/>
  <c r="BO91" i="3"/>
  <c r="BO71" i="3"/>
  <c r="BO54" i="3"/>
  <c r="BO83" i="3"/>
  <c r="BO58" i="3"/>
  <c r="BO90" i="3"/>
  <c r="BO65" i="3"/>
  <c r="BO86" i="3"/>
  <c r="BO74" i="3"/>
  <c r="BO57" i="3"/>
  <c r="BO63" i="3"/>
  <c r="BO55" i="3"/>
  <c r="BO78" i="3"/>
  <c r="BO93" i="3"/>
  <c r="BO68" i="3"/>
  <c r="BO70" i="3"/>
  <c r="BO49" i="3"/>
  <c r="BO48" i="3"/>
  <c r="BO89" i="3"/>
  <c r="BO76" i="3"/>
  <c r="BO60" i="3"/>
  <c r="BO50" i="3"/>
  <c r="BO66" i="3"/>
  <c r="BO96" i="3"/>
  <c r="BO61" i="3"/>
  <c r="BO56" i="3"/>
  <c r="BO79" i="3"/>
  <c r="BO72" i="3"/>
  <c r="BO59" i="3"/>
  <c r="BT68" i="3"/>
  <c r="BT97" i="3"/>
  <c r="BT90" i="3"/>
  <c r="BT48" i="3"/>
  <c r="BT76" i="3"/>
  <c r="BT84" i="3"/>
  <c r="BT47" i="3"/>
  <c r="BT92" i="3"/>
  <c r="BT71" i="3"/>
  <c r="BT57" i="3"/>
  <c r="BT61" i="3"/>
  <c r="BT79" i="3"/>
  <c r="BT96" i="3"/>
  <c r="BT80" i="3"/>
  <c r="BT88" i="3"/>
  <c r="BT93" i="3"/>
  <c r="BT94" i="3"/>
  <c r="BT82" i="3"/>
  <c r="BT66" i="3"/>
  <c r="BT91" i="3"/>
  <c r="BT86" i="3"/>
  <c r="BT78" i="3"/>
  <c r="BT74" i="3"/>
  <c r="BT81" i="3"/>
  <c r="BT73" i="3"/>
  <c r="BT67" i="3"/>
  <c r="BT60" i="3"/>
  <c r="BT56" i="3"/>
  <c r="BT95" i="3"/>
  <c r="BT89" i="3"/>
  <c r="BT55" i="3"/>
  <c r="BP72" i="3"/>
  <c r="BP63" i="3"/>
  <c r="BP71" i="3"/>
  <c r="BP75" i="3"/>
  <c r="BP91" i="3"/>
  <c r="BP82" i="3"/>
  <c r="BP54" i="3"/>
  <c r="BP61" i="3"/>
  <c r="BP92" i="3"/>
  <c r="BP95" i="3"/>
  <c r="BP87" i="3"/>
  <c r="BP67" i="3"/>
  <c r="BP88" i="3"/>
  <c r="BP76" i="3"/>
  <c r="BP57" i="3"/>
  <c r="BP93" i="3"/>
  <c r="BP94" i="3"/>
  <c r="BP86" i="3"/>
  <c r="BP55" i="3"/>
  <c r="BP69" i="3"/>
  <c r="BP80" i="3"/>
  <c r="BP79" i="3"/>
  <c r="BP89" i="3"/>
  <c r="BP81" i="3"/>
  <c r="BP97" i="3"/>
  <c r="BP50" i="3"/>
  <c r="BP48" i="3"/>
  <c r="BP73" i="3"/>
  <c r="BP47" i="3"/>
  <c r="BP70" i="3"/>
  <c r="BP56" i="3"/>
  <c r="BP85" i="3"/>
  <c r="BP77" i="3"/>
  <c r="BP60" i="3"/>
  <c r="BP84" i="3"/>
  <c r="BP74" i="3"/>
  <c r="BP90" i="3"/>
  <c r="BP68" i="3"/>
  <c r="BP59" i="3"/>
  <c r="BJ83" i="3"/>
  <c r="BJ76" i="3"/>
  <c r="BJ87" i="3"/>
  <c r="BJ49" i="3"/>
  <c r="BJ75" i="3"/>
  <c r="BJ73" i="3"/>
  <c r="BJ47" i="3"/>
  <c r="BJ54" i="3"/>
  <c r="BJ80" i="3"/>
  <c r="BJ96" i="3"/>
  <c r="BJ90" i="3"/>
  <c r="BJ63" i="3"/>
  <c r="BJ70" i="3"/>
  <c r="BJ61" i="3"/>
  <c r="BJ78" i="3"/>
  <c r="BJ58" i="3"/>
  <c r="BJ91" i="3"/>
  <c r="BJ66" i="3"/>
  <c r="BJ71" i="3"/>
  <c r="BJ55" i="3"/>
  <c r="BM77" i="3"/>
  <c r="BM80" i="3"/>
  <c r="BM79" i="3"/>
  <c r="BM91" i="3"/>
  <c r="BM69" i="3"/>
  <c r="BM59" i="3"/>
  <c r="AA206" i="1" l="1"/>
  <c r="AA208" i="1" s="1"/>
  <c r="AA65" i="1"/>
  <c r="AA67" i="1"/>
  <c r="BJ48" i="3"/>
  <c r="BJ68" i="3"/>
  <c r="BJ74" i="3"/>
  <c r="BJ60" i="3"/>
  <c r="BJ72" i="3"/>
  <c r="BJ97" i="3"/>
  <c r="BJ89" i="3"/>
  <c r="BJ79" i="3"/>
  <c r="BG95" i="3"/>
  <c r="BG55" i="3"/>
  <c r="BG73" i="3"/>
  <c r="BN95" i="3"/>
  <c r="BM85" i="3"/>
  <c r="BM76" i="3"/>
  <c r="BM93" i="3"/>
  <c r="BM81" i="3"/>
  <c r="BN75" i="3"/>
  <c r="BN62" i="3"/>
  <c r="BM55" i="3"/>
  <c r="BM56" i="3"/>
  <c r="BJ88" i="3"/>
  <c r="BJ92" i="3"/>
  <c r="BP65" i="3"/>
  <c r="BO87" i="3"/>
  <c r="BO69" i="3"/>
  <c r="BO75" i="3"/>
  <c r="BT87" i="3"/>
  <c r="BT50" i="3"/>
  <c r="BP96" i="3"/>
  <c r="BG75" i="3"/>
  <c r="BG88" i="3"/>
  <c r="BP64" i="3"/>
  <c r="BJ77" i="3"/>
  <c r="BR73" i="3"/>
  <c r="BJ82" i="3"/>
  <c r="BO47" i="3"/>
  <c r="BG72" i="3"/>
  <c r="BR94" i="3"/>
  <c r="BG62" i="3"/>
  <c r="BO81" i="3"/>
  <c r="BJ93" i="3"/>
  <c r="BN86" i="3"/>
  <c r="BN50" i="3"/>
  <c r="BN55" i="3"/>
  <c r="BJ62" i="3"/>
  <c r="BN94" i="3"/>
  <c r="BJ86" i="3"/>
  <c r="BN91" i="3"/>
  <c r="BN66" i="3"/>
  <c r="BN83" i="3"/>
  <c r="BN49" i="3"/>
  <c r="BN48" i="3"/>
  <c r="BJ57" i="3"/>
  <c r="BJ69" i="3"/>
  <c r="BJ85" i="3"/>
  <c r="BT85" i="3"/>
  <c r="BN89" i="3"/>
  <c r="BN61" i="3"/>
  <c r="BJ59" i="3"/>
  <c r="CK169" i="1"/>
  <c r="CL162" i="1"/>
  <c r="CK161" i="1"/>
  <c r="CK170" i="1" s="1"/>
  <c r="CL155" i="1"/>
  <c r="CK174" i="1"/>
  <c r="CK141" i="1"/>
  <c r="CK151" i="1"/>
  <c r="CT13" i="1"/>
  <c r="CU13" i="1" s="1"/>
  <c r="CK86" i="1"/>
  <c r="CL86" i="1"/>
  <c r="CL58" i="1"/>
  <c r="CL27" i="1"/>
  <c r="AB27" i="1" s="1"/>
  <c r="CL87" i="1"/>
  <c r="CL64" i="1"/>
  <c r="CL52" i="1"/>
  <c r="CL35" i="1"/>
  <c r="CL59" i="1"/>
  <c r="CK64" i="1"/>
  <c r="CL45" i="1"/>
  <c r="CL76" i="1"/>
  <c r="CL21" i="1"/>
  <c r="CL49" i="1"/>
  <c r="CL265" i="1" s="1"/>
  <c r="CL60" i="1"/>
  <c r="AB60" i="1" s="1"/>
  <c r="CL22" i="1"/>
  <c r="AB22" i="1" s="1"/>
  <c r="CL48" i="1"/>
  <c r="AB48" i="1" s="1"/>
  <c r="CL34" i="1"/>
  <c r="AB34" i="1" s="1"/>
  <c r="CL37" i="1"/>
  <c r="AB37" i="1" s="1"/>
  <c r="CL77" i="1"/>
  <c r="CL33" i="1"/>
  <c r="CL26" i="1"/>
  <c r="AB26" i="1" s="1"/>
  <c r="CL36" i="1"/>
  <c r="CL28" i="1"/>
  <c r="CK87" i="1"/>
  <c r="CT7" i="1"/>
  <c r="CU15" i="1"/>
  <c r="CV15" i="1" s="1"/>
  <c r="CV7" i="1" s="1"/>
  <c r="CS9" i="1"/>
  <c r="CS21" i="1" s="1"/>
  <c r="CR5" i="1"/>
  <c r="AC5" i="1" s="1"/>
  <c r="CQ9" i="1"/>
  <c r="CQ21" i="1" s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49" i="1"/>
  <c r="CY149" i="1" s="1"/>
  <c r="CZ149" i="1" s="1"/>
  <c r="DA149" i="1" s="1"/>
  <c r="AE149" i="1" s="1"/>
  <c r="AD149" i="1"/>
  <c r="BQ1" i="1"/>
  <c r="BR1" i="1" s="1"/>
  <c r="BS1" i="1" s="1"/>
  <c r="BT1" i="1" s="1"/>
  <c r="BM47" i="3"/>
  <c r="CK181" i="1" l="1"/>
  <c r="CK142" i="1"/>
  <c r="CK178" i="1"/>
  <c r="CK179" i="1" s="1"/>
  <c r="CV13" i="1"/>
  <c r="CT5" i="1"/>
  <c r="CT9" i="1" s="1"/>
  <c r="CT21" i="1" s="1"/>
  <c r="CL78" i="1"/>
  <c r="CL266" i="1"/>
  <c r="CL207" i="1"/>
  <c r="AB33" i="1"/>
  <c r="CL39" i="1"/>
  <c r="CL10" i="1"/>
  <c r="CL244" i="1"/>
  <c r="CL23" i="1"/>
  <c r="JQ15" i="4"/>
  <c r="KC15" i="4"/>
  <c r="JX7" i="4"/>
  <c r="KG15" i="4"/>
  <c r="KE21" i="4"/>
  <c r="JS14" i="4"/>
  <c r="CU7" i="1"/>
  <c r="CW15" i="1"/>
  <c r="CW7" i="1" s="1"/>
  <c r="CR9" i="1"/>
  <c r="CR21" i="1" s="1"/>
  <c r="CU5" i="1"/>
  <c r="JQ7" i="4"/>
  <c r="KG8" i="4"/>
  <c r="JY8" i="4"/>
  <c r="JQ8" i="4"/>
  <c r="KF15" i="4"/>
  <c r="JR14" i="4"/>
  <c r="JQ21" i="4"/>
  <c r="CK90" i="1" s="1"/>
  <c r="JS21" i="4"/>
  <c r="JW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JR21" i="4"/>
  <c r="CL90" i="1" s="1"/>
  <c r="KF14" i="4"/>
  <c r="JZ14" i="4"/>
  <c r="JZ19" i="4" s="1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91" i="1" s="1"/>
  <c r="KG14" i="4"/>
  <c r="KE15" i="4"/>
  <c r="JT7" i="4"/>
  <c r="JR8" i="4"/>
  <c r="KH8" i="4"/>
  <c r="JW7" i="4"/>
  <c r="JU8" i="4"/>
  <c r="JQ20" i="4"/>
  <c r="CK92" i="1" s="1"/>
  <c r="JU21" i="4"/>
  <c r="KD15" i="4"/>
  <c r="JV21" i="4"/>
  <c r="JX21" i="4"/>
  <c r="KC14" i="4"/>
  <c r="KA15" i="4"/>
  <c r="KH21" i="4"/>
  <c r="BU1" i="1"/>
  <c r="Y6" i="2"/>
  <c r="AA110" i="2"/>
  <c r="EZ13" i="4" a="1"/>
  <c r="EX6" i="4" a="1"/>
  <c r="Y67" i="2"/>
  <c r="Z9" i="2"/>
  <c r="C5" i="2"/>
  <c r="AA56" i="2"/>
  <c r="BA37" i="3"/>
  <c r="AA42" i="2"/>
  <c r="Z106" i="2"/>
  <c r="EU13" i="4" a="1"/>
  <c r="AX16" i="3"/>
  <c r="BC6" i="3"/>
  <c r="BB23" i="3"/>
  <c r="FB16" i="4" a="1"/>
  <c r="AA78" i="2"/>
  <c r="BB26" i="3"/>
  <c r="AV16" i="3"/>
  <c r="AF23" i="3"/>
  <c r="ES5" i="4" a="1"/>
  <c r="AX40" i="3"/>
  <c r="AU24" i="3"/>
  <c r="EQ5" i="4" a="1"/>
  <c r="AU41" i="3"/>
  <c r="I30" i="2"/>
  <c r="V18" i="2"/>
  <c r="EZ14" i="4" a="1"/>
  <c r="Y84" i="2"/>
  <c r="BC33" i="3"/>
  <c r="BD42" i="3"/>
  <c r="AW24" i="3"/>
  <c r="AU7" i="3"/>
  <c r="Y15" i="2"/>
  <c r="FD15" i="4" a="1"/>
  <c r="AF35" i="3"/>
  <c r="BB18" i="3"/>
  <c r="Y99" i="2"/>
  <c r="Z43" i="2"/>
  <c r="Y31" i="2"/>
  <c r="Y48" i="2"/>
  <c r="Y64" i="2"/>
  <c r="BC13" i="3"/>
  <c r="AS11" i="3"/>
  <c r="AA19" i="2"/>
  <c r="BD7" i="3"/>
  <c r="BB36" i="3"/>
  <c r="AA44" i="2"/>
  <c r="BB12" i="3"/>
  <c r="AA16" i="2"/>
  <c r="Y25" i="2"/>
  <c r="BD8" i="3"/>
  <c r="BA33" i="3"/>
  <c r="AY27" i="3"/>
  <c r="EW14" i="4" a="1"/>
  <c r="AY19" i="3"/>
  <c r="AT12" i="3"/>
  <c r="EO8" i="4" a="1"/>
  <c r="EX9" i="4" a="1"/>
  <c r="FF7" i="4" a="1"/>
  <c r="Z107" i="2"/>
  <c r="BD27" i="3"/>
  <c r="Y11" i="2"/>
  <c r="BD38" i="3"/>
  <c r="BD39" i="3"/>
  <c r="FC16" i="4" a="1"/>
  <c r="Z51" i="2"/>
  <c r="EQ16" i="4" a="1"/>
  <c r="AL5" i="6" a="1"/>
  <c r="BD30" i="3"/>
  <c r="AA109" i="2"/>
  <c r="EX14" i="4" a="1"/>
  <c r="Y68" i="2"/>
  <c r="Z91" i="2"/>
  <c r="BC45" i="3"/>
  <c r="AT36" i="3"/>
  <c r="AR5" i="3"/>
  <c r="FF5" i="4" a="1"/>
  <c r="EW8" i="4" a="1"/>
  <c r="AF26" i="3"/>
  <c r="EU15" i="4" a="1"/>
  <c r="AX23" i="3"/>
  <c r="FB6" i="4" a="1"/>
  <c r="FE13" i="4" a="1"/>
  <c r="AY38" i="3"/>
  <c r="AX15" i="3"/>
  <c r="AR5" i="6" a="1"/>
  <c r="I28" i="2"/>
  <c r="EA9" i="4" a="1"/>
  <c r="AR71" i="3"/>
  <c r="BA35" i="3"/>
  <c r="AT31" i="3"/>
  <c r="AX11" i="3"/>
  <c r="M6" i="6" a="1"/>
  <c r="AU8" i="3"/>
  <c r="U27" i="2"/>
  <c r="T25" i="2"/>
  <c r="S6" i="2"/>
  <c r="V36" i="2"/>
  <c r="S17" i="2"/>
  <c r="Y65" i="2"/>
  <c r="FC12" i="4" a="1"/>
  <c r="AV34" i="3"/>
  <c r="AX42" i="3"/>
  <c r="AZ16" i="3"/>
  <c r="AS6" i="6" a="1"/>
  <c r="N7" i="2"/>
  <c r="L13" i="2"/>
  <c r="F24" i="2"/>
  <c r="H34" i="2"/>
  <c r="U20" i="2"/>
  <c r="D17" i="2"/>
  <c r="G31" i="2"/>
  <c r="W22" i="2"/>
  <c r="DP9" i="4" a="1"/>
  <c r="BB28" i="3"/>
  <c r="ER12" i="4" a="1"/>
  <c r="AY26" i="3"/>
  <c r="AS30" i="3"/>
  <c r="AF41" i="3"/>
  <c r="AZ17" i="3"/>
  <c r="U22" i="2"/>
  <c r="M5" i="4" a="1"/>
  <c r="L46" i="3"/>
  <c r="W15" i="2"/>
  <c r="I33" i="2"/>
  <c r="X18" i="2"/>
  <c r="AA14" i="2"/>
  <c r="EL13" i="4" a="1"/>
  <c r="C5" i="3"/>
  <c r="AZ32" i="3"/>
  <c r="AB5" i="6" a="1"/>
  <c r="AU12" i="3"/>
  <c r="L11" i="2"/>
  <c r="P13" i="2"/>
  <c r="E23" i="2"/>
  <c r="R20" i="2"/>
  <c r="DO5" i="4" a="1"/>
  <c r="AU7" i="4" a="1"/>
  <c r="DN7" i="4" a="1"/>
  <c r="Z16" i="4" a="1"/>
  <c r="AB12" i="4" a="1"/>
  <c r="Z76" i="2"/>
  <c r="R6" i="6" a="1"/>
  <c r="W6" i="6" a="1"/>
  <c r="AS12" i="3"/>
  <c r="Q16" i="2"/>
  <c r="CG7" i="4" a="1"/>
  <c r="V34" i="2"/>
  <c r="K5" i="2"/>
  <c r="F39" i="3"/>
  <c r="Y93" i="2"/>
  <c r="FE12" i="4" a="1"/>
  <c r="AX13" i="3"/>
  <c r="AG5" i="6" a="1"/>
  <c r="C95" i="3"/>
  <c r="L30" i="2"/>
  <c r="K30" i="2"/>
  <c r="DC12" i="4" a="1"/>
  <c r="S5" i="2"/>
  <c r="L25" i="2"/>
  <c r="AN8" i="4" a="1"/>
  <c r="AF8" i="4" a="1"/>
  <c r="O10" i="2"/>
  <c r="P26" i="2"/>
  <c r="AA62" i="2"/>
  <c r="Z23" i="2"/>
  <c r="AY41" i="3"/>
  <c r="AS20" i="3"/>
  <c r="AY6" i="6" a="1"/>
  <c r="EP6" i="4" a="1"/>
  <c r="BS5" i="4" a="1"/>
  <c r="Q33" i="2"/>
  <c r="T46" i="3"/>
  <c r="G20" i="2"/>
  <c r="M19" i="2"/>
  <c r="H5" i="6" a="1"/>
  <c r="FB14" i="4" a="1"/>
  <c r="AX7" i="3"/>
  <c r="AN6" i="6" a="1"/>
  <c r="AV19" i="3"/>
  <c r="EU5" i="4" a="1"/>
  <c r="E32" i="2"/>
  <c r="D14" i="2"/>
  <c r="CS12" i="4" a="1"/>
  <c r="U12" i="2"/>
  <c r="O16" i="2"/>
  <c r="AR34" i="3"/>
  <c r="AW14" i="4" a="1"/>
  <c r="J7" i="2"/>
  <c r="Z56" i="2"/>
  <c r="AA6" i="2"/>
  <c r="AT42" i="3"/>
  <c r="AR6" i="3"/>
  <c r="O6" i="6" a="1"/>
  <c r="AV5" i="6" a="1"/>
  <c r="P6" i="6" a="1"/>
  <c r="AR86" i="3"/>
  <c r="AA6" i="6" a="1"/>
  <c r="BD32" i="3"/>
  <c r="EP14" i="4" a="1"/>
  <c r="AS14" i="3"/>
  <c r="AI5" i="6" a="1"/>
  <c r="EV16" i="4" a="1"/>
  <c r="Q46" i="2"/>
  <c r="CN7" i="4" a="1"/>
  <c r="DB8" i="4" a="1"/>
  <c r="N24" i="2"/>
  <c r="J27" i="2"/>
  <c r="AA33" i="2"/>
  <c r="Y9" i="2"/>
  <c r="AB6" i="6" a="1"/>
  <c r="AF16" i="3"/>
  <c r="AF40" i="3"/>
  <c r="AY5" i="6" a="1"/>
  <c r="BH14" i="4" a="1"/>
  <c r="T31" i="2"/>
  <c r="K7" i="4" a="1"/>
  <c r="AJ6" i="6" a="1"/>
  <c r="EI9" i="4" a="1"/>
  <c r="X13" i="2"/>
  <c r="AU11" i="4" a="1"/>
  <c r="BC9" i="4" a="1"/>
  <c r="P19" i="2"/>
  <c r="K22" i="2"/>
  <c r="V28" i="2"/>
  <c r="EF13" i="4" a="1"/>
  <c r="CM12" i="4" a="1"/>
  <c r="CU6" i="4" a="1"/>
  <c r="E37" i="3"/>
  <c r="BJ8" i="4" a="1"/>
  <c r="CA6" i="4" a="1"/>
  <c r="CX12" i="4" a="1"/>
  <c r="DD6" i="4" a="1"/>
  <c r="E12" i="2"/>
  <c r="H99" i="2"/>
  <c r="CY12" i="4" a="1"/>
  <c r="I11" i="2"/>
  <c r="AS13" i="4" a="1"/>
  <c r="V20" i="2"/>
  <c r="C13" i="4" a="1"/>
  <c r="Z85" i="2"/>
  <c r="BC12" i="3"/>
  <c r="AA90" i="2"/>
  <c r="Z108" i="2"/>
  <c r="BD41" i="3"/>
  <c r="Z17" i="2"/>
  <c r="Z75" i="2"/>
  <c r="Y76" i="2"/>
  <c r="AA41" i="2"/>
  <c r="Y79" i="2"/>
  <c r="BC24" i="3"/>
  <c r="EQ12" i="4" a="1"/>
  <c r="AT25" i="3"/>
  <c r="N5" i="6" a="1"/>
  <c r="FA13" i="4" a="1"/>
  <c r="Z99" i="2"/>
  <c r="Y23" i="2"/>
  <c r="AA10" i="2"/>
  <c r="AA88" i="2"/>
  <c r="Y18" i="2"/>
  <c r="K6" i="6" a="1"/>
  <c r="AY45" i="3"/>
  <c r="AX25" i="3"/>
  <c r="EO15" i="4" a="1"/>
  <c r="ER9" i="4" a="1"/>
  <c r="AT17" i="3"/>
  <c r="S11" i="2"/>
  <c r="E22" i="2"/>
  <c r="Y88" i="2"/>
  <c r="AA87" i="2"/>
  <c r="Y52" i="2"/>
  <c r="BA22" i="3"/>
  <c r="BD21" i="3"/>
  <c r="AZ35" i="3"/>
  <c r="AZ37" i="3"/>
  <c r="Y6" i="6" a="1"/>
  <c r="Z13" i="2"/>
  <c r="AA15" i="2"/>
  <c r="Y47" i="2"/>
  <c r="Z109" i="2"/>
  <c r="FC13" i="4" a="1"/>
  <c r="FC14" i="4" a="1"/>
  <c r="AA65" i="2"/>
  <c r="AF46" i="3"/>
  <c r="Y94" i="2"/>
  <c r="BD6" i="3"/>
  <c r="Y75" i="2"/>
  <c r="Z41" i="2"/>
  <c r="Z36" i="2"/>
  <c r="BA45" i="3"/>
  <c r="FC15" i="4" a="1"/>
  <c r="BC41" i="3"/>
  <c r="AA72" i="2"/>
  <c r="AU16" i="3"/>
  <c r="AX24" i="3"/>
  <c r="AV24" i="3"/>
  <c r="AX19" i="3"/>
  <c r="AA92" i="2"/>
  <c r="Z46" i="2"/>
  <c r="BA39" i="3"/>
  <c r="Y13" i="2"/>
  <c r="EZ12" i="4" a="1"/>
  <c r="Z27" i="2"/>
  <c r="BC19" i="3"/>
  <c r="FE11" i="4" a="1"/>
  <c r="AA31" i="2"/>
  <c r="AU30" i="3"/>
  <c r="AT38" i="3"/>
  <c r="Y56" i="2"/>
  <c r="BC27" i="3"/>
  <c r="Z7" i="2"/>
  <c r="FE7" i="4" a="1"/>
  <c r="AA66" i="2"/>
  <c r="EL12" i="4" a="1"/>
  <c r="AT10" i="3"/>
  <c r="AZ19" i="3"/>
  <c r="AZ24" i="3"/>
  <c r="AZ38" i="3"/>
  <c r="AW15" i="3"/>
  <c r="EM15" i="4" a="1"/>
  <c r="AX36" i="3"/>
  <c r="G6" i="6" a="1"/>
  <c r="ET14" i="4" a="1"/>
  <c r="R6" i="2"/>
  <c r="CC13" i="4" a="1"/>
  <c r="Y51" i="2"/>
  <c r="BA16" i="3"/>
  <c r="AS41" i="3"/>
  <c r="AV41" i="3"/>
  <c r="AX6" i="3"/>
  <c r="EO7" i="4" a="1"/>
  <c r="C11" i="2"/>
  <c r="EC11" i="4" a="1"/>
  <c r="AZ5" i="4" a="1"/>
  <c r="V27" i="2"/>
  <c r="H35" i="2"/>
  <c r="H36" i="2"/>
  <c r="I5" i="6" a="1"/>
  <c r="AF30" i="3"/>
  <c r="AU42" i="3"/>
  <c r="AQ5" i="6" a="1"/>
  <c r="AV23" i="3"/>
  <c r="P7" i="4" a="1"/>
  <c r="I9" i="2"/>
  <c r="BH5" i="4" a="1"/>
  <c r="J30" i="2"/>
  <c r="CY14" i="4" a="1"/>
  <c r="L9" i="2"/>
  <c r="S9" i="2"/>
  <c r="DM15" i="4" a="1"/>
  <c r="AS9" i="4" a="1"/>
  <c r="BB42" i="3"/>
  <c r="EX16" i="4" a="1"/>
  <c r="AS27" i="3"/>
  <c r="Q6" i="6" a="1"/>
  <c r="D10" i="2"/>
  <c r="BS13" i="4" a="1"/>
  <c r="CH6" i="4" a="1"/>
  <c r="C59" i="2"/>
  <c r="P8" i="2"/>
  <c r="X12" i="2"/>
  <c r="BB34" i="3"/>
  <c r="AZ33" i="3"/>
  <c r="AV37" i="3"/>
  <c r="AU27" i="3"/>
  <c r="AV20" i="3"/>
  <c r="Q78" i="2"/>
  <c r="AG7" i="4" a="1"/>
  <c r="E33" i="2"/>
  <c r="Q28" i="2"/>
  <c r="N15" i="2"/>
  <c r="Q20" i="2"/>
  <c r="K13" i="2"/>
  <c r="AY7" i="4" a="1"/>
  <c r="DS6" i="4" a="1"/>
  <c r="Z44" i="2"/>
  <c r="AX38" i="3"/>
  <c r="AX8" i="3"/>
  <c r="EQ14" i="4" a="1"/>
  <c r="ER11" i="4" a="1"/>
  <c r="EL7" i="4" a="1"/>
  <c r="ED16" i="4" a="1"/>
  <c r="J26" i="2"/>
  <c r="BB14" i="4" a="1"/>
  <c r="BU7" i="4" a="1"/>
  <c r="E18" i="3"/>
  <c r="F16" i="2"/>
  <c r="Z65" i="2"/>
  <c r="AY30" i="3"/>
  <c r="EY14" i="4" a="1"/>
  <c r="AT20" i="3"/>
  <c r="AW14" i="3"/>
  <c r="AF31" i="3"/>
  <c r="G15" i="2"/>
  <c r="R16" i="4" a="1"/>
  <c r="O6" i="2"/>
  <c r="D19" i="2"/>
  <c r="N30" i="2"/>
  <c r="V19" i="2"/>
  <c r="V15" i="2"/>
  <c r="DX12" i="4" a="1"/>
  <c r="CW14" i="4" a="1"/>
  <c r="AU13" i="3"/>
  <c r="FE9" i="4" a="1"/>
  <c r="AY8" i="3"/>
  <c r="AU18" i="3"/>
  <c r="AU31" i="3"/>
  <c r="AX34" i="3"/>
  <c r="DV7" i="4" a="1"/>
  <c r="G26" i="2"/>
  <c r="DX16" i="4" a="1"/>
  <c r="H45" i="3"/>
  <c r="Z53" i="2"/>
  <c r="BB33" i="3"/>
  <c r="AV18" i="3"/>
  <c r="AV21" i="3"/>
  <c r="C6" i="6" a="1"/>
  <c r="AX30" i="3"/>
  <c r="R33" i="2"/>
  <c r="C19" i="2"/>
  <c r="AR38" i="3"/>
  <c r="X23" i="2"/>
  <c r="T22" i="2"/>
  <c r="AD10" i="3"/>
  <c r="Q32" i="2"/>
  <c r="N16" i="2"/>
  <c r="FB5" i="4" a="1"/>
  <c r="Z70" i="2"/>
  <c r="EO6" i="4" a="1"/>
  <c r="AS18" i="3"/>
  <c r="AZ42" i="3"/>
  <c r="AT22" i="3"/>
  <c r="BC7" i="3"/>
  <c r="AU39" i="3"/>
  <c r="AU46" i="3"/>
  <c r="EP8" i="4" a="1"/>
  <c r="AW39" i="3"/>
  <c r="ER6" i="4" a="1"/>
  <c r="E19" i="2"/>
  <c r="L6" i="2"/>
  <c r="CV9" i="4" a="1"/>
  <c r="O27" i="2"/>
  <c r="W23" i="2"/>
  <c r="Z25" i="2"/>
  <c r="BD18" i="3"/>
  <c r="AF7" i="3"/>
  <c r="AF14" i="3"/>
  <c r="AV14" i="3"/>
  <c r="AV7" i="3"/>
  <c r="T24" i="2"/>
  <c r="I25" i="2"/>
  <c r="Q69" i="2"/>
  <c r="I32" i="2"/>
  <c r="V35" i="2"/>
  <c r="W32" i="2"/>
  <c r="DL14" i="4" a="1"/>
  <c r="CX15" i="4" a="1"/>
  <c r="X13" i="4" a="1"/>
  <c r="AZ13" i="4" a="1"/>
  <c r="Q21" i="2"/>
  <c r="I13" i="4" a="1"/>
  <c r="BX7" i="4" a="1"/>
  <c r="BF15" i="4" a="1"/>
  <c r="BU9" i="4" a="1"/>
  <c r="AE46" i="3"/>
  <c r="DF5" i="4" a="1"/>
  <c r="AR97" i="3"/>
  <c r="R9" i="4" a="1"/>
  <c r="AR31" i="3"/>
  <c r="S10" i="2"/>
  <c r="CF14" i="4" a="1"/>
  <c r="O24" i="2"/>
  <c r="EB8" i="4" a="1"/>
  <c r="O9" i="2"/>
  <c r="D33" i="3"/>
  <c r="DF14" i="4" a="1"/>
  <c r="BC20" i="3"/>
  <c r="BC8" i="3"/>
  <c r="BC18" i="3"/>
  <c r="AS39" i="3"/>
  <c r="Y92" i="2"/>
  <c r="Z84" i="2"/>
  <c r="EX12" i="4" a="1"/>
  <c r="AS9" i="3"/>
  <c r="AZ21" i="3"/>
  <c r="AY42" i="3"/>
  <c r="AA8" i="2"/>
  <c r="BD25" i="3"/>
  <c r="Y83" i="2"/>
  <c r="AY40" i="3"/>
  <c r="AR6" i="6" a="1"/>
  <c r="AX26" i="3"/>
  <c r="ER13" i="4" a="1"/>
  <c r="AU5" i="6" a="1"/>
  <c r="AU9" i="3"/>
  <c r="AK8" i="4" a="1"/>
  <c r="H23" i="2"/>
  <c r="Y40" i="2"/>
  <c r="BB35" i="3"/>
  <c r="AA54" i="2"/>
  <c r="Z31" i="2"/>
  <c r="Y43" i="2"/>
  <c r="AU6" i="3"/>
  <c r="AF32" i="3"/>
  <c r="Z62" i="2"/>
  <c r="AA63" i="2"/>
  <c r="Z33" i="2"/>
  <c r="Z96" i="2"/>
  <c r="Z69" i="2"/>
  <c r="AA13" i="2"/>
  <c r="Z18" i="2"/>
  <c r="Y85" i="2"/>
  <c r="AA47" i="2"/>
  <c r="Z82" i="2"/>
  <c r="FD6" i="4" a="1"/>
  <c r="AZ22" i="3"/>
  <c r="AU33" i="3"/>
  <c r="FA8" i="4" a="1"/>
  <c r="Y61" i="2"/>
  <c r="Y57" i="2"/>
  <c r="Y97" i="2"/>
  <c r="BA14" i="3"/>
  <c r="Z61" i="2"/>
  <c r="Y59" i="2"/>
  <c r="Y33" i="2"/>
  <c r="Z68" i="2"/>
  <c r="Z48" i="2"/>
  <c r="Z90" i="2"/>
  <c r="AA7" i="2"/>
  <c r="AA29" i="2"/>
  <c r="Z32" i="2"/>
  <c r="Y95" i="2"/>
  <c r="AV22" i="3"/>
  <c r="EM12" i="4" a="1"/>
  <c r="AV6" i="6" a="1"/>
  <c r="AU23" i="3"/>
  <c r="BC23" i="3"/>
  <c r="AT46" i="3"/>
  <c r="AS34" i="3"/>
  <c r="AX5" i="3"/>
  <c r="AX89" i="3" s="1"/>
  <c r="W36" i="2"/>
  <c r="AA67" i="2"/>
  <c r="AA83" i="2"/>
  <c r="EN6" i="4" a="1"/>
  <c r="AF38" i="3"/>
  <c r="AF19" i="3"/>
  <c r="X5" i="2"/>
  <c r="BN6" i="4" a="1"/>
  <c r="I21" i="2"/>
  <c r="L27" i="2"/>
  <c r="Z11" i="2"/>
  <c r="AV42" i="3"/>
  <c r="EW12" i="4" a="1"/>
  <c r="U5" i="6" a="1"/>
  <c r="Q54" i="2"/>
  <c r="BZ7" i="4" a="1"/>
  <c r="V10" i="2"/>
  <c r="P10" i="2"/>
  <c r="M6" i="2"/>
  <c r="BM7" i="4" a="1"/>
  <c r="E9" i="4" a="1"/>
  <c r="BC29" i="3"/>
  <c r="R5" i="6" a="1"/>
  <c r="I6" i="6" a="1"/>
  <c r="AX33" i="3"/>
  <c r="AU6" i="6" a="1"/>
  <c r="X17" i="2"/>
  <c r="AK14" i="4" a="1"/>
  <c r="AB9" i="4" a="1"/>
  <c r="BD15" i="4" a="1"/>
  <c r="Z5" i="2"/>
  <c r="AX32" i="3"/>
  <c r="AY28" i="3"/>
  <c r="AY34" i="3"/>
  <c r="AP5" i="6" a="1"/>
  <c r="M22" i="2"/>
  <c r="S20" i="2"/>
  <c r="K43" i="2"/>
  <c r="R14" i="2"/>
  <c r="V21" i="2"/>
  <c r="K87" i="2"/>
  <c r="F14" i="3"/>
  <c r="BB9" i="3"/>
  <c r="AW21" i="3"/>
  <c r="EU9" i="4" a="1"/>
  <c r="AX20" i="3"/>
  <c r="O17" i="2"/>
  <c r="K20" i="2"/>
  <c r="L15" i="2"/>
  <c r="U14" i="4" a="1"/>
  <c r="AA104" i="2"/>
  <c r="Y73" i="2"/>
  <c r="P5" i="6" a="1"/>
  <c r="AU17" i="3"/>
  <c r="AF22" i="3"/>
  <c r="I23" i="2"/>
  <c r="D12" i="2"/>
  <c r="D6" i="4" a="1"/>
  <c r="K26" i="2"/>
  <c r="G7" i="2"/>
  <c r="S31" i="2"/>
  <c r="AM8" i="4" a="1"/>
  <c r="BB29" i="3"/>
  <c r="O5" i="6" a="1"/>
  <c r="AV33" i="3"/>
  <c r="K5" i="6" a="1"/>
  <c r="D24" i="2"/>
  <c r="BX12" i="4" a="1"/>
  <c r="J18" i="2"/>
  <c r="Y106" i="2"/>
  <c r="AT6" i="3"/>
  <c r="ET16" i="4" a="1"/>
  <c r="S11" i="4" a="1"/>
  <c r="CY15" i="4" a="1"/>
  <c r="BZ9" i="4" a="1"/>
  <c r="W46" i="3"/>
  <c r="J32" i="2"/>
  <c r="C46" i="3"/>
  <c r="BA32" i="3"/>
  <c r="ES9" i="4" a="1"/>
  <c r="X5" i="6" a="1"/>
  <c r="AY23" i="3"/>
  <c r="W35" i="2"/>
  <c r="EQ13" i="4" a="1"/>
  <c r="Y5" i="6" a="1"/>
  <c r="AZ15" i="3"/>
  <c r="AT30" i="3"/>
  <c r="T27" i="2"/>
  <c r="W5" i="2"/>
  <c r="L33" i="2"/>
  <c r="AY13" i="3"/>
  <c r="AV9" i="3"/>
  <c r="EO14" i="4" a="1"/>
  <c r="G34" i="2"/>
  <c r="O7" i="2"/>
  <c r="E28" i="2"/>
  <c r="X29" i="2"/>
  <c r="BC8" i="4" a="1"/>
  <c r="E42" i="3"/>
  <c r="AZ14" i="4" a="1"/>
  <c r="W24" i="2"/>
  <c r="E15" i="4" a="1"/>
  <c r="BO13" i="4" a="1"/>
  <c r="AY9" i="4" a="1"/>
  <c r="EK14" i="4" a="1"/>
  <c r="BP8" i="4" a="1"/>
  <c r="D22" i="3"/>
  <c r="D28" i="3"/>
  <c r="N10" i="2"/>
  <c r="M36" i="2"/>
  <c r="Y45" i="3"/>
  <c r="H18" i="2"/>
  <c r="AR24" i="3"/>
  <c r="BO5" i="4" a="1"/>
  <c r="BW7" i="4" a="1"/>
  <c r="F23" i="2"/>
  <c r="C16" i="4" a="1"/>
  <c r="CL13" i="4" a="1"/>
  <c r="C6" i="2"/>
  <c r="C27" i="2"/>
  <c r="BS7" i="4" a="1"/>
  <c r="DM7" i="4" a="1"/>
  <c r="L23" i="2"/>
  <c r="V15" i="4" a="1"/>
  <c r="CS14" i="4" a="1"/>
  <c r="AH5" i="4" a="1"/>
  <c r="C9" i="4" a="1"/>
  <c r="C15" i="2"/>
  <c r="C21" i="2"/>
  <c r="CE8" i="4" a="1"/>
  <c r="O29" i="2"/>
  <c r="T17" i="2"/>
  <c r="H14" i="4" a="1"/>
  <c r="J9" i="2"/>
  <c r="CU12" i="4" a="1"/>
  <c r="Q10" i="2"/>
  <c r="BI13" i="4" a="1"/>
  <c r="K23" i="2"/>
  <c r="V12" i="2"/>
  <c r="Q23" i="2"/>
  <c r="J8" i="2"/>
  <c r="S36" i="2"/>
  <c r="I29" i="2"/>
  <c r="BQ7" i="4" a="1"/>
  <c r="O21" i="2"/>
  <c r="BS14" i="4" a="1"/>
  <c r="I16" i="2"/>
  <c r="G19" i="2"/>
  <c r="I46" i="3"/>
  <c r="CB9" i="4" a="1"/>
  <c r="AB15" i="4" a="1"/>
  <c r="CK13" i="4" a="1"/>
  <c r="CP11" i="4" a="1"/>
  <c r="P33" i="2"/>
  <c r="O18" i="2"/>
  <c r="T21" i="2"/>
  <c r="BR16" i="4" a="1"/>
  <c r="E33" i="3"/>
  <c r="AA46" i="3"/>
  <c r="DN13" i="4" a="1"/>
  <c r="U36" i="2"/>
  <c r="AP6" i="4" a="1"/>
  <c r="BQ12" i="4" a="1"/>
  <c r="CZ9" i="4" a="1"/>
  <c r="EK8" i="4" a="1"/>
  <c r="CM13" i="4" a="1"/>
  <c r="E27" i="3"/>
  <c r="DX13" i="4" a="1"/>
  <c r="BL7" i="4" a="1"/>
  <c r="AJ46" i="3"/>
  <c r="P21" i="2"/>
  <c r="CD6" i="4" a="1"/>
  <c r="DA5" i="4" a="1"/>
  <c r="G11" i="3"/>
  <c r="L18" i="2"/>
  <c r="DO15" i="4" a="1"/>
  <c r="E18" i="2"/>
  <c r="AC11" i="4" a="1"/>
  <c r="X63" i="2"/>
  <c r="F31" i="3"/>
  <c r="L13" i="4" a="1"/>
  <c r="DQ9" i="4" a="1"/>
  <c r="CW16" i="4" a="1"/>
  <c r="CL6" i="4" a="1"/>
  <c r="R7" i="2"/>
  <c r="DL13" i="4" a="1"/>
  <c r="D17" i="3"/>
  <c r="AI6" i="4" a="1"/>
  <c r="BA7" i="4" a="1"/>
  <c r="M12" i="4" a="1"/>
  <c r="BP15" i="4" a="1"/>
  <c r="EH9" i="4" a="1"/>
  <c r="D6" i="3"/>
  <c r="DD11" i="4" a="1"/>
  <c r="F6" i="4" a="1"/>
  <c r="AH6" i="4" a="1"/>
  <c r="BD7" i="4" a="1"/>
  <c r="AN14" i="4" a="1"/>
  <c r="BM12" i="4" a="1"/>
  <c r="J13" i="2"/>
  <c r="X21" i="2"/>
  <c r="H32" i="2"/>
  <c r="CL11" i="4" a="1"/>
  <c r="EB7" i="4" a="1"/>
  <c r="DY15" i="4" a="1"/>
  <c r="DI9" i="4" a="1"/>
  <c r="G45" i="3"/>
  <c r="DA16" i="4" a="1"/>
  <c r="W70" i="2"/>
  <c r="AQ13" i="4" a="1"/>
  <c r="EB16" i="4" a="1"/>
  <c r="DR9" i="4" a="1"/>
  <c r="O15" i="2"/>
  <c r="CS8" i="4" a="1"/>
  <c r="DY8" i="4" a="1"/>
  <c r="BM15" i="4" a="1"/>
  <c r="DR14" i="4" a="1"/>
  <c r="AF5" i="4" a="1"/>
  <c r="Q14" i="2"/>
  <c r="BW13" i="4" a="1"/>
  <c r="DZ5" i="4" a="1"/>
  <c r="AL16" i="4" a="1"/>
  <c r="CX7" i="4" a="1"/>
  <c r="F24" i="3"/>
  <c r="BE13" i="4" a="1"/>
  <c r="CE12" i="4" a="1"/>
  <c r="H13" i="4" a="1"/>
  <c r="U34" i="2"/>
  <c r="BG12" i="4" a="1"/>
  <c r="N6" i="2"/>
  <c r="DK13" i="4" a="1"/>
  <c r="BT9" i="4" a="1"/>
  <c r="CF7" i="4" a="1"/>
  <c r="AV8" i="4" a="1"/>
  <c r="S13" i="4" a="1"/>
  <c r="BH16" i="4" a="1"/>
  <c r="CU8" i="4" a="1"/>
  <c r="DV9" i="4" a="1"/>
  <c r="AN13" i="4" a="1"/>
  <c r="F9" i="2"/>
  <c r="C45" i="3"/>
  <c r="EI5" i="4" a="1"/>
  <c r="D26" i="3"/>
  <c r="DY9" i="4" a="1"/>
  <c r="G25" i="3"/>
  <c r="DU5" i="4" a="1"/>
  <c r="D6" i="2"/>
  <c r="N7" i="4" a="1"/>
  <c r="J34" i="2"/>
  <c r="K7" i="2"/>
  <c r="DE16" i="4" a="1"/>
  <c r="BA16" i="4" a="1"/>
  <c r="DS13" i="4" a="1"/>
  <c r="AQ6" i="4" a="1"/>
  <c r="E11" i="3"/>
  <c r="J9" i="4" a="1"/>
  <c r="CM8" i="4" a="1"/>
  <c r="AT5" i="4" a="1"/>
  <c r="E17" i="2"/>
  <c r="DV6" i="4" a="1"/>
  <c r="AO6" i="3"/>
  <c r="AV16" i="4" a="1"/>
  <c r="AA7" i="4" a="1"/>
  <c r="H46" i="3"/>
  <c r="H16" i="2"/>
  <c r="AR30" i="3"/>
  <c r="AF9" i="4" a="1"/>
  <c r="M6" i="4" a="1"/>
  <c r="D24" i="3"/>
  <c r="Q11" i="2"/>
  <c r="CJ11" i="4" a="1"/>
  <c r="Q26" i="2"/>
  <c r="V16" i="4" a="1"/>
  <c r="CZ16" i="4" a="1"/>
  <c r="F16" i="4" a="1"/>
  <c r="Q11" i="4" a="1"/>
  <c r="T16" i="4" a="1"/>
  <c r="AV13" i="4" a="1"/>
  <c r="G31" i="3"/>
  <c r="BW15" i="4" a="1"/>
  <c r="DO14" i="4" a="1"/>
  <c r="DG11" i="4" a="1"/>
  <c r="AP45" i="3"/>
  <c r="D31" i="3"/>
  <c r="DU6" i="4" a="1"/>
  <c r="F14" i="4" a="1"/>
  <c r="DI11" i="4" a="1"/>
  <c r="AU15" i="4" a="1"/>
  <c r="DL16" i="4" a="1"/>
  <c r="BH13" i="4" a="1"/>
  <c r="AN16" i="4" a="1"/>
  <c r="DX15" i="4" a="1"/>
  <c r="L34" i="2"/>
  <c r="Y14" i="4" a="1"/>
  <c r="AJ12" i="4" a="1"/>
  <c r="AY16" i="4" a="1"/>
  <c r="E20" i="3"/>
  <c r="K6" i="4" a="1"/>
  <c r="BA8" i="4" a="1"/>
  <c r="BC11" i="4" a="1"/>
  <c r="O45" i="3"/>
  <c r="AG11" i="4" a="1"/>
  <c r="E15" i="3"/>
  <c r="DE14" i="4" a="1"/>
  <c r="AR16" i="4" a="1"/>
  <c r="CN12" i="4" a="1"/>
  <c r="DF12" i="4" a="1"/>
  <c r="J6" i="4" a="1"/>
  <c r="CD15" i="4" a="1"/>
  <c r="DB15" i="4" a="1"/>
  <c r="EG13" i="4" a="1"/>
  <c r="BL6" i="4" a="1"/>
  <c r="EB15" i="4" a="1"/>
  <c r="BV9" i="4" a="1"/>
  <c r="BZ8" i="4" a="1"/>
  <c r="BN8" i="4" a="1"/>
  <c r="BH7" i="4" a="1"/>
  <c r="AF6" i="4" a="1"/>
  <c r="CJ12" i="4" a="1"/>
  <c r="AN6" i="4" a="1"/>
  <c r="DE13" i="4" a="1"/>
  <c r="D5" i="3"/>
  <c r="Q12" i="4" a="1"/>
  <c r="G8" i="3"/>
  <c r="G10" i="3"/>
  <c r="L28" i="2"/>
  <c r="E23" i="3"/>
  <c r="BX13" i="4" a="1"/>
  <c r="CT15" i="4" a="1"/>
  <c r="BQ16" i="4" a="1"/>
  <c r="C23" i="2"/>
  <c r="DB7" i="4" a="1"/>
  <c r="DQ6" i="4" a="1"/>
  <c r="D74" i="3"/>
  <c r="AD5" i="3"/>
  <c r="EJ13" i="4" a="1"/>
  <c r="AF13" i="4" a="1"/>
  <c r="N8" i="4" a="1"/>
  <c r="I22" i="2"/>
  <c r="AX14" i="4" a="1"/>
  <c r="Z11" i="4" a="1"/>
  <c r="DE7" i="4" a="1"/>
  <c r="W15" i="4" a="1"/>
  <c r="AD7" i="3"/>
  <c r="D57" i="3"/>
  <c r="ER8" i="4" a="1"/>
  <c r="AA58" i="2"/>
  <c r="AA45" i="2"/>
  <c r="FD9" i="4" a="1"/>
  <c r="T6" i="6" a="1"/>
  <c r="BD20" i="3"/>
  <c r="AA52" i="2"/>
  <c r="BB20" i="3"/>
  <c r="Z14" i="2"/>
  <c r="AA18" i="2"/>
  <c r="Z89" i="2"/>
  <c r="Z35" i="2"/>
  <c r="AA28" i="2"/>
  <c r="BC42" i="3"/>
  <c r="AB5" i="3"/>
  <c r="AY5" i="3"/>
  <c r="AI6" i="6" a="1"/>
  <c r="EU16" i="4" a="1"/>
  <c r="BB37" i="3"/>
  <c r="BD46" i="3"/>
  <c r="BA21" i="3"/>
  <c r="AW26" i="3"/>
  <c r="BD45" i="3"/>
  <c r="U6" i="6" a="1"/>
  <c r="FD14" i="4" a="1"/>
  <c r="ET7" i="4" a="1"/>
  <c r="AF27" i="3"/>
  <c r="V9" i="2"/>
  <c r="F28" i="2"/>
  <c r="AA86" i="2"/>
  <c r="BB19" i="3"/>
  <c r="BC15" i="3"/>
  <c r="BC46" i="3"/>
  <c r="EX8" i="4" a="1"/>
  <c r="AX18" i="3"/>
  <c r="AY96" i="3"/>
  <c r="FF8" i="4" a="1"/>
  <c r="BA5" i="3"/>
  <c r="BA70" i="3"/>
  <c r="BD10" i="3"/>
  <c r="FF13" i="4" a="1"/>
  <c r="BA31" i="3"/>
  <c r="X6" i="2"/>
  <c r="Z47" i="2"/>
  <c r="Y109" i="2"/>
  <c r="AA77" i="2"/>
  <c r="FB13" i="4" a="1"/>
  <c r="ES12" i="4" a="1"/>
  <c r="AW16" i="3"/>
  <c r="S6" i="6" a="1"/>
  <c r="D5" i="6" a="1"/>
  <c r="AW20" i="3"/>
  <c r="BB24" i="3"/>
  <c r="BD16" i="3"/>
  <c r="Y7" i="2"/>
  <c r="BC38" i="3"/>
  <c r="Y44" i="2"/>
  <c r="BC10" i="3"/>
  <c r="BA9" i="3"/>
  <c r="AA99" i="2"/>
  <c r="Y71" i="2"/>
  <c r="BD11" i="3"/>
  <c r="BA41" i="3"/>
  <c r="BD35" i="3"/>
  <c r="Y91" i="2"/>
  <c r="AA36" i="2"/>
  <c r="AT16" i="3"/>
  <c r="AY69" i="3"/>
  <c r="EP12" i="4" a="1"/>
  <c r="Y66" i="2"/>
  <c r="EZ8" i="4" a="1"/>
  <c r="ET6" i="4" a="1"/>
  <c r="EN11" i="4" a="1"/>
  <c r="AU22" i="3"/>
  <c r="AW7" i="3"/>
  <c r="S18" i="2"/>
  <c r="Z58" i="2"/>
  <c r="EZ16" i="4" a="1"/>
  <c r="AY9" i="3"/>
  <c r="AS25" i="3"/>
  <c r="EW16" i="4" a="1"/>
  <c r="F10" i="3"/>
  <c r="F38" i="3"/>
  <c r="O25" i="2"/>
  <c r="T18" i="2"/>
  <c r="BB13" i="3"/>
  <c r="EQ11" i="4" a="1"/>
  <c r="AU45" i="3"/>
  <c r="ER14" i="4" a="1"/>
  <c r="K17" i="2"/>
  <c r="W8" i="2"/>
  <c r="K9" i="2"/>
  <c r="H15" i="2"/>
  <c r="F25" i="2"/>
  <c r="W5" i="4" a="1"/>
  <c r="CW13" i="4" a="1"/>
  <c r="AV15" i="3"/>
  <c r="AY62" i="3"/>
  <c r="EU12" i="4" a="1"/>
  <c r="AZ10" i="3"/>
  <c r="S27" i="2"/>
  <c r="Q18" i="2"/>
  <c r="Q12" i="2"/>
  <c r="E15" i="2"/>
  <c r="AW46" i="3"/>
  <c r="AX9" i="3"/>
  <c r="AY36" i="3"/>
  <c r="AW18" i="3"/>
  <c r="BV5" i="4" a="1"/>
  <c r="AW15" i="4" a="1"/>
  <c r="K31" i="2"/>
  <c r="AG14" i="4" a="1"/>
  <c r="M28" i="2"/>
  <c r="D34" i="2"/>
  <c r="AX9" i="4" a="1"/>
  <c r="AY15" i="3"/>
  <c r="AX29" i="3"/>
  <c r="AV32" i="3"/>
  <c r="AH6" i="6" a="1"/>
  <c r="D13" i="4" a="1"/>
  <c r="F10" i="2"/>
  <c r="Q19" i="2"/>
  <c r="EZ5" i="4" a="1"/>
  <c r="AV38" i="3"/>
  <c r="ER15" i="4" a="1"/>
  <c r="CH5" i="4" a="1"/>
  <c r="J20" i="2"/>
  <c r="R27" i="2"/>
  <c r="L12" i="2"/>
  <c r="K16" i="2"/>
  <c r="D29" i="3"/>
  <c r="AA71" i="2"/>
  <c r="AZ20" i="3"/>
  <c r="AP6" i="3"/>
  <c r="D6" i="6" a="1"/>
  <c r="AN5" i="6" a="1"/>
  <c r="AJ11" i="4" a="1"/>
  <c r="AS7" i="4" a="1"/>
  <c r="N36" i="2"/>
  <c r="Z30" i="2"/>
  <c r="AY21" i="3"/>
  <c r="ES7" i="4" a="1"/>
  <c r="AX46" i="3"/>
  <c r="G16" i="2"/>
  <c r="M17" i="2"/>
  <c r="AR22" i="3"/>
  <c r="U28" i="2"/>
  <c r="U29" i="2"/>
  <c r="X34" i="2"/>
  <c r="V6" i="2"/>
  <c r="FE15" i="4" a="1"/>
  <c r="AK6" i="6" a="1"/>
  <c r="EV13" i="4" a="1"/>
  <c r="Z63" i="2"/>
  <c r="AS15" i="3"/>
  <c r="AF24" i="3"/>
  <c r="AF34" i="3"/>
  <c r="AW32" i="3"/>
  <c r="AZ27" i="3"/>
  <c r="I7" i="2"/>
  <c r="H33" i="2"/>
  <c r="R13" i="2"/>
  <c r="BA36" i="3"/>
  <c r="BB30" i="3"/>
  <c r="EV7" i="4" a="1"/>
  <c r="ET5" i="4" a="1"/>
  <c r="AX22" i="3"/>
  <c r="F11" i="2"/>
  <c r="CR13" i="4" a="1"/>
  <c r="AD15" i="3"/>
  <c r="BV7" i="4" a="1"/>
  <c r="F13" i="2"/>
  <c r="O13" i="4" a="1"/>
  <c r="L16" i="2"/>
  <c r="AD14" i="4" a="1"/>
  <c r="E39" i="3"/>
  <c r="BN12" i="4" a="1"/>
  <c r="DZ13" i="4" a="1"/>
  <c r="O16" i="4" a="1"/>
  <c r="T7" i="4" a="1"/>
  <c r="CU15" i="4" a="1"/>
  <c r="N32" i="2"/>
  <c r="CI14" i="4" a="1"/>
  <c r="BT14" i="4" a="1"/>
  <c r="AL15" i="4" a="1"/>
  <c r="V17" i="2"/>
  <c r="DP7" i="4" a="1"/>
  <c r="ED8" i="4" a="1"/>
  <c r="S45" i="3"/>
  <c r="DX11" i="4" a="1"/>
  <c r="BW8" i="4" a="1"/>
  <c r="V26" i="2"/>
  <c r="S35" i="2"/>
  <c r="DL11" i="4" a="1"/>
  <c r="L24" i="2"/>
  <c r="T36" i="2"/>
  <c r="CI15" i="4" a="1"/>
  <c r="EK15" i="4" a="1"/>
  <c r="W8" i="4" a="1"/>
  <c r="EL9" i="4" a="1"/>
  <c r="S7" i="2"/>
  <c r="D26" i="2"/>
  <c r="EA13" i="4" a="1"/>
  <c r="DE12" i="4" a="1"/>
  <c r="AQ15" i="4" a="1"/>
  <c r="BP16" i="4" a="1"/>
  <c r="D7" i="2"/>
  <c r="BF14" i="4" a="1"/>
  <c r="AY5" i="4" a="1"/>
  <c r="CN14" i="4" a="1"/>
  <c r="P29" i="2"/>
  <c r="D38" i="3"/>
  <c r="BK13" i="4" a="1"/>
  <c r="E6" i="4" a="1"/>
  <c r="F22" i="3"/>
  <c r="AD14" i="3"/>
  <c r="BP13" i="4" a="1"/>
  <c r="F32" i="3"/>
  <c r="DN9" i="4" a="1"/>
  <c r="BE14" i="4" a="1"/>
  <c r="C8" i="4" a="1"/>
  <c r="BS6" i="4" a="1"/>
  <c r="S32" i="2"/>
  <c r="DX5" i="4" a="1"/>
  <c r="CP15" i="4" a="1"/>
  <c r="BD11" i="4" a="1"/>
  <c r="DF7" i="4" a="1"/>
  <c r="BC15" i="4" a="1"/>
  <c r="T30" i="2"/>
  <c r="I34" i="2"/>
  <c r="R26" i="2"/>
  <c r="R22" i="2"/>
  <c r="I7" i="4" a="1"/>
  <c r="D33" i="2"/>
  <c r="D16" i="2"/>
  <c r="DF13" i="4" a="1"/>
  <c r="N13" i="2"/>
  <c r="BG6" i="4" a="1"/>
  <c r="E21" i="3"/>
  <c r="DU13" i="4" a="1"/>
  <c r="E35" i="3"/>
  <c r="EH6" i="4" a="1"/>
  <c r="DL8" i="4" a="1"/>
  <c r="W31" i="2"/>
  <c r="AG45" i="3"/>
  <c r="CI16" i="4" a="1"/>
  <c r="O15" i="4" a="1"/>
  <c r="DT12" i="4" a="1"/>
  <c r="G9" i="4" a="1"/>
  <c r="AR33" i="3"/>
  <c r="AC12" i="4" a="1"/>
  <c r="U35" i="2"/>
  <c r="W27" i="2"/>
  <c r="AJ7" i="4" a="1"/>
  <c r="DI5" i="4" a="1"/>
  <c r="AQ11" i="4" a="1"/>
  <c r="F37" i="3"/>
  <c r="G35" i="2"/>
  <c r="AC15" i="4" a="1"/>
  <c r="DT14" i="4" a="1"/>
  <c r="AX13" i="4" a="1"/>
  <c r="D45" i="3"/>
  <c r="AN45" i="3"/>
  <c r="EF15" i="4" a="1"/>
  <c r="BP9" i="4" a="1"/>
  <c r="AE11" i="4" a="1"/>
  <c r="E24" i="3"/>
  <c r="AM7" i="4" a="1"/>
  <c r="EF11" i="4" a="1"/>
  <c r="AW6" i="4" a="1"/>
  <c r="BP14" i="4" a="1"/>
  <c r="CY6" i="4" a="1"/>
  <c r="BA5" i="4" a="1"/>
  <c r="ED6" i="4" a="1"/>
  <c r="E6" i="2"/>
  <c r="DZ12" i="4" a="1"/>
  <c r="D7" i="3"/>
  <c r="DR12" i="4" a="1"/>
  <c r="R10" i="2"/>
  <c r="F5" i="4" a="1"/>
  <c r="CW9" i="4" a="1"/>
  <c r="AC6" i="4" a="1"/>
  <c r="AR15" i="4" a="1"/>
  <c r="DX8" i="4" a="1"/>
  <c r="L10" i="2"/>
  <c r="P12" i="2"/>
  <c r="P24" i="2"/>
  <c r="BU11" i="4" a="1"/>
  <c r="AW8" i="4" a="1"/>
  <c r="DP16" i="4" a="1"/>
  <c r="CT12" i="4" a="1"/>
  <c r="CA8" i="4" a="1"/>
  <c r="D35" i="3"/>
  <c r="CB12" i="4" a="1"/>
  <c r="DR5" i="4" a="1"/>
  <c r="CR7" i="4" a="1"/>
  <c r="M32" i="2"/>
  <c r="O19" i="2"/>
  <c r="CF8" i="4" a="1"/>
  <c r="U9" i="4" a="1"/>
  <c r="DQ14" i="4" a="1"/>
  <c r="BT8" i="4" a="1"/>
  <c r="DD13" i="4" a="1"/>
  <c r="DI16" i="4" a="1"/>
  <c r="CZ13" i="4" a="1"/>
  <c r="AR29" i="3"/>
  <c r="CX5" i="4" a="1"/>
  <c r="CF6" i="4" a="1"/>
  <c r="AP12" i="4" a="1"/>
  <c r="F27" i="3"/>
  <c r="BT16" i="4" a="1"/>
  <c r="CV14" i="4" a="1"/>
  <c r="F29" i="3"/>
  <c r="G5" i="4" a="1"/>
  <c r="CA13" i="4" a="1"/>
  <c r="DT8" i="4" a="1"/>
  <c r="AR9" i="3"/>
  <c r="X9" i="2"/>
  <c r="CK6" i="4" a="1"/>
  <c r="Q14" i="4" a="1"/>
  <c r="DG15" i="4" a="1"/>
  <c r="CL5" i="4" a="1"/>
  <c r="CR5" i="4" a="1"/>
  <c r="N27" i="2"/>
  <c r="CL12" i="4" a="1"/>
  <c r="DE5" i="4" a="1"/>
  <c r="Q9" i="4" a="1"/>
  <c r="F33" i="2"/>
  <c r="AW11" i="4" a="1"/>
  <c r="C33" i="2"/>
  <c r="K15" i="4" a="1"/>
  <c r="D36" i="3"/>
  <c r="CQ6" i="4" a="1"/>
  <c r="BL5" i="4" a="1"/>
  <c r="DH8" i="4" a="1"/>
  <c r="AR27" i="3"/>
  <c r="DL7" i="4" a="1"/>
  <c r="ED7" i="4" a="1"/>
  <c r="EE6" i="4" a="1"/>
  <c r="CQ13" i="4" a="1"/>
  <c r="I14" i="2"/>
  <c r="AR42" i="3"/>
  <c r="AF7" i="4" a="1"/>
  <c r="R46" i="3"/>
  <c r="D23" i="3"/>
  <c r="CP16" i="4" a="1"/>
  <c r="CV6" i="4" a="1"/>
  <c r="DE9" i="4" a="1"/>
  <c r="AR17" i="3"/>
  <c r="EJ12" i="4" a="1"/>
  <c r="DS9" i="4" a="1"/>
  <c r="DQ11" i="4" a="1"/>
  <c r="CS7" i="4" a="1"/>
  <c r="G26" i="3"/>
  <c r="F9" i="3"/>
  <c r="BS11" i="4" a="1"/>
  <c r="AR16" i="3"/>
  <c r="AD9" i="3"/>
  <c r="U12" i="4" a="1"/>
  <c r="AS11" i="4" a="1"/>
  <c r="Q46" i="3"/>
  <c r="EA8" i="4" a="1"/>
  <c r="ED13" i="4" a="1"/>
  <c r="DC11" i="4" a="1"/>
  <c r="BH11" i="4" a="1"/>
  <c r="AZ6" i="4" a="1"/>
  <c r="AR28" i="3"/>
  <c r="L35" i="2"/>
  <c r="BV11" i="4" a="1"/>
  <c r="BV16" i="4" a="1"/>
  <c r="BM11" i="4" a="1"/>
  <c r="AW5" i="4" a="1"/>
  <c r="CJ8" i="4" a="1"/>
  <c r="AR45" i="3"/>
  <c r="EB14" i="4" a="1"/>
  <c r="Z13" i="4" a="1"/>
  <c r="DH13" i="4" a="1"/>
  <c r="EH13" i="4" a="1"/>
  <c r="BB7" i="4" a="1"/>
  <c r="AF16" i="4" a="1"/>
  <c r="EH14" i="4" a="1"/>
  <c r="CY9" i="4" a="1"/>
  <c r="D9" i="4" a="1"/>
  <c r="AV15" i="4" a="1"/>
  <c r="AR18" i="3"/>
  <c r="EG5" i="4" a="1"/>
  <c r="E35" i="2"/>
  <c r="P30" i="2"/>
  <c r="DN16" i="4" a="1"/>
  <c r="G14" i="3"/>
  <c r="U13" i="4" a="1"/>
  <c r="C34" i="2"/>
  <c r="CC11" i="4" a="1"/>
  <c r="CO12" i="4" a="1"/>
  <c r="CR9" i="4" a="1"/>
  <c r="CE13" i="4" a="1"/>
  <c r="AL14" i="4" a="1"/>
  <c r="X66" i="2"/>
  <c r="R8" i="4" a="1"/>
  <c r="DF9" i="4" a="1"/>
  <c r="S26" i="2"/>
  <c r="H11" i="2"/>
  <c r="AV9" i="4" a="1"/>
  <c r="DI12" i="4" a="1"/>
  <c r="BK15" i="4" a="1"/>
  <c r="BB15" i="4" a="1"/>
  <c r="BA13" i="4" a="1"/>
  <c r="AH7" i="4" a="1"/>
  <c r="F9" i="4" a="1"/>
  <c r="D16" i="4" a="1"/>
  <c r="BA89" i="3"/>
  <c r="D73" i="3"/>
  <c r="D68" i="3"/>
  <c r="BD12" i="3"/>
  <c r="Y78" i="2"/>
  <c r="BB38" i="3"/>
  <c r="Z105" i="2"/>
  <c r="BA25" i="3"/>
  <c r="EX13" i="4" a="1"/>
  <c r="AS36" i="3"/>
  <c r="AF6" i="3"/>
  <c r="AF36" i="3"/>
  <c r="Y24" i="2"/>
  <c r="BC35" i="3"/>
  <c r="AV10" i="3"/>
  <c r="AA5" i="2"/>
  <c r="AA111" i="2" s="1"/>
  <c r="AV6" i="3"/>
  <c r="BB25" i="3"/>
  <c r="AX27" i="3"/>
  <c r="AW25" i="3"/>
  <c r="EM11" i="4" a="1"/>
  <c r="S19" i="2"/>
  <c r="Y14" i="2"/>
  <c r="Y32" i="2"/>
  <c r="EZ7" i="4" a="1"/>
  <c r="AF8" i="3"/>
  <c r="FF9" i="4" a="1"/>
  <c r="FD8" i="4" a="1"/>
  <c r="BA6" i="3"/>
  <c r="FD13" i="4" a="1"/>
  <c r="EY7" i="4" a="1"/>
  <c r="AT11" i="3"/>
  <c r="AA79" i="2"/>
  <c r="AA11" i="2"/>
  <c r="BB21" i="3"/>
  <c r="EM8" i="4" a="1"/>
  <c r="AS16" i="3"/>
  <c r="ER5" i="4" a="1"/>
  <c r="I24" i="2"/>
  <c r="BA38" i="3"/>
  <c r="AA57" i="2"/>
  <c r="AT34" i="3"/>
  <c r="AW6" i="6" a="1"/>
  <c r="BA34" i="3"/>
  <c r="Y105" i="2"/>
  <c r="AS37" i="3"/>
  <c r="EY15" i="4" a="1"/>
  <c r="FD12" i="4" a="1"/>
  <c r="Y22" i="2"/>
  <c r="BB39" i="3"/>
  <c r="BD14" i="3"/>
  <c r="FC5" i="4" a="1"/>
  <c r="AM6" i="6" a="1"/>
  <c r="EZ11" i="4" a="1"/>
  <c r="EO9" i="4" a="1"/>
  <c r="Y36" i="2"/>
  <c r="Z20" i="2"/>
  <c r="Y62" i="2"/>
  <c r="Z83" i="2"/>
  <c r="BD37" i="3"/>
  <c r="BA29" i="3"/>
  <c r="AU25" i="3"/>
  <c r="Y41" i="2"/>
  <c r="AA75" i="2"/>
  <c r="AA76" i="2"/>
  <c r="EV5" i="4" a="1"/>
  <c r="AV45" i="3"/>
  <c r="AF33" i="3"/>
  <c r="AA93" i="2"/>
  <c r="EQ15" i="4" a="1"/>
  <c r="AY32" i="3"/>
  <c r="AW17" i="3"/>
  <c r="U6" i="2"/>
  <c r="AU38" i="3"/>
  <c r="EU7" i="4" a="1"/>
  <c r="AA5" i="6" a="1"/>
  <c r="O22" i="2"/>
  <c r="BY13" i="4" a="1"/>
  <c r="T29" i="2"/>
  <c r="BA19" i="3"/>
  <c r="AT32" i="3"/>
  <c r="AT24" i="3"/>
  <c r="AS21" i="3"/>
  <c r="W17" i="2"/>
  <c r="C12" i="2"/>
  <c r="DG8" i="4" a="1"/>
  <c r="F30" i="2"/>
  <c r="AE15" i="4" a="1"/>
  <c r="AA49" i="2"/>
  <c r="AU36" i="3"/>
  <c r="AT19" i="3"/>
  <c r="U32" i="2"/>
  <c r="W29" i="2"/>
  <c r="Q9" i="2"/>
  <c r="J19" i="2"/>
  <c r="Z60" i="2"/>
  <c r="EX5" i="4" a="1"/>
  <c r="AE6" i="6" a="1"/>
  <c r="E27" i="2"/>
  <c r="Y15" i="4" a="1"/>
  <c r="G11" i="2"/>
  <c r="E11" i="2"/>
  <c r="AB11" i="4" a="1"/>
  <c r="Y34" i="2"/>
  <c r="BA40" i="3"/>
  <c r="EW11" i="4" a="1"/>
  <c r="AT39" i="3"/>
  <c r="C14" i="2"/>
  <c r="BH12" i="4" a="1"/>
  <c r="D36" i="2"/>
  <c r="O28" i="2"/>
  <c r="AT28" i="3"/>
  <c r="AV8" i="3"/>
  <c r="AV27" i="3"/>
  <c r="X46" i="3"/>
  <c r="CD7" i="4" a="1"/>
  <c r="F18" i="2"/>
  <c r="T5" i="2"/>
  <c r="V31" i="2"/>
  <c r="BC9" i="3"/>
  <c r="AY17" i="3"/>
  <c r="AU29" i="3"/>
  <c r="W34" i="2"/>
  <c r="G27" i="3"/>
  <c r="BB6" i="3"/>
  <c r="AW34" i="3"/>
  <c r="AZ28" i="3"/>
  <c r="R29" i="2"/>
  <c r="BM5" i="4" a="1"/>
  <c r="T10" i="2"/>
  <c r="H20" i="2"/>
  <c r="N45" i="3"/>
  <c r="ES8" i="4" a="1"/>
  <c r="AO6" i="6" a="1"/>
  <c r="AS23" i="3"/>
  <c r="L8" i="2"/>
  <c r="AA68" i="2"/>
  <c r="EV6" i="4" a="1"/>
  <c r="EW7" i="4" a="1"/>
  <c r="E5" i="3"/>
  <c r="DJ16" i="4" a="1"/>
  <c r="Y58" i="2"/>
  <c r="Y70" i="2"/>
  <c r="AU20" i="3"/>
  <c r="U25" i="2"/>
  <c r="BE7" i="4" a="1"/>
  <c r="F19" i="2"/>
  <c r="BP11" i="4" a="1"/>
  <c r="DJ15" i="4" a="1"/>
  <c r="F36" i="2"/>
  <c r="BE8" i="4" a="1"/>
  <c r="BG5" i="4" a="1"/>
  <c r="AU6" i="4" a="1"/>
  <c r="BA14" i="4" a="1"/>
  <c r="DK7" i="4" a="1"/>
  <c r="N11" i="4" a="1"/>
  <c r="BX8" i="4" a="1"/>
  <c r="CR12" i="4" a="1"/>
  <c r="N5" i="2"/>
  <c r="AZ7" i="4" a="1"/>
  <c r="AN7" i="4" a="1"/>
  <c r="F12" i="3"/>
  <c r="AU8" i="4" a="1"/>
  <c r="V5" i="2"/>
  <c r="CS6" i="4" a="1"/>
  <c r="I12" i="4" a="1"/>
  <c r="CA14" i="4" a="1"/>
  <c r="CA11" i="4" a="1"/>
  <c r="J46" i="3"/>
  <c r="E24" i="2"/>
  <c r="N18" i="2"/>
  <c r="L20" i="2"/>
  <c r="V23" i="2"/>
  <c r="DD12" i="4" a="1"/>
  <c r="AQ12" i="4" a="1"/>
  <c r="DO12" i="4" a="1"/>
  <c r="CJ6" i="4" a="1"/>
  <c r="CM7" i="4" a="1"/>
  <c r="AN5" i="4" a="1"/>
  <c r="V24" i="2"/>
  <c r="R14" i="4" a="1"/>
  <c r="S46" i="3"/>
  <c r="O12" i="2"/>
  <c r="U6" i="4" a="1"/>
  <c r="AL46" i="3"/>
  <c r="EH8" i="4" a="1"/>
  <c r="EE7" i="4" a="1"/>
  <c r="D7" i="4" a="1"/>
  <c r="L7" i="4" a="1"/>
  <c r="K14" i="4" a="1"/>
  <c r="DR11" i="4" a="1"/>
  <c r="G7" i="4" a="1"/>
  <c r="F20" i="3"/>
  <c r="DM5" i="4" a="1"/>
  <c r="N9" i="2"/>
  <c r="F6" i="3"/>
  <c r="BN14" i="4" a="1"/>
  <c r="AM12" i="4" a="1"/>
  <c r="H8" i="2"/>
  <c r="CO6" i="4" a="1"/>
  <c r="AE9" i="4" a="1"/>
  <c r="AH9" i="4" a="1"/>
  <c r="BK9" i="4" a="1"/>
  <c r="P18" i="2"/>
  <c r="EC16" i="4" a="1"/>
  <c r="Q55" i="2"/>
  <c r="M16" i="4" a="1"/>
  <c r="EG16" i="4" a="1"/>
  <c r="H54" i="2"/>
  <c r="DQ16" i="4" a="1"/>
  <c r="V12" i="4" a="1"/>
  <c r="AY6" i="4" a="1"/>
  <c r="Y8" i="4" a="1"/>
  <c r="CW7" i="4" a="1"/>
  <c r="DH5" i="4" a="1"/>
  <c r="AO15" i="4" a="1"/>
  <c r="R32" i="2"/>
  <c r="R5" i="4" a="1"/>
  <c r="DA9" i="4" a="1"/>
  <c r="BM6" i="4" a="1"/>
  <c r="D19" i="3"/>
  <c r="BF6" i="4" a="1"/>
  <c r="AQ8" i="4" a="1"/>
  <c r="CZ11" i="4" a="1"/>
  <c r="BR6" i="4" a="1"/>
  <c r="EA16" i="4" a="1"/>
  <c r="AT8" i="4" a="1"/>
  <c r="M20" i="2"/>
  <c r="DH6" i="4" a="1"/>
  <c r="BX15" i="4" a="1"/>
  <c r="BK16" i="4" a="1"/>
  <c r="CX8" i="4" a="1"/>
  <c r="AV14" i="4" a="1"/>
  <c r="BR13" i="4" a="1"/>
  <c r="EE9" i="4" a="1"/>
  <c r="D18" i="3"/>
  <c r="X9" i="4" a="1"/>
  <c r="DI13" i="4" a="1"/>
  <c r="CV11" i="4" a="1"/>
  <c r="DN8" i="4" a="1"/>
  <c r="E13" i="3"/>
  <c r="BQ11" i="4" a="1"/>
  <c r="CO11" i="4" a="1"/>
  <c r="J7" i="4" a="1"/>
  <c r="K10" i="2"/>
  <c r="E6" i="3"/>
  <c r="K59" i="2"/>
  <c r="EK9" i="4" a="1"/>
  <c r="E72" i="3"/>
  <c r="DT11" i="4" a="1"/>
  <c r="DD16" i="4" a="1"/>
  <c r="EC12" i="4" a="1"/>
  <c r="D11" i="3"/>
  <c r="BJ6" i="4" a="1"/>
  <c r="N14" i="2"/>
  <c r="DA14" i="4" a="1"/>
  <c r="S9" i="4" a="1"/>
  <c r="AP13" i="4" a="1"/>
  <c r="U15" i="4" a="1"/>
  <c r="AQ14" i="4" a="1"/>
  <c r="Q5" i="4" a="1"/>
  <c r="BV14" i="4" a="1"/>
  <c r="AL6" i="4" a="1"/>
  <c r="BM13" i="4" a="1"/>
  <c r="U33" i="2"/>
  <c r="DR13" i="4" a="1"/>
  <c r="BZ16" i="4" a="1"/>
  <c r="R45" i="3"/>
  <c r="N46" i="3"/>
  <c r="E9" i="3"/>
  <c r="E25" i="3"/>
  <c r="DB13" i="4" a="1"/>
  <c r="DB11" i="4" a="1"/>
  <c r="BV13" i="4" a="1"/>
  <c r="AO13" i="4" a="1"/>
  <c r="AK9" i="4" a="1"/>
  <c r="AR14" i="4" a="1"/>
  <c r="AG16" i="4" a="1"/>
  <c r="DI15" i="4" a="1"/>
  <c r="G24" i="3"/>
  <c r="AG8" i="4" a="1"/>
  <c r="E97" i="3"/>
  <c r="D10" i="3"/>
  <c r="C11" i="4" a="1"/>
  <c r="AD11" i="4" a="1"/>
  <c r="Q30" i="2"/>
  <c r="F7" i="4" a="1"/>
  <c r="V9" i="4" a="1"/>
  <c r="E8" i="3"/>
  <c r="AI45" i="3"/>
  <c r="E22" i="3"/>
  <c r="AQ5" i="4" a="1"/>
  <c r="ED11" i="4" a="1"/>
  <c r="CM9" i="4" a="1"/>
  <c r="AE13" i="4" a="1"/>
  <c r="CF5" i="4" a="1"/>
  <c r="V45" i="3"/>
  <c r="CB11" i="4" a="1"/>
  <c r="EC9" i="4" a="1"/>
  <c r="BR14" i="4" a="1"/>
  <c r="AH13" i="4" a="1"/>
  <c r="BY12" i="4" a="1"/>
  <c r="AN11" i="4" a="1"/>
  <c r="EH15" i="4" a="1"/>
  <c r="DV8" i="4" a="1"/>
  <c r="DO7" i="4" a="1"/>
  <c r="CS11" i="4" a="1"/>
  <c r="CN15" i="4" a="1"/>
  <c r="CB16" i="4" a="1"/>
  <c r="EK11" i="4" a="1"/>
  <c r="DM12" i="4" a="1"/>
  <c r="BD14" i="4" a="1"/>
  <c r="BN11" i="4" a="1"/>
  <c r="S5" i="4" a="1"/>
  <c r="CO8" i="4" a="1"/>
  <c r="G23" i="3"/>
  <c r="N12" i="4" a="1"/>
  <c r="DO9" i="4" a="1"/>
  <c r="BU5" i="4" a="1"/>
  <c r="H15" i="4" a="1"/>
  <c r="AN9" i="4" a="1"/>
  <c r="DD15" i="4" a="1"/>
  <c r="CC16" i="4" a="1"/>
  <c r="AW16" i="4" a="1"/>
  <c r="DS7" i="4" a="1"/>
  <c r="CQ12" i="4" a="1"/>
  <c r="V22" i="2"/>
  <c r="AD15" i="4" a="1"/>
  <c r="AE5" i="4" a="1"/>
  <c r="ED15" i="4" a="1"/>
  <c r="AD6" i="3"/>
  <c r="E87" i="3"/>
  <c r="FE16" i="4" a="1"/>
  <c r="L29" i="2"/>
  <c r="FB15" i="4" a="1"/>
  <c r="Q59" i="2"/>
  <c r="EU8" i="4" a="1"/>
  <c r="EV11" i="4" a="1"/>
  <c r="D37" i="3"/>
  <c r="AL8" i="4" a="1"/>
  <c r="T8" i="2"/>
  <c r="AX39" i="3"/>
  <c r="V14" i="4" a="1"/>
  <c r="AW8" i="3"/>
  <c r="ES11" i="4" a="1"/>
  <c r="Q13" i="2"/>
  <c r="AA20" i="2"/>
  <c r="DW14" i="4" a="1"/>
  <c r="F7" i="2"/>
  <c r="BC12" i="4" a="1"/>
  <c r="R13" i="4" a="1"/>
  <c r="AV36" i="3"/>
  <c r="V14" i="2"/>
  <c r="M29" i="2"/>
  <c r="AH8" i="4" a="1"/>
  <c r="I13" i="2"/>
  <c r="BS12" i="4" a="1"/>
  <c r="AB16" i="4" a="1"/>
  <c r="AH14" i="4" a="1"/>
  <c r="I6" i="2"/>
  <c r="U5" i="4" a="1"/>
  <c r="AK12" i="4" a="1"/>
  <c r="W5" i="6" a="1"/>
  <c r="BI5" i="4" a="1"/>
  <c r="C22" i="2"/>
  <c r="N35" i="2"/>
  <c r="L21" i="2"/>
  <c r="DY14" i="4" a="1"/>
  <c r="S7" i="4" a="1"/>
  <c r="P15" i="4" a="1"/>
  <c r="E36" i="2"/>
  <c r="DE11" i="4" a="1"/>
  <c r="T19" i="2"/>
  <c r="CP6" i="4" a="1"/>
  <c r="AF15" i="4" a="1"/>
  <c r="AR20" i="3"/>
  <c r="AR25" i="3"/>
  <c r="G10" i="2"/>
  <c r="K11" i="4" a="1"/>
  <c r="G9" i="3"/>
  <c r="F12" i="2"/>
  <c r="M11" i="4" a="1"/>
  <c r="CC7" i="4" a="1"/>
  <c r="BA9" i="4" a="1"/>
  <c r="AD16" i="4" a="1"/>
  <c r="EI7" i="4" a="1"/>
  <c r="DV15" i="4" a="1"/>
  <c r="G13" i="4" a="1"/>
  <c r="DZ15" i="4" a="1"/>
  <c r="DM11" i="4" a="1"/>
  <c r="DV13" i="4" a="1"/>
  <c r="CF15" i="4" a="1"/>
  <c r="O20" i="2"/>
  <c r="BD13" i="4" a="1"/>
  <c r="BR12" i="4" a="1"/>
  <c r="C25" i="2"/>
  <c r="BK8" i="4" a="1"/>
  <c r="N15" i="4" a="1"/>
  <c r="AK15" i="4" a="1"/>
  <c r="CH7" i="4" a="1"/>
  <c r="CN6" i="4" a="1"/>
  <c r="CW11" i="4" a="1"/>
  <c r="AK11" i="4" a="1"/>
  <c r="EK6" i="4" a="1"/>
  <c r="D15" i="4" a="1"/>
  <c r="BK5" i="4" a="1"/>
  <c r="CX13" i="4" a="1"/>
  <c r="BU13" i="4" a="1"/>
  <c r="AD18" i="3"/>
  <c r="BN9" i="4" a="1"/>
  <c r="CG9" i="4" a="1"/>
  <c r="AF14" i="4" a="1"/>
  <c r="DL6" i="4" a="1"/>
  <c r="CR15" i="4" a="1"/>
  <c r="AX5" i="4" a="1"/>
  <c r="AA11" i="4" a="1"/>
  <c r="G12" i="3"/>
  <c r="CK12" i="4" a="1"/>
  <c r="DB12" i="4" a="1"/>
  <c r="DC6" i="4" a="1"/>
  <c r="H8" i="4" a="1"/>
  <c r="DR16" i="4" a="1"/>
  <c r="AR21" i="3"/>
  <c r="CD16" i="4" a="1"/>
  <c r="BG14" i="4" a="1"/>
  <c r="CN16" i="4" a="1"/>
  <c r="EC6" i="4" a="1"/>
  <c r="DX6" i="4" a="1"/>
  <c r="G6" i="3"/>
  <c r="AR32" i="3"/>
  <c r="E7" i="4" a="1"/>
  <c r="L5" i="4" a="1"/>
  <c r="DJ5" i="4" a="1"/>
  <c r="AD12" i="3"/>
  <c r="DX9" i="4" a="1"/>
  <c r="AZ11" i="4" a="1"/>
  <c r="CG5" i="4" a="1"/>
  <c r="U8" i="4" a="1"/>
  <c r="E11" i="4" a="1"/>
  <c r="Y98" i="2"/>
  <c r="Z50" i="2"/>
  <c r="Y81" i="2"/>
  <c r="FD11" i="4" a="1"/>
  <c r="AW5" i="3"/>
  <c r="C4" i="2"/>
  <c r="FB12" i="4" a="1"/>
  <c r="Z78" i="2"/>
  <c r="BD29" i="3"/>
  <c r="AS31" i="3"/>
  <c r="AY37" i="3"/>
  <c r="Z19" i="2"/>
  <c r="BB17" i="3"/>
  <c r="Y35" i="2"/>
  <c r="BC37" i="3"/>
  <c r="AZ46" i="3"/>
  <c r="BB8" i="3"/>
  <c r="AW6" i="3"/>
  <c r="AS8" i="3"/>
  <c r="L19" i="2"/>
  <c r="AA21" i="2"/>
  <c r="AA35" i="2"/>
  <c r="FB11" i="4" a="1"/>
  <c r="BA17" i="3"/>
  <c r="EZ6" i="4" a="1"/>
  <c r="AF39" i="3"/>
  <c r="Z79" i="2"/>
  <c r="Z86" i="2"/>
  <c r="AA80" i="2"/>
  <c r="ET8" i="4" a="1"/>
  <c r="AX28" i="3"/>
  <c r="AF45" i="3"/>
  <c r="C30" i="2"/>
  <c r="AA55" i="2"/>
  <c r="BA18" i="3"/>
  <c r="BC14" i="3"/>
  <c r="AZ13" i="3"/>
  <c r="Z98" i="2"/>
  <c r="Y12" i="2"/>
  <c r="AY33" i="3"/>
  <c r="EQ9" i="4" a="1"/>
  <c r="BD13" i="3"/>
  <c r="Y69" i="2"/>
  <c r="Y17" i="2"/>
  <c r="AA98" i="2"/>
  <c r="FA15" i="4" a="1"/>
  <c r="AH5" i="6" a="1"/>
  <c r="EO12" i="4" a="1"/>
  <c r="AF37" i="3"/>
  <c r="Y42" i="2"/>
  <c r="AA25" i="2"/>
  <c r="BA7" i="3"/>
  <c r="Z40" i="2"/>
  <c r="Z29" i="2"/>
  <c r="AA105" i="2"/>
  <c r="G5" i="6" a="1"/>
  <c r="BD23" i="3"/>
  <c r="BB41" i="3"/>
  <c r="Y77" i="2"/>
  <c r="EN16" i="4" a="1"/>
  <c r="AW12" i="3"/>
  <c r="AT26" i="3"/>
  <c r="Y26" i="2"/>
  <c r="AM5" i="6" a="1"/>
  <c r="AY39" i="3"/>
  <c r="Z6" i="6" a="1"/>
  <c r="C24" i="2"/>
  <c r="AZ23" i="3"/>
  <c r="Q5" i="6" a="1"/>
  <c r="X25" i="2"/>
  <c r="DK9" i="4" a="1"/>
  <c r="E30" i="2"/>
  <c r="BC36" i="3"/>
  <c r="EP11" i="4" a="1"/>
  <c r="AS40" i="3"/>
  <c r="F17" i="3"/>
  <c r="F34" i="2"/>
  <c r="I36" i="2"/>
  <c r="R9" i="2"/>
  <c r="DD9" i="4" a="1"/>
  <c r="BD17" i="3"/>
  <c r="EL8" i="4" a="1"/>
  <c r="Q22" i="2"/>
  <c r="F12" i="4" a="1"/>
  <c r="J36" i="2"/>
  <c r="Z110" i="2"/>
  <c r="E5" i="6" a="1"/>
  <c r="AS17" i="3"/>
  <c r="K14" i="2"/>
  <c r="DC15" i="4" a="1"/>
  <c r="DT9" i="4" a="1"/>
  <c r="K8" i="2"/>
  <c r="CY16" i="4" a="1"/>
  <c r="Y10" i="2"/>
  <c r="AV29" i="3"/>
  <c r="H6" i="6" a="1"/>
  <c r="O8" i="2"/>
  <c r="Q5" i="2"/>
  <c r="BF9" i="4" a="1"/>
  <c r="BA27" i="3"/>
  <c r="AW23" i="3"/>
  <c r="H24" i="2"/>
  <c r="T12" i="4" a="1"/>
  <c r="M7" i="2"/>
  <c r="BT13" i="4" a="1"/>
  <c r="F11" i="3"/>
  <c r="Z10" i="2"/>
  <c r="AF5" i="6" a="1"/>
  <c r="AF9" i="3"/>
  <c r="M14" i="2"/>
  <c r="T11" i="2"/>
  <c r="Y54" i="2"/>
  <c r="EZ9" i="4" a="1"/>
  <c r="V5" i="6" a="1"/>
  <c r="AS33" i="3"/>
  <c r="S34" i="2"/>
  <c r="U23" i="2"/>
  <c r="EF6" i="4" a="1"/>
  <c r="D9" i="2"/>
  <c r="P16" i="2"/>
  <c r="AA97" i="2"/>
  <c r="AY11" i="3"/>
  <c r="C5" i="6" a="1"/>
  <c r="F27" i="2"/>
  <c r="Z80" i="2"/>
  <c r="ES13" i="4" a="1"/>
  <c r="AV13" i="3"/>
  <c r="D28" i="2"/>
  <c r="M23" i="2"/>
  <c r="V7" i="2"/>
  <c r="AA53" i="2"/>
  <c r="AY25" i="3"/>
  <c r="EN8" i="4" a="1"/>
  <c r="CH15" i="4" a="1"/>
  <c r="AI9" i="4" a="1"/>
  <c r="X30" i="2"/>
  <c r="L36" i="2"/>
  <c r="EG7" i="4" a="1"/>
  <c r="CF16" i="4" a="1"/>
  <c r="EC13" i="4" a="1"/>
  <c r="BP5" i="4" a="1"/>
  <c r="C14" i="4" a="1"/>
  <c r="BV8" i="4" a="1"/>
  <c r="CJ5" i="4" a="1"/>
  <c r="AD6" i="4" a="1"/>
  <c r="D30" i="2"/>
  <c r="BV6" i="4" a="1"/>
  <c r="T34" i="2"/>
  <c r="G9" i="2"/>
  <c r="EA5" i="4" a="1"/>
  <c r="I14" i="4" a="1"/>
  <c r="CF12" i="4" a="1"/>
  <c r="AM6" i="4" a="1"/>
  <c r="AJ5" i="4" a="1"/>
  <c r="DQ8" i="4" a="1"/>
  <c r="V5" i="4" a="1"/>
  <c r="CO14" i="4" a="1"/>
  <c r="BF7" i="4" a="1"/>
  <c r="H6" i="4" a="1"/>
  <c r="P6" i="2"/>
  <c r="X19" i="2"/>
  <c r="DG5" i="4" a="1"/>
  <c r="DG9" i="4" a="1"/>
  <c r="DS11" i="4" a="1"/>
  <c r="D13" i="3"/>
  <c r="AO8" i="4" a="1"/>
  <c r="BH8" i="4" a="1"/>
  <c r="U18" i="2"/>
  <c r="BD5" i="4" a="1"/>
  <c r="CM15" i="4" a="1"/>
  <c r="F17" i="2"/>
  <c r="DI14" i="4" a="1"/>
  <c r="AC7" i="4" a="1"/>
  <c r="F21" i="3"/>
  <c r="BK7" i="4" a="1"/>
  <c r="F33" i="3"/>
  <c r="BN7" i="4" a="1"/>
  <c r="E25" i="2"/>
  <c r="H14" i="2"/>
  <c r="DD5" i="4" a="1"/>
  <c r="DE15" i="4" a="1"/>
  <c r="DM6" i="4" a="1"/>
  <c r="T15" i="2"/>
  <c r="AK7" i="4" a="1"/>
  <c r="EI11" i="4" a="1"/>
  <c r="AI14" i="4" a="1"/>
  <c r="X41" i="2"/>
  <c r="DU12" i="4" a="1"/>
  <c r="F41" i="3"/>
  <c r="EK13" i="4" a="1"/>
  <c r="O31" i="2"/>
  <c r="M8" i="4" a="1"/>
  <c r="G8" i="4" a="1"/>
  <c r="W20" i="2"/>
  <c r="M35" i="2"/>
  <c r="T45" i="3"/>
  <c r="R28" i="2"/>
  <c r="CK9" i="4" a="1"/>
  <c r="R19" i="2"/>
  <c r="AU15" i="3"/>
  <c r="G29" i="3"/>
  <c r="CB5" i="4" a="1"/>
  <c r="BU15" i="4" a="1"/>
  <c r="EF14" i="4" a="1"/>
  <c r="O12" i="4" a="1"/>
  <c r="DJ14" i="4" a="1"/>
  <c r="DN12" i="4" a="1"/>
  <c r="C12" i="4" a="1"/>
  <c r="I9" i="4" a="1"/>
  <c r="P16" i="4" a="1"/>
  <c r="K9" i="4" a="1"/>
  <c r="DL5" i="4" a="1"/>
  <c r="EE8" i="4" a="1"/>
  <c r="CK5" i="4" a="1"/>
  <c r="J5" i="4" a="1"/>
  <c r="BB9" i="4" a="1"/>
  <c r="AG12" i="4" a="1"/>
  <c r="AV6" i="4" a="1"/>
  <c r="EI12" i="4" a="1"/>
  <c r="AQ7" i="4" a="1"/>
  <c r="CJ15" i="4" a="1"/>
  <c r="CH9" i="4" a="1"/>
  <c r="BQ6" i="4" a="1"/>
  <c r="N29" i="2"/>
  <c r="EG14" i="4" a="1"/>
  <c r="BO16" i="4" a="1"/>
  <c r="CZ5" i="4" a="1"/>
  <c r="CQ16" i="4" a="1"/>
  <c r="AG13" i="4" a="1"/>
  <c r="DV11" i="4" a="1"/>
  <c r="AR14" i="3"/>
  <c r="EG9" i="4" a="1"/>
  <c r="CE15" i="4" a="1"/>
  <c r="I6" i="4" a="1"/>
  <c r="K29" i="2"/>
  <c r="AC8" i="4" a="1"/>
  <c r="DA11" i="4" a="1"/>
  <c r="N6" i="4" a="1"/>
  <c r="W7" i="4" a="1"/>
  <c r="CH8" i="4" a="1"/>
  <c r="BO11" i="4" a="1"/>
  <c r="BY14" i="4" a="1"/>
  <c r="G21" i="3"/>
  <c r="BX6" i="4" a="1"/>
  <c r="C32" i="2"/>
  <c r="P5" i="4" a="1"/>
  <c r="BK11" i="4" a="1"/>
  <c r="EI15" i="4" a="1"/>
  <c r="AT9" i="4" a="1"/>
  <c r="E45" i="3"/>
  <c r="C15" i="4" a="1"/>
  <c r="AB14" i="4" a="1"/>
  <c r="N5" i="4" a="1"/>
  <c r="BF5" i="4" a="1"/>
  <c r="Q34" i="2"/>
  <c r="BG13" i="4" a="1"/>
  <c r="CC14" i="4" a="1"/>
  <c r="EB6" i="4" a="1"/>
  <c r="M15" i="4" a="1"/>
  <c r="DS8" i="4" a="1"/>
  <c r="EI16" i="4" a="1"/>
  <c r="F36" i="3"/>
  <c r="BL13" i="4" a="1"/>
  <c r="S24" i="2"/>
  <c r="X45" i="3"/>
  <c r="CG13" i="4" a="1"/>
  <c r="AP16" i="4" a="1"/>
  <c r="AN12" i="4" a="1"/>
  <c r="S12" i="2"/>
  <c r="DH15" i="4" a="1"/>
  <c r="AH15" i="4" a="1"/>
  <c r="CS5" i="4" a="1"/>
  <c r="J11" i="4" a="1"/>
  <c r="T6" i="4" a="1"/>
  <c r="H22" i="2"/>
  <c r="DR7" i="4" a="1"/>
  <c r="AH12" i="4" a="1"/>
  <c r="E8" i="4" a="1"/>
  <c r="CR14" i="4" a="1"/>
  <c r="BI9" i="4" a="1"/>
  <c r="DM14" i="4" a="1"/>
  <c r="H16" i="4" a="1"/>
  <c r="EC5" i="4" a="1"/>
  <c r="BB11" i="4" a="1"/>
  <c r="DS5" i="4" a="1"/>
  <c r="BU14" i="4" a="1"/>
  <c r="DZ7" i="4" a="1"/>
  <c r="EG11" i="4" a="1"/>
  <c r="BH9" i="4" a="1"/>
  <c r="EG6" i="4" a="1"/>
  <c r="BW11" i="4" a="1"/>
  <c r="EA15" i="4" a="1"/>
  <c r="E54" i="3"/>
  <c r="DP13" i="4" a="1"/>
  <c r="CC12" i="4" a="1"/>
  <c r="AW77" i="3"/>
  <c r="G16" i="3"/>
  <c r="D18" i="2"/>
  <c r="Y46" i="3"/>
  <c r="AI5" i="4" a="1"/>
  <c r="K45" i="3"/>
  <c r="AL9" i="4" a="1"/>
  <c r="DY13" i="4" a="1"/>
  <c r="EE16" i="4" a="1"/>
  <c r="AO7" i="4" a="1"/>
  <c r="D42" i="3"/>
  <c r="BN13" i="4" a="1"/>
  <c r="BJ15" i="4" a="1"/>
  <c r="I16" i="4" a="1"/>
  <c r="AW50" i="3"/>
  <c r="CZ7" i="4" a="1"/>
  <c r="CM5" i="4" a="1"/>
  <c r="BC16" i="4" a="1"/>
  <c r="CG11" i="4" a="1"/>
  <c r="BF8" i="4" a="1"/>
  <c r="T11" i="4" a="1"/>
  <c r="CD14" i="4" a="1"/>
  <c r="AW84" i="3"/>
  <c r="CE6" i="4" a="1"/>
  <c r="G14" i="4" a="1"/>
  <c r="AY8" i="4" a="1"/>
  <c r="DG7" i="4" a="1"/>
  <c r="AF12" i="4" a="1"/>
  <c r="AW81" i="3"/>
  <c r="AA26" i="2"/>
  <c r="AA32" i="2"/>
  <c r="AA95" i="2"/>
  <c r="Z73" i="2"/>
  <c r="Y5" i="2"/>
  <c r="Y111" i="2" s="1"/>
  <c r="EP16" i="4" a="1"/>
  <c r="W6" i="2"/>
  <c r="EY5" i="4" a="1"/>
  <c r="FE6" i="4" a="1"/>
  <c r="BA13" i="3"/>
  <c r="AS22" i="3"/>
  <c r="N6" i="6" a="1"/>
  <c r="J22" i="2"/>
  <c r="BB15" i="3"/>
  <c r="BA23" i="3"/>
  <c r="FB7" i="4" a="1"/>
  <c r="EU11" i="4" a="1"/>
  <c r="EX7" i="4" a="1"/>
  <c r="Y29" i="2"/>
  <c r="AQ6" i="6" a="1"/>
  <c r="M5" i="6" a="1"/>
  <c r="BC17" i="3"/>
  <c r="FA11" i="4" a="1"/>
  <c r="Z54" i="2"/>
  <c r="Y82" i="2"/>
  <c r="AU40" i="3"/>
  <c r="AU19" i="3"/>
  <c r="AS29" i="3"/>
  <c r="T5" i="6" a="1"/>
  <c r="AA82" i="2"/>
  <c r="Z81" i="2"/>
  <c r="Z74" i="2"/>
  <c r="BD36" i="3"/>
  <c r="BC5" i="3"/>
  <c r="FF6" i="4" a="1"/>
  <c r="FF11" i="4" a="1"/>
  <c r="FA9" i="4" a="1"/>
  <c r="BC32" i="3"/>
  <c r="AU5" i="3"/>
  <c r="AP5" i="3"/>
  <c r="AU34" i="3"/>
  <c r="AU32" i="3"/>
  <c r="AW5" i="6" a="1"/>
  <c r="ET15" i="4" a="1"/>
  <c r="AU35" i="3"/>
  <c r="P20" i="2"/>
  <c r="ET13" i="4" a="1"/>
  <c r="EW15" i="4" a="1"/>
  <c r="AS35" i="3"/>
  <c r="BK6" i="4" a="1"/>
  <c r="BE11" i="4" a="1"/>
  <c r="G5" i="2"/>
  <c r="Y21" i="2"/>
  <c r="AJ5" i="6" a="1"/>
  <c r="AT13" i="3"/>
  <c r="O5" i="2"/>
  <c r="T7" i="2"/>
  <c r="S15" i="2"/>
  <c r="N22" i="2"/>
  <c r="DG13" i="4" a="1"/>
  <c r="AT21" i="3"/>
  <c r="AS5" i="6" a="1"/>
  <c r="AT45" i="3"/>
  <c r="BO8" i="4" a="1"/>
  <c r="DV16" i="4" a="1"/>
  <c r="F11" i="4" a="1"/>
  <c r="Z45" i="2"/>
  <c r="C6" i="4" a="1"/>
  <c r="AX37" i="3"/>
  <c r="I11" i="4" a="1"/>
  <c r="I26" i="2"/>
  <c r="E10" i="2"/>
  <c r="M14" i="4" a="1"/>
  <c r="AW11" i="3"/>
  <c r="AX35" i="3"/>
  <c r="K33" i="2"/>
  <c r="T6" i="2"/>
  <c r="BB31" i="3"/>
  <c r="ET9" i="4" a="1"/>
  <c r="DZ14" i="4" a="1"/>
  <c r="I45" i="3"/>
  <c r="Z71" i="2"/>
  <c r="EN15" i="4" a="1"/>
  <c r="AM46" i="3"/>
  <c r="U21" i="2"/>
  <c r="AT15" i="3"/>
  <c r="CR8" i="4" a="1"/>
  <c r="T12" i="2"/>
  <c r="W21" i="2"/>
  <c r="AX41" i="3"/>
  <c r="FA5" i="4" a="1"/>
  <c r="AT5" i="3"/>
  <c r="AR46" i="3"/>
  <c r="BZ5" i="4" a="1"/>
  <c r="AX31" i="3"/>
  <c r="F46" i="3"/>
  <c r="N28" i="2"/>
  <c r="Q35" i="2"/>
  <c r="CJ13" i="4" a="1"/>
  <c r="EE12" i="4" a="1"/>
  <c r="W11" i="4" a="1"/>
  <c r="AA16" i="4" a="1"/>
  <c r="AI46" i="3"/>
  <c r="AG15" i="4" a="1"/>
  <c r="E40" i="3"/>
  <c r="CW5" i="4" a="1"/>
  <c r="I8" i="2"/>
  <c r="X35" i="2"/>
  <c r="S29" i="2"/>
  <c r="J29" i="2"/>
  <c r="F14" i="2"/>
  <c r="D20" i="2"/>
  <c r="DT6" i="4" a="1"/>
  <c r="F32" i="2"/>
  <c r="CK11" i="4" a="1"/>
  <c r="DG16" i="4" a="1"/>
  <c r="V33" i="2"/>
  <c r="O11" i="2"/>
  <c r="W13" i="4" a="1"/>
  <c r="E32" i="3"/>
  <c r="V13" i="2"/>
  <c r="CS16" i="4" a="1"/>
  <c r="I27" i="2"/>
  <c r="AU5" i="4" a="1"/>
  <c r="D14" i="4" a="1"/>
  <c r="O13" i="2"/>
  <c r="CK15" i="4" a="1"/>
  <c r="DF16" i="4" a="1"/>
  <c r="G28" i="3"/>
  <c r="BJ9" i="4" a="1"/>
  <c r="BI11" i="4" a="1"/>
  <c r="J28" i="2"/>
  <c r="S15" i="4" a="1"/>
  <c r="P14" i="4" a="1"/>
  <c r="R18" i="2"/>
  <c r="D16" i="3"/>
  <c r="BY5" i="4" a="1"/>
  <c r="CD8" i="4" a="1"/>
  <c r="DK8" i="4" a="1"/>
  <c r="BA12" i="4" a="1"/>
  <c r="BG9" i="4" a="1"/>
  <c r="DD14" i="4" a="1"/>
  <c r="CA9" i="4" a="1"/>
  <c r="AW47" i="3"/>
  <c r="AR8" i="4" a="1"/>
  <c r="C17" i="2"/>
  <c r="K16" i="4" a="1"/>
  <c r="AV11" i="4" a="1"/>
  <c r="AC13" i="4" a="1"/>
  <c r="AR8" i="3"/>
  <c r="DY16" i="4" a="1"/>
  <c r="G29" i="2"/>
  <c r="J45" i="3"/>
  <c r="AZ12" i="4" a="1"/>
  <c r="CY7" i="4" a="1"/>
  <c r="H11" i="4" a="1"/>
  <c r="DW16" i="4" a="1"/>
  <c r="Q36" i="2"/>
  <c r="EC14" i="4" a="1"/>
  <c r="AB6" i="4" a="1"/>
  <c r="CP12" i="4" a="1"/>
  <c r="AO5" i="4" a="1"/>
  <c r="R7" i="4" a="1"/>
  <c r="F13" i="4" a="1"/>
  <c r="CE9" i="4" a="1"/>
  <c r="BF16" i="4" a="1"/>
  <c r="F28" i="3"/>
  <c r="K8" i="4" a="1"/>
  <c r="E95" i="3"/>
  <c r="CC15" i="4" a="1"/>
  <c r="G6" i="4" a="1"/>
  <c r="E70" i="3"/>
  <c r="W9" i="2"/>
  <c r="E34" i="3"/>
  <c r="EA11" i="4" a="1"/>
  <c r="F15" i="4" a="1"/>
  <c r="DQ12" i="4" a="1"/>
  <c r="G12" i="2"/>
  <c r="J12" i="2"/>
  <c r="P13" i="4" a="1"/>
  <c r="AS14" i="4" a="1"/>
  <c r="W28" i="2"/>
  <c r="W14" i="4" a="1"/>
  <c r="BO14" i="4" a="1"/>
  <c r="EI13" i="4" a="1"/>
  <c r="U5" i="2"/>
  <c r="Q16" i="4" a="1"/>
  <c r="CF11" i="4" a="1"/>
  <c r="E28" i="3"/>
  <c r="CQ7" i="4" a="1"/>
  <c r="CH16" i="4" a="1"/>
  <c r="AU73" i="3"/>
  <c r="BC26" i="3"/>
  <c r="Y16" i="2"/>
  <c r="BB16" i="3"/>
  <c r="F45" i="3"/>
  <c r="Z97" i="2"/>
  <c r="AZ7" i="3"/>
  <c r="J6" i="6" a="1"/>
  <c r="AA24" i="2"/>
  <c r="FA7" i="4" a="1"/>
  <c r="AA27" i="2"/>
  <c r="AZ8" i="3"/>
  <c r="Y80" i="2"/>
  <c r="AW28" i="3"/>
  <c r="BC40" i="3"/>
  <c r="AA85" i="2"/>
  <c r="AA107" i="2"/>
  <c r="AA23" i="2"/>
  <c r="AA34" i="2"/>
  <c r="FF14" i="4" a="1"/>
  <c r="AA69" i="2"/>
  <c r="AZ18" i="3"/>
  <c r="AE5" i="6" a="1"/>
  <c r="Y53" i="2"/>
  <c r="AS38" i="3"/>
  <c r="AP15" i="4" a="1"/>
  <c r="AA64" i="2"/>
  <c r="FF15" i="4" a="1"/>
  <c r="BC11" i="3"/>
  <c r="Z88" i="2"/>
  <c r="EY9" i="4" a="1"/>
  <c r="AG6" i="6" a="1"/>
  <c r="AA70" i="2"/>
  <c r="EM7" i="4" a="1"/>
  <c r="AX17" i="3"/>
  <c r="Z24" i="2"/>
  <c r="Y19" i="2"/>
  <c r="AA73" i="2"/>
  <c r="EW6" i="4" a="1"/>
  <c r="Z55" i="2"/>
  <c r="Z34" i="2"/>
  <c r="BC25" i="3"/>
  <c r="Z8" i="2"/>
  <c r="FF12" i="4" a="1"/>
  <c r="BC22" i="3"/>
  <c r="AU26" i="3"/>
  <c r="BD40" i="3"/>
  <c r="AU91" i="3"/>
  <c r="H5" i="2"/>
  <c r="AF25" i="3"/>
  <c r="AT9" i="3"/>
  <c r="L17" i="2"/>
  <c r="P11" i="2"/>
  <c r="EX11" i="4" a="1"/>
  <c r="AV35" i="3"/>
  <c r="G17" i="2"/>
  <c r="I10" i="2"/>
  <c r="C13" i="2"/>
  <c r="EM9" i="4" a="1"/>
  <c r="V32" i="2"/>
  <c r="AA12" i="2"/>
  <c r="Z95" i="2"/>
  <c r="F35" i="2"/>
  <c r="Q27" i="2"/>
  <c r="E10" i="3"/>
  <c r="AY18" i="3"/>
  <c r="AW35" i="3"/>
  <c r="N8" i="2"/>
  <c r="F22" i="2"/>
  <c r="AA30" i="2"/>
  <c r="H7" i="2"/>
  <c r="P9" i="2"/>
  <c r="CQ14" i="4" a="1"/>
  <c r="Z42" i="2"/>
  <c r="R54" i="2"/>
  <c r="Q25" i="2"/>
  <c r="W16" i="2"/>
  <c r="CM6" i="4" a="1"/>
  <c r="T16" i="2"/>
  <c r="AF42" i="3"/>
  <c r="AW41" i="3"/>
  <c r="AA59" i="2"/>
  <c r="AV31" i="3"/>
  <c r="AY24" i="3"/>
  <c r="CT8" i="4" a="1"/>
  <c r="AS15" i="4" a="1"/>
  <c r="AU37" i="3"/>
  <c r="Y5" i="4" a="1"/>
  <c r="N31" i="2"/>
  <c r="S28" i="2"/>
  <c r="W6" i="4" a="1"/>
  <c r="DW12" i="4" a="1"/>
  <c r="BB5" i="4" a="1"/>
  <c r="G30" i="2"/>
  <c r="CG8" i="4" a="1"/>
  <c r="AR5" i="4" a="1"/>
  <c r="BU12" i="4" a="1"/>
  <c r="DS14" i="4" a="1"/>
  <c r="J11" i="2"/>
  <c r="W10" i="2"/>
  <c r="D27" i="2"/>
  <c r="Q57" i="2"/>
  <c r="AL13" i="4" a="1"/>
  <c r="CF9" i="4" a="1"/>
  <c r="X32" i="2"/>
  <c r="AK6" i="4" a="1"/>
  <c r="AM14" i="4" a="1"/>
  <c r="G11" i="4" a="1"/>
  <c r="K28" i="2"/>
  <c r="BD8" i="4" a="1"/>
  <c r="AL45" i="3"/>
  <c r="O6" i="4" a="1"/>
  <c r="P14" i="2"/>
  <c r="E29" i="2"/>
  <c r="M24" i="2"/>
  <c r="DP14" i="4" a="1"/>
  <c r="DI6" i="4" a="1"/>
  <c r="S62" i="2"/>
  <c r="AT15" i="4" a="1"/>
  <c r="DW5" i="4" a="1"/>
  <c r="EA7" i="4" a="1"/>
  <c r="K12" i="2"/>
  <c r="EB12" i="4" a="1"/>
  <c r="BW5" i="4" a="1"/>
  <c r="J6" i="2"/>
  <c r="BL14" i="4" a="1"/>
  <c r="G32" i="2"/>
  <c r="R12" i="2"/>
  <c r="N34" i="2"/>
  <c r="AR36" i="3"/>
  <c r="S16" i="4" a="1"/>
  <c r="P23" i="2"/>
  <c r="AA8" i="4" a="1"/>
  <c r="AS16" i="4" a="1"/>
  <c r="J14" i="4" a="1"/>
  <c r="BT5" i="4" a="1"/>
  <c r="DV14" i="4" a="1"/>
  <c r="EB9" i="4" a="1"/>
  <c r="EH12" i="4" a="1"/>
  <c r="AR9" i="4" a="1"/>
  <c r="DK11" i="4" a="1"/>
  <c r="Z12" i="4" a="1"/>
  <c r="BZ11" i="4" a="1"/>
  <c r="CO16" i="4" a="1"/>
  <c r="AH45" i="3"/>
  <c r="AJ8" i="4" a="1"/>
  <c r="G5" i="3"/>
  <c r="Z14" i="4" a="1"/>
  <c r="CQ11" i="4" a="1"/>
  <c r="H21" i="2"/>
  <c r="BE5" i="4" a="1"/>
  <c r="O5" i="4" a="1"/>
  <c r="N21" i="2"/>
  <c r="E5" i="2"/>
  <c r="BG16" i="4" a="1"/>
  <c r="BL16" i="4" a="1"/>
  <c r="BX16" i="4" a="1"/>
  <c r="CT9" i="4" a="1"/>
  <c r="AG9" i="4" a="1"/>
  <c r="AR39" i="3"/>
  <c r="G62" i="3"/>
  <c r="N25" i="2"/>
  <c r="EJ5" i="4" a="1"/>
  <c r="K19" i="2"/>
  <c r="F16" i="3"/>
  <c r="DN5" i="4" a="1"/>
  <c r="W12" i="4" a="1"/>
  <c r="N12" i="2"/>
  <c r="DA8" i="4" a="1"/>
  <c r="E31" i="3"/>
  <c r="P6" i="4" a="1"/>
  <c r="J23" i="2"/>
  <c r="P5" i="2"/>
  <c r="DV5" i="4" a="1"/>
  <c r="N14" i="4" a="1"/>
  <c r="EG8" i="4" a="1"/>
  <c r="DE8" i="4" a="1"/>
  <c r="AX6" i="4" a="1"/>
  <c r="DQ7" i="4" a="1"/>
  <c r="AP5" i="4" a="1"/>
  <c r="BQ8" i="4" a="1"/>
  <c r="P11" i="4" a="1"/>
  <c r="M9" i="4" a="1"/>
  <c r="F13" i="3"/>
  <c r="F8" i="4" a="1"/>
  <c r="AC5" i="4" a="1"/>
  <c r="R12" i="4" a="1"/>
  <c r="BT15" i="4" a="1"/>
  <c r="CE11" i="4" a="1"/>
  <c r="AW70" i="3"/>
  <c r="DC8" i="4" a="1"/>
  <c r="CC5" i="4" a="1"/>
  <c r="I15" i="4" a="1"/>
  <c r="ED14" i="4" a="1"/>
  <c r="DS16" i="4" a="1"/>
  <c r="AB8" i="4" a="1"/>
  <c r="AW13" i="4" a="1"/>
  <c r="AG5" i="4" a="1"/>
  <c r="P25" i="2"/>
  <c r="AG6" i="4" a="1"/>
  <c r="D41" i="3"/>
  <c r="CW6" i="4" a="1"/>
  <c r="BC14" i="4" a="1"/>
  <c r="CY13" i="4" a="1"/>
  <c r="DD8" i="4" a="1"/>
  <c r="CY5" i="4" a="1"/>
  <c r="CP8" i="4" a="1"/>
  <c r="G93" i="3"/>
  <c r="N19" i="2"/>
  <c r="O23" i="2"/>
  <c r="AF29" i="3"/>
  <c r="W33" i="2"/>
  <c r="FE5" i="4" a="1"/>
  <c r="C28" i="2"/>
  <c r="L6" i="6" a="1"/>
  <c r="DU7" i="4" a="1"/>
  <c r="Z45" i="3"/>
  <c r="CN13" i="4" a="1"/>
  <c r="AL7" i="4" a="1"/>
  <c r="CE14" i="4" a="1"/>
  <c r="BL8" i="4" a="1"/>
  <c r="BG8" i="4" a="1"/>
  <c r="R11" i="2"/>
  <c r="AW7" i="4" a="1"/>
  <c r="CT6" i="4" a="1"/>
  <c r="H25" i="2"/>
  <c r="DZ16" i="4" a="1"/>
  <c r="AD45" i="3"/>
  <c r="BY8" i="4" a="1"/>
  <c r="H9" i="2"/>
  <c r="DF11" i="4" a="1"/>
  <c r="AJ45" i="3"/>
  <c r="Q31" i="2"/>
  <c r="AB13" i="4" a="1"/>
  <c r="E7" i="2"/>
  <c r="G24" i="2"/>
  <c r="AO14" i="4" a="1"/>
  <c r="BE9" i="4" a="1"/>
  <c r="DH7" i="4" a="1"/>
  <c r="P36" i="2"/>
  <c r="AP11" i="4" a="1"/>
  <c r="CK14" i="4" a="1"/>
  <c r="DP12" i="4" a="1"/>
  <c r="Z15" i="4" a="1"/>
  <c r="AI15" i="4" a="1"/>
  <c r="AX7" i="4" a="1"/>
  <c r="CH11" i="4" a="1"/>
  <c r="CW12" i="4" a="1"/>
  <c r="AO6" i="4" a="1"/>
  <c r="Z6" i="4" a="1"/>
  <c r="AJ6" i="4" a="1"/>
  <c r="ED5" i="4" a="1"/>
  <c r="J13" i="4" a="1"/>
  <c r="AC45" i="3"/>
  <c r="DK16" i="4" a="1"/>
  <c r="C65" i="2"/>
  <c r="AB46" i="3"/>
  <c r="H5" i="4" a="1"/>
  <c r="J17" i="2"/>
  <c r="CK7" i="4" a="1"/>
  <c r="DW11" i="4" a="1"/>
  <c r="DL12" i="4" a="1"/>
  <c r="M30" i="2"/>
  <c r="L15" i="4" a="1"/>
  <c r="E45" i="2"/>
  <c r="BW12" i="4" a="1"/>
  <c r="J16" i="2"/>
  <c r="AJ15" i="4" a="1"/>
  <c r="D34" i="3"/>
  <c r="DJ8" i="4" a="1"/>
  <c r="D8" i="4" a="1"/>
  <c r="AW93" i="3"/>
  <c r="DL9" i="4" a="1"/>
  <c r="W9" i="4" a="1"/>
  <c r="BQ13" i="4" a="1"/>
  <c r="M26" i="2"/>
  <c r="AW62" i="3"/>
  <c r="AT6" i="4" a="1"/>
  <c r="DJ9" i="4" a="1"/>
  <c r="DG14" i="4" a="1"/>
  <c r="X36" i="2"/>
  <c r="S6" i="4" a="1"/>
  <c r="AE6" i="4" a="1"/>
  <c r="CV7" i="4" a="1"/>
  <c r="AW89" i="3"/>
  <c r="E55" i="3"/>
  <c r="AW83" i="3"/>
  <c r="AW54" i="3"/>
  <c r="G77" i="3"/>
  <c r="AT6" i="6" a="1"/>
  <c r="S5" i="6" a="1"/>
  <c r="J5" i="6" a="1"/>
  <c r="AZ30" i="3"/>
  <c r="AA60" i="2"/>
  <c r="BC21" i="3"/>
  <c r="Z28" i="2"/>
  <c r="Y46" i="2"/>
  <c r="BD22" i="3"/>
  <c r="Z52" i="2"/>
  <c r="FC9" i="4" a="1"/>
  <c r="EN12" i="4" a="1"/>
  <c r="BA11" i="3"/>
  <c r="D11" i="2"/>
  <c r="EL5" i="4" a="1"/>
  <c r="AR7" i="3"/>
  <c r="J14" i="2"/>
  <c r="EU6" i="4" a="1"/>
  <c r="BB32" i="3"/>
  <c r="CZ12" i="4" a="1"/>
  <c r="AT35" i="3"/>
  <c r="C16" i="2"/>
  <c r="EY8" i="4" a="1"/>
  <c r="AF12" i="3"/>
  <c r="EI14" i="4" a="1"/>
  <c r="FA6" i="4" a="1"/>
  <c r="EU14" i="4" a="1"/>
  <c r="Y27" i="2"/>
  <c r="Q58" i="2"/>
  <c r="Z57" i="2"/>
  <c r="R6" i="4" a="1"/>
  <c r="EL15" i="4" a="1"/>
  <c r="L5" i="2"/>
  <c r="P69" i="2"/>
  <c r="AL11" i="4" a="1"/>
  <c r="BL11" i="4" a="1"/>
  <c r="DA7" i="4" a="1"/>
  <c r="AO11" i="4" a="1"/>
  <c r="Z7" i="4" a="1"/>
  <c r="CV16" i="4" a="1"/>
  <c r="T32" i="2"/>
  <c r="CG12" i="4" a="1"/>
  <c r="U26" i="2"/>
  <c r="AT14" i="4" a="1"/>
  <c r="DU8" i="4" a="1"/>
  <c r="AE8" i="4" a="1"/>
  <c r="D11" i="4" a="1"/>
  <c r="EJ14" i="4" a="1"/>
  <c r="E30" i="3"/>
  <c r="AH16" i="4" a="1"/>
  <c r="G27" i="2"/>
  <c r="BI6" i="4" a="1"/>
  <c r="AT7" i="4" a="1"/>
  <c r="DK6" i="4" a="1"/>
  <c r="F35" i="3"/>
  <c r="BR15" i="4" a="1"/>
  <c r="BY6" i="4" a="1"/>
  <c r="BN16" i="4" a="1"/>
  <c r="CU16" i="4" a="1"/>
  <c r="BJ12" i="4" a="1"/>
  <c r="T9" i="2"/>
  <c r="CA7" i="4" a="1"/>
  <c r="CV5" i="4" a="1"/>
  <c r="N16" i="4" a="1"/>
  <c r="DY7" i="4" a="1"/>
  <c r="CU11" i="4" a="1"/>
  <c r="CI8" i="4" a="1"/>
  <c r="E7" i="3"/>
  <c r="BA15" i="4" a="1"/>
  <c r="D39" i="3"/>
  <c r="K46" i="3"/>
  <c r="AZ15" i="4" a="1"/>
  <c r="M11" i="2"/>
  <c r="DK15" i="4" a="1"/>
  <c r="BI15" i="4" a="1"/>
  <c r="DZ8" i="4" a="1"/>
  <c r="DS15" i="4" a="1"/>
  <c r="AU9" i="4" a="1"/>
  <c r="DR8" i="4" a="1"/>
  <c r="DP8" i="4" a="1"/>
  <c r="BY7" i="4" a="1"/>
  <c r="O8" i="4" a="1"/>
  <c r="AW91" i="3"/>
  <c r="CP7" i="4" a="1"/>
  <c r="BP12" i="4" a="1"/>
  <c r="BG11" i="4" a="1"/>
  <c r="BL15" i="4" a="1"/>
  <c r="L12" i="4" a="1"/>
  <c r="P45" i="3"/>
  <c r="D5" i="4" a="1"/>
  <c r="N13" i="4" a="1"/>
  <c r="S8" i="2"/>
  <c r="EI8" i="4" a="1"/>
  <c r="AT16" i="4" a="1"/>
  <c r="DB9" i="4" a="1"/>
  <c r="Z46" i="3"/>
  <c r="CO15" i="4" a="1"/>
  <c r="CE7" i="4" a="1"/>
  <c r="AQ45" i="3"/>
  <c r="BW9" i="4" a="1"/>
  <c r="E46" i="3"/>
  <c r="AR11" i="4" a="1"/>
  <c r="AW96" i="3"/>
  <c r="H17" i="2"/>
  <c r="EP9" i="4" a="1"/>
  <c r="AA81" i="2"/>
  <c r="ES14" i="4" a="1"/>
  <c r="Y20" i="2"/>
  <c r="AX45" i="3"/>
  <c r="Y8" i="2"/>
  <c r="BD34" i="3"/>
  <c r="AY46" i="3"/>
  <c r="R34" i="2"/>
  <c r="AX6" i="6" a="1"/>
  <c r="F34" i="3"/>
  <c r="C7" i="4" a="1"/>
  <c r="AS46" i="3"/>
  <c r="H19" i="2"/>
  <c r="AV28" i="3"/>
  <c r="P34" i="2"/>
  <c r="X33" i="2"/>
  <c r="F31" i="2"/>
  <c r="BA12" i="3"/>
  <c r="AY35" i="3"/>
  <c r="X92" i="2"/>
  <c r="K6" i="2"/>
  <c r="T26" i="2"/>
  <c r="EV8" i="4" a="1"/>
  <c r="F21" i="2"/>
  <c r="EV15" i="4" a="1"/>
  <c r="W12" i="2"/>
  <c r="D47" i="2"/>
  <c r="AF17" i="3"/>
  <c r="E14" i="2"/>
  <c r="R31" i="2"/>
  <c r="AA84" i="2"/>
  <c r="DQ15" i="4" a="1"/>
  <c r="AR92" i="3"/>
  <c r="DA15" i="4" a="1"/>
  <c r="F30" i="3"/>
  <c r="DO16" i="4" a="1"/>
  <c r="AE7" i="4" a="1"/>
  <c r="J10" i="2"/>
  <c r="CT7" i="4" a="1"/>
  <c r="AR19" i="3"/>
  <c r="AR37" i="3"/>
  <c r="BZ14" i="4" a="1"/>
  <c r="X10" i="2"/>
  <c r="D23" i="2"/>
  <c r="E16" i="3"/>
  <c r="DW15" i="4" a="1"/>
  <c r="DG12" i="4" a="1"/>
  <c r="F8" i="3"/>
  <c r="CB7" i="4" a="1"/>
  <c r="EI6" i="4" a="1"/>
  <c r="AU16" i="4" a="1"/>
  <c r="G17" i="3"/>
  <c r="AR35" i="3"/>
  <c r="S13" i="2"/>
  <c r="I5" i="4" a="1"/>
  <c r="DF8" i="4" a="1"/>
  <c r="DB16" i="4" a="1"/>
  <c r="AS5" i="4" a="1"/>
  <c r="E20" i="2"/>
  <c r="AY14" i="4" a="1"/>
  <c r="AJ14" i="4" a="1"/>
  <c r="X11" i="2"/>
  <c r="BZ12" i="4" a="1"/>
  <c r="BS9" i="4" a="1"/>
  <c r="E34" i="2"/>
  <c r="AX8" i="4" a="1"/>
  <c r="G81" i="3"/>
  <c r="AQ6" i="3"/>
  <c r="F5" i="3"/>
  <c r="Q29" i="2"/>
  <c r="T28" i="2"/>
  <c r="AR78" i="3"/>
  <c r="D14" i="3"/>
  <c r="Q7" i="2"/>
  <c r="O7" i="4" a="1"/>
  <c r="EB5" i="4" a="1"/>
  <c r="O46" i="3"/>
  <c r="CI13" i="4" a="1"/>
  <c r="AA45" i="3"/>
  <c r="P15" i="2"/>
  <c r="Y9" i="4" a="1"/>
  <c r="DP5" i="4" a="1"/>
  <c r="H6" i="2"/>
  <c r="N26" i="2"/>
  <c r="AP46" i="3"/>
  <c r="AQ16" i="4" a="1"/>
  <c r="BP6" i="4" a="1"/>
  <c r="AS12" i="4" a="1"/>
  <c r="AW59" i="3"/>
  <c r="BB7" i="3"/>
  <c r="Z93" i="2"/>
  <c r="AA108" i="2"/>
  <c r="AA43" i="2"/>
  <c r="BC31" i="3"/>
  <c r="ET12" i="4" a="1"/>
  <c r="I12" i="2"/>
  <c r="EY6" i="4" a="1"/>
  <c r="AU28" i="3"/>
  <c r="AA46" i="2"/>
  <c r="Z49" i="2"/>
  <c r="Y107" i="2"/>
  <c r="AY78" i="3"/>
  <c r="BD31" i="3"/>
  <c r="EY16" i="4" a="1"/>
  <c r="AW37" i="3"/>
  <c r="AY6" i="3"/>
  <c r="D29" i="2"/>
  <c r="J35" i="2"/>
  <c r="AR72" i="3"/>
  <c r="AZ26" i="3"/>
  <c r="D15" i="2"/>
  <c r="U19" i="2"/>
  <c r="EO13" i="4" a="1"/>
  <c r="DU11" i="4" a="1"/>
  <c r="N17" i="2"/>
  <c r="FC6" i="4" a="1"/>
  <c r="AS5" i="3"/>
  <c r="H31" i="2"/>
  <c r="AZ36" i="3"/>
  <c r="S30" i="2"/>
  <c r="AT27" i="3"/>
  <c r="U30" i="2"/>
  <c r="AX14" i="3"/>
  <c r="R17" i="2"/>
  <c r="AY20" i="3"/>
  <c r="AV40" i="3"/>
  <c r="M25" i="2"/>
  <c r="G13" i="2"/>
  <c r="X5" i="4" a="1"/>
  <c r="BQ15" i="4" a="1"/>
  <c r="AK16" i="4" a="1"/>
  <c r="K24" i="2"/>
  <c r="H49" i="2"/>
  <c r="E21" i="2"/>
  <c r="L6" i="4" a="1"/>
  <c r="AR12" i="3"/>
  <c r="E68" i="3"/>
  <c r="DR6" i="4" a="1"/>
  <c r="CR16" i="4" a="1"/>
  <c r="DX14" i="4" a="1"/>
  <c r="CG16" i="4" a="1"/>
  <c r="AS6" i="4" a="1"/>
  <c r="DB6" i="4" a="1"/>
  <c r="U24" i="2"/>
  <c r="BT6" i="4" a="1"/>
  <c r="G30" i="3"/>
  <c r="P35" i="2"/>
  <c r="AJ13" i="4" a="1"/>
  <c r="E38" i="3"/>
  <c r="CI9" i="4" a="1"/>
  <c r="BR11" i="4" a="1"/>
  <c r="EF8" i="4" a="1"/>
  <c r="G20" i="3"/>
  <c r="H12" i="4" a="1"/>
  <c r="EJ8" i="4" a="1"/>
  <c r="W14" i="2"/>
  <c r="E12" i="3"/>
  <c r="DR15" i="4" a="1"/>
  <c r="E13" i="4" a="1"/>
  <c r="E29" i="3"/>
  <c r="BD16" i="4" a="1"/>
  <c r="BI14" i="4" a="1"/>
  <c r="J16" i="4" a="1"/>
  <c r="BC69" i="3"/>
  <c r="CB15" i="4" a="1"/>
  <c r="CU5" i="4" a="1"/>
  <c r="AX97" i="3"/>
  <c r="BA11" i="4" a="1"/>
  <c r="E36" i="3"/>
  <c r="AW76" i="3"/>
  <c r="BA50" i="3"/>
  <c r="AA91" i="2"/>
  <c r="BC16" i="3"/>
  <c r="Y104" i="2"/>
  <c r="Y90" i="2"/>
  <c r="FB9" i="4" a="1"/>
  <c r="AS6" i="3"/>
  <c r="P17" i="2"/>
  <c r="AF13" i="3"/>
  <c r="Y63" i="2"/>
  <c r="EY13" i="4" a="1"/>
  <c r="AF11" i="3"/>
  <c r="BC28" i="3"/>
  <c r="BA46" i="3"/>
  <c r="AT14" i="3"/>
  <c r="ES6" i="4" a="1"/>
  <c r="EM6" i="4" a="1"/>
  <c r="FD16" i="4" a="1"/>
  <c r="EL14" i="4" a="1"/>
  <c r="K25" i="2"/>
  <c r="AF10" i="3"/>
  <c r="M33" i="2"/>
  <c r="BA10" i="3"/>
  <c r="V6" i="6" a="1"/>
  <c r="X15" i="2"/>
  <c r="AZ25" i="3"/>
  <c r="AU80" i="3"/>
  <c r="AR15" i="3"/>
  <c r="T13" i="2"/>
  <c r="AF5" i="3"/>
  <c r="BL9" i="4" a="1"/>
  <c r="EM5" i="4" a="1"/>
  <c r="AS19" i="3"/>
  <c r="V11" i="2"/>
  <c r="BB45" i="3"/>
  <c r="CI7" i="4" a="1"/>
  <c r="AS42" i="3"/>
  <c r="AU11" i="3"/>
  <c r="AK5" i="4" a="1"/>
  <c r="R15" i="2"/>
  <c r="W26" i="2"/>
  <c r="BP7" i="4" a="1"/>
  <c r="DF15" i="4" a="1"/>
  <c r="CA16" i="4" a="1"/>
  <c r="G6" i="2"/>
  <c r="AR13" i="4" a="1"/>
  <c r="G21" i="2"/>
  <c r="AR26" i="3"/>
  <c r="G22" i="2"/>
  <c r="X6" i="4" a="1"/>
  <c r="W11" i="2"/>
  <c r="BI8" i="4" a="1"/>
  <c r="V25" i="2"/>
  <c r="DC9" i="4" a="1"/>
  <c r="CS13" i="4" a="1"/>
  <c r="L45" i="3"/>
  <c r="V11" i="4" a="1"/>
  <c r="EK7" i="4" a="1"/>
  <c r="I5" i="2"/>
  <c r="CJ9" i="4" a="1"/>
  <c r="AI16" i="4" a="1"/>
  <c r="T14" i="4" a="1"/>
  <c r="G79" i="3"/>
  <c r="R35" i="2"/>
  <c r="CB13" i="4" a="1"/>
  <c r="Q8" i="4" a="1"/>
  <c r="M16" i="2"/>
  <c r="AI12" i="4" a="1"/>
  <c r="BB12" i="4" a="1"/>
  <c r="M13" i="2"/>
  <c r="BO15" i="4" a="1"/>
  <c r="BA6" i="4" a="1"/>
  <c r="DC14" i="4" a="1"/>
  <c r="D20" i="3"/>
  <c r="AU13" i="4" a="1"/>
  <c r="DO8" i="4" a="1"/>
  <c r="CK16" i="4" a="1"/>
  <c r="AR49" i="3"/>
  <c r="L14" i="4" a="1"/>
  <c r="AT12" i="4" a="1"/>
  <c r="BS16" i="4" a="1"/>
  <c r="BO9" i="4" a="1"/>
  <c r="AX85" i="3"/>
  <c r="CB6" i="4" a="1"/>
  <c r="AX84" i="3"/>
  <c r="S8" i="4" a="1"/>
  <c r="CY11" i="4" a="1"/>
  <c r="AW61" i="3"/>
  <c r="AN46" i="3"/>
  <c r="BJ16" i="4" a="1"/>
  <c r="AR23" i="3"/>
  <c r="W16" i="4" a="1"/>
  <c r="AW92" i="3"/>
  <c r="G72" i="3"/>
  <c r="BB14" i="3"/>
  <c r="AU14" i="3"/>
  <c r="AA51" i="2"/>
  <c r="AW33" i="3"/>
  <c r="Z77" i="2"/>
  <c r="Y28" i="2"/>
  <c r="BD33" i="3"/>
  <c r="Y30" i="2"/>
  <c r="AD5" i="6" a="1"/>
  <c r="AF15" i="3"/>
  <c r="X20" i="2"/>
  <c r="Z22" i="2"/>
  <c r="C7" i="2"/>
  <c r="D21" i="2"/>
  <c r="M5" i="2"/>
  <c r="AU21" i="3"/>
  <c r="K34" i="2"/>
  <c r="FA16" i="4" a="1"/>
  <c r="EN14" i="4" a="1"/>
  <c r="D35" i="2"/>
  <c r="H10" i="2"/>
  <c r="AV5" i="3"/>
  <c r="W45" i="3"/>
  <c r="EL11" i="4" a="1"/>
  <c r="L7" i="2"/>
  <c r="Y89" i="2"/>
  <c r="AY7" i="3"/>
  <c r="C20" i="2"/>
  <c r="F8" i="2"/>
  <c r="AT18" i="3"/>
  <c r="I17" i="2"/>
  <c r="BD9" i="4" a="1"/>
  <c r="W18" i="2"/>
  <c r="R25" i="2"/>
  <c r="L16" i="4" a="1"/>
  <c r="D40" i="3"/>
  <c r="DE6" i="4" a="1"/>
  <c r="V16" i="2"/>
  <c r="BI7" i="4" a="1"/>
  <c r="AC16" i="4" a="1"/>
  <c r="U16" i="4" a="1"/>
  <c r="BW6" i="4" a="1"/>
  <c r="G8" i="2"/>
  <c r="AI13" i="4" a="1"/>
  <c r="CU13" i="4" a="1"/>
  <c r="DH12" i="4" a="1"/>
  <c r="BO12" i="4" a="1"/>
  <c r="BI16" i="4" a="1"/>
  <c r="BJ13" i="4" a="1"/>
  <c r="EE11" i="4" a="1"/>
  <c r="T35" i="2"/>
  <c r="D22" i="2"/>
  <c r="AL12" i="4" a="1"/>
  <c r="CL15" i="4" a="1"/>
  <c r="AZ8" i="4" a="1"/>
  <c r="EB11" i="4" a="1"/>
  <c r="EF5" i="4" a="1"/>
  <c r="DW13" i="4" a="1"/>
  <c r="CO9" i="4" a="1"/>
  <c r="D12" i="4" a="1"/>
  <c r="AR55" i="3"/>
  <c r="BV15" i="4" a="1"/>
  <c r="EE13" i="4" a="1"/>
  <c r="AD11" i="3"/>
  <c r="DA6" i="4" a="1"/>
  <c r="CU7" i="4" a="1"/>
  <c r="AX48" i="3"/>
  <c r="I8" i="4" a="1"/>
  <c r="CD13" i="4" a="1"/>
  <c r="BE12" i="4" a="1"/>
  <c r="AT13" i="4" a="1"/>
  <c r="U7" i="2"/>
  <c r="V6" i="4" a="1"/>
  <c r="D8" i="3"/>
  <c r="G14" i="2"/>
  <c r="G36" i="2"/>
  <c r="AP14" i="4" a="1"/>
  <c r="AO45" i="3"/>
  <c r="DI7" i="4" a="1"/>
  <c r="AM15" i="4" a="1"/>
  <c r="AV12" i="4" a="1"/>
  <c r="BM16" i="4" a="1"/>
  <c r="AX12" i="4" a="1"/>
  <c r="G13" i="3"/>
  <c r="DO11" i="4" a="1"/>
  <c r="CB14" i="4" a="1"/>
  <c r="AX94" i="3"/>
  <c r="AA9" i="4" a="1"/>
  <c r="DM8" i="4" a="1"/>
  <c r="BY15" i="4" a="1"/>
  <c r="G16" i="4" a="1"/>
  <c r="AR58" i="3"/>
  <c r="BD26" i="3"/>
  <c r="Y87" i="2"/>
  <c r="EM13" i="4" a="1"/>
  <c r="BA15" i="3"/>
  <c r="FB8" i="4" a="1"/>
  <c r="AS7" i="3"/>
  <c r="AA106" i="2"/>
  <c r="AA96" i="2"/>
  <c r="EW9" i="4" a="1"/>
  <c r="FA14" i="4" a="1"/>
  <c r="AA94" i="2"/>
  <c r="BD24" i="3"/>
  <c r="AW22" i="3"/>
  <c r="AT29" i="3"/>
  <c r="BC30" i="3"/>
  <c r="Z104" i="2"/>
  <c r="FA12" i="4" a="1"/>
  <c r="AA22" i="2"/>
  <c r="BA28" i="3"/>
  <c r="FC7" i="4" a="1"/>
  <c r="AZ12" i="3"/>
  <c r="Z67" i="2"/>
  <c r="AS13" i="3"/>
  <c r="O30" i="2"/>
  <c r="AW38" i="3"/>
  <c r="AF28" i="3"/>
  <c r="R5" i="2"/>
  <c r="BR5" i="4" a="1"/>
  <c r="AW31" i="3"/>
  <c r="D5" i="2"/>
  <c r="S22" i="2"/>
  <c r="R30" i="2"/>
  <c r="EO16" i="4" a="1"/>
  <c r="AT37" i="3"/>
  <c r="C36" i="2"/>
  <c r="CN8" i="4" a="1"/>
  <c r="AV12" i="3"/>
  <c r="AW29" i="3"/>
  <c r="FD5" i="4" a="1"/>
  <c r="CA12" i="4" a="1"/>
  <c r="X7" i="2"/>
  <c r="V7" i="4" a="1"/>
  <c r="BD5" i="3"/>
  <c r="AY10" i="3"/>
  <c r="X16" i="2"/>
  <c r="G7" i="3"/>
  <c r="F6" i="6" a="1"/>
  <c r="AT41" i="3"/>
  <c r="AZ29" i="3"/>
  <c r="C31" i="2"/>
  <c r="CN11" i="4" a="1"/>
  <c r="DK14" i="4" a="1"/>
  <c r="AY68" i="3"/>
  <c r="EQ6" i="4" a="1"/>
  <c r="P31" i="2"/>
  <c r="W25" i="2"/>
  <c r="AZ40" i="3"/>
  <c r="AX12" i="3"/>
  <c r="EE14" i="4" a="1"/>
  <c r="U14" i="2"/>
  <c r="L32" i="2"/>
  <c r="AT5" i="6" a="1"/>
  <c r="Z66" i="2"/>
  <c r="AF18" i="3"/>
  <c r="EM16" i="4" a="1"/>
  <c r="P22" i="2"/>
  <c r="W19" i="2"/>
  <c r="EP15" i="4" a="1"/>
  <c r="BC5" i="4" a="1"/>
  <c r="DT7" i="4" a="1"/>
  <c r="H12" i="2"/>
  <c r="K12" i="4" a="1"/>
  <c r="L31" i="2"/>
  <c r="DJ11" i="4" a="1"/>
  <c r="N11" i="2"/>
  <c r="J5" i="2"/>
  <c r="CL16" i="4" a="1"/>
  <c r="AE12" i="4" a="1"/>
  <c r="CO7" i="4" a="1"/>
  <c r="BH6" i="4" a="1"/>
  <c r="J31" i="2"/>
  <c r="G33" i="2"/>
  <c r="ED9" i="4" a="1"/>
  <c r="S12" i="4" a="1"/>
  <c r="BW14" i="4" a="1"/>
  <c r="AR56" i="3"/>
  <c r="Q13" i="4" a="1"/>
  <c r="DY12" i="4" a="1"/>
  <c r="P32" i="2"/>
  <c r="AI7" i="4" a="1"/>
  <c r="DY11" i="4" a="1"/>
  <c r="DM16" i="4" a="1"/>
  <c r="AA5" i="4" a="1"/>
  <c r="AY15" i="4" a="1"/>
  <c r="BK12" i="4" a="1"/>
  <c r="C9" i="2"/>
  <c r="DM13" i="4" a="1"/>
  <c r="V8" i="2"/>
  <c r="L26" i="2"/>
  <c r="S25" i="2"/>
  <c r="BC13" i="4" a="1"/>
  <c r="Z8" i="4" a="1"/>
  <c r="M34" i="2"/>
  <c r="DY5" i="4" a="1"/>
  <c r="DP6" i="4" a="1"/>
  <c r="Q45" i="3"/>
  <c r="R21" i="2"/>
  <c r="M31" i="2"/>
  <c r="Y6" i="4" a="1"/>
  <c r="Q56" i="2"/>
  <c r="X14" i="2"/>
  <c r="X7" i="4" a="1"/>
  <c r="H7" i="4" a="1"/>
  <c r="Q6" i="4" a="1"/>
  <c r="AR40" i="3"/>
  <c r="Z9" i="4" a="1"/>
  <c r="EB13" i="4" a="1"/>
  <c r="BJ11" i="4" a="1"/>
  <c r="F25" i="3"/>
  <c r="F7" i="3"/>
  <c r="BR7" i="4" a="1"/>
  <c r="AQ9" i="4" a="1"/>
  <c r="DT5" i="4" a="1"/>
  <c r="V46" i="3"/>
  <c r="M9" i="2"/>
  <c r="DP15" i="4" a="1"/>
  <c r="BQ14" i="4" a="1"/>
  <c r="BT12" i="4" a="1"/>
  <c r="ED12" i="4" a="1"/>
  <c r="DJ12" i="4" a="1"/>
  <c r="CI11" i="4" a="1"/>
  <c r="CP5" i="4" a="1"/>
  <c r="DC13" i="4" a="1"/>
  <c r="DC16" i="4" a="1"/>
  <c r="K13" i="4" a="1"/>
  <c r="BD6" i="4" a="1"/>
  <c r="Y12" i="4" a="1"/>
  <c r="AA14" i="4" a="1"/>
  <c r="AX63" i="3"/>
  <c r="EG12" i="4" a="1"/>
  <c r="CG6" i="4" a="1"/>
  <c r="DF6" i="4" a="1"/>
  <c r="P9" i="4" a="1"/>
  <c r="DP11" i="4" a="1"/>
  <c r="AA13" i="4" a="1"/>
  <c r="AJ16" i="4" a="1"/>
  <c r="CW8" i="4" a="1"/>
  <c r="Y7" i="4" a="1"/>
  <c r="D15" i="3"/>
  <c r="BE15" i="4" a="1"/>
  <c r="BX9" i="4" a="1"/>
  <c r="EE5" i="4" a="1"/>
  <c r="CR6" i="4" a="1"/>
  <c r="U8" i="2"/>
  <c r="DU9" i="4" a="1"/>
  <c r="AD16" i="3"/>
  <c r="BI12" i="4" a="1"/>
  <c r="AR12" i="4" a="1"/>
  <c r="T14" i="2"/>
  <c r="DM9" i="4" a="1"/>
  <c r="AE14" i="4" a="1"/>
  <c r="E19" i="3"/>
  <c r="F26" i="3"/>
  <c r="CL8" i="4" a="1"/>
  <c r="AU14" i="4" a="1"/>
  <c r="D27" i="3"/>
  <c r="CH14" i="4" a="1"/>
  <c r="CY8" i="4" a="1"/>
  <c r="W74" i="2"/>
  <c r="CV8" i="4" a="1"/>
  <c r="EJ15" i="4" a="1"/>
  <c r="AR41" i="3"/>
  <c r="D9" i="3"/>
  <c r="EF7" i="4" a="1"/>
  <c r="AW66" i="3"/>
  <c r="DH11" i="4" a="1"/>
  <c r="CW15" i="4" a="1"/>
  <c r="AX11" i="4" a="1"/>
  <c r="T5" i="4" a="1"/>
  <c r="AY12" i="4" a="1"/>
  <c r="DK12" i="4" a="1"/>
  <c r="BB6" i="4" a="1"/>
  <c r="AD8" i="4" a="1"/>
  <c r="AL5" i="4" a="1"/>
  <c r="C26" i="2"/>
  <c r="CC9" i="4" a="1"/>
  <c r="D25" i="3"/>
  <c r="EH7" i="4" a="1"/>
  <c r="D32" i="3"/>
  <c r="DG6" i="4" a="1"/>
  <c r="DW6" i="4" a="1"/>
  <c r="AY61" i="3"/>
  <c r="AW57" i="3"/>
  <c r="AY66" i="3"/>
  <c r="AX64" i="3"/>
  <c r="BA92" i="3"/>
  <c r="AA9" i="2"/>
  <c r="Z12" i="2"/>
  <c r="AT40" i="3"/>
  <c r="Z92" i="2"/>
  <c r="AV39" i="3"/>
  <c r="AV26" i="3"/>
  <c r="FE14" i="4" a="1"/>
  <c r="FD7" i="4" a="1"/>
  <c r="BA20" i="3"/>
  <c r="BB40" i="3"/>
  <c r="BB5" i="3"/>
  <c r="BA24" i="3"/>
  <c r="Z6" i="2"/>
  <c r="AS26" i="3"/>
  <c r="Z64" i="2"/>
  <c r="Z16" i="2"/>
  <c r="Y60" i="2"/>
  <c r="BD9" i="3"/>
  <c r="Y49" i="2"/>
  <c r="AD6" i="6" a="1"/>
  <c r="AZ39" i="3"/>
  <c r="Y110" i="2"/>
  <c r="AY16" i="3"/>
  <c r="AW30" i="3"/>
  <c r="AC6" i="6" a="1"/>
  <c r="J25" i="2"/>
  <c r="Z5" i="4" a="1"/>
  <c r="AW40" i="3"/>
  <c r="AW13" i="3"/>
  <c r="EH16" i="4" a="1"/>
  <c r="V29" i="2"/>
  <c r="CP9" i="4" a="1"/>
  <c r="EW13" i="4" a="1"/>
  <c r="H30" i="2"/>
  <c r="F20" i="2"/>
  <c r="Z21" i="2"/>
  <c r="AF20" i="3"/>
  <c r="X26" i="2"/>
  <c r="BL12" i="4" a="1"/>
  <c r="DN15" i="4" a="1"/>
  <c r="AW9" i="3"/>
  <c r="EN13" i="4" a="1"/>
  <c r="O36" i="2"/>
  <c r="G18" i="2"/>
  <c r="EV14" i="4" a="1"/>
  <c r="EM14" i="4" a="1"/>
  <c r="EN7" i="4" a="1"/>
  <c r="U17" i="2"/>
  <c r="Y86" i="2"/>
  <c r="D13" i="2"/>
  <c r="AA48" i="2"/>
  <c r="I31" i="2"/>
  <c r="CF13" i="4" a="1"/>
  <c r="AY75" i="3"/>
  <c r="EO11" i="4" a="1"/>
  <c r="AV11" i="3"/>
  <c r="EY12" i="4" a="1"/>
  <c r="J15" i="4" a="1"/>
  <c r="S33" i="2"/>
  <c r="E16" i="2"/>
  <c r="DJ7" i="4" a="1"/>
  <c r="H13" i="2"/>
  <c r="AW9" i="4" a="1"/>
  <c r="D46" i="3"/>
  <c r="CT14" i="4" a="1"/>
  <c r="CO5" i="4" a="1"/>
  <c r="F29" i="2"/>
  <c r="K36" i="2"/>
  <c r="BH15" i="4" a="1"/>
  <c r="CE5" i="4" a="1"/>
  <c r="DT13" i="4" a="1"/>
  <c r="EH11" i="4" a="1"/>
  <c r="P7" i="2"/>
  <c r="CM11" i="4" a="1"/>
  <c r="C35" i="2"/>
  <c r="DJ13" i="4" a="1"/>
  <c r="AB7" i="4" a="1"/>
  <c r="AD8" i="3"/>
  <c r="EK5" i="4" a="1"/>
  <c r="CL14" i="4" a="1"/>
  <c r="DS12" i="4" a="1"/>
  <c r="L22" i="2"/>
  <c r="CQ9" i="4" a="1"/>
  <c r="DJ6" i="4" a="1"/>
  <c r="X31" i="2"/>
  <c r="BF13" i="4" a="1"/>
  <c r="G15" i="3"/>
  <c r="EH5" i="4" a="1"/>
  <c r="L11" i="4" a="1"/>
  <c r="CL7" i="4" a="1"/>
  <c r="CJ16" i="4" a="1"/>
  <c r="D12" i="3"/>
  <c r="O14" i="4" a="1"/>
  <c r="DO13" i="4" a="1"/>
  <c r="K32" i="2"/>
  <c r="AQ46" i="3"/>
  <c r="EC7" i="4" a="1"/>
  <c r="V13" i="4" a="1"/>
  <c r="L8" i="4" a="1"/>
  <c r="AT11" i="4" a="1"/>
  <c r="CA5" i="4" a="1"/>
  <c r="DZ9" i="4" a="1"/>
  <c r="AM16" i="4" a="1"/>
  <c r="CI5" i="4" a="1"/>
  <c r="CD11" i="4" a="1"/>
  <c r="CV15" i="4" a="1"/>
  <c r="F15" i="3"/>
  <c r="P12" i="4" a="1"/>
  <c r="AR70" i="3"/>
  <c r="BB27" i="3"/>
  <c r="Z15" i="2"/>
  <c r="Y96" i="2"/>
  <c r="AZ6" i="3"/>
  <c r="BB22" i="3"/>
  <c r="Y55" i="2"/>
  <c r="EP5" i="4" a="1"/>
  <c r="AA89" i="2"/>
  <c r="EO5" i="4" a="1"/>
  <c r="C5" i="4" a="1"/>
  <c r="D31" i="2"/>
  <c r="AY29" i="3"/>
  <c r="EV9" i="4" a="1"/>
  <c r="CP14" i="4" a="1"/>
  <c r="X27" i="2"/>
  <c r="AP7" i="3"/>
  <c r="E13" i="2"/>
  <c r="E8" i="2"/>
  <c r="ER16" i="4" a="1"/>
  <c r="AC14" i="4" a="1"/>
  <c r="AD9" i="4" a="1"/>
  <c r="X8" i="4" a="1"/>
  <c r="G28" i="2"/>
  <c r="AS10" i="3"/>
  <c r="E31" i="2"/>
  <c r="AX5" i="6" a="1"/>
  <c r="G25" i="2"/>
  <c r="AZ9" i="3"/>
  <c r="AV30" i="3"/>
  <c r="DX7" i="4" a="1"/>
  <c r="BA26" i="3"/>
  <c r="AF6" i="6" a="1"/>
  <c r="EV12" i="4" a="1"/>
  <c r="AO5" i="6" a="1"/>
  <c r="O35" i="2"/>
  <c r="AY67" i="3"/>
  <c r="CT11" i="4" a="1"/>
  <c r="CZ15" i="4" a="1"/>
  <c r="D32" i="2"/>
  <c r="BF12" i="4" a="1"/>
  <c r="DO6" i="4" a="1"/>
  <c r="T20" i="2"/>
  <c r="Q7" i="4" a="1"/>
  <c r="I18" i="2"/>
  <c r="S14" i="2"/>
  <c r="R11" i="4" a="1"/>
  <c r="O14" i="2"/>
  <c r="AR85" i="3"/>
  <c r="H29" i="2"/>
  <c r="E41" i="3"/>
  <c r="E5" i="4" a="1"/>
  <c r="AO46" i="3"/>
  <c r="C29" i="2"/>
  <c r="BX11" i="4" a="1"/>
  <c r="DB14" i="4" a="1"/>
  <c r="EC8" i="4" a="1"/>
  <c r="U7" i="4" a="1"/>
  <c r="AM45" i="3"/>
  <c r="EF16" i="4" a="1"/>
  <c r="U46" i="3"/>
  <c r="AG46" i="3"/>
  <c r="AT85" i="3"/>
  <c r="CC6" i="4" a="1"/>
  <c r="K5" i="4" a="1"/>
  <c r="AR10" i="3"/>
  <c r="T23" i="2"/>
  <c r="EG15" i="4" a="1"/>
  <c r="BJ5" i="4" a="1"/>
  <c r="O11" i="4" a="1"/>
  <c r="AB45" i="3"/>
  <c r="CJ7" i="4" a="1"/>
  <c r="BE6" i="4" a="1"/>
  <c r="DD7" i="4" a="1"/>
  <c r="U45" i="3"/>
  <c r="DT15" i="4" a="1"/>
  <c r="EJ7" i="4" a="1"/>
  <c r="DU14" i="4" a="1"/>
  <c r="U11" i="2"/>
  <c r="BE16" i="4" a="1"/>
  <c r="DK5" i="4" a="1"/>
  <c r="BN15" i="4" a="1"/>
  <c r="X14" i="4" a="1"/>
  <c r="BD66" i="3"/>
  <c r="EJ9" i="4" a="1"/>
  <c r="AX80" i="3"/>
  <c r="AK46" i="3"/>
  <c r="CP13" i="4" a="1"/>
  <c r="AX61" i="3"/>
  <c r="AV69" i="3"/>
  <c r="N9" i="4" a="1"/>
  <c r="AW56" i="3"/>
  <c r="AW73" i="3"/>
  <c r="AW85" i="3"/>
  <c r="E76" i="3"/>
  <c r="AT73" i="3"/>
  <c r="E84" i="3"/>
  <c r="AW90" i="3"/>
  <c r="AT76" i="3"/>
  <c r="AU49" i="3"/>
  <c r="FC8" i="4" a="1"/>
  <c r="AY22" i="3"/>
  <c r="AY85" i="3"/>
  <c r="AA50" i="2"/>
  <c r="ER7" i="4" a="1"/>
  <c r="BB10" i="3"/>
  <c r="BC34" i="3"/>
  <c r="BA73" i="3"/>
  <c r="EY11" i="4" a="1"/>
  <c r="BD28" i="3"/>
  <c r="BA66" i="3"/>
  <c r="AY94" i="3"/>
  <c r="AZ31" i="3"/>
  <c r="AW42" i="3"/>
  <c r="AA74" i="2"/>
  <c r="AV46" i="3"/>
  <c r="BD19" i="3"/>
  <c r="AZ45" i="3"/>
  <c r="F15" i="2"/>
  <c r="EP7" i="4" a="1"/>
  <c r="BM14" i="4" a="1"/>
  <c r="AW10" i="3"/>
  <c r="BC49" i="3"/>
  <c r="AJ9" i="4" a="1"/>
  <c r="AA17" i="2"/>
  <c r="AR74" i="3"/>
  <c r="Z72" i="2"/>
  <c r="EL6" i="4" a="1"/>
  <c r="EZ15" i="4" a="1"/>
  <c r="F5" i="6" a="1"/>
  <c r="Z94" i="2"/>
  <c r="AZ5" i="3"/>
  <c r="AS45" i="3"/>
  <c r="AY31" i="3"/>
  <c r="CT5" i="4" a="1"/>
  <c r="S23" i="2"/>
  <c r="DA13" i="4" a="1"/>
  <c r="F75" i="2"/>
  <c r="S16" i="2"/>
  <c r="CQ8" i="4" a="1"/>
  <c r="CI6" i="4" a="1"/>
  <c r="CM16" i="4" a="1"/>
  <c r="R16" i="2"/>
  <c r="EK16" i="4" a="1"/>
  <c r="BO7" i="4" a="1"/>
  <c r="Y11" i="4" a="1"/>
  <c r="X6" i="6" a="1"/>
  <c r="CU9" i="4" a="1"/>
  <c r="BC6" i="4" a="1"/>
  <c r="BN5" i="4" a="1"/>
  <c r="CH13" i="4" a="1"/>
  <c r="V30" i="2"/>
  <c r="AC9" i="4" a="1"/>
  <c r="DW7" i="4" a="1"/>
  <c r="BB16" i="4" a="1"/>
  <c r="CB8" i="4" a="1"/>
  <c r="P8" i="4" a="1"/>
  <c r="CH12" i="4" a="1"/>
  <c r="O9" i="4" a="1"/>
  <c r="BQ9" i="4" a="1"/>
  <c r="AA6" i="4" a="1"/>
  <c r="CK8" i="4" a="1"/>
  <c r="DA12" i="4" a="1"/>
  <c r="E77" i="3"/>
  <c r="CD9" i="4" a="1"/>
  <c r="AM9" i="4" a="1"/>
  <c r="DL15" i="4" a="1"/>
  <c r="DY6" i="4" a="1"/>
  <c r="AP8" i="4" a="1"/>
  <c r="O34" i="2"/>
  <c r="EK12" i="4" a="1"/>
  <c r="CN9" i="4" a="1"/>
  <c r="DW8" i="4" a="1"/>
  <c r="DC5" i="4" a="1"/>
  <c r="AB5" i="4" a="1"/>
  <c r="X11" i="4" a="1"/>
  <c r="G18" i="3"/>
  <c r="EA6" i="4" a="1"/>
  <c r="AV5" i="4" a="1"/>
  <c r="BK14" i="4" a="1"/>
  <c r="K18" i="2"/>
  <c r="BC71" i="3"/>
  <c r="DN14" i="4" a="1"/>
  <c r="CR11" i="4" a="1"/>
  <c r="AW82" i="3"/>
  <c r="AD12" i="4" a="1"/>
  <c r="CM14" i="4" a="1"/>
  <c r="AI8" i="4" a="1"/>
  <c r="BD83" i="3"/>
  <c r="CS9" i="4" a="1"/>
  <c r="BU16" i="4" a="1"/>
  <c r="AW69" i="3"/>
  <c r="AO12" i="4" a="1"/>
  <c r="BS8" i="4" a="1"/>
  <c r="CV13" i="4" a="1"/>
  <c r="CT13" i="4" a="1"/>
  <c r="V8" i="4" a="1"/>
  <c r="AD5" i="4" a="1"/>
  <c r="BC94" i="3"/>
  <c r="BD82" i="3"/>
  <c r="AH46" i="3"/>
  <c r="BD84" i="3"/>
  <c r="AW75" i="3"/>
  <c r="BD72" i="3"/>
  <c r="AZ94" i="3"/>
  <c r="BA87" i="3"/>
  <c r="AS76" i="3"/>
  <c r="AW49" i="3"/>
  <c r="AV77" i="3"/>
  <c r="AT7" i="3"/>
  <c r="FF16" i="4" a="1"/>
  <c r="BA30" i="3"/>
  <c r="Y72" i="2"/>
  <c r="AV17" i="3"/>
  <c r="AS24" i="3"/>
  <c r="BA64" i="3"/>
  <c r="AY81" i="3"/>
  <c r="T33" i="2"/>
  <c r="AZ34" i="3"/>
  <c r="AX21" i="3"/>
  <c r="R24" i="2"/>
  <c r="Q17" i="2"/>
  <c r="AX10" i="3"/>
  <c r="E6" i="6" a="1"/>
  <c r="N33" i="2"/>
  <c r="AS28" i="3"/>
  <c r="C8" i="2"/>
  <c r="AF21" i="3"/>
  <c r="P27" i="2"/>
  <c r="M46" i="3"/>
  <c r="FC11" i="4" a="1"/>
  <c r="K11" i="2"/>
  <c r="AU10" i="3"/>
  <c r="ES16" i="4" a="1"/>
  <c r="DI8" i="4" a="1"/>
  <c r="BA8" i="3"/>
  <c r="AV25" i="3"/>
  <c r="AY97" i="3"/>
  <c r="R23" i="2"/>
  <c r="L5" i="6" a="1"/>
  <c r="R36" i="2"/>
  <c r="Q15" i="2"/>
  <c r="F40" i="3"/>
  <c r="AX16" i="4" a="1"/>
  <c r="CL9" i="4" a="1"/>
  <c r="M13" i="4" a="1"/>
  <c r="P28" i="2"/>
  <c r="BZ13" i="4" a="1"/>
  <c r="CG15" i="4" a="1"/>
  <c r="CX11" i="4" a="1"/>
  <c r="G12" i="4" a="1"/>
  <c r="U9" i="2"/>
  <c r="I15" i="2"/>
  <c r="AM11" i="4" a="1"/>
  <c r="K21" i="2"/>
  <c r="DT16" i="4" a="1"/>
  <c r="CV12" i="4" a="1"/>
  <c r="BS15" i="4" a="1"/>
  <c r="CD5" i="4" a="1"/>
  <c r="J21" i="2"/>
  <c r="AE16" i="4" a="1"/>
  <c r="X16" i="4" a="1"/>
  <c r="I35" i="2"/>
  <c r="F89" i="2"/>
  <c r="BZ15" i="4" a="1"/>
  <c r="T9" i="4" a="1"/>
  <c r="BZ6" i="4" a="1"/>
  <c r="X12" i="4" a="1"/>
  <c r="BX14" i="4" a="1"/>
  <c r="G46" i="3"/>
  <c r="M45" i="3"/>
  <c r="U10" i="2"/>
  <c r="CJ14" i="4" a="1"/>
  <c r="BF11" i="4" a="1"/>
  <c r="S14" i="4" a="1"/>
  <c r="BM9" i="4" a="1"/>
  <c r="AR96" i="3"/>
  <c r="AC46" i="3"/>
  <c r="AF11" i="4" a="1"/>
  <c r="AS85" i="3"/>
  <c r="J15" i="2"/>
  <c r="AD13" i="4" a="1"/>
  <c r="G15" i="4" a="1"/>
  <c r="M27" i="2"/>
  <c r="AA15" i="4" a="1"/>
  <c r="AP7" i="4" a="1"/>
  <c r="AV7" i="4" a="1"/>
  <c r="AZ93" i="3"/>
  <c r="BR8" i="4" a="1"/>
  <c r="EF12" i="4" a="1"/>
  <c r="BR9" i="4" a="1"/>
  <c r="AR79" i="3"/>
  <c r="BB8" i="4" a="1"/>
  <c r="U11" i="4" a="1"/>
  <c r="G96" i="3"/>
  <c r="R15" i="4" a="1"/>
  <c r="EJ11" i="4" a="1"/>
  <c r="F48" i="3"/>
  <c r="DZ11" i="4" a="1"/>
  <c r="CT16" i="4" a="1"/>
  <c r="J8" i="4" a="1"/>
  <c r="L9" i="4" a="1"/>
  <c r="F89" i="3"/>
  <c r="BM8" i="4" a="1"/>
  <c r="DW9" i="4" a="1"/>
  <c r="AR69" i="3"/>
  <c r="AP9" i="4" a="1"/>
  <c r="CU14" i="4" a="1"/>
  <c r="AR7" i="4" a="1"/>
  <c r="AT66" i="3"/>
  <c r="J33" i="2"/>
  <c r="BA47" i="3"/>
  <c r="BB13" i="4" a="1"/>
  <c r="AS66" i="3"/>
  <c r="AO9" i="4" a="1"/>
  <c r="E14" i="4" a="1"/>
  <c r="AZ16" i="4" a="1"/>
  <c r="H9" i="4" a="1"/>
  <c r="E26" i="2"/>
  <c r="AU83" i="3"/>
  <c r="BU6" i="4" a="1"/>
  <c r="Y16" i="4" a="1"/>
  <c r="AM13" i="4" a="1"/>
  <c r="BA84" i="3"/>
  <c r="AW97" i="3"/>
  <c r="AV66" i="3"/>
  <c r="AW60" i="3"/>
  <c r="AW58" i="3"/>
  <c r="Y113" i="2"/>
  <c r="Y74" i="2"/>
  <c r="Z59" i="2"/>
  <c r="Z87" i="2"/>
  <c r="AA112" i="2"/>
  <c r="Y50" i="2"/>
  <c r="BA69" i="3"/>
  <c r="Z26" i="2"/>
  <c r="EQ8" i="4" a="1"/>
  <c r="C18" i="2"/>
  <c r="AL6" i="6" a="1"/>
  <c r="X24" i="2"/>
  <c r="F5" i="2"/>
  <c r="AU93" i="3"/>
  <c r="C10" i="2"/>
  <c r="U16" i="2"/>
  <c r="AW36" i="3"/>
  <c r="DQ13" i="4" a="1"/>
  <c r="AS32" i="3"/>
  <c r="O33" i="2"/>
  <c r="DH14" i="4" a="1"/>
  <c r="AI11" i="4" a="1"/>
  <c r="ES15" i="4" a="1"/>
  <c r="H28" i="2"/>
  <c r="AP6" i="6" a="1"/>
  <c r="EC15" i="4" a="1"/>
  <c r="O32" i="2"/>
  <c r="EP13" i="4" a="1"/>
  <c r="Z5" i="6" a="1"/>
  <c r="AW27" i="3"/>
  <c r="G23" i="2"/>
  <c r="AY12" i="3"/>
  <c r="D8" i="2"/>
  <c r="G19" i="3"/>
  <c r="W13" i="2"/>
  <c r="E26" i="3"/>
  <c r="AT33" i="3"/>
  <c r="CG14" i="4" a="1"/>
  <c r="AN15" i="4" a="1"/>
  <c r="N20" i="2"/>
  <c r="CS15" i="4" a="1"/>
  <c r="K15" i="2"/>
  <c r="W30" i="2"/>
  <c r="CQ15" i="4" a="1"/>
  <c r="R8" i="2"/>
  <c r="M15" i="2"/>
  <c r="X15" i="4" a="1"/>
  <c r="BY11" i="4" a="1"/>
  <c r="S21" i="2"/>
  <c r="BG15" i="4" a="1"/>
  <c r="H27" i="2"/>
  <c r="M8" i="2"/>
  <c r="AR11" i="3"/>
  <c r="CX14" i="4" a="1"/>
  <c r="CC8" i="4" a="1"/>
  <c r="BQ5" i="4" a="1"/>
  <c r="AZ14" i="3"/>
  <c r="T8" i="4" a="1"/>
  <c r="AD13" i="3"/>
  <c r="T13" i="4" a="1"/>
  <c r="X22" i="2"/>
  <c r="E16" i="4" a="1"/>
  <c r="Q15" i="4" a="1"/>
  <c r="CZ6" i="4" a="1"/>
  <c r="AE45" i="3"/>
  <c r="CQ5" i="4" a="1"/>
  <c r="AS8" i="4" a="1"/>
  <c r="AX15" i="4" a="1"/>
  <c r="CN5" i="4" a="1"/>
  <c r="AA12" i="4" a="1"/>
  <c r="P46" i="3"/>
  <c r="AR62" i="3"/>
  <c r="CX9" i="4" a="1"/>
  <c r="F18" i="3"/>
  <c r="AX70" i="3"/>
  <c r="CA15" i="4" a="1"/>
  <c r="EJ6" i="4" a="1"/>
  <c r="AU12" i="4" a="1"/>
  <c r="AK13" i="4" a="1"/>
  <c r="BT11" i="4" a="1"/>
  <c r="AR13" i="3"/>
  <c r="AZ9" i="4" a="1"/>
  <c r="DV12" i="4" a="1"/>
  <c r="X28" i="2"/>
  <c r="AY13" i="4" a="1"/>
  <c r="DH16" i="4" a="1"/>
  <c r="AR73" i="3"/>
  <c r="Q6" i="2"/>
  <c r="M12" i="2"/>
  <c r="CI12" i="4" a="1"/>
  <c r="F23" i="3"/>
  <c r="AZ89" i="3"/>
  <c r="D30" i="3"/>
  <c r="AX66" i="3"/>
  <c r="BD85" i="3"/>
  <c r="EA14" i="4" a="1"/>
  <c r="CE16" i="4" a="1"/>
  <c r="CZ8" i="4" a="1"/>
  <c r="BD54" i="3"/>
  <c r="E17" i="3"/>
  <c r="F19" i="3"/>
  <c r="BC86" i="3"/>
  <c r="AH11" i="4" a="1"/>
  <c r="E12" i="4" a="1"/>
  <c r="U31" i="2"/>
  <c r="AS60" i="3"/>
  <c r="BA57" i="3"/>
  <c r="AX92" i="3"/>
  <c r="AR88" i="3"/>
  <c r="G97" i="3"/>
  <c r="BD88" i="3"/>
  <c r="BC57" i="3"/>
  <c r="AZ68" i="3"/>
  <c r="Y45" i="2"/>
  <c r="BA42" i="3"/>
  <c r="BB46" i="3"/>
  <c r="EW5" i="4" a="1"/>
  <c r="AK5" i="6" a="1"/>
  <c r="FE8" i="4" a="1"/>
  <c r="ET11" i="4" a="1"/>
  <c r="AW45" i="3"/>
  <c r="EN9" i="4" a="1"/>
  <c r="AA40" i="2"/>
  <c r="EQ7" i="4" a="1"/>
  <c r="AT23" i="3"/>
  <c r="AA61" i="2"/>
  <c r="AY73" i="3"/>
  <c r="U13" i="2"/>
  <c r="AZ11" i="3"/>
  <c r="EN5" i="4" a="1"/>
  <c r="F26" i="2"/>
  <c r="K35" i="2"/>
  <c r="BD15" i="3"/>
  <c r="AY71" i="3"/>
  <c r="AC5" i="6" a="1"/>
  <c r="I20" i="2"/>
  <c r="AY14" i="3"/>
  <c r="E9" i="2"/>
  <c r="O26" i="2"/>
  <c r="M10" i="2"/>
  <c r="W7" i="2"/>
  <c r="AZ41" i="3"/>
  <c r="W46" i="2"/>
  <c r="BC39" i="3"/>
  <c r="U15" i="2"/>
  <c r="Y108" i="2"/>
  <c r="Q24" i="2"/>
  <c r="L14" i="2"/>
  <c r="BB11" i="3"/>
  <c r="EX15" i="4" a="1"/>
  <c r="AW19" i="3"/>
  <c r="AT8" i="3"/>
  <c r="CO13" i="4" a="1"/>
  <c r="N23" i="2"/>
  <c r="DU16" i="4" a="1"/>
  <c r="DN11" i="4" a="1"/>
  <c r="BY16" i="4" a="1"/>
  <c r="AD7" i="4" a="1"/>
  <c r="DZ6" i="4" a="1"/>
  <c r="BT7" i="4" a="1"/>
  <c r="I19" i="2"/>
  <c r="M18" i="2"/>
  <c r="AY11" i="4" a="1"/>
  <c r="K27" i="2"/>
  <c r="D21" i="3"/>
  <c r="BY9" i="4" a="1"/>
  <c r="E14" i="3"/>
  <c r="H26" i="2"/>
  <c r="T15" i="4" a="1"/>
  <c r="F42" i="3"/>
  <c r="M21" i="2"/>
  <c r="F6" i="2"/>
  <c r="EA12" i="4" a="1"/>
  <c r="EL16" i="4" a="1"/>
  <c r="BW16" i="4" a="1"/>
  <c r="CX6" i="4" a="1"/>
  <c r="AS81" i="3"/>
  <c r="BD12" i="4" a="1"/>
  <c r="DH9" i="4" a="1"/>
  <c r="BX5" i="4" a="1"/>
  <c r="DB5" i="4" a="1"/>
  <c r="DU15" i="4" a="1"/>
  <c r="EE15" i="4" a="1"/>
  <c r="AO16" i="4" a="1"/>
  <c r="AW12" i="4" a="1"/>
  <c r="CD12" i="4" a="1"/>
  <c r="M7" i="4" a="1"/>
  <c r="CZ14" i="4" a="1"/>
  <c r="DN6" i="4" a="1"/>
  <c r="EJ16" i="4" a="1"/>
  <c r="BO6" i="4" a="1"/>
  <c r="DQ5" i="4" a="1"/>
  <c r="CX16" i="4" a="1"/>
  <c r="EF9" i="4" a="1"/>
  <c r="D25" i="2"/>
  <c r="X8" i="2"/>
  <c r="BJ14" i="4" a="1"/>
  <c r="AD17" i="3"/>
  <c r="BC7" i="4" a="1"/>
  <c r="J12" i="4" a="1"/>
  <c r="BU8" i="4" a="1"/>
  <c r="E81" i="3"/>
  <c r="J24" i="2"/>
  <c r="AK45" i="3"/>
  <c r="BJ7" i="4" a="1"/>
  <c r="AW72" i="3"/>
  <c r="AM5" i="4" a="1"/>
  <c r="AX91" i="3"/>
  <c r="G22" i="3"/>
  <c r="Q8" i="2"/>
  <c r="BV12" i="4" a="1"/>
  <c r="AD46" i="3"/>
  <c r="DC7" i="4" a="1"/>
  <c r="BG7" i="4" a="1"/>
  <c r="Y13" i="4" a="1"/>
  <c r="AR6" i="4" a="1"/>
  <c r="BC90" i="3"/>
  <c r="AW67" i="3"/>
  <c r="AV65" i="3"/>
  <c r="AT48" i="3"/>
  <c r="G75" i="3"/>
  <c r="BC96" i="3"/>
  <c r="AY70" i="3"/>
  <c r="AY88" i="3"/>
  <c r="AY49" i="3"/>
  <c r="AY64" i="3"/>
  <c r="AY76" i="3"/>
  <c r="AY60" i="3"/>
  <c r="BA91" i="3"/>
  <c r="BA65" i="3"/>
  <c r="BA80" i="3"/>
  <c r="BA83" i="3"/>
  <c r="E75" i="3"/>
  <c r="E91" i="3"/>
  <c r="E56" i="3"/>
  <c r="E90" i="3"/>
  <c r="E66" i="3"/>
  <c r="E93" i="3"/>
  <c r="E94" i="3"/>
  <c r="E85" i="3"/>
  <c r="E88" i="3"/>
  <c r="E92" i="3"/>
  <c r="E60" i="3"/>
  <c r="E71" i="3"/>
  <c r="E74" i="3"/>
  <c r="AW79" i="3"/>
  <c r="AW88" i="3"/>
  <c r="AW63" i="3"/>
  <c r="AW80" i="3"/>
  <c r="AW78" i="3"/>
  <c r="AW86" i="3"/>
  <c r="AW95" i="3"/>
  <c r="AW68" i="3"/>
  <c r="AW87" i="3"/>
  <c r="AW64" i="3"/>
  <c r="AW74" i="3"/>
  <c r="BC83" i="3"/>
  <c r="BC87" i="3"/>
  <c r="BC70" i="3"/>
  <c r="BC62" i="3"/>
  <c r="BC64" i="3"/>
  <c r="BC63" i="3"/>
  <c r="BC88" i="3"/>
  <c r="BC61" i="3"/>
  <c r="BC59" i="3"/>
  <c r="BC84" i="3"/>
  <c r="BC93" i="3"/>
  <c r="BC91" i="3"/>
  <c r="BC89" i="3"/>
  <c r="BC75" i="3"/>
  <c r="BC95" i="3"/>
  <c r="BC65" i="3"/>
  <c r="BC48" i="3"/>
  <c r="BC81" i="3"/>
  <c r="BC55" i="3"/>
  <c r="BC66" i="3"/>
  <c r="BC73" i="3"/>
  <c r="BC67" i="3"/>
  <c r="BC85" i="3"/>
  <c r="BC47" i="3"/>
  <c r="BC79" i="3"/>
  <c r="AU59" i="3"/>
  <c r="AU65" i="3"/>
  <c r="AU82" i="3"/>
  <c r="AU70" i="3"/>
  <c r="AU90" i="3"/>
  <c r="AU81" i="3"/>
  <c r="AU48" i="3"/>
  <c r="AU68" i="3"/>
  <c r="AU94" i="3"/>
  <c r="AU71" i="3"/>
  <c r="AU47" i="3"/>
  <c r="AU75" i="3"/>
  <c r="AU67" i="3"/>
  <c r="AU88" i="3"/>
  <c r="AU85" i="3"/>
  <c r="AU55" i="3"/>
  <c r="AU96" i="3"/>
  <c r="AU54" i="3"/>
  <c r="AU66" i="3"/>
  <c r="AU56" i="3"/>
  <c r="AU60" i="3"/>
  <c r="AU92" i="3"/>
  <c r="AU95" i="3"/>
  <c r="AU69" i="3"/>
  <c r="AU86" i="3"/>
  <c r="AU72" i="3"/>
  <c r="AU63" i="3"/>
  <c r="AU50" i="3"/>
  <c r="AU58" i="3"/>
  <c r="AT59" i="3"/>
  <c r="AT79" i="3"/>
  <c r="AT49" i="3"/>
  <c r="AT91" i="3"/>
  <c r="AT74" i="3"/>
  <c r="AT77" i="3"/>
  <c r="AT58" i="3"/>
  <c r="AT80" i="3"/>
  <c r="AT60" i="3"/>
  <c r="AT50" i="3"/>
  <c r="G92" i="3"/>
  <c r="G69" i="3"/>
  <c r="G70" i="3"/>
  <c r="G64" i="3"/>
  <c r="G94" i="3"/>
  <c r="G58" i="3"/>
  <c r="G68" i="3"/>
  <c r="G85" i="3"/>
  <c r="G86" i="3"/>
  <c r="G80" i="3"/>
  <c r="F76" i="3"/>
  <c r="F94" i="3"/>
  <c r="F55" i="3"/>
  <c r="F86" i="3"/>
  <c r="AS75" i="3"/>
  <c r="AS93" i="3"/>
  <c r="AS78" i="3"/>
  <c r="AS88" i="3"/>
  <c r="AS70" i="3"/>
  <c r="AS62" i="3"/>
  <c r="AS86" i="3"/>
  <c r="AS71" i="3"/>
  <c r="AS58" i="3"/>
  <c r="AS56" i="3"/>
  <c r="AS79" i="3"/>
  <c r="AS63" i="3"/>
  <c r="AS91" i="3"/>
  <c r="AS74" i="3"/>
  <c r="AS95" i="3"/>
  <c r="AS87" i="3"/>
  <c r="AS89" i="3"/>
  <c r="AS54" i="3"/>
  <c r="AS96" i="3"/>
  <c r="AS49" i="3"/>
  <c r="AV47" i="3"/>
  <c r="AV82" i="3"/>
  <c r="AV63" i="3"/>
  <c r="AV73" i="3"/>
  <c r="AV79" i="3"/>
  <c r="AV64" i="3"/>
  <c r="AV54" i="3"/>
  <c r="AV74" i="3"/>
  <c r="AV48" i="3"/>
  <c r="AV75" i="3"/>
  <c r="AV87" i="3"/>
  <c r="AV80" i="3"/>
  <c r="AV50" i="3"/>
  <c r="AV59" i="3"/>
  <c r="AV83" i="3"/>
  <c r="AV76" i="3"/>
  <c r="AV70" i="3"/>
  <c r="AV55" i="3"/>
  <c r="AV67" i="3"/>
  <c r="AV58" i="3"/>
  <c r="AV97" i="3"/>
  <c r="BD69" i="3"/>
  <c r="BD97" i="3"/>
  <c r="BD64" i="3"/>
  <c r="BD92" i="3"/>
  <c r="BD57" i="3"/>
  <c r="BD56" i="3"/>
  <c r="BD93" i="3"/>
  <c r="BD76" i="3"/>
  <c r="BD55" i="3"/>
  <c r="BD70" i="3"/>
  <c r="BD95" i="3"/>
  <c r="BD71" i="3"/>
  <c r="BD58" i="3"/>
  <c r="BD68" i="3"/>
  <c r="BD75" i="3"/>
  <c r="BD86" i="3"/>
  <c r="BD65" i="3"/>
  <c r="BD59" i="3"/>
  <c r="BD48" i="3"/>
  <c r="BD61" i="3"/>
  <c r="BD87" i="3"/>
  <c r="BD78" i="3"/>
  <c r="BD81" i="3"/>
  <c r="BD67" i="3"/>
  <c r="AZ96" i="3"/>
  <c r="AZ87" i="3"/>
  <c r="AZ82" i="3"/>
  <c r="AZ55" i="3"/>
  <c r="AZ83" i="3"/>
  <c r="AZ66" i="3"/>
  <c r="AZ59" i="3"/>
  <c r="AZ85" i="3"/>
  <c r="AZ84" i="3"/>
  <c r="AZ58" i="3"/>
  <c r="AZ60" i="3"/>
  <c r="AZ90" i="3"/>
  <c r="AZ91" i="3"/>
  <c r="AZ75" i="3"/>
  <c r="AZ65" i="3"/>
  <c r="AZ70" i="3"/>
  <c r="AZ63" i="3"/>
  <c r="C88" i="3" l="1"/>
  <c r="E63" i="3"/>
  <c r="BD94" i="3"/>
  <c r="AW48" i="3"/>
  <c r="C57" i="3"/>
  <c r="C97" i="3"/>
  <c r="C81" i="3"/>
  <c r="C77" i="3"/>
  <c r="AS69" i="3"/>
  <c r="C67" i="3"/>
  <c r="C83" i="3"/>
  <c r="C80" i="3"/>
  <c r="C87" i="3"/>
  <c r="C60" i="3"/>
  <c r="C89" i="3"/>
  <c r="C61" i="3"/>
  <c r="C74" i="3"/>
  <c r="C78" i="3"/>
  <c r="BC58" i="3"/>
  <c r="BD62" i="3"/>
  <c r="C65" i="3"/>
  <c r="C70" i="3"/>
  <c r="C55" i="3"/>
  <c r="C66" i="3"/>
  <c r="C85" i="3"/>
  <c r="C56" i="3"/>
  <c r="C54" i="3"/>
  <c r="C90" i="3"/>
  <c r="C69" i="3"/>
  <c r="C86" i="3"/>
  <c r="C62" i="3"/>
  <c r="C79" i="3"/>
  <c r="C84" i="3"/>
  <c r="C92" i="3"/>
  <c r="C73" i="3"/>
  <c r="C91" i="3"/>
  <c r="C93" i="3"/>
  <c r="C76" i="3"/>
  <c r="C58" i="3"/>
  <c r="AU79" i="3"/>
  <c r="BC60" i="3"/>
  <c r="AF55" i="3"/>
  <c r="AF63" i="3"/>
  <c r="BC50" i="3"/>
  <c r="BC76" i="3"/>
  <c r="AU62" i="3"/>
  <c r="AU77" i="3"/>
  <c r="AU61" i="3"/>
  <c r="BC68" i="3"/>
  <c r="F82" i="3"/>
  <c r="AS48" i="3"/>
  <c r="AV61" i="3"/>
  <c r="AU64" i="3"/>
  <c r="F58" i="3"/>
  <c r="AF68" i="3"/>
  <c r="AU57" i="3"/>
  <c r="AU89" i="3"/>
  <c r="BC97" i="3"/>
  <c r="AF54" i="3"/>
  <c r="AF87" i="3"/>
  <c r="AF50" i="3"/>
  <c r="AF70" i="3"/>
  <c r="AF81" i="3"/>
  <c r="AF90" i="3"/>
  <c r="AF56" i="3"/>
  <c r="AF48" i="3"/>
  <c r="AF75" i="3"/>
  <c r="AF65" i="3"/>
  <c r="AF60" i="3"/>
  <c r="AF97" i="3"/>
  <c r="AF82" i="3"/>
  <c r="AF88" i="3"/>
  <c r="AF80" i="3"/>
  <c r="AF94" i="3"/>
  <c r="AD63" i="3"/>
  <c r="AY65" i="3"/>
  <c r="BA94" i="3"/>
  <c r="BA71" i="3"/>
  <c r="AY50" i="3"/>
  <c r="BA72" i="3"/>
  <c r="AY91" i="3"/>
  <c r="AY77" i="3"/>
  <c r="AY63" i="3"/>
  <c r="BA60" i="3"/>
  <c r="AY90" i="3"/>
  <c r="BA49" i="3"/>
  <c r="BA74" i="3"/>
  <c r="BA63" i="3"/>
  <c r="D88" i="3"/>
  <c r="BA85" i="3"/>
  <c r="AY79" i="3"/>
  <c r="BA97" i="3"/>
  <c r="AY82" i="3"/>
  <c r="AY95" i="3"/>
  <c r="AY89" i="3"/>
  <c r="AY72" i="3"/>
  <c r="BA79" i="3"/>
  <c r="BA61" i="3"/>
  <c r="BA58" i="3"/>
  <c r="D83" i="3"/>
  <c r="AY92" i="3"/>
  <c r="AY86" i="3"/>
  <c r="BA55" i="3"/>
  <c r="D93" i="3"/>
  <c r="BA76" i="3"/>
  <c r="AY84" i="3"/>
  <c r="AY59" i="3"/>
  <c r="AY48" i="3"/>
  <c r="AY57" i="3"/>
  <c r="D90" i="3"/>
  <c r="BA93" i="3"/>
  <c r="D89" i="3"/>
  <c r="BA56" i="3"/>
  <c r="BA81" i="3"/>
  <c r="BA90" i="3"/>
  <c r="D72" i="3"/>
  <c r="AY93" i="3"/>
  <c r="AY80" i="3"/>
  <c r="BA62" i="3"/>
  <c r="AY54" i="3"/>
  <c r="AY58" i="3"/>
  <c r="BA67" i="3"/>
  <c r="AY74" i="3"/>
  <c r="AY47" i="3"/>
  <c r="AY83" i="3"/>
  <c r="AY56" i="3"/>
  <c r="AY87" i="3"/>
  <c r="AY55" i="3"/>
  <c r="BA86" i="3"/>
  <c r="BA59" i="3"/>
  <c r="BA77" i="3"/>
  <c r="BA48" i="3"/>
  <c r="BA75" i="3"/>
  <c r="BA68" i="3"/>
  <c r="BA96" i="3"/>
  <c r="BA95" i="3"/>
  <c r="D79" i="3"/>
  <c r="D59" i="3"/>
  <c r="D67" i="3"/>
  <c r="D96" i="3"/>
  <c r="D77" i="3"/>
  <c r="D54" i="3"/>
  <c r="AR77" i="3"/>
  <c r="AR65" i="3"/>
  <c r="AX95" i="3"/>
  <c r="AR87" i="3"/>
  <c r="AR47" i="3"/>
  <c r="AR50" i="3"/>
  <c r="AR90" i="3"/>
  <c r="AX86" i="3"/>
  <c r="AX75" i="3"/>
  <c r="AX72" i="3"/>
  <c r="AR68" i="3"/>
  <c r="AR75" i="3"/>
  <c r="AR94" i="3"/>
  <c r="AR89" i="3"/>
  <c r="AR54" i="3"/>
  <c r="AR60" i="3"/>
  <c r="AX47" i="3"/>
  <c r="AR95" i="3"/>
  <c r="AX60" i="3"/>
  <c r="AR82" i="3"/>
  <c r="AR59" i="3"/>
  <c r="AR91" i="3"/>
  <c r="AR66" i="3"/>
  <c r="AR81" i="3"/>
  <c r="AX67" i="3"/>
  <c r="AR83" i="3"/>
  <c r="AR84" i="3"/>
  <c r="AX65" i="3"/>
  <c r="AR48" i="3"/>
  <c r="AR63" i="3"/>
  <c r="AX54" i="3"/>
  <c r="AX79" i="3"/>
  <c r="AX71" i="3"/>
  <c r="AR57" i="3"/>
  <c r="AX69" i="3"/>
  <c r="AR80" i="3"/>
  <c r="AX77" i="3"/>
  <c r="AX59" i="3"/>
  <c r="AR67" i="3"/>
  <c r="AX68" i="3"/>
  <c r="AX78" i="3"/>
  <c r="AX90" i="3"/>
  <c r="AX76" i="3"/>
  <c r="AX73" i="3"/>
  <c r="AR93" i="3"/>
  <c r="AX83" i="3"/>
  <c r="AR64" i="3"/>
  <c r="AX50" i="3"/>
  <c r="AX56" i="3"/>
  <c r="AX55" i="3"/>
  <c r="AR76" i="3"/>
  <c r="AX58" i="3"/>
  <c r="AR61" i="3"/>
  <c r="BA88" i="3"/>
  <c r="BA82" i="3"/>
  <c r="E67" i="3"/>
  <c r="Z112" i="2"/>
  <c r="AW71" i="3"/>
  <c r="AU78" i="3"/>
  <c r="G74" i="3"/>
  <c r="AU97" i="3"/>
  <c r="AT67" i="3"/>
  <c r="G61" i="3"/>
  <c r="AT64" i="3"/>
  <c r="BC92" i="3"/>
  <c r="BC77" i="3"/>
  <c r="AW55" i="3"/>
  <c r="G66" i="3"/>
  <c r="Y112" i="2"/>
  <c r="AT81" i="3"/>
  <c r="BD89" i="3"/>
  <c r="BD63" i="3"/>
  <c r="AT72" i="3"/>
  <c r="AW65" i="3"/>
  <c r="G91" i="3"/>
  <c r="AW94" i="3"/>
  <c r="AU74" i="3"/>
  <c r="AU87" i="3"/>
  <c r="BC80" i="3"/>
  <c r="BC72" i="3"/>
  <c r="AT62" i="3"/>
  <c r="BC54" i="3"/>
  <c r="BC56" i="3"/>
  <c r="AS90" i="3"/>
  <c r="AS72" i="3"/>
  <c r="BC78" i="3"/>
  <c r="AU84" i="3"/>
  <c r="AS68" i="3"/>
  <c r="BB87" i="3"/>
  <c r="BC74" i="3"/>
  <c r="AU76" i="3"/>
  <c r="BC82" i="3"/>
  <c r="BB63" i="3"/>
  <c r="BB96" i="3"/>
  <c r="BB70" i="3"/>
  <c r="BB55" i="3"/>
  <c r="BB89" i="3"/>
  <c r="BB76" i="3"/>
  <c r="BB90" i="3"/>
  <c r="BB48" i="3"/>
  <c r="BB49" i="3"/>
  <c r="BB64" i="3"/>
  <c r="BB69" i="3"/>
  <c r="BB59" i="3"/>
  <c r="BB77" i="3"/>
  <c r="BB73" i="3"/>
  <c r="BB97" i="3"/>
  <c r="BB84" i="3"/>
  <c r="BB81" i="3"/>
  <c r="BB94" i="3"/>
  <c r="BB74" i="3"/>
  <c r="BB65" i="3"/>
  <c r="BB78" i="3"/>
  <c r="BB68" i="3"/>
  <c r="BB58" i="3"/>
  <c r="BB95" i="3"/>
  <c r="BB85" i="3"/>
  <c r="BB93" i="3"/>
  <c r="BB66" i="3"/>
  <c r="BB67" i="3"/>
  <c r="BB60" i="3"/>
  <c r="BB86" i="3"/>
  <c r="BB61" i="3"/>
  <c r="BB82" i="3"/>
  <c r="BB75" i="3"/>
  <c r="BB50" i="3"/>
  <c r="BB62" i="3"/>
  <c r="BB88" i="3"/>
  <c r="BB71" i="3"/>
  <c r="BB56" i="3"/>
  <c r="BB57" i="3"/>
  <c r="BB83" i="3"/>
  <c r="BB92" i="3"/>
  <c r="BB80" i="3"/>
  <c r="BB91" i="3"/>
  <c r="BB54" i="3"/>
  <c r="BB47" i="3"/>
  <c r="BB79" i="3"/>
  <c r="BB72" i="3"/>
  <c r="AD67" i="3"/>
  <c r="AD80" i="3"/>
  <c r="BA78" i="3"/>
  <c r="BA54" i="3"/>
  <c r="AD58" i="3"/>
  <c r="AD79" i="3"/>
  <c r="AD76" i="3"/>
  <c r="AA113" i="2"/>
  <c r="AD72" i="3"/>
  <c r="AD85" i="3"/>
  <c r="AD87" i="3"/>
  <c r="AD89" i="3"/>
  <c r="AD86" i="3"/>
  <c r="AD97" i="3"/>
  <c r="AD96" i="3"/>
  <c r="AD66" i="3"/>
  <c r="AD75" i="3"/>
  <c r="AD62" i="3"/>
  <c r="AD74" i="3"/>
  <c r="AS47" i="3"/>
  <c r="AV92" i="3"/>
  <c r="CW13" i="1"/>
  <c r="JY20" i="4"/>
  <c r="CL40" i="1"/>
  <c r="JX19" i="4"/>
  <c r="KA19" i="4"/>
  <c r="KC20" i="4"/>
  <c r="KD19" i="4"/>
  <c r="JR19" i="4"/>
  <c r="CL91" i="1" s="1"/>
  <c r="CL120" i="1" s="1"/>
  <c r="CL25" i="1"/>
  <c r="CL29" i="1"/>
  <c r="JS19" i="4"/>
  <c r="KG20" i="4"/>
  <c r="AM153" i="1"/>
  <c r="AN153" i="1" s="1"/>
  <c r="AM148" i="1"/>
  <c r="AN148" i="1" s="1"/>
  <c r="AM162" i="1"/>
  <c r="CA140" i="1"/>
  <c r="CB140" i="1" s="1"/>
  <c r="CA130" i="1"/>
  <c r="CB130" i="1" s="1"/>
  <c r="CA86" i="1"/>
  <c r="CI176" i="1"/>
  <c r="CJ176" i="1" s="1"/>
  <c r="CI138" i="1"/>
  <c r="CJ138" i="1" s="1"/>
  <c r="CC138" i="1"/>
  <c r="CD138" i="1" s="1"/>
  <c r="CG87" i="1"/>
  <c r="CC86" i="1"/>
  <c r="CC139" i="1"/>
  <c r="CD139" i="1" s="1"/>
  <c r="BY155" i="1"/>
  <c r="BZ155" i="1" s="1"/>
  <c r="CC157" i="1"/>
  <c r="CC132" i="1"/>
  <c r="AM168" i="1"/>
  <c r="AN168" i="1" s="1"/>
  <c r="CA135" i="1"/>
  <c r="CB135" i="1" s="1"/>
  <c r="CI131" i="1"/>
  <c r="CJ131" i="1" s="1"/>
  <c r="CL131" i="1" s="1"/>
  <c r="CM131" i="1" s="1"/>
  <c r="CN131" i="1" s="1"/>
  <c r="CO131" i="1" s="1"/>
  <c r="CA160" i="1"/>
  <c r="CB160" i="1" s="1"/>
  <c r="CC144" i="1"/>
  <c r="CA163" i="1"/>
  <c r="CB163" i="1" s="1"/>
  <c r="AK159" i="1"/>
  <c r="AL159" i="1" s="1"/>
  <c r="CC173" i="1"/>
  <c r="CI165" i="1"/>
  <c r="CJ165" i="1" s="1"/>
  <c r="AK167" i="1"/>
  <c r="AL167" i="1" s="1"/>
  <c r="AK160" i="1"/>
  <c r="AL160" i="1" s="1"/>
  <c r="CA158" i="1"/>
  <c r="CC135" i="1"/>
  <c r="CD135" i="1" s="1"/>
  <c r="CI164" i="1"/>
  <c r="CJ164" i="1" s="1"/>
  <c r="AK165" i="1"/>
  <c r="AL165" i="1" s="1"/>
  <c r="CA168" i="1"/>
  <c r="CB168" i="1" s="1"/>
  <c r="CA176" i="1"/>
  <c r="CB176" i="1" s="1"/>
  <c r="CE146" i="1"/>
  <c r="CC156" i="1"/>
  <c r="CD156" i="1" s="1"/>
  <c r="CC160" i="1"/>
  <c r="CD160" i="1" s="1"/>
  <c r="CE164" i="1"/>
  <c r="CF164" i="1" s="1"/>
  <c r="CC172" i="1"/>
  <c r="CA177" i="1"/>
  <c r="CB177" i="1" s="1"/>
  <c r="CI140" i="1"/>
  <c r="CJ140" i="1" s="1"/>
  <c r="CC176" i="1"/>
  <c r="CD176" i="1" s="1"/>
  <c r="CA144" i="1"/>
  <c r="CI146" i="1"/>
  <c r="CJ146" i="1" s="1"/>
  <c r="CC165" i="1"/>
  <c r="CD165" i="1" s="1"/>
  <c r="CC131" i="1"/>
  <c r="CD131" i="1" s="1"/>
  <c r="CC162" i="1"/>
  <c r="CD162" i="1" s="1"/>
  <c r="CI137" i="1"/>
  <c r="CJ137" i="1" s="1"/>
  <c r="CC168" i="1"/>
  <c r="CD168" i="1" s="1"/>
  <c r="CC155" i="1"/>
  <c r="CD155" i="1" s="1"/>
  <c r="CC130" i="1"/>
  <c r="CD130" i="1" s="1"/>
  <c r="CA146" i="1"/>
  <c r="CI159" i="1"/>
  <c r="CJ159" i="1" s="1"/>
  <c r="CC166" i="1"/>
  <c r="CI139" i="1"/>
  <c r="CJ139" i="1" s="1"/>
  <c r="CA139" i="1"/>
  <c r="CB139" i="1" s="1"/>
  <c r="BJ21" i="1"/>
  <c r="BJ244" i="1" s="1"/>
  <c r="CC177" i="1"/>
  <c r="CD177" i="1" s="1"/>
  <c r="BX48" i="1"/>
  <c r="IM9" i="4" s="1"/>
  <c r="AL33" i="1"/>
  <c r="AK45" i="1"/>
  <c r="CC159" i="1"/>
  <c r="CD159" i="1" s="1"/>
  <c r="BY135" i="1"/>
  <c r="BZ135" i="1" s="1"/>
  <c r="CA173" i="1"/>
  <c r="AJ49" i="1"/>
  <c r="ID9" i="4" s="1"/>
  <c r="IO9" i="4" s="1"/>
  <c r="G26" i="1"/>
  <c r="IO16" i="4" s="1"/>
  <c r="B48" i="1"/>
  <c r="IK16" i="4" s="1"/>
  <c r="IK21" i="4" s="1"/>
  <c r="BE90" i="1" s="1"/>
  <c r="O49" i="1"/>
  <c r="CC87" i="1"/>
  <c r="IT9" i="4" s="1"/>
  <c r="AK48" i="1"/>
  <c r="HQ16" i="4" s="1"/>
  <c r="BJ27" i="1"/>
  <c r="IA16" i="4" s="1"/>
  <c r="CI162" i="1"/>
  <c r="CJ162" i="1" s="1"/>
  <c r="AM26" i="1"/>
  <c r="AM48" i="1"/>
  <c r="IZ9" i="4" s="1"/>
  <c r="CC150" i="1"/>
  <c r="CD150" i="1" s="1"/>
  <c r="BY132" i="1"/>
  <c r="AJ64" i="1"/>
  <c r="AM35" i="1"/>
  <c r="O52" i="1"/>
  <c r="JC16" i="4" s="1"/>
  <c r="JG16" i="4" s="1"/>
  <c r="D64" i="1"/>
  <c r="BY164" i="1"/>
  <c r="BZ164" i="1" s="1"/>
  <c r="AK37" i="1"/>
  <c r="BX34" i="1"/>
  <c r="AM21" i="1"/>
  <c r="CC137" i="1"/>
  <c r="CD137" i="1" s="1"/>
  <c r="CC164" i="1"/>
  <c r="CD164" i="1" s="1"/>
  <c r="BY150" i="1"/>
  <c r="BZ150" i="1" s="1"/>
  <c r="C34" i="1"/>
  <c r="I28" i="1"/>
  <c r="AM36" i="1"/>
  <c r="G21" i="1"/>
  <c r="G244" i="1" s="1"/>
  <c r="BY177" i="1"/>
  <c r="BZ177" i="1" s="1"/>
  <c r="CI160" i="1"/>
  <c r="CJ160" i="1" s="1"/>
  <c r="CC153" i="1"/>
  <c r="CD153" i="1" s="1"/>
  <c r="BY130" i="1"/>
  <c r="BZ130" i="1" s="1"/>
  <c r="CC146" i="1"/>
  <c r="CC148" i="1"/>
  <c r="CD148" i="1" s="1"/>
  <c r="BY156" i="1"/>
  <c r="BZ156" i="1" s="1"/>
  <c r="F28" i="1"/>
  <c r="I59" i="1"/>
  <c r="BY140" i="1"/>
  <c r="BZ140" i="1" s="1"/>
  <c r="BY146" i="1"/>
  <c r="AK33" i="1"/>
  <c r="AK52" i="1"/>
  <c r="K64" i="1"/>
  <c r="BX45" i="1"/>
  <c r="BY137" i="1"/>
  <c r="BZ137" i="1" s="1"/>
  <c r="CC158" i="1"/>
  <c r="IH9" i="4" s="1"/>
  <c r="AM132" i="1"/>
  <c r="CC140" i="1"/>
  <c r="CD140" i="1" s="1"/>
  <c r="CI177" i="1"/>
  <c r="CJ177" i="1" s="1"/>
  <c r="CL177" i="1" s="1"/>
  <c r="CM177" i="1" s="1"/>
  <c r="CN177" i="1" s="1"/>
  <c r="CO177" i="1" s="1"/>
  <c r="CC167" i="1"/>
  <c r="CD167" i="1" s="1"/>
  <c r="BY165" i="1"/>
  <c r="BZ165" i="1" s="1"/>
  <c r="BX22" i="1"/>
  <c r="BY166" i="1"/>
  <c r="BZ87" i="1"/>
  <c r="BZ86" i="1"/>
  <c r="AL48" i="1"/>
  <c r="AK157" i="1"/>
  <c r="BX86" i="1"/>
  <c r="IB9" i="4" s="1"/>
  <c r="J34" i="1"/>
  <c r="AJ58" i="1"/>
  <c r="AK58" i="1"/>
  <c r="AL60" i="1"/>
  <c r="AK27" i="1"/>
  <c r="BX36" i="1"/>
  <c r="AM27" i="1"/>
  <c r="O35" i="1"/>
  <c r="AK130" i="1"/>
  <c r="AL130" i="1" s="1"/>
  <c r="IG16" i="4" s="1"/>
  <c r="V36" i="1"/>
  <c r="P52" i="1"/>
  <c r="T26" i="1"/>
  <c r="S36" i="1"/>
  <c r="JC9" i="4" s="1"/>
  <c r="L28" i="1"/>
  <c r="D135" i="1"/>
  <c r="BX37" i="1"/>
  <c r="AJ26" i="1"/>
  <c r="AM34" i="1"/>
  <c r="AK146" i="1"/>
  <c r="HP16" i="4" s="1"/>
  <c r="BJ37" i="1"/>
  <c r="P21" i="1"/>
  <c r="BJ36" i="1"/>
  <c r="AJ48" i="1"/>
  <c r="AM146" i="1"/>
  <c r="J58" i="1"/>
  <c r="IJ9" i="4" s="1"/>
  <c r="IZ15" i="4" s="1"/>
  <c r="AK140" i="1"/>
  <c r="AL140" i="1" s="1"/>
  <c r="F36" i="1"/>
  <c r="HR9" i="4" s="1"/>
  <c r="BJ34" i="1"/>
  <c r="BX64" i="1"/>
  <c r="R28" i="1"/>
  <c r="L52" i="1"/>
  <c r="H36" i="1"/>
  <c r="P26" i="1"/>
  <c r="HY16" i="4" s="1"/>
  <c r="AK168" i="1"/>
  <c r="AL168" i="1" s="1"/>
  <c r="IB16" i="4" s="1"/>
  <c r="I48" i="1"/>
  <c r="C49" i="1"/>
  <c r="IV16" i="4" s="1"/>
  <c r="AK177" i="1"/>
  <c r="AL177" i="1" s="1"/>
  <c r="ID16" i="4" s="1"/>
  <c r="AK49" i="1"/>
  <c r="AJ33" i="1"/>
  <c r="M28" i="1"/>
  <c r="L33" i="1"/>
  <c r="B59" i="1"/>
  <c r="D37" i="1"/>
  <c r="I37" i="1"/>
  <c r="E59" i="1"/>
  <c r="P22" i="1"/>
  <c r="AL45" i="1"/>
  <c r="IN16" i="4" s="1"/>
  <c r="AJ35" i="1"/>
  <c r="AK28" i="1"/>
  <c r="HZ16" i="4" s="1"/>
  <c r="T59" i="1"/>
  <c r="M45" i="1"/>
  <c r="M207" i="1" s="1"/>
  <c r="AJ27" i="1"/>
  <c r="AL36" i="1"/>
  <c r="J22" i="1"/>
  <c r="J38" i="1"/>
  <c r="B49" i="1"/>
  <c r="T22" i="1"/>
  <c r="C21" i="1"/>
  <c r="C265" i="1" s="1"/>
  <c r="AM176" i="1"/>
  <c r="AN176" i="1" s="1"/>
  <c r="M49" i="1"/>
  <c r="AM49" i="1"/>
  <c r="JE9" i="4" s="1"/>
  <c r="AM137" i="1"/>
  <c r="AN137" i="1" s="1"/>
  <c r="AJ60" i="1"/>
  <c r="AL52" i="1"/>
  <c r="IL16" i="4" s="1"/>
  <c r="B58" i="1"/>
  <c r="M36" i="1"/>
  <c r="S48" i="1"/>
  <c r="CB87" i="1"/>
  <c r="CI163" i="1"/>
  <c r="CJ163" i="1" s="1"/>
  <c r="HY9" i="4" s="1"/>
  <c r="JD9" i="4" s="1"/>
  <c r="AM22" i="1"/>
  <c r="AJ28" i="1"/>
  <c r="IA9" i="4" s="1"/>
  <c r="BX26" i="1"/>
  <c r="AM33" i="1"/>
  <c r="AM144" i="1"/>
  <c r="P60" i="1"/>
  <c r="L26" i="1"/>
  <c r="BX52" i="1"/>
  <c r="IH16" i="4" s="1"/>
  <c r="IX16" i="4" s="1"/>
  <c r="AM172" i="1"/>
  <c r="Q64" i="1"/>
  <c r="AK148" i="1"/>
  <c r="AL148" i="1" s="1"/>
  <c r="IL9" i="4" s="1"/>
  <c r="JI9" i="4" s="1"/>
  <c r="AM156" i="1"/>
  <c r="AN156" i="1" s="1"/>
  <c r="AK153" i="1"/>
  <c r="AL153" i="1" s="1"/>
  <c r="HU9" i="4" s="1"/>
  <c r="M21" i="1"/>
  <c r="M244" i="1" s="1"/>
  <c r="O64" i="1"/>
  <c r="AK21" i="1"/>
  <c r="N38" i="1"/>
  <c r="J60" i="1"/>
  <c r="BY176" i="1"/>
  <c r="BZ176" i="1" s="1"/>
  <c r="CA157" i="1"/>
  <c r="CI167" i="1"/>
  <c r="CJ167" i="1" s="1"/>
  <c r="L58" i="1"/>
  <c r="AL34" i="1"/>
  <c r="AK139" i="1"/>
  <c r="AL139" i="1" s="1"/>
  <c r="AM157" i="1"/>
  <c r="BX35" i="1"/>
  <c r="IV9" i="4" s="1"/>
  <c r="IV21" i="4" s="1"/>
  <c r="BP90" i="1" s="1"/>
  <c r="AJ59" i="1"/>
  <c r="JB8" i="4" s="1"/>
  <c r="P36" i="1"/>
  <c r="JB16" i="4" s="1"/>
  <c r="BJ28" i="1"/>
  <c r="HX16" i="4" s="1"/>
  <c r="HX21" i="4" s="1"/>
  <c r="AR90" i="1" s="1"/>
  <c r="AM160" i="1"/>
  <c r="AN160" i="1" s="1"/>
  <c r="HV9" i="4" s="1"/>
  <c r="IK9" i="4" s="1"/>
  <c r="AJ34" i="1"/>
  <c r="O28" i="1"/>
  <c r="L45" i="1"/>
  <c r="F60" i="1"/>
  <c r="N35" i="1"/>
  <c r="M60" i="1"/>
  <c r="BY138" i="1"/>
  <c r="JG9" i="4" s="1"/>
  <c r="AK164" i="1"/>
  <c r="AL164" i="1" s="1"/>
  <c r="JF16" i="4" s="1"/>
  <c r="HS9" i="4" s="1"/>
  <c r="JE16" i="4" s="1"/>
  <c r="JE21" i="4" s="1"/>
  <c r="BY90" i="1" s="1"/>
  <c r="IS16" i="4" s="1"/>
  <c r="IW16" i="4" s="1"/>
  <c r="E28" i="1"/>
  <c r="D21" i="1"/>
  <c r="D244" i="1" s="1"/>
  <c r="G58" i="1"/>
  <c r="IS9" i="4" s="1"/>
  <c r="B37" i="1"/>
  <c r="IF9" i="4" s="1"/>
  <c r="I35" i="1"/>
  <c r="W26" i="1"/>
  <c r="I33" i="1"/>
  <c r="BY167" i="1"/>
  <c r="BZ167" i="1" s="1"/>
  <c r="BY157" i="1"/>
  <c r="BY160" i="1"/>
  <c r="BZ160" i="1" s="1"/>
  <c r="CA148" i="1"/>
  <c r="CB148" i="1" s="1"/>
  <c r="AL49" i="1"/>
  <c r="B60" i="1"/>
  <c r="AJ21" i="1"/>
  <c r="AJ244" i="1" s="1"/>
  <c r="JH9" i="4" s="1"/>
  <c r="HQ9" i="4" s="1"/>
  <c r="IC16" i="4" s="1"/>
  <c r="AJ37" i="1"/>
  <c r="B64" i="1"/>
  <c r="Q58" i="1"/>
  <c r="F64" i="1"/>
  <c r="Q22" i="1"/>
  <c r="O48" i="1"/>
  <c r="BX49" i="1"/>
  <c r="IM15" i="4" s="1"/>
  <c r="AK144" i="1"/>
  <c r="U52" i="1"/>
  <c r="AJ36" i="1"/>
  <c r="E21" i="1"/>
  <c r="E244" i="1" s="1"/>
  <c r="V45" i="1"/>
  <c r="AM52" i="1"/>
  <c r="IR14" i="4" s="1"/>
  <c r="W36" i="1"/>
  <c r="T64" i="1"/>
  <c r="W145" i="1"/>
  <c r="Q34" i="1"/>
  <c r="CA33" i="1"/>
  <c r="Q38" i="1"/>
  <c r="D34" i="1"/>
  <c r="O22" i="1"/>
  <c r="P140" i="1"/>
  <c r="Q28" i="1"/>
  <c r="S38" i="1"/>
  <c r="IU16" i="4" s="1"/>
  <c r="K34" i="1"/>
  <c r="G166" i="1"/>
  <c r="F58" i="1"/>
  <c r="AM28" i="1"/>
  <c r="IQ16" i="4" s="1"/>
  <c r="IJ16" i="4" s="1"/>
  <c r="IJ21" i="4" s="1"/>
  <c r="BD90" i="1" s="1"/>
  <c r="AL64" i="1"/>
  <c r="L64" i="1"/>
  <c r="U49" i="1"/>
  <c r="BX27" i="1"/>
  <c r="R33" i="1"/>
  <c r="G60" i="1"/>
  <c r="I21" i="1"/>
  <c r="I244" i="1" s="1"/>
  <c r="S64" i="1"/>
  <c r="CF35" i="1"/>
  <c r="O34" i="1"/>
  <c r="BX59" i="1"/>
  <c r="AK59" i="1"/>
  <c r="II9" i="4" s="1"/>
  <c r="AK22" i="1"/>
  <c r="AL59" i="1"/>
  <c r="J28" i="1"/>
  <c r="M33" i="1"/>
  <c r="AM37" i="1"/>
  <c r="IG9" i="4" s="1"/>
  <c r="W130" i="1"/>
  <c r="IU9" i="4" s="1"/>
  <c r="AM45" i="1"/>
  <c r="AM207" i="1" s="1"/>
  <c r="C59" i="1"/>
  <c r="BX28" i="1"/>
  <c r="M64" i="1"/>
  <c r="AL21" i="1"/>
  <c r="AL244" i="1" s="1"/>
  <c r="V26" i="1"/>
  <c r="S35" i="1"/>
  <c r="R49" i="1"/>
  <c r="S52" i="1"/>
  <c r="N34" i="1"/>
  <c r="H64" i="1"/>
  <c r="X7" i="6" s="1"/>
  <c r="O59" i="1"/>
  <c r="F45" i="1"/>
  <c r="F207" i="1" s="1"/>
  <c r="N33" i="1"/>
  <c r="G45" i="1"/>
  <c r="G207" i="1" s="1"/>
  <c r="HV16" i="4" s="1"/>
  <c r="IO7" i="4" s="1"/>
  <c r="N36" i="1"/>
  <c r="D22" i="1"/>
  <c r="JB14" i="4" s="1"/>
  <c r="G36" i="1"/>
  <c r="IH15" i="4" s="1"/>
  <c r="E60" i="1"/>
  <c r="D49" i="1"/>
  <c r="HR14" i="4" s="1"/>
  <c r="R58" i="1"/>
  <c r="H45" i="1"/>
  <c r="H207" i="1" s="1"/>
  <c r="F38" i="1"/>
  <c r="D60" i="1"/>
  <c r="AK135" i="1"/>
  <c r="AL135" i="1" s="1"/>
  <c r="O36" i="1"/>
  <c r="HU16" i="4" s="1"/>
  <c r="AL22" i="1"/>
  <c r="R36" i="1"/>
  <c r="U33" i="1"/>
  <c r="AK35" i="1"/>
  <c r="BJ35" i="1"/>
  <c r="H60" i="1"/>
  <c r="BY86" i="1"/>
  <c r="E37" i="1"/>
  <c r="N28" i="1"/>
  <c r="L35" i="1"/>
  <c r="AK36" i="1"/>
  <c r="JA16" i="4" s="1"/>
  <c r="P48" i="1"/>
  <c r="N26" i="1"/>
  <c r="O60" i="1"/>
  <c r="U28" i="1"/>
  <c r="C48" i="1"/>
  <c r="H34" i="1"/>
  <c r="U59" i="1"/>
  <c r="J48" i="1"/>
  <c r="T34" i="1"/>
  <c r="CA164" i="1"/>
  <c r="CB164" i="1" s="1"/>
  <c r="V52" i="1"/>
  <c r="IY16" i="4" s="1"/>
  <c r="JI16" i="4" s="1"/>
  <c r="O58" i="1"/>
  <c r="H35" i="1"/>
  <c r="C22" i="1"/>
  <c r="H21" i="1"/>
  <c r="H244" i="1" s="1"/>
  <c r="E58" i="1"/>
  <c r="IY9" i="4" s="1"/>
  <c r="S37" i="1"/>
  <c r="J35" i="1"/>
  <c r="N60" i="1"/>
  <c r="W58" i="1"/>
  <c r="AJ22" i="1"/>
  <c r="W38" i="1"/>
  <c r="U48" i="1"/>
  <c r="G33" i="1"/>
  <c r="IP9" i="4" s="1"/>
  <c r="O21" i="1"/>
  <c r="R22" i="1"/>
  <c r="B35" i="1"/>
  <c r="J45" i="1"/>
  <c r="J207" i="1" s="1"/>
  <c r="E36" i="1"/>
  <c r="M34" i="1"/>
  <c r="I60" i="1"/>
  <c r="P168" i="1"/>
  <c r="HR16" i="4" s="1"/>
  <c r="BX60" i="1"/>
  <c r="R60" i="1"/>
  <c r="S58" i="1"/>
  <c r="C45" i="1"/>
  <c r="C207" i="1" s="1"/>
  <c r="K48" i="1"/>
  <c r="L34" i="1"/>
  <c r="W64" i="1"/>
  <c r="F59" i="1"/>
  <c r="H38" i="1"/>
  <c r="R64" i="1"/>
  <c r="B45" i="1"/>
  <c r="G49" i="1"/>
  <c r="B21" i="1"/>
  <c r="I26" i="1"/>
  <c r="H33" i="1"/>
  <c r="Q49" i="1"/>
  <c r="E48" i="1"/>
  <c r="AL27" i="1"/>
  <c r="IR9" i="4" s="1"/>
  <c r="L60" i="1"/>
  <c r="AK60" i="1"/>
  <c r="G176" i="1"/>
  <c r="U36" i="1"/>
  <c r="U37" i="1"/>
  <c r="Q26" i="1"/>
  <c r="G34" i="1"/>
  <c r="F21" i="1"/>
  <c r="H26" i="1"/>
  <c r="IR16" i="4" s="1"/>
  <c r="IR21" i="4" s="1"/>
  <c r="BL90" i="1" s="1"/>
  <c r="V34" i="1"/>
  <c r="V33" i="1"/>
  <c r="C52" i="1"/>
  <c r="M58" i="1"/>
  <c r="E172" i="1"/>
  <c r="C58" i="1"/>
  <c r="R59" i="1"/>
  <c r="D28" i="1"/>
  <c r="F52" i="1"/>
  <c r="AJ45" i="1"/>
  <c r="AJ207" i="1" s="1"/>
  <c r="HT9" i="4" s="1"/>
  <c r="M26" i="1"/>
  <c r="HS16" i="4" s="1"/>
  <c r="AK150" i="1"/>
  <c r="AL150" i="1" s="1"/>
  <c r="IE9" i="4" s="1"/>
  <c r="R48" i="1"/>
  <c r="P35" i="1"/>
  <c r="IP16" i="4" s="1"/>
  <c r="O38" i="1"/>
  <c r="H37" i="1"/>
  <c r="E33" i="1"/>
  <c r="AK64" i="1"/>
  <c r="G28" i="1"/>
  <c r="P64" i="1"/>
  <c r="V58" i="1"/>
  <c r="W33" i="1"/>
  <c r="W60" i="1"/>
  <c r="M48" i="1"/>
  <c r="U64" i="1"/>
  <c r="E22" i="1"/>
  <c r="BJ33" i="1"/>
  <c r="W52" i="1"/>
  <c r="H58" i="1"/>
  <c r="AJ7" i="6" s="1"/>
  <c r="E38" i="1"/>
  <c r="N22" i="1"/>
  <c r="Q35" i="1"/>
  <c r="F33" i="1"/>
  <c r="H49" i="1"/>
  <c r="E26" i="1"/>
  <c r="T49" i="1"/>
  <c r="BZ34" i="1"/>
  <c r="CE27" i="1"/>
  <c r="CB35" i="1"/>
  <c r="L7" i="6" s="1"/>
  <c r="BL35" i="1"/>
  <c r="BL36" i="1"/>
  <c r="CE49" i="1"/>
  <c r="CJ34" i="1"/>
  <c r="Y49" i="1"/>
  <c r="Z59" i="1"/>
  <c r="K59" i="1"/>
  <c r="V38" i="1"/>
  <c r="L49" i="1"/>
  <c r="V48" i="1"/>
  <c r="I45" i="1"/>
  <c r="Q33" i="1"/>
  <c r="U22" i="1"/>
  <c r="IZ16" i="4" s="1"/>
  <c r="N45" i="1"/>
  <c r="N207" i="1" s="1"/>
  <c r="G59" i="1"/>
  <c r="P33" i="1"/>
  <c r="L48" i="1"/>
  <c r="F48" i="1"/>
  <c r="H22" i="1"/>
  <c r="K21" i="1"/>
  <c r="K244" i="1" s="1"/>
  <c r="S45" i="1"/>
  <c r="S207" i="1" s="1"/>
  <c r="Q48" i="1"/>
  <c r="D36" i="1"/>
  <c r="N64" i="1"/>
  <c r="D38" i="1"/>
  <c r="CA28" i="1"/>
  <c r="CF33" i="1"/>
  <c r="CB28" i="1"/>
  <c r="BL58" i="1"/>
  <c r="BY35" i="1"/>
  <c r="BL34" i="1"/>
  <c r="Y160" i="1"/>
  <c r="Z149" i="1"/>
  <c r="CG149" i="1" s="1"/>
  <c r="CH149" i="1" s="1"/>
  <c r="BY33" i="1"/>
  <c r="Y168" i="1"/>
  <c r="AA7" i="6" s="1"/>
  <c r="Y145" i="1"/>
  <c r="V64" i="1"/>
  <c r="E45" i="1"/>
  <c r="E207" i="1" s="1"/>
  <c r="BY64" i="1"/>
  <c r="P7" i="6" s="1"/>
  <c r="CE48" i="1"/>
  <c r="BY48" i="1"/>
  <c r="CI157" i="1"/>
  <c r="CF64" i="1"/>
  <c r="O7" i="6" s="1"/>
  <c r="CB49" i="1"/>
  <c r="CE28" i="1"/>
  <c r="AO7" i="6" s="1"/>
  <c r="AK7" i="6" s="1"/>
  <c r="BY34" i="1"/>
  <c r="BX21" i="1"/>
  <c r="BX10" i="1" s="1"/>
  <c r="BL37" i="1"/>
  <c r="AF7" i="6" s="1"/>
  <c r="BL64" i="1"/>
  <c r="BZ64" i="1"/>
  <c r="CH28" i="1"/>
  <c r="Z21" i="1"/>
  <c r="U21" i="1"/>
  <c r="U244" i="1" s="1"/>
  <c r="CG60" i="1"/>
  <c r="Y140" i="1"/>
  <c r="K58" i="1"/>
  <c r="I22" i="1"/>
  <c r="K36" i="1"/>
  <c r="P58" i="1"/>
  <c r="T60" i="1"/>
  <c r="I58" i="1"/>
  <c r="C137" i="1"/>
  <c r="BJ26" i="1"/>
  <c r="BX58" i="1"/>
  <c r="T36" i="1"/>
  <c r="K22" i="1"/>
  <c r="N58" i="1"/>
  <c r="Q37" i="1"/>
  <c r="W48" i="1"/>
  <c r="T28" i="1"/>
  <c r="IN9" i="4" s="1"/>
  <c r="V28" i="1"/>
  <c r="S28" i="1"/>
  <c r="T48" i="1"/>
  <c r="V59" i="1"/>
  <c r="L37" i="1"/>
  <c r="B38" i="1"/>
  <c r="C36" i="1"/>
  <c r="Q60" i="1"/>
  <c r="JG15" i="4" s="1"/>
  <c r="Q59" i="1"/>
  <c r="D58" i="1"/>
  <c r="CI166" i="1"/>
  <c r="CD27" i="1"/>
  <c r="CE86" i="1"/>
  <c r="AP7" i="6" s="1"/>
  <c r="CA26" i="1"/>
  <c r="CF45" i="1"/>
  <c r="CF207" i="1" s="1"/>
  <c r="BZ21" i="1"/>
  <c r="BL52" i="1"/>
  <c r="CB22" i="1"/>
  <c r="BZ33" i="1"/>
  <c r="JN9" i="4" s="1"/>
  <c r="CC58" i="1"/>
  <c r="CE22" i="1"/>
  <c r="CB34" i="1"/>
  <c r="X92" i="1"/>
  <c r="CD35" i="1"/>
  <c r="X45" i="1"/>
  <c r="Y52" i="1"/>
  <c r="X90" i="1"/>
  <c r="X166" i="1"/>
  <c r="CH21" i="1"/>
  <c r="CH244" i="1" s="1"/>
  <c r="Z138" i="1"/>
  <c r="CG138" i="1" s="1"/>
  <c r="CH138" i="1" s="1"/>
  <c r="L38" i="1"/>
  <c r="V49" i="1"/>
  <c r="P49" i="1"/>
  <c r="I34" i="1"/>
  <c r="S26" i="1"/>
  <c r="T52" i="1"/>
  <c r="F49" i="1"/>
  <c r="C33" i="1"/>
  <c r="L36" i="1"/>
  <c r="P59" i="1"/>
  <c r="Q166" i="1"/>
  <c r="T35" i="1"/>
  <c r="U26" i="1"/>
  <c r="J26" i="1"/>
  <c r="CE140" i="1"/>
  <c r="CF140" i="1" s="1"/>
  <c r="CD58" i="1"/>
  <c r="CA52" i="1"/>
  <c r="CE37" i="1"/>
  <c r="CA34" i="1"/>
  <c r="CE144" i="1"/>
  <c r="Y48" i="1"/>
  <c r="Y131" i="1"/>
  <c r="Y153" i="1"/>
  <c r="Z153" i="1"/>
  <c r="AA215" i="1" s="1"/>
  <c r="CH52" i="1"/>
  <c r="Y155" i="1"/>
  <c r="X148" i="1"/>
  <c r="X144" i="1" s="1"/>
  <c r="AJ52" i="1"/>
  <c r="AL28" i="1"/>
  <c r="R52" i="1"/>
  <c r="U35" i="1"/>
  <c r="U38" i="1"/>
  <c r="F22" i="1"/>
  <c r="N48" i="1"/>
  <c r="M52" i="1"/>
  <c r="K49" i="1"/>
  <c r="K28" i="1"/>
  <c r="L22" i="1"/>
  <c r="E34" i="1"/>
  <c r="C38" i="1"/>
  <c r="J21" i="1"/>
  <c r="T37" i="1"/>
  <c r="Q45" i="1"/>
  <c r="N21" i="1"/>
  <c r="G22" i="1"/>
  <c r="C64" i="1"/>
  <c r="HT16" i="4" s="1"/>
  <c r="J52" i="1"/>
  <c r="C28" i="1"/>
  <c r="N59" i="1"/>
  <c r="O45" i="1"/>
  <c r="O207" i="1" s="1"/>
  <c r="F35" i="1"/>
  <c r="K52" i="1"/>
  <c r="H48" i="1"/>
  <c r="BY26" i="1"/>
  <c r="CF52" i="1"/>
  <c r="AI177" i="1"/>
  <c r="AJ177" i="1" s="1"/>
  <c r="CC35" i="1"/>
  <c r="BL22" i="1"/>
  <c r="BL27" i="1"/>
  <c r="CA37" i="1"/>
  <c r="JL9" i="4" s="1"/>
  <c r="CC48" i="1"/>
  <c r="BZ45" i="1"/>
  <c r="X156" i="1"/>
  <c r="Z37" i="1"/>
  <c r="F7" i="6" s="1"/>
  <c r="Z52" i="1"/>
  <c r="X185" i="1"/>
  <c r="V22" i="1"/>
  <c r="HZ9" i="4" s="1"/>
  <c r="P38" i="1"/>
  <c r="S21" i="1"/>
  <c r="AK34" i="1"/>
  <c r="F34" i="1"/>
  <c r="K35" i="1"/>
  <c r="J59" i="1"/>
  <c r="N37" i="1"/>
  <c r="B36" i="1"/>
  <c r="AH7" i="6" s="1"/>
  <c r="CE59" i="1"/>
  <c r="BY27" i="1"/>
  <c r="CD59" i="1"/>
  <c r="W7" i="6" s="1"/>
  <c r="CE26" i="1"/>
  <c r="CC59" i="1"/>
  <c r="CC28" i="1"/>
  <c r="H7" i="6" s="1"/>
  <c r="R7" i="6" s="1"/>
  <c r="CD52" i="1"/>
  <c r="BY45" i="1"/>
  <c r="BY207" i="1" s="1"/>
  <c r="CI86" i="1"/>
  <c r="CA87" i="1"/>
  <c r="BZ59" i="1"/>
  <c r="CC22" i="1"/>
  <c r="CB52" i="1"/>
  <c r="CI156" i="1"/>
  <c r="CJ156" i="1" s="1"/>
  <c r="CE34" i="1"/>
  <c r="CE33" i="1"/>
  <c r="Y157" i="1"/>
  <c r="CG27" i="1"/>
  <c r="AL35" i="1"/>
  <c r="AK26" i="1"/>
  <c r="J33" i="1"/>
  <c r="S33" i="1"/>
  <c r="M37" i="1"/>
  <c r="HX9" i="4" s="1"/>
  <c r="D26" i="1"/>
  <c r="W22" i="1"/>
  <c r="P45" i="1"/>
  <c r="P207" i="1" s="1"/>
  <c r="M35" i="1"/>
  <c r="Q36" i="1"/>
  <c r="F26" i="1"/>
  <c r="W59" i="1"/>
  <c r="J132" i="1"/>
  <c r="D59" i="1"/>
  <c r="D48" i="1"/>
  <c r="K60" i="1"/>
  <c r="O33" i="1"/>
  <c r="E64" i="1"/>
  <c r="BX33" i="1"/>
  <c r="M59" i="1"/>
  <c r="P173" i="1"/>
  <c r="K26" i="1"/>
  <c r="J36" i="1"/>
  <c r="D45" i="1"/>
  <c r="CA27" i="1"/>
  <c r="CC34" i="1"/>
  <c r="CE35" i="1"/>
  <c r="AE7" i="6" s="1"/>
  <c r="CA172" i="1"/>
  <c r="CE58" i="1"/>
  <c r="CC26" i="1"/>
  <c r="BY37" i="1"/>
  <c r="CE45" i="1"/>
  <c r="CE207" i="1" s="1"/>
  <c r="CC52" i="1"/>
  <c r="Y184" i="1"/>
  <c r="CA22" i="1"/>
  <c r="CF49" i="1"/>
  <c r="E7" i="6" s="1"/>
  <c r="Z36" i="1"/>
  <c r="CB45" i="1"/>
  <c r="CB27" i="1"/>
  <c r="CH58" i="1"/>
  <c r="Z28" i="1"/>
  <c r="Y135" i="1"/>
  <c r="Y80" i="1"/>
  <c r="I38" i="1"/>
  <c r="W28" i="1"/>
  <c r="W34" i="1"/>
  <c r="W35" i="1"/>
  <c r="D35" i="1"/>
  <c r="T38" i="1"/>
  <c r="H59" i="1"/>
  <c r="P28" i="1"/>
  <c r="V35" i="1"/>
  <c r="U58" i="1"/>
  <c r="JD16" i="4" s="1"/>
  <c r="P34" i="1"/>
  <c r="V60" i="1"/>
  <c r="C35" i="1"/>
  <c r="G38" i="1"/>
  <c r="D33" i="1"/>
  <c r="G52" i="1"/>
  <c r="R45" i="1"/>
  <c r="W37" i="1"/>
  <c r="T58" i="1"/>
  <c r="CF26" i="1"/>
  <c r="AU7" i="6" s="1"/>
  <c r="V7" i="6" s="1"/>
  <c r="CE162" i="1"/>
  <c r="CF162" i="1" s="1"/>
  <c r="CF37" i="1"/>
  <c r="CD26" i="1"/>
  <c r="CA138" i="1"/>
  <c r="CB138" i="1" s="1"/>
  <c r="Q7" i="6" s="1"/>
  <c r="CE137" i="1"/>
  <c r="CF137" i="1" s="1"/>
  <c r="I7" i="6" s="1"/>
  <c r="CE60" i="1"/>
  <c r="CF60" i="1"/>
  <c r="CB33" i="1"/>
  <c r="BZ22" i="1"/>
  <c r="CJ37" i="1"/>
  <c r="Z176" i="1"/>
  <c r="CH64" i="1"/>
  <c r="CH45" i="1"/>
  <c r="CH207" i="1" s="1"/>
  <c r="CI52" i="1"/>
  <c r="CJ33" i="1"/>
  <c r="CG26" i="1"/>
  <c r="IX9" i="4" s="1"/>
  <c r="IC9" i="4" s="1"/>
  <c r="JB9" i="4" s="1"/>
  <c r="I36" i="1"/>
  <c r="Q52" i="1"/>
  <c r="B33" i="1"/>
  <c r="E52" i="1"/>
  <c r="P37" i="1"/>
  <c r="E35" i="1"/>
  <c r="E49" i="1"/>
  <c r="C37" i="1"/>
  <c r="L21" i="1"/>
  <c r="W45" i="1"/>
  <c r="R35" i="1"/>
  <c r="U60" i="1"/>
  <c r="IW14" i="4" s="1"/>
  <c r="G35" i="1"/>
  <c r="J64" i="1"/>
  <c r="L59" i="1"/>
  <c r="I52" i="1"/>
  <c r="S22" i="1"/>
  <c r="B28" i="1"/>
  <c r="I64" i="1"/>
  <c r="AL58" i="1"/>
  <c r="JH16" i="4" s="1"/>
  <c r="K33" i="1"/>
  <c r="AL37" i="1"/>
  <c r="V37" i="1"/>
  <c r="F37" i="1"/>
  <c r="M22" i="1"/>
  <c r="J37" i="1"/>
  <c r="P166" i="1"/>
  <c r="P196" i="1" s="1"/>
  <c r="CB48" i="1"/>
  <c r="AS7" i="6" s="1"/>
  <c r="BY22" i="1"/>
  <c r="CF36" i="1"/>
  <c r="CB59" i="1"/>
  <c r="CA64" i="1"/>
  <c r="CD64" i="1"/>
  <c r="AL7" i="6" s="1"/>
  <c r="CD22" i="1"/>
  <c r="AX7" i="6" s="1"/>
  <c r="CB58" i="1"/>
  <c r="CB64" i="1"/>
  <c r="CF28" i="1"/>
  <c r="BL26" i="1"/>
  <c r="Y26" i="1"/>
  <c r="CF58" i="1"/>
  <c r="CE52" i="1"/>
  <c r="S34" i="1"/>
  <c r="R37" i="1"/>
  <c r="K45" i="1"/>
  <c r="K207" i="1" s="1"/>
  <c r="O26" i="1"/>
  <c r="D52" i="1"/>
  <c r="G64" i="1"/>
  <c r="S60" i="1"/>
  <c r="N49" i="1"/>
  <c r="T33" i="1"/>
  <c r="J49" i="1"/>
  <c r="S59" i="1"/>
  <c r="U45" i="1"/>
  <c r="U207" i="1" s="1"/>
  <c r="R21" i="1"/>
  <c r="R244" i="1" s="1"/>
  <c r="S49" i="1"/>
  <c r="I49" i="1"/>
  <c r="K37" i="1"/>
  <c r="B22" i="1"/>
  <c r="AL26" i="1"/>
  <c r="T45" i="1"/>
  <c r="T207" i="1" s="1"/>
  <c r="B34" i="1"/>
  <c r="W49" i="1"/>
  <c r="C60" i="1"/>
  <c r="B26" i="1"/>
  <c r="JM16" i="4" s="1"/>
  <c r="BL45" i="1"/>
  <c r="BL207" i="1" s="1"/>
  <c r="BY59" i="1"/>
  <c r="BY49" i="1"/>
  <c r="CD21" i="1"/>
  <c r="CD10" i="1" s="1"/>
  <c r="M7" i="6" s="1"/>
  <c r="CE157" i="1"/>
  <c r="CD28" i="1"/>
  <c r="BL49" i="1"/>
  <c r="JN16" i="4" s="1"/>
  <c r="Z177" i="1"/>
  <c r="CF48" i="1"/>
  <c r="CG36" i="1"/>
  <c r="CO36" i="1" s="1"/>
  <c r="CS36" i="1" s="1"/>
  <c r="CW36" i="1" s="1"/>
  <c r="DA36" i="1" s="1"/>
  <c r="CG59" i="1"/>
  <c r="Z150" i="1"/>
  <c r="CG150" i="1" s="1"/>
  <c r="CH150" i="1" s="1"/>
  <c r="X163" i="1"/>
  <c r="C26" i="1"/>
  <c r="T21" i="1"/>
  <c r="T244" i="1" s="1"/>
  <c r="R34" i="1"/>
  <c r="M38" i="1"/>
  <c r="N52" i="1"/>
  <c r="K38" i="1"/>
  <c r="Q21" i="1"/>
  <c r="CA59" i="1"/>
  <c r="Z7" i="6" s="1"/>
  <c r="CC37" i="1"/>
  <c r="G7" i="6" s="1"/>
  <c r="CD33" i="1"/>
  <c r="CE36" i="1"/>
  <c r="BY58" i="1"/>
  <c r="CA167" i="1"/>
  <c r="BL33" i="1"/>
  <c r="CA132" i="1"/>
  <c r="CB37" i="1"/>
  <c r="CC64" i="1"/>
  <c r="CG28" i="1"/>
  <c r="CI48" i="1"/>
  <c r="CC33" i="1"/>
  <c r="Z185" i="1"/>
  <c r="X80" i="1"/>
  <c r="Y150" i="1"/>
  <c r="CD48" i="1"/>
  <c r="CA48" i="1"/>
  <c r="CA58" i="1"/>
  <c r="BZ60" i="1"/>
  <c r="CE21" i="1"/>
  <c r="AV7" i="6" s="1"/>
  <c r="CC21" i="1"/>
  <c r="BL60" i="1"/>
  <c r="CC27" i="1"/>
  <c r="BZ26" i="1"/>
  <c r="CF27" i="1"/>
  <c r="CA60" i="1"/>
  <c r="CF34" i="1"/>
  <c r="BZ36" i="1"/>
  <c r="JJ16" i="4" s="1"/>
  <c r="BZ35" i="1"/>
  <c r="JO9" i="4" s="1"/>
  <c r="X184" i="1"/>
  <c r="X158" i="1"/>
  <c r="AD7" i="6" s="1"/>
  <c r="Y58" i="1"/>
  <c r="BZ48" i="1"/>
  <c r="Z157" i="1"/>
  <c r="CG157" i="1" s="1"/>
  <c r="Z60" i="1"/>
  <c r="CJ58" i="1"/>
  <c r="CK58" i="1" s="1"/>
  <c r="CM58" i="1" s="1"/>
  <c r="CN58" i="1" s="1"/>
  <c r="CO58" i="1" s="1"/>
  <c r="CP58" i="1" s="1"/>
  <c r="X149" i="1"/>
  <c r="CJ59" i="1"/>
  <c r="CK59" i="1" s="1"/>
  <c r="Z22" i="1"/>
  <c r="Z172" i="1"/>
  <c r="CG172" i="1" s="1"/>
  <c r="X176" i="1"/>
  <c r="Y22" i="1"/>
  <c r="CG45" i="1"/>
  <c r="X52" i="1"/>
  <c r="CJ48" i="1"/>
  <c r="X130" i="1"/>
  <c r="X155" i="1"/>
  <c r="CJ28" i="1"/>
  <c r="X140" i="1"/>
  <c r="Y164" i="1"/>
  <c r="CA49" i="1"/>
  <c r="X153" i="1"/>
  <c r="Y138" i="1"/>
  <c r="JK16" i="4" s="1"/>
  <c r="Y149" i="1"/>
  <c r="Y163" i="1"/>
  <c r="CG52" i="1"/>
  <c r="CJ45" i="1"/>
  <c r="X59" i="1"/>
  <c r="X64" i="1"/>
  <c r="Y60" i="1"/>
  <c r="CI26" i="1"/>
  <c r="CI49" i="1"/>
  <c r="Y177" i="1"/>
  <c r="CI45" i="1"/>
  <c r="Y45" i="1"/>
  <c r="Y207" i="1" s="1"/>
  <c r="X26" i="1"/>
  <c r="CH37" i="1"/>
  <c r="CG35" i="1"/>
  <c r="X33" i="1"/>
  <c r="Y91" i="1"/>
  <c r="X22" i="1"/>
  <c r="Z48" i="1"/>
  <c r="Z49" i="1"/>
  <c r="X162" i="1"/>
  <c r="CJ36" i="1"/>
  <c r="CN36" i="1" s="1"/>
  <c r="CR36" i="1" s="1"/>
  <c r="CV36" i="1" s="1"/>
  <c r="CZ36" i="1" s="1"/>
  <c r="X168" i="1"/>
  <c r="Y38" i="1"/>
  <c r="X131" i="1"/>
  <c r="Y146" i="1"/>
  <c r="Z91" i="1"/>
  <c r="BL28" i="1"/>
  <c r="BZ27" i="1"/>
  <c r="CE155" i="1"/>
  <c r="BY52" i="1"/>
  <c r="BY60" i="1"/>
  <c r="BZ52" i="1"/>
  <c r="S7" i="6" s="1"/>
  <c r="CA36" i="1"/>
  <c r="AM7" i="6" s="1"/>
  <c r="CC36" i="1"/>
  <c r="JP16" i="4" s="1"/>
  <c r="Z155" i="1"/>
  <c r="CG155" i="1" s="1"/>
  <c r="Y21" i="1"/>
  <c r="X49" i="1"/>
  <c r="Z183" i="1"/>
  <c r="CJ35" i="1"/>
  <c r="Z86" i="1"/>
  <c r="X91" i="1"/>
  <c r="Z158" i="1"/>
  <c r="CI22" i="1"/>
  <c r="CJ52" i="1"/>
  <c r="CH27" i="1"/>
  <c r="Y166" i="1"/>
  <c r="X37" i="1"/>
  <c r="Z137" i="1"/>
  <c r="CG137" i="1" s="1"/>
  <c r="Y130" i="1"/>
  <c r="Z156" i="1"/>
  <c r="CG156" i="1" s="1"/>
  <c r="CH156" i="1" s="1"/>
  <c r="Y158" i="1"/>
  <c r="Y137" i="1"/>
  <c r="X172" i="1"/>
  <c r="X183" i="1"/>
  <c r="X145" i="1"/>
  <c r="Y176" i="1"/>
  <c r="CI58" i="1"/>
  <c r="CJ21" i="1"/>
  <c r="CJ244" i="1" s="1"/>
  <c r="W21" i="1"/>
  <c r="W244" i="1" s="1"/>
  <c r="Y34" i="1"/>
  <c r="Y173" i="1"/>
  <c r="CI37" i="1"/>
  <c r="Z38" i="1"/>
  <c r="Z33" i="1"/>
  <c r="X38" i="1"/>
  <c r="BY28" i="1"/>
  <c r="CC45" i="1"/>
  <c r="CC207" i="1" s="1"/>
  <c r="JK9" i="4" s="1"/>
  <c r="Y139" i="1"/>
  <c r="Y167" i="1" s="1"/>
  <c r="X146" i="1"/>
  <c r="CJ26" i="1"/>
  <c r="AQ7" i="6" s="1"/>
  <c r="X138" i="1"/>
  <c r="Y59" i="1"/>
  <c r="X60" i="1"/>
  <c r="X28" i="1"/>
  <c r="Z164" i="1"/>
  <c r="CG164" i="1" s="1"/>
  <c r="CH164" i="1" s="1"/>
  <c r="X137" i="1"/>
  <c r="Y132" i="1"/>
  <c r="Z145" i="1"/>
  <c r="CG145" i="1" s="1"/>
  <c r="X160" i="1"/>
  <c r="Z35" i="1"/>
  <c r="CG58" i="1"/>
  <c r="Y33" i="1"/>
  <c r="CH34" i="1"/>
  <c r="JM9" i="4" s="1"/>
  <c r="T7" i="6" s="1"/>
  <c r="CE176" i="1"/>
  <c r="CF176" i="1" s="1"/>
  <c r="CD37" i="1"/>
  <c r="Y7" i="6" s="1"/>
  <c r="BL59" i="1"/>
  <c r="CD34" i="1"/>
  <c r="CA21" i="1"/>
  <c r="CA10" i="1" s="1"/>
  <c r="AW7" i="6" s="1"/>
  <c r="CA45" i="1"/>
  <c r="CA207" i="1" s="1"/>
  <c r="X35" i="1"/>
  <c r="X132" i="1"/>
  <c r="Z45" i="1"/>
  <c r="Z207" i="1" s="1"/>
  <c r="CI35" i="1"/>
  <c r="CF59" i="1"/>
  <c r="BZ58" i="1"/>
  <c r="CJ22" i="1"/>
  <c r="CG48" i="1"/>
  <c r="X58" i="1"/>
  <c r="CI33" i="1"/>
  <c r="CJ64" i="1"/>
  <c r="Z166" i="1"/>
  <c r="CG166" i="1" s="1"/>
  <c r="CG34" i="1"/>
  <c r="Z168" i="1"/>
  <c r="CG168" i="1" s="1"/>
  <c r="CH168" i="1" s="1"/>
  <c r="CH26" i="1"/>
  <c r="X164" i="1"/>
  <c r="Z135" i="1"/>
  <c r="CG135" i="1" s="1"/>
  <c r="CH135" i="1" s="1"/>
  <c r="CH59" i="1"/>
  <c r="CH33" i="1"/>
  <c r="Z139" i="1"/>
  <c r="CG139" i="1" s="1"/>
  <c r="CH139" i="1" s="1"/>
  <c r="X36" i="1"/>
  <c r="Z148" i="1"/>
  <c r="CG148" i="1" s="1"/>
  <c r="CH148" i="1" s="1"/>
  <c r="Z90" i="1"/>
  <c r="Z163" i="1"/>
  <c r="CG163" i="1" s="1"/>
  <c r="CH163" i="1" s="1"/>
  <c r="A1" i="1"/>
  <c r="U34" i="1"/>
  <c r="G48" i="1"/>
  <c r="B52" i="1"/>
  <c r="O37" i="1"/>
  <c r="H28" i="1"/>
  <c r="R26" i="1"/>
  <c r="H52" i="1"/>
  <c r="R38" i="1"/>
  <c r="G37" i="1"/>
  <c r="BZ37" i="1"/>
  <c r="N7" i="6" s="1"/>
  <c r="CB60" i="1"/>
  <c r="AG7" i="6" s="1"/>
  <c r="CA35" i="1"/>
  <c r="J7" i="6" s="1"/>
  <c r="CD45" i="1"/>
  <c r="CD207" i="1" s="1"/>
  <c r="BY36" i="1"/>
  <c r="BY21" i="1"/>
  <c r="BY10" i="1" s="1"/>
  <c r="CD49" i="1"/>
  <c r="CC49" i="1"/>
  <c r="CF21" i="1"/>
  <c r="CF10" i="1" s="1"/>
  <c r="U7" i="6" s="1"/>
  <c r="CD60" i="1"/>
  <c r="K7" i="6" s="1"/>
  <c r="BL48" i="1"/>
  <c r="CH49" i="1"/>
  <c r="CJ76" i="1"/>
  <c r="CK76" i="1" s="1"/>
  <c r="X34" i="1"/>
  <c r="CB36" i="1"/>
  <c r="AR7" i="6" s="1"/>
  <c r="Z160" i="1"/>
  <c r="CG160" i="1" s="1"/>
  <c r="CH160" i="1" s="1"/>
  <c r="CH22" i="1"/>
  <c r="CH60" i="1"/>
  <c r="CB21" i="1"/>
  <c r="CB10" i="1" s="1"/>
  <c r="CC60" i="1"/>
  <c r="Z162" i="1"/>
  <c r="CG162" i="1" s="1"/>
  <c r="Z173" i="1"/>
  <c r="CG173" i="1" s="1"/>
  <c r="CG22" i="1"/>
  <c r="X177" i="1"/>
  <c r="X48" i="1"/>
  <c r="Y148" i="1"/>
  <c r="Y144" i="1" s="1"/>
  <c r="Z26" i="1"/>
  <c r="CG33" i="1"/>
  <c r="CB26" i="1"/>
  <c r="CJ77" i="1"/>
  <c r="CK77" i="1" s="1"/>
  <c r="CH48" i="1"/>
  <c r="CJ49" i="1"/>
  <c r="CH35" i="1"/>
  <c r="V21" i="1"/>
  <c r="V244" i="1" s="1"/>
  <c r="Y159" i="1"/>
  <c r="CI21" i="1"/>
  <c r="CL111" i="1" s="1"/>
  <c r="CL112" i="1" s="1"/>
  <c r="CI59" i="1"/>
  <c r="Z159" i="1"/>
  <c r="CG159" i="1" s="1"/>
  <c r="CH159" i="1" s="1"/>
  <c r="Z132" i="1"/>
  <c r="CG132" i="1" s="1"/>
  <c r="CD36" i="1"/>
  <c r="CE160" i="1"/>
  <c r="CF160" i="1" s="1"/>
  <c r="AT7" i="6" s="1"/>
  <c r="CE64" i="1"/>
  <c r="BZ49" i="1"/>
  <c r="BZ28" i="1"/>
  <c r="AI7" i="6" s="1"/>
  <c r="CE135" i="1"/>
  <c r="CF135" i="1" s="1"/>
  <c r="CF22" i="1"/>
  <c r="CI28" i="1"/>
  <c r="Y162" i="1"/>
  <c r="Y90" i="1"/>
  <c r="BL21" i="1"/>
  <c r="BL244" i="1" s="1"/>
  <c r="X159" i="1"/>
  <c r="Z131" i="1"/>
  <c r="CG131" i="1" s="1"/>
  <c r="CH131" i="1" s="1"/>
  <c r="Z92" i="1"/>
  <c r="Y35" i="1"/>
  <c r="Z130" i="1"/>
  <c r="CH36" i="1"/>
  <c r="Y156" i="1"/>
  <c r="CG37" i="1"/>
  <c r="CI64" i="1"/>
  <c r="X157" i="1"/>
  <c r="Z140" i="1"/>
  <c r="CG140" i="1" s="1"/>
  <c r="CH140" i="1" s="1"/>
  <c r="Y28" i="1"/>
  <c r="X139" i="1"/>
  <c r="X167" i="1" s="1"/>
  <c r="CG64" i="1"/>
  <c r="Y172" i="1"/>
  <c r="CG49" i="1"/>
  <c r="Z184" i="1"/>
  <c r="CG21" i="1"/>
  <c r="CG10" i="1" s="1"/>
  <c r="Y37" i="1"/>
  <c r="CI36" i="1"/>
  <c r="CM36" i="1" s="1"/>
  <c r="CQ36" i="1" s="1"/>
  <c r="CU36" i="1" s="1"/>
  <c r="CY36" i="1" s="1"/>
  <c r="Y185" i="1"/>
  <c r="Y64" i="1"/>
  <c r="X150" i="1"/>
  <c r="Z58" i="1"/>
  <c r="Z64" i="1"/>
  <c r="Y92" i="1"/>
  <c r="CI34" i="1"/>
  <c r="CJ60" i="1"/>
  <c r="Z146" i="1"/>
  <c r="CG146" i="1" s="1"/>
  <c r="X135" i="1"/>
  <c r="X173" i="1"/>
  <c r="Z34" i="1"/>
  <c r="CI60" i="1"/>
  <c r="CI27" i="1"/>
  <c r="Z80" i="1"/>
  <c r="JP9" i="4" s="1"/>
  <c r="CJ27" i="1"/>
  <c r="Y36" i="1"/>
  <c r="Y183" i="1"/>
  <c r="X21" i="1"/>
  <c r="JY19" i="4"/>
  <c r="KF20" i="4"/>
  <c r="AC13" i="1"/>
  <c r="AC9" i="1"/>
  <c r="JX8" i="4"/>
  <c r="JX20" i="4" s="1"/>
  <c r="KE14" i="4"/>
  <c r="KE19" i="4" s="1"/>
  <c r="JY21" i="4"/>
  <c r="AD7" i="1"/>
  <c r="AD15" i="1" s="1"/>
  <c r="KB14" i="4"/>
  <c r="KB19" i="4" s="1"/>
  <c r="CX15" i="1"/>
  <c r="CU9" i="1"/>
  <c r="CU21" i="1" s="1"/>
  <c r="KH20" i="4"/>
  <c r="JW19" i="4"/>
  <c r="JU20" i="4"/>
  <c r="KD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92" i="1" s="1"/>
  <c r="JT19" i="4"/>
  <c r="HV7" i="4"/>
  <c r="CI173" i="1"/>
  <c r="X87" i="1"/>
  <c r="CM59" i="1"/>
  <c r="CN59" i="1" s="1"/>
  <c r="CO59" i="1" s="1"/>
  <c r="CP59" i="1" s="1"/>
  <c r="IM14" i="4"/>
  <c r="HZ7" i="4"/>
  <c r="HX15" i="4"/>
  <c r="IA15" i="4"/>
  <c r="IR7" i="4"/>
  <c r="II15" i="4"/>
  <c r="JC7" i="4"/>
  <c r="BV1" i="1"/>
  <c r="BW1" i="1" s="1"/>
  <c r="BX1" i="1" s="1"/>
  <c r="Z111" i="2"/>
  <c r="AX87" i="3"/>
  <c r="AX49" i="3"/>
  <c r="C94" i="3"/>
  <c r="BD47" i="3"/>
  <c r="BD79" i="3"/>
  <c r="AF49" i="3"/>
  <c r="AF69" i="3"/>
  <c r="AF71" i="3"/>
  <c r="AS77" i="3"/>
  <c r="AS57" i="3"/>
  <c r="AV89" i="3"/>
  <c r="AV78" i="3"/>
  <c r="AV71" i="3"/>
  <c r="AZ92" i="3"/>
  <c r="AZ80" i="3"/>
  <c r="AZ81" i="3"/>
  <c r="AT47" i="3"/>
  <c r="AT94" i="3"/>
  <c r="AT92" i="3"/>
  <c r="AT93" i="3"/>
  <c r="E59" i="3"/>
  <c r="E89" i="3"/>
  <c r="G71" i="3"/>
  <c r="G76" i="3"/>
  <c r="G78" i="3"/>
  <c r="F61" i="3"/>
  <c r="F88" i="3"/>
  <c r="F69" i="3"/>
  <c r="F83" i="3"/>
  <c r="F56" i="3"/>
  <c r="D97" i="3"/>
  <c r="AD81" i="3"/>
  <c r="AD77" i="3"/>
  <c r="AD69" i="3"/>
  <c r="D70" i="3"/>
  <c r="D95" i="3"/>
  <c r="D85" i="3"/>
  <c r="AX96" i="3"/>
  <c r="AX62" i="3"/>
  <c r="C63" i="3"/>
  <c r="C68" i="3"/>
  <c r="AF96" i="3"/>
  <c r="AF57" i="3"/>
  <c r="AS65" i="3"/>
  <c r="AV88" i="3"/>
  <c r="AZ79" i="3"/>
  <c r="AZ56" i="3"/>
  <c r="AT65" i="3"/>
  <c r="E78" i="3"/>
  <c r="E83" i="3"/>
  <c r="F90" i="3"/>
  <c r="F49" i="3"/>
  <c r="F67" i="3"/>
  <c r="AD54" i="3"/>
  <c r="D81" i="3"/>
  <c r="D84" i="3"/>
  <c r="AX81" i="3"/>
  <c r="C50" i="3"/>
  <c r="C64" i="3"/>
  <c r="BD90" i="3"/>
  <c r="AF64" i="3"/>
  <c r="AF86" i="3"/>
  <c r="AF89" i="3"/>
  <c r="AS61" i="3"/>
  <c r="AV91" i="3"/>
  <c r="AZ73" i="3"/>
  <c r="AZ69" i="3"/>
  <c r="AT75" i="3"/>
  <c r="E96" i="3"/>
  <c r="G87" i="3"/>
  <c r="G73" i="3"/>
  <c r="F87" i="3"/>
  <c r="F85" i="3"/>
  <c r="F54" i="3"/>
  <c r="AD90" i="3"/>
  <c r="C82" i="3"/>
  <c r="BD77" i="3"/>
  <c r="BD73" i="3"/>
  <c r="AF61" i="3"/>
  <c r="AF58" i="3"/>
  <c r="AF59" i="3"/>
  <c r="AF62" i="3"/>
  <c r="AS50" i="3"/>
  <c r="AS73" i="3"/>
  <c r="AV84" i="3"/>
  <c r="AZ67" i="3"/>
  <c r="AZ64" i="3"/>
  <c r="AT78" i="3"/>
  <c r="AT63" i="3"/>
  <c r="E65" i="3"/>
  <c r="G95" i="3"/>
  <c r="F80" i="3"/>
  <c r="D71" i="3"/>
  <c r="AD60" i="3"/>
  <c r="D82" i="3"/>
  <c r="AX74" i="3"/>
  <c r="BD91" i="3"/>
  <c r="BD80" i="3"/>
  <c r="AF73" i="3"/>
  <c r="AF85" i="3"/>
  <c r="AF92" i="3"/>
  <c r="AS67" i="3"/>
  <c r="AS82" i="3"/>
  <c r="AS55" i="3"/>
  <c r="AV81" i="3"/>
  <c r="AV57" i="3"/>
  <c r="AZ61" i="3"/>
  <c r="AZ48" i="3"/>
  <c r="AZ76" i="3"/>
  <c r="AZ49" i="3"/>
  <c r="AT95" i="3"/>
  <c r="AT55" i="3"/>
  <c r="AT82" i="3"/>
  <c r="E64" i="3"/>
  <c r="E58" i="3"/>
  <c r="G65" i="3"/>
  <c r="G57" i="3"/>
  <c r="G88" i="3"/>
  <c r="F93" i="3"/>
  <c r="F79" i="3"/>
  <c r="F81" i="3"/>
  <c r="AD95" i="3"/>
  <c r="AD92" i="3"/>
  <c r="Z113" i="2"/>
  <c r="C75" i="3"/>
  <c r="AV85" i="3"/>
  <c r="AZ54" i="3"/>
  <c r="AZ50" i="3"/>
  <c r="AT96" i="3"/>
  <c r="AT70" i="3"/>
  <c r="E73" i="3"/>
  <c r="G90" i="3"/>
  <c r="G67" i="3"/>
  <c r="F74" i="3"/>
  <c r="F78" i="3"/>
  <c r="F62" i="3"/>
  <c r="AD71" i="3"/>
  <c r="D60" i="3"/>
  <c r="AX93" i="3"/>
  <c r="AX88" i="3"/>
  <c r="C59" i="3"/>
  <c r="BD96" i="3"/>
  <c r="AF84" i="3"/>
  <c r="AF74" i="3"/>
  <c r="AF95" i="3"/>
  <c r="AF93" i="3"/>
  <c r="AS84" i="3"/>
  <c r="AS92" i="3"/>
  <c r="AV96" i="3"/>
  <c r="AV56" i="3"/>
  <c r="AV60" i="3"/>
  <c r="AZ71" i="3"/>
  <c r="AZ47" i="3"/>
  <c r="AZ72" i="3"/>
  <c r="AT88" i="3"/>
  <c r="AT83" i="3"/>
  <c r="AT57" i="3"/>
  <c r="AT68" i="3"/>
  <c r="E80" i="3"/>
  <c r="E62" i="3"/>
  <c r="G89" i="3"/>
  <c r="G63" i="3"/>
  <c r="F72" i="3"/>
  <c r="F97" i="3"/>
  <c r="F57" i="3"/>
  <c r="F50" i="3"/>
  <c r="F59" i="3"/>
  <c r="D86" i="3"/>
  <c r="D62" i="3"/>
  <c r="AD56" i="3"/>
  <c r="AD57" i="3"/>
  <c r="AD84" i="3"/>
  <c r="D55" i="3"/>
  <c r="D87" i="3"/>
  <c r="AD70" i="3"/>
  <c r="C71" i="3"/>
  <c r="C72" i="3"/>
  <c r="BD50" i="3"/>
  <c r="AF83" i="3"/>
  <c r="AF79" i="3"/>
  <c r="AF91" i="3"/>
  <c r="AF47" i="3"/>
  <c r="AS64" i="3"/>
  <c r="AS94" i="3"/>
  <c r="AV93" i="3"/>
  <c r="AV68" i="3"/>
  <c r="AV72" i="3"/>
  <c r="AZ62" i="3"/>
  <c r="AZ77" i="3"/>
  <c r="AZ74" i="3"/>
  <c r="AT86" i="3"/>
  <c r="AT90" i="3"/>
  <c r="AT87" i="3"/>
  <c r="AT71" i="3"/>
  <c r="E82" i="3"/>
  <c r="E69" i="3"/>
  <c r="G84" i="3"/>
  <c r="G83" i="3"/>
  <c r="F92" i="3"/>
  <c r="F77" i="3"/>
  <c r="F95" i="3"/>
  <c r="F60" i="3"/>
  <c r="F66" i="3"/>
  <c r="D78" i="3"/>
  <c r="D65" i="3"/>
  <c r="AD78" i="3"/>
  <c r="AD73" i="3"/>
  <c r="AD93" i="3"/>
  <c r="D91" i="3"/>
  <c r="D94" i="3"/>
  <c r="AD88" i="3"/>
  <c r="BD49" i="3"/>
  <c r="AF78" i="3"/>
  <c r="AF67" i="3"/>
  <c r="AS97" i="3"/>
  <c r="AV90" i="3"/>
  <c r="AV86" i="3"/>
  <c r="AZ95" i="3"/>
  <c r="AT89" i="3"/>
  <c r="AT61" i="3"/>
  <c r="E57" i="3"/>
  <c r="G54" i="3"/>
  <c r="G82" i="3"/>
  <c r="F65" i="3"/>
  <c r="F71" i="3"/>
  <c r="D64" i="3"/>
  <c r="AD65" i="3"/>
  <c r="AD83" i="3"/>
  <c r="AD55" i="3"/>
  <c r="AF66" i="3"/>
  <c r="AS59" i="3"/>
  <c r="AV94" i="3"/>
  <c r="AZ57" i="3"/>
  <c r="AZ78" i="3"/>
  <c r="AT56" i="3"/>
  <c r="AT69" i="3"/>
  <c r="E86" i="3"/>
  <c r="G59" i="3"/>
  <c r="F64" i="3"/>
  <c r="F70" i="3"/>
  <c r="D92" i="3"/>
  <c r="AD64" i="3"/>
  <c r="AD94" i="3"/>
  <c r="D76" i="3"/>
  <c r="D66" i="3"/>
  <c r="AX57" i="3"/>
  <c r="AV95" i="3"/>
  <c r="AZ97" i="3"/>
  <c r="AZ88" i="3"/>
  <c r="AT97" i="3"/>
  <c r="E79" i="3"/>
  <c r="G56" i="3"/>
  <c r="G60" i="3"/>
  <c r="F68" i="3"/>
  <c r="F75" i="3"/>
  <c r="F96" i="3"/>
  <c r="F91" i="3"/>
  <c r="AD82" i="3"/>
  <c r="AD68" i="3"/>
  <c r="D75" i="3"/>
  <c r="C96" i="3"/>
  <c r="F73" i="3"/>
  <c r="F84" i="3"/>
  <c r="D56" i="3"/>
  <c r="AD59" i="3"/>
  <c r="D80" i="3"/>
  <c r="D69" i="3"/>
  <c r="AX82" i="3"/>
  <c r="BD60" i="3"/>
  <c r="BD74" i="3"/>
  <c r="AF76" i="3"/>
  <c r="AF77" i="3"/>
  <c r="AF72" i="3"/>
  <c r="AS80" i="3"/>
  <c r="AS83" i="3"/>
  <c r="AV49" i="3"/>
  <c r="AV62" i="3"/>
  <c r="AZ86" i="3"/>
  <c r="AT84" i="3"/>
  <c r="AT54" i="3"/>
  <c r="E61" i="3"/>
  <c r="G55" i="3"/>
  <c r="F47" i="3"/>
  <c r="F63" i="3"/>
  <c r="D58" i="3"/>
  <c r="AD61" i="3"/>
  <c r="AD91" i="3"/>
  <c r="D63" i="3"/>
  <c r="D61" i="3"/>
  <c r="AI155" i="1" l="1"/>
  <c r="AJ155" i="1" s="1"/>
  <c r="AI166" i="1"/>
  <c r="AI164" i="1"/>
  <c r="AJ164" i="1" s="1"/>
  <c r="AI135" i="1"/>
  <c r="AJ135" i="1" s="1"/>
  <c r="AI132" i="1"/>
  <c r="AI172" i="1"/>
  <c r="AI153" i="1"/>
  <c r="AI167" i="1"/>
  <c r="AJ167" i="1" s="1"/>
  <c r="AI159" i="1"/>
  <c r="AJ159" i="1" s="1"/>
  <c r="AI157" i="1"/>
  <c r="AI173" i="1"/>
  <c r="AI146" i="1"/>
  <c r="AI156" i="1"/>
  <c r="AJ156" i="1" s="1"/>
  <c r="AI165" i="1"/>
  <c r="AJ165" i="1" s="1"/>
  <c r="AK138" i="1"/>
  <c r="AL138" i="1" s="1"/>
  <c r="AI130" i="1"/>
  <c r="AJ130" i="1" s="1"/>
  <c r="JL16" i="4" s="1"/>
  <c r="AI131" i="1"/>
  <c r="AJ131" i="1" s="1"/>
  <c r="AI160" i="1"/>
  <c r="AJ160" i="1" s="1"/>
  <c r="C7" i="6" s="1"/>
  <c r="AN7" i="6" s="1"/>
  <c r="AI139" i="1"/>
  <c r="AJ139" i="1" s="1"/>
  <c r="D7" i="6" s="1"/>
  <c r="AY7" i="6" s="1"/>
  <c r="AI150" i="1"/>
  <c r="AJ150" i="1" s="1"/>
  <c r="CI132" i="1"/>
  <c r="AI137" i="1"/>
  <c r="AI140" i="1"/>
  <c r="AJ140" i="1" s="1"/>
  <c r="AI163" i="1"/>
  <c r="AJ163" i="1" s="1"/>
  <c r="AI168" i="1"/>
  <c r="AJ168" i="1" s="1"/>
  <c r="CI87" i="1"/>
  <c r="CI147" i="1"/>
  <c r="CA131" i="1"/>
  <c r="CB131" i="1" s="1"/>
  <c r="CA166" i="1"/>
  <c r="CA137" i="1"/>
  <c r="CB137" i="1" s="1"/>
  <c r="CA153" i="1"/>
  <c r="CB153" i="1" s="1"/>
  <c r="BL87" i="1"/>
  <c r="CI135" i="1"/>
  <c r="CJ135" i="1" s="1"/>
  <c r="IE16" i="4" s="1"/>
  <c r="CA156" i="1"/>
  <c r="CB156" i="1" s="1"/>
  <c r="CA162" i="1"/>
  <c r="CB162" i="1" s="1"/>
  <c r="CE131" i="1"/>
  <c r="CF131" i="1" s="1"/>
  <c r="CE163" i="1"/>
  <c r="CF163" i="1" s="1"/>
  <c r="CE168" i="1"/>
  <c r="CF168" i="1" s="1"/>
  <c r="CE158" i="1"/>
  <c r="CG176" i="1"/>
  <c r="CH176" i="1" s="1"/>
  <c r="JO16" i="4" s="1"/>
  <c r="CG177" i="1"/>
  <c r="CH177" i="1" s="1"/>
  <c r="CE130" i="1"/>
  <c r="CF130" i="1" s="1"/>
  <c r="CE159" i="1"/>
  <c r="CF159" i="1" s="1"/>
  <c r="JJ9" i="4" s="1"/>
  <c r="CE156" i="1"/>
  <c r="CF156" i="1" s="1"/>
  <c r="CE165" i="1"/>
  <c r="CF165" i="1" s="1"/>
  <c r="CE148" i="1"/>
  <c r="CF148" i="1" s="1"/>
  <c r="CG86" i="1"/>
  <c r="CE150" i="1"/>
  <c r="CF150" i="1" s="1"/>
  <c r="CE139" i="1"/>
  <c r="CF139" i="1" s="1"/>
  <c r="CE132" i="1"/>
  <c r="CE166" i="1"/>
  <c r="CE138" i="1"/>
  <c r="CF138" i="1" s="1"/>
  <c r="CE87" i="1"/>
  <c r="CE153" i="1"/>
  <c r="CE167" i="1"/>
  <c r="CF167" i="1" s="1"/>
  <c r="CE172" i="1"/>
  <c r="CE173" i="1"/>
  <c r="CE177" i="1"/>
  <c r="CF177" i="1" s="1"/>
  <c r="BX87" i="1"/>
  <c r="CD87" i="1"/>
  <c r="Y86" i="1"/>
  <c r="IE21" i="4"/>
  <c r="AY90" i="1" s="1"/>
  <c r="IG21" i="4"/>
  <c r="BA90" i="1" s="1"/>
  <c r="JA9" i="4" s="1"/>
  <c r="JA21" i="4" s="1"/>
  <c r="BU90" i="1" s="1"/>
  <c r="JI21" i="4"/>
  <c r="CC90" i="1" s="1"/>
  <c r="HT21" i="4"/>
  <c r="AN90" i="1" s="1"/>
  <c r="AM167" i="1"/>
  <c r="AN167" i="1" s="1"/>
  <c r="AM164" i="1"/>
  <c r="AN164" i="1" s="1"/>
  <c r="CI148" i="1"/>
  <c r="CJ148" i="1" s="1"/>
  <c r="CI172" i="1"/>
  <c r="CH87" i="1"/>
  <c r="BY144" i="1"/>
  <c r="CA165" i="1"/>
  <c r="CB165" i="1" s="1"/>
  <c r="CC163" i="1"/>
  <c r="CD163" i="1" s="1"/>
  <c r="CI153" i="1"/>
  <c r="CJ153" i="1" s="1"/>
  <c r="CJ215" i="1" s="1"/>
  <c r="CA159" i="1"/>
  <c r="CB159" i="1" s="1"/>
  <c r="CH86" i="1"/>
  <c r="CA150" i="1"/>
  <c r="CB150" i="1" s="1"/>
  <c r="CI158" i="1"/>
  <c r="HP9" i="4" s="1"/>
  <c r="CI168" i="1"/>
  <c r="CJ168" i="1" s="1"/>
  <c r="BY139" i="1"/>
  <c r="BZ139" i="1" s="1"/>
  <c r="CI155" i="1"/>
  <c r="CJ155" i="1" s="1"/>
  <c r="CI130" i="1"/>
  <c r="AM150" i="1"/>
  <c r="AN150" i="1" s="1"/>
  <c r="IQ9" i="4" s="1"/>
  <c r="BY148" i="1"/>
  <c r="BZ148" i="1" s="1"/>
  <c r="X86" i="1"/>
  <c r="CA155" i="1"/>
  <c r="CB155" i="1" s="1"/>
  <c r="CI150" i="1"/>
  <c r="CJ150" i="1" s="1"/>
  <c r="JF9" i="4" s="1"/>
  <c r="IT16" i="4" s="1"/>
  <c r="IF16" i="4" s="1"/>
  <c r="IC21" i="4"/>
  <c r="AW90" i="1" s="1"/>
  <c r="IM16" i="4" s="1"/>
  <c r="IW9" i="4" s="1"/>
  <c r="HP21" i="4"/>
  <c r="AJ90" i="1" s="1"/>
  <c r="Z87" i="1"/>
  <c r="V39" i="1"/>
  <c r="HQ21" i="4"/>
  <c r="AK90" i="1" s="1"/>
  <c r="HW9" i="4" s="1"/>
  <c r="HY21" i="4"/>
  <c r="AS90" i="1" s="1"/>
  <c r="IQ21" i="4"/>
  <c r="BK90" i="1" s="1"/>
  <c r="IX21" i="4"/>
  <c r="BR90" i="1" s="1"/>
  <c r="IW21" i="4"/>
  <c r="BQ90" i="1" s="1"/>
  <c r="II16" i="4" s="1"/>
  <c r="II21" i="4" s="1"/>
  <c r="BC90" i="1" s="1"/>
  <c r="IP21" i="4"/>
  <c r="BJ90" i="1" s="1"/>
  <c r="B265" i="1"/>
  <c r="HS21" i="4"/>
  <c r="AM90" i="1" s="1"/>
  <c r="HW16" i="4" s="1"/>
  <c r="CE265" i="1"/>
  <c r="AB7" i="6" s="1"/>
  <c r="JM21" i="4"/>
  <c r="CG90" i="1" s="1"/>
  <c r="AC7" i="6" s="1"/>
  <c r="JF21" i="4"/>
  <c r="BZ90" i="1" s="1"/>
  <c r="CB207" i="1"/>
  <c r="Z144" i="1"/>
  <c r="JP21" i="4"/>
  <c r="CJ90" i="1" s="1"/>
  <c r="W207" i="1"/>
  <c r="BX207" i="1"/>
  <c r="L207" i="1"/>
  <c r="L266" i="1"/>
  <c r="AK207" i="1"/>
  <c r="IA21" i="4"/>
  <c r="AU90" i="1" s="1"/>
  <c r="O23" i="1"/>
  <c r="O244" i="1"/>
  <c r="L244" i="1"/>
  <c r="P244" i="1"/>
  <c r="P23" i="1"/>
  <c r="CG153" i="1"/>
  <c r="CX13" i="1"/>
  <c r="ID7" i="4"/>
  <c r="Y196" i="1"/>
  <c r="IS7" i="4"/>
  <c r="I266" i="1"/>
  <c r="IF21" i="4"/>
  <c r="AZ90" i="1" s="1"/>
  <c r="HU21" i="4"/>
  <c r="AO90" i="1" s="1"/>
  <c r="V266" i="1"/>
  <c r="IC8" i="4"/>
  <c r="HT8" i="4"/>
  <c r="HS7" i="4"/>
  <c r="IV8" i="4"/>
  <c r="IB21" i="4"/>
  <c r="AV90" i="1" s="1"/>
  <c r="HU8" i="4"/>
  <c r="CB265" i="1"/>
  <c r="H23" i="1"/>
  <c r="H111" i="1" s="1"/>
  <c r="HS15" i="4"/>
  <c r="IF15" i="4"/>
  <c r="IZ8" i="4"/>
  <c r="IO15" i="4"/>
  <c r="IH8" i="4"/>
  <c r="E23" i="1"/>
  <c r="IY7" i="4"/>
  <c r="IS21" i="4"/>
  <c r="BM90" i="1" s="1"/>
  <c r="O265" i="1"/>
  <c r="JA8" i="4"/>
  <c r="IC15" i="4"/>
  <c r="C23" i="1"/>
  <c r="CA174" i="1"/>
  <c r="C266" i="1"/>
  <c r="IP14" i="4"/>
  <c r="ID8" i="4"/>
  <c r="AK23" i="1"/>
  <c r="AK29" i="1" s="1"/>
  <c r="AM147" i="1"/>
  <c r="AN147" i="1" s="1"/>
  <c r="ID21" i="4"/>
  <c r="AX90" i="1" s="1"/>
  <c r="AI174" i="1"/>
  <c r="AJ222" i="1" s="1"/>
  <c r="B23" i="1"/>
  <c r="IB14" i="4"/>
  <c r="JF7" i="4"/>
  <c r="IN21" i="4"/>
  <c r="BH90" i="1" s="1"/>
  <c r="B244" i="1"/>
  <c r="JF8" i="4"/>
  <c r="B266" i="1"/>
  <c r="IU8" i="4"/>
  <c r="IY14" i="4"/>
  <c r="IY19" i="4" s="1"/>
  <c r="BS91" i="1" s="1"/>
  <c r="C244" i="1"/>
  <c r="M23" i="1"/>
  <c r="CB86" i="1"/>
  <c r="BY173" i="1"/>
  <c r="BY172" i="1"/>
  <c r="AI176" i="1"/>
  <c r="AJ176" i="1" s="1"/>
  <c r="AM135" i="1"/>
  <c r="AN135" i="1" s="1"/>
  <c r="AM130" i="1"/>
  <c r="AN130" i="1" s="1"/>
  <c r="AK156" i="1"/>
  <c r="AL156" i="1" s="1"/>
  <c r="AM158" i="1"/>
  <c r="AM193" i="1" s="1"/>
  <c r="AN193" i="1" s="1"/>
  <c r="AK131" i="1"/>
  <c r="AL131" i="1" s="1"/>
  <c r="CJ86" i="1"/>
  <c r="AM173" i="1"/>
  <c r="AM174" i="1" s="1"/>
  <c r="AM159" i="1"/>
  <c r="AN159" i="1" s="1"/>
  <c r="AK158" i="1"/>
  <c r="AK193" i="1" s="1"/>
  <c r="AL193" i="1" s="1"/>
  <c r="BY162" i="1"/>
  <c r="BZ162" i="1" s="1"/>
  <c r="CJ87" i="1"/>
  <c r="AI148" i="1"/>
  <c r="AJ148" i="1" s="1"/>
  <c r="AL87" i="1"/>
  <c r="AM138" i="1"/>
  <c r="AN138" i="1" s="1"/>
  <c r="AM166" i="1"/>
  <c r="AM196" i="1" s="1"/>
  <c r="AN196" i="1" s="1"/>
  <c r="AK137" i="1"/>
  <c r="AL137" i="1" s="1"/>
  <c r="AL141" i="1" s="1"/>
  <c r="AK172" i="1"/>
  <c r="BY168" i="1"/>
  <c r="BZ168" i="1" s="1"/>
  <c r="BY159" i="1"/>
  <c r="BZ159" i="1" s="1"/>
  <c r="AM139" i="1"/>
  <c r="AN139" i="1" s="1"/>
  <c r="CF87" i="1"/>
  <c r="AM140" i="1"/>
  <c r="AN140" i="1" s="1"/>
  <c r="AM131" i="1"/>
  <c r="AN131" i="1" s="1"/>
  <c r="AM163" i="1"/>
  <c r="AN163" i="1" s="1"/>
  <c r="AK132" i="1"/>
  <c r="AK162" i="1"/>
  <c r="AL162" i="1" s="1"/>
  <c r="CF86" i="1"/>
  <c r="BY158" i="1"/>
  <c r="BY193" i="1" s="1"/>
  <c r="BZ193" i="1" s="1"/>
  <c r="AM177" i="1"/>
  <c r="AN177" i="1" s="1"/>
  <c r="AK163" i="1"/>
  <c r="AL163" i="1" s="1"/>
  <c r="BY87" i="1"/>
  <c r="AI158" i="1"/>
  <c r="AM165" i="1"/>
  <c r="AN165" i="1" s="1"/>
  <c r="AK176" i="1"/>
  <c r="AL176" i="1" s="1"/>
  <c r="AI162" i="1"/>
  <c r="AJ162" i="1" s="1"/>
  <c r="AI87" i="1"/>
  <c r="AL86" i="1"/>
  <c r="AK173" i="1"/>
  <c r="AK155" i="1"/>
  <c r="AL155" i="1" s="1"/>
  <c r="BY163" i="1"/>
  <c r="BZ163" i="1" s="1"/>
  <c r="AI144" i="1"/>
  <c r="AI147" i="1" s="1"/>
  <c r="AI138" i="1"/>
  <c r="AJ138" i="1" s="1"/>
  <c r="AM155" i="1"/>
  <c r="AN155" i="1" s="1"/>
  <c r="AK166" i="1"/>
  <c r="AK196" i="1" s="1"/>
  <c r="AL196" i="1" s="1"/>
  <c r="BY131" i="1"/>
  <c r="BZ131" i="1" s="1"/>
  <c r="BY153" i="1"/>
  <c r="BZ153" i="1" s="1"/>
  <c r="CA215" i="1" s="1"/>
  <c r="BL86" i="1"/>
  <c r="CD86" i="1"/>
  <c r="CL41" i="1"/>
  <c r="CL30" i="1"/>
  <c r="JP14" i="4"/>
  <c r="CA192" i="1"/>
  <c r="CB192" i="1" s="1"/>
  <c r="G265" i="1"/>
  <c r="H266" i="1"/>
  <c r="G266" i="1"/>
  <c r="IZ21" i="4"/>
  <c r="BT90" i="1" s="1"/>
  <c r="CA196" i="1"/>
  <c r="CB196" i="1" s="1"/>
  <c r="I207" i="1"/>
  <c r="Z133" i="1"/>
  <c r="AA220" i="1" s="1"/>
  <c r="AJ23" i="1"/>
  <c r="AK244" i="1"/>
  <c r="Z167" i="1"/>
  <c r="CG167" i="1" s="1"/>
  <c r="CH167" i="1" s="1"/>
  <c r="HV14" i="4"/>
  <c r="HV19" i="4" s="1"/>
  <c r="AP91" i="1" s="1"/>
  <c r="BY39" i="1"/>
  <c r="D265" i="1"/>
  <c r="D23" i="1"/>
  <c r="E201" i="1" s="1"/>
  <c r="HV21" i="4"/>
  <c r="AP90" i="1" s="1"/>
  <c r="JC21" i="4"/>
  <c r="BW90" i="1" s="1"/>
  <c r="CB244" i="1"/>
  <c r="CA266" i="1"/>
  <c r="G23" i="1"/>
  <c r="CC192" i="1"/>
  <c r="CD192" i="1" s="1"/>
  <c r="JO21" i="4"/>
  <c r="CI90" i="1" s="1"/>
  <c r="HP8" i="4"/>
  <c r="P266" i="1"/>
  <c r="CI77" i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IW15" i="4"/>
  <c r="JP15" i="4"/>
  <c r="IG7" i="4"/>
  <c r="R23" i="1"/>
  <c r="CA244" i="1"/>
  <c r="X196" i="1"/>
  <c r="JL21" i="4"/>
  <c r="CF90" i="1" s="1"/>
  <c r="HR21" i="4"/>
  <c r="AL90" i="1" s="1"/>
  <c r="IY21" i="4"/>
  <c r="BS90" i="1" s="1"/>
  <c r="AK192" i="1"/>
  <c r="AL192" i="1" s="1"/>
  <c r="IH21" i="4"/>
  <c r="BB90" i="1" s="1"/>
  <c r="JF15" i="4"/>
  <c r="CC147" i="1"/>
  <c r="CD147" i="1" s="1"/>
  <c r="CE46" i="1" s="1"/>
  <c r="AM215" i="1"/>
  <c r="CE147" i="1"/>
  <c r="CF147" i="1" s="1"/>
  <c r="CF151" i="1" s="1"/>
  <c r="CC215" i="1"/>
  <c r="AJ153" i="1"/>
  <c r="AK215" i="1" s="1"/>
  <c r="AI215" i="1"/>
  <c r="CL148" i="1"/>
  <c r="CM148" i="1" s="1"/>
  <c r="CN148" i="1" s="1"/>
  <c r="CO148" i="1" s="1"/>
  <c r="CP148" i="1" s="1"/>
  <c r="CQ148" i="1" s="1"/>
  <c r="CR148" i="1" s="1"/>
  <c r="CS148" i="1" s="1"/>
  <c r="CL176" i="1"/>
  <c r="CM176" i="1" s="1"/>
  <c r="CN176" i="1" s="1"/>
  <c r="CO176" i="1" s="1"/>
  <c r="CL138" i="1"/>
  <c r="CM138" i="1" s="1"/>
  <c r="CN138" i="1" s="1"/>
  <c r="CO138" i="1" s="1"/>
  <c r="AB138" i="1" s="1"/>
  <c r="CL140" i="1"/>
  <c r="CM140" i="1" s="1"/>
  <c r="CN140" i="1" s="1"/>
  <c r="CO140" i="1" s="1"/>
  <c r="AB140" i="1" s="1"/>
  <c r="CL146" i="1"/>
  <c r="CM146" i="1" s="1"/>
  <c r="CN146" i="1" s="1"/>
  <c r="CO146" i="1" s="1"/>
  <c r="CP146" i="1" s="1"/>
  <c r="CQ146" i="1" s="1"/>
  <c r="CR146" i="1" s="1"/>
  <c r="CS146" i="1" s="1"/>
  <c r="CL139" i="1"/>
  <c r="CM139" i="1" s="1"/>
  <c r="CN139" i="1" s="1"/>
  <c r="CO139" i="1" s="1"/>
  <c r="CP139" i="1" s="1"/>
  <c r="CQ139" i="1" s="1"/>
  <c r="CR139" i="1" s="1"/>
  <c r="CS139" i="1" s="1"/>
  <c r="CF153" i="1"/>
  <c r="CF215" i="1" s="1"/>
  <c r="CL135" i="1"/>
  <c r="CM135" i="1" s="1"/>
  <c r="CN135" i="1" s="1"/>
  <c r="CO135" i="1" s="1"/>
  <c r="CP135" i="1" s="1"/>
  <c r="CQ135" i="1" s="1"/>
  <c r="CR135" i="1" s="1"/>
  <c r="CS135" i="1" s="1"/>
  <c r="CL150" i="1"/>
  <c r="CM150" i="1" s="1"/>
  <c r="CN150" i="1" s="1"/>
  <c r="CO150" i="1" s="1"/>
  <c r="AB150" i="1" s="1"/>
  <c r="HY14" i="4"/>
  <c r="T23" i="1"/>
  <c r="HP14" i="4"/>
  <c r="IB7" i="4"/>
  <c r="IJ8" i="4"/>
  <c r="G196" i="1"/>
  <c r="CE215" i="1"/>
  <c r="IJ15" i="4"/>
  <c r="HR8" i="4"/>
  <c r="IW8" i="4"/>
  <c r="IF8" i="4"/>
  <c r="Z23" i="1"/>
  <c r="IV7" i="4"/>
  <c r="IW7" i="4"/>
  <c r="JI7" i="4"/>
  <c r="IK14" i="4"/>
  <c r="HZ15" i="4"/>
  <c r="AK147" i="1"/>
  <c r="AL46" i="1" s="1"/>
  <c r="JH8" i="4"/>
  <c r="IS15" i="4"/>
  <c r="IG8" i="4"/>
  <c r="JD8" i="4"/>
  <c r="IN14" i="4"/>
  <c r="HQ14" i="4"/>
  <c r="HZ14" i="4"/>
  <c r="HZ19" i="4" s="1"/>
  <c r="AT91" i="1" s="1"/>
  <c r="IU15" i="4"/>
  <c r="JI15" i="4"/>
  <c r="IU14" i="4"/>
  <c r="IQ15" i="4"/>
  <c r="IE7" i="4"/>
  <c r="JG8" i="4"/>
  <c r="II8" i="4"/>
  <c r="II20" i="4" s="1"/>
  <c r="BC92" i="1" s="1"/>
  <c r="IA7" i="4"/>
  <c r="HR15" i="4"/>
  <c r="HR20" i="4" s="1"/>
  <c r="AL92" i="1" s="1"/>
  <c r="JJ8" i="4"/>
  <c r="JK15" i="4"/>
  <c r="P39" i="1"/>
  <c r="JM7" i="4"/>
  <c r="CF39" i="1"/>
  <c r="JA14" i="4"/>
  <c r="HY8" i="4"/>
  <c r="K265" i="1"/>
  <c r="JF14" i="4"/>
  <c r="JF19" i="4" s="1"/>
  <c r="BZ91" i="1" s="1"/>
  <c r="L23" i="1"/>
  <c r="JI14" i="4"/>
  <c r="JI19" i="4" s="1"/>
  <c r="CC91" i="1" s="1"/>
  <c r="N266" i="1"/>
  <c r="JJ7" i="4"/>
  <c r="JJ14" i="4"/>
  <c r="JJ19" i="4" s="1"/>
  <c r="CD91" i="1" s="1"/>
  <c r="F39" i="1"/>
  <c r="IF14" i="4"/>
  <c r="IQ7" i="4"/>
  <c r="X265" i="1"/>
  <c r="CI23" i="1"/>
  <c r="JO14" i="4"/>
  <c r="Y186" i="1"/>
  <c r="Q244" i="1"/>
  <c r="Q265" i="1"/>
  <c r="CB167" i="1"/>
  <c r="CE10" i="1"/>
  <c r="CE266" i="1"/>
  <c r="CI145" i="1"/>
  <c r="CI144" i="1" s="1"/>
  <c r="CI207" i="1"/>
  <c r="CI266" i="1"/>
  <c r="CB141" i="1"/>
  <c r="IE8" i="4"/>
  <c r="IG14" i="4"/>
  <c r="IG19" i="4" s="1"/>
  <c r="BA91" i="1" s="1"/>
  <c r="IH7" i="4"/>
  <c r="HQ15" i="4"/>
  <c r="JG21" i="4"/>
  <c r="CA90" i="1" s="1"/>
  <c r="BL39" i="1"/>
  <c r="HW14" i="4"/>
  <c r="IC7" i="4"/>
  <c r="HQ8" i="4"/>
  <c r="HQ20" i="4" s="1"/>
  <c r="AK92" i="1" s="1"/>
  <c r="JC8" i="4"/>
  <c r="IC14" i="4"/>
  <c r="JD15" i="4"/>
  <c r="HP15" i="4"/>
  <c r="HW7" i="4"/>
  <c r="HX14" i="4"/>
  <c r="M265" i="1"/>
  <c r="HU15" i="4"/>
  <c r="JA15" i="4"/>
  <c r="IL21" i="4"/>
  <c r="BF90" i="1" s="1"/>
  <c r="IP7" i="4"/>
  <c r="IL8" i="4"/>
  <c r="HU14" i="4"/>
  <c r="IP15" i="4"/>
  <c r="IR8" i="4"/>
  <c r="JH14" i="4"/>
  <c r="II7" i="4"/>
  <c r="IH14" i="4"/>
  <c r="HU7" i="4"/>
  <c r="JE15" i="4"/>
  <c r="IN15" i="4"/>
  <c r="HX7" i="4"/>
  <c r="JE7" i="4"/>
  <c r="JH15" i="4"/>
  <c r="IB15" i="4"/>
  <c r="HY15" i="4"/>
  <c r="HS8" i="4"/>
  <c r="JI8" i="4"/>
  <c r="IV14" i="4"/>
  <c r="ID15" i="4"/>
  <c r="IT15" i="4"/>
  <c r="IK7" i="4"/>
  <c r="IL15" i="4"/>
  <c r="HV15" i="4"/>
  <c r="E39" i="1"/>
  <c r="JL15" i="4"/>
  <c r="IU7" i="4"/>
  <c r="IQ14" i="4"/>
  <c r="JC14" i="4"/>
  <c r="IM7" i="4"/>
  <c r="F23" i="1"/>
  <c r="F29" i="1" s="1"/>
  <c r="JH7" i="4"/>
  <c r="JD7" i="4"/>
  <c r="H265" i="1"/>
  <c r="JK14" i="4"/>
  <c r="HV8" i="4"/>
  <c r="HS14" i="4"/>
  <c r="JB7" i="4"/>
  <c r="JB19" i="4" s="1"/>
  <c r="BV91" i="1" s="1"/>
  <c r="HW15" i="4"/>
  <c r="IE15" i="4"/>
  <c r="HY7" i="4"/>
  <c r="O39" i="1"/>
  <c r="BX39" i="1"/>
  <c r="IG15" i="4"/>
  <c r="IS8" i="4"/>
  <c r="JD21" i="4"/>
  <c r="BX90" i="1" s="1"/>
  <c r="R266" i="1"/>
  <c r="IK8" i="4"/>
  <c r="BZ23" i="1"/>
  <c r="IY8" i="4"/>
  <c r="IT14" i="4"/>
  <c r="IN7" i="4"/>
  <c r="CD23" i="1"/>
  <c r="N265" i="1"/>
  <c r="J265" i="1"/>
  <c r="S265" i="1"/>
  <c r="I265" i="1"/>
  <c r="JM15" i="4"/>
  <c r="JJ21" i="4"/>
  <c r="CD90" i="1" s="1"/>
  <c r="JK21" i="4"/>
  <c r="CE90" i="1" s="1"/>
  <c r="CJ266" i="1"/>
  <c r="X39" i="1"/>
  <c r="JK8" i="4"/>
  <c r="CE161" i="1"/>
  <c r="JO15" i="4"/>
  <c r="X147" i="1"/>
  <c r="X151" i="1" s="1"/>
  <c r="JO7" i="4"/>
  <c r="JN14" i="4"/>
  <c r="U39" i="1"/>
  <c r="JL7" i="4"/>
  <c r="CI265" i="1"/>
  <c r="BZ265" i="1"/>
  <c r="Y174" i="1"/>
  <c r="Z222" i="1" s="1"/>
  <c r="CI39" i="1"/>
  <c r="JP8" i="4"/>
  <c r="X23" i="1"/>
  <c r="X10" i="1" s="1"/>
  <c r="BZ10" i="1"/>
  <c r="BZ244" i="1"/>
  <c r="X266" i="1"/>
  <c r="X207" i="1"/>
  <c r="CJ147" i="1"/>
  <c r="Y215" i="1"/>
  <c r="Z215" i="1"/>
  <c r="J266" i="1"/>
  <c r="J244" i="1"/>
  <c r="J23" i="1"/>
  <c r="J29" i="1" s="1"/>
  <c r="Q266" i="1"/>
  <c r="Q207" i="1"/>
  <c r="BZ207" i="1"/>
  <c r="BZ266" i="1"/>
  <c r="S244" i="1"/>
  <c r="S23" i="1"/>
  <c r="S29" i="1" s="1"/>
  <c r="S30" i="1" s="1"/>
  <c r="Y244" i="1"/>
  <c r="Y23" i="1"/>
  <c r="CL115" i="1"/>
  <c r="CL116" i="1"/>
  <c r="CL117" i="1"/>
  <c r="CL121" i="1"/>
  <c r="IF7" i="4"/>
  <c r="JD14" i="4"/>
  <c r="CC161" i="1"/>
  <c r="CC195" i="1" s="1"/>
  <c r="AK39" i="1"/>
  <c r="IE14" i="4"/>
  <c r="ID14" i="4"/>
  <c r="ID19" i="4" s="1"/>
  <c r="AX91" i="1" s="1"/>
  <c r="JE8" i="4"/>
  <c r="IV15" i="4"/>
  <c r="IV20" i="4" s="1"/>
  <c r="BP92" i="1" s="1"/>
  <c r="IP8" i="4"/>
  <c r="IX14" i="4"/>
  <c r="HP7" i="4"/>
  <c r="JG7" i="4"/>
  <c r="II14" i="4"/>
  <c r="II19" i="4" s="1"/>
  <c r="BC91" i="1" s="1"/>
  <c r="CD141" i="1"/>
  <c r="IO21" i="4"/>
  <c r="BI90" i="1" s="1"/>
  <c r="IX8" i="4"/>
  <c r="IX15" i="4"/>
  <c r="IX20" i="4" s="1"/>
  <c r="BR92" i="1" s="1"/>
  <c r="HZ21" i="4"/>
  <c r="AT90" i="1" s="1"/>
  <c r="AM266" i="1"/>
  <c r="AI133" i="1"/>
  <c r="AM192" i="1"/>
  <c r="AN192" i="1" s="1"/>
  <c r="CF46" i="1"/>
  <c r="AM23" i="1"/>
  <c r="M266" i="1"/>
  <c r="AM244" i="1"/>
  <c r="P265" i="1"/>
  <c r="HZ8" i="4"/>
  <c r="JA7" i="4"/>
  <c r="HX8" i="4"/>
  <c r="HX20" i="4" s="1"/>
  <c r="AR92" i="1" s="1"/>
  <c r="AM265" i="1"/>
  <c r="IT7" i="4"/>
  <c r="IX7" i="4"/>
  <c r="K23" i="1"/>
  <c r="IL7" i="4"/>
  <c r="IJ7" i="4"/>
  <c r="N39" i="1"/>
  <c r="K39" i="1"/>
  <c r="HW8" i="4"/>
  <c r="IR15" i="4"/>
  <c r="JG14" i="4"/>
  <c r="L39" i="1"/>
  <c r="H39" i="1"/>
  <c r="IS14" i="4"/>
  <c r="CC133" i="1"/>
  <c r="CC174" i="1"/>
  <c r="CA141" i="1"/>
  <c r="U266" i="1"/>
  <c r="CG265" i="1"/>
  <c r="F244" i="1"/>
  <c r="BL266" i="1"/>
  <c r="N244" i="1"/>
  <c r="Z244" i="1"/>
  <c r="BL23" i="1"/>
  <c r="BZ39" i="1"/>
  <c r="X141" i="1"/>
  <c r="X50" i="1" s="1"/>
  <c r="Z39" i="1"/>
  <c r="X174" i="1"/>
  <c r="Y222" i="1" s="1"/>
  <c r="JM14" i="4"/>
  <c r="CG192" i="1"/>
  <c r="CH192" i="1" s="1"/>
  <c r="CD39" i="1"/>
  <c r="M39" i="1"/>
  <c r="R39" i="1"/>
  <c r="JK7" i="4"/>
  <c r="W39" i="1"/>
  <c r="IN8" i="4"/>
  <c r="HQ7" i="4"/>
  <c r="IY15" i="4"/>
  <c r="R265" i="1"/>
  <c r="CG23" i="1"/>
  <c r="CG29" i="1" s="1"/>
  <c r="B39" i="1"/>
  <c r="BY196" i="1"/>
  <c r="BZ196" i="1" s="1"/>
  <c r="V207" i="1"/>
  <c r="CD266" i="1"/>
  <c r="Z265" i="1"/>
  <c r="Y141" i="1"/>
  <c r="Y50" i="1" s="1"/>
  <c r="W265" i="1"/>
  <c r="W266" i="1"/>
  <c r="BY265" i="1"/>
  <c r="Y193" i="1"/>
  <c r="Q39" i="1"/>
  <c r="F265" i="1"/>
  <c r="I39" i="1"/>
  <c r="BX266" i="1"/>
  <c r="K266" i="1"/>
  <c r="JL14" i="4"/>
  <c r="R207" i="1"/>
  <c r="I23" i="1"/>
  <c r="O266" i="1"/>
  <c r="CG130" i="1"/>
  <c r="Z196" i="1"/>
  <c r="JO8" i="4"/>
  <c r="JL8" i="4"/>
  <c r="Y161" i="1"/>
  <c r="Y195" i="1" s="1"/>
  <c r="Y169" i="1"/>
  <c r="Y198" i="1" s="1"/>
  <c r="Y192" i="1"/>
  <c r="CG39" i="1"/>
  <c r="CG196" i="1"/>
  <c r="CH196" i="1" s="1"/>
  <c r="Y39" i="1"/>
  <c r="Z186" i="1"/>
  <c r="CC39" i="1"/>
  <c r="T266" i="1"/>
  <c r="N23" i="1"/>
  <c r="CE151" i="1"/>
  <c r="CI141" i="1"/>
  <c r="V23" i="1"/>
  <c r="V111" i="1" s="1"/>
  <c r="CJ207" i="1"/>
  <c r="BX244" i="1"/>
  <c r="BX265" i="1"/>
  <c r="Q23" i="1"/>
  <c r="BL265" i="1"/>
  <c r="F266" i="1"/>
  <c r="AN162" i="1"/>
  <c r="CE133" i="1"/>
  <c r="CH23" i="1"/>
  <c r="CA133" i="1"/>
  <c r="CH266" i="1"/>
  <c r="Y133" i="1"/>
  <c r="T39" i="1"/>
  <c r="JP7" i="4"/>
  <c r="Y147" i="1"/>
  <c r="Y151" i="1" s="1"/>
  <c r="JN7" i="4"/>
  <c r="X161" i="1"/>
  <c r="S39" i="1"/>
  <c r="CE39" i="1"/>
  <c r="X186" i="1"/>
  <c r="JM8" i="4"/>
  <c r="Q196" i="1"/>
  <c r="CI196" i="1"/>
  <c r="CJ196" i="1" s="1"/>
  <c r="CK196" i="1" s="1"/>
  <c r="CL196" i="1" s="1"/>
  <c r="C39" i="1"/>
  <c r="JN15" i="4"/>
  <c r="IM8" i="4"/>
  <c r="IM20" i="4" s="1"/>
  <c r="BG92" i="1" s="1"/>
  <c r="IT8" i="4"/>
  <c r="IT20" i="4" s="1"/>
  <c r="BN92" i="1" s="1"/>
  <c r="IZ7" i="4"/>
  <c r="G39" i="1"/>
  <c r="IA14" i="4"/>
  <c r="IB8" i="4"/>
  <c r="IB20" i="4" s="1"/>
  <c r="AV92" i="1" s="1"/>
  <c r="IZ14" i="4"/>
  <c r="AM111" i="1"/>
  <c r="HT15" i="4"/>
  <c r="JB15" i="4"/>
  <c r="JB20" i="4" s="1"/>
  <c r="BV92" i="1" s="1"/>
  <c r="JE14" i="4"/>
  <c r="JE19" i="4" s="1"/>
  <c r="BY91" i="1" s="1"/>
  <c r="HR7" i="4"/>
  <c r="HR19" i="4" s="1"/>
  <c r="AL91" i="1" s="1"/>
  <c r="IQ8" i="4"/>
  <c r="IQ20" i="4" s="1"/>
  <c r="BK92" i="1" s="1"/>
  <c r="HT14" i="4"/>
  <c r="D39" i="1"/>
  <c r="AJ39" i="1"/>
  <c r="IK15" i="4"/>
  <c r="BJ39" i="1"/>
  <c r="BX23" i="1"/>
  <c r="JC15" i="4"/>
  <c r="IL14" i="4"/>
  <c r="AM39" i="1"/>
  <c r="IO14" i="4"/>
  <c r="IO19" i="4" s="1"/>
  <c r="BI91" i="1" s="1"/>
  <c r="CA147" i="1"/>
  <c r="CB46" i="1" s="1"/>
  <c r="Y266" i="1"/>
  <c r="JN8" i="4"/>
  <c r="U265" i="1"/>
  <c r="CH265" i="1"/>
  <c r="U23" i="1"/>
  <c r="V265" i="1"/>
  <c r="CJ78" i="1"/>
  <c r="CF155" i="1"/>
  <c r="CF23" i="1"/>
  <c r="CI76" i="1"/>
  <c r="CG244" i="1"/>
  <c r="CD265" i="1"/>
  <c r="CA39" i="1"/>
  <c r="X133" i="1"/>
  <c r="X193" i="1"/>
  <c r="AL39" i="1"/>
  <c r="JB21" i="4"/>
  <c r="BV90" i="1" s="1"/>
  <c r="IJ14" i="4"/>
  <c r="Y87" i="1"/>
  <c r="JJ15" i="4"/>
  <c r="CC10" i="1"/>
  <c r="CC265" i="1"/>
  <c r="CE111" i="1"/>
  <c r="CF111" i="1"/>
  <c r="CC23" i="1"/>
  <c r="CC266" i="1"/>
  <c r="CC244" i="1"/>
  <c r="CD111" i="1"/>
  <c r="CC196" i="1"/>
  <c r="CD196" i="1" s="1"/>
  <c r="CC193" i="1"/>
  <c r="CD193" i="1" s="1"/>
  <c r="CJ39" i="1"/>
  <c r="CB39" i="1"/>
  <c r="J39" i="1"/>
  <c r="IO8" i="4"/>
  <c r="X169" i="1"/>
  <c r="X198" i="1" s="1"/>
  <c r="D266" i="1"/>
  <c r="D207" i="1"/>
  <c r="CG207" i="1"/>
  <c r="CG266" i="1"/>
  <c r="IA8" i="4"/>
  <c r="IA20" i="4" s="1"/>
  <c r="AU92" i="1" s="1"/>
  <c r="AL266" i="1"/>
  <c r="AL207" i="1"/>
  <c r="CH39" i="1"/>
  <c r="CP36" i="1"/>
  <c r="CG158" i="1"/>
  <c r="CG193" i="1" s="1"/>
  <c r="CH193" i="1" s="1"/>
  <c r="Z193" i="1"/>
  <c r="Z192" i="1"/>
  <c r="CG174" i="1"/>
  <c r="CH222" i="1" s="1"/>
  <c r="BZ138" i="1"/>
  <c r="CJ265" i="1"/>
  <c r="CC141" i="1"/>
  <c r="CE23" i="1"/>
  <c r="CA193" i="1"/>
  <c r="CB193" i="1" s="1"/>
  <c r="CC111" i="1"/>
  <c r="CI111" i="1"/>
  <c r="Z161" i="1"/>
  <c r="AA209" i="1" s="1"/>
  <c r="X192" i="1"/>
  <c r="CA265" i="1"/>
  <c r="CJ10" i="1"/>
  <c r="CJ23" i="1"/>
  <c r="CH111" i="1"/>
  <c r="BY23" i="1"/>
  <c r="X244" i="1"/>
  <c r="Z141" i="1"/>
  <c r="JH21" i="4"/>
  <c r="CB90" i="1" s="1"/>
  <c r="CI10" i="1"/>
  <c r="Z266" i="1"/>
  <c r="CB111" i="1"/>
  <c r="CG111" i="1"/>
  <c r="CE244" i="1"/>
  <c r="BY192" i="1"/>
  <c r="BZ192" i="1" s="1"/>
  <c r="W23" i="1"/>
  <c r="W10" i="1" s="1"/>
  <c r="CD244" i="1"/>
  <c r="AL23" i="1"/>
  <c r="BY266" i="1"/>
  <c r="BY244" i="1"/>
  <c r="CA23" i="1"/>
  <c r="CA29" i="1" s="1"/>
  <c r="Y265" i="1"/>
  <c r="CH10" i="1"/>
  <c r="CK111" i="1"/>
  <c r="CB23" i="1"/>
  <c r="CB29" i="1" s="1"/>
  <c r="AL265" i="1"/>
  <c r="CF265" i="1"/>
  <c r="CA111" i="1"/>
  <c r="CB266" i="1"/>
  <c r="CJ111" i="1"/>
  <c r="CK78" i="1"/>
  <c r="CI244" i="1"/>
  <c r="CF266" i="1"/>
  <c r="CE169" i="1"/>
  <c r="AJ137" i="1"/>
  <c r="JN21" i="4"/>
  <c r="CH90" i="1" s="1"/>
  <c r="L265" i="1"/>
  <c r="IU21" i="4"/>
  <c r="BO90" i="1" s="1"/>
  <c r="T265" i="1"/>
  <c r="HT7" i="4"/>
  <c r="S266" i="1"/>
  <c r="Z174" i="1"/>
  <c r="AA222" i="1" s="1"/>
  <c r="CI192" i="1"/>
  <c r="CJ192" i="1" s="1"/>
  <c r="CF244" i="1"/>
  <c r="CX5" i="1"/>
  <c r="CV5" i="1"/>
  <c r="CY15" i="1"/>
  <c r="CX7" i="1"/>
  <c r="IR19" i="4"/>
  <c r="BL91" i="1" s="1"/>
  <c r="CD215" i="1"/>
  <c r="AL215" i="1"/>
  <c r="AB58" i="1"/>
  <c r="AL29" i="1"/>
  <c r="CM77" i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CM90" i="1"/>
  <c r="CN90" i="1" s="1"/>
  <c r="CO90" i="1" s="1"/>
  <c r="CH155" i="1"/>
  <c r="CG141" i="1"/>
  <c r="CH137" i="1"/>
  <c r="CH141" i="1" s="1"/>
  <c r="CP177" i="1"/>
  <c r="CQ177" i="1" s="1"/>
  <c r="CR177" i="1" s="1"/>
  <c r="CS177" i="1" s="1"/>
  <c r="AB177" i="1"/>
  <c r="CH153" i="1"/>
  <c r="CQ58" i="1"/>
  <c r="CR58" i="1" s="1"/>
  <c r="CS58" i="1" s="1"/>
  <c r="CT58" i="1" s="1"/>
  <c r="CJ141" i="1"/>
  <c r="CL137" i="1"/>
  <c r="O111" i="1"/>
  <c r="O29" i="1"/>
  <c r="IH20" i="4"/>
  <c r="BB92" i="1" s="1"/>
  <c r="CQ59" i="1"/>
  <c r="CR59" i="1" s="1"/>
  <c r="CS59" i="1" s="1"/>
  <c r="CT59" i="1" s="1"/>
  <c r="AB131" i="1"/>
  <c r="CP131" i="1"/>
  <c r="CQ131" i="1" s="1"/>
  <c r="CR131" i="1" s="1"/>
  <c r="CS131" i="1" s="1"/>
  <c r="CH162" i="1"/>
  <c r="AB59" i="1"/>
  <c r="BY1" i="1"/>
  <c r="CI151" i="1" l="1"/>
  <c r="CE141" i="1"/>
  <c r="CF141" i="1"/>
  <c r="CJ46" i="1"/>
  <c r="CK46" i="1" s="1"/>
  <c r="CB215" i="1"/>
  <c r="AN151" i="1"/>
  <c r="HW21" i="4"/>
  <c r="AQ90" i="1" s="1"/>
  <c r="CI174" i="1"/>
  <c r="P40" i="1"/>
  <c r="CE174" i="1"/>
  <c r="CA169" i="1"/>
  <c r="CA198" i="1" s="1"/>
  <c r="CI133" i="1"/>
  <c r="HU20" i="4"/>
  <c r="AO92" i="1" s="1"/>
  <c r="V24" i="1"/>
  <c r="AA71" i="1"/>
  <c r="IM19" i="4"/>
  <c r="BG91" i="1" s="1"/>
  <c r="AA24" i="1"/>
  <c r="AA201" i="1"/>
  <c r="AA262" i="1"/>
  <c r="AA219" i="1"/>
  <c r="AA218" i="1" s="1"/>
  <c r="IP19" i="4"/>
  <c r="BJ91" i="1" s="1"/>
  <c r="IT21" i="4"/>
  <c r="BN90" i="1" s="1"/>
  <c r="IM21" i="4"/>
  <c r="BG90" i="1" s="1"/>
  <c r="IV19" i="4"/>
  <c r="BP91" i="1" s="1"/>
  <c r="ID20" i="4"/>
  <c r="AX92" i="1" s="1"/>
  <c r="E40" i="1"/>
  <c r="IQ19" i="4"/>
  <c r="BK91" i="1" s="1"/>
  <c r="O40" i="1"/>
  <c r="IG20" i="4"/>
  <c r="BA92" i="1" s="1"/>
  <c r="IR20" i="4"/>
  <c r="BL92" i="1" s="1"/>
  <c r="JM19" i="4"/>
  <c r="CG91" i="1" s="1"/>
  <c r="M40" i="1"/>
  <c r="R40" i="1"/>
  <c r="B40" i="1"/>
  <c r="JL19" i="4"/>
  <c r="CF91" i="1" s="1"/>
  <c r="Y197" i="1"/>
  <c r="C40" i="1"/>
  <c r="G40" i="1"/>
  <c r="IA19" i="4"/>
  <c r="AU91" i="1" s="1"/>
  <c r="JC20" i="4"/>
  <c r="BW92" i="1" s="1"/>
  <c r="IL19" i="4"/>
  <c r="BF91" i="1" s="1"/>
  <c r="B29" i="1"/>
  <c r="B30" i="1" s="1"/>
  <c r="JJ20" i="4"/>
  <c r="CD92" i="1" s="1"/>
  <c r="IH19" i="4"/>
  <c r="BB91" i="1" s="1"/>
  <c r="IO20" i="4"/>
  <c r="BI92" i="1" s="1"/>
  <c r="IW19" i="4"/>
  <c r="BQ91" i="1" s="1"/>
  <c r="JG20" i="4"/>
  <c r="CA92" i="1" s="1"/>
  <c r="IZ20" i="4"/>
  <c r="BT92" i="1" s="1"/>
  <c r="CA197" i="1"/>
  <c r="CB197" i="1" s="1"/>
  <c r="CB198" i="1" s="1"/>
  <c r="CI161" i="1"/>
  <c r="CI195" i="1" s="1"/>
  <c r="BY147" i="1"/>
  <c r="BZ147" i="1" s="1"/>
  <c r="CC169" i="1"/>
  <c r="CI169" i="1"/>
  <c r="CI198" i="1" s="1"/>
  <c r="CI215" i="1"/>
  <c r="BZ166" i="1"/>
  <c r="BZ141" i="1"/>
  <c r="BY141" i="1"/>
  <c r="CI193" i="1"/>
  <c r="CJ193" i="1" s="1"/>
  <c r="CK193" i="1" s="1"/>
  <c r="CL193" i="1" s="1"/>
  <c r="CA161" i="1"/>
  <c r="CA195" i="1" s="1"/>
  <c r="CJ130" i="1"/>
  <c r="HT20" i="4"/>
  <c r="AN92" i="1" s="1"/>
  <c r="IC20" i="4"/>
  <c r="AW92" i="1" s="1"/>
  <c r="IF20" i="4"/>
  <c r="AZ92" i="1" s="1"/>
  <c r="F24" i="1"/>
  <c r="CG144" i="1"/>
  <c r="CG147" i="1" s="1"/>
  <c r="Z147" i="1"/>
  <c r="P29" i="1"/>
  <c r="P111" i="1"/>
  <c r="P24" i="1"/>
  <c r="P201" i="1"/>
  <c r="E111" i="1"/>
  <c r="E29" i="1"/>
  <c r="H29" i="1"/>
  <c r="H201" i="1"/>
  <c r="D29" i="1"/>
  <c r="D201" i="1"/>
  <c r="D24" i="1"/>
  <c r="T201" i="1"/>
  <c r="C29" i="1"/>
  <c r="C201" i="1"/>
  <c r="AM151" i="1"/>
  <c r="HW19" i="4"/>
  <c r="AQ91" i="1" s="1"/>
  <c r="M29" i="1"/>
  <c r="M111" i="1"/>
  <c r="G29" i="1"/>
  <c r="G111" i="1"/>
  <c r="Z188" i="1"/>
  <c r="M24" i="1"/>
  <c r="HS19" i="4"/>
  <c r="AM91" i="1" s="1"/>
  <c r="IB19" i="4"/>
  <c r="AV91" i="1" s="1"/>
  <c r="IC19" i="4"/>
  <c r="AW91" i="1" s="1"/>
  <c r="IS19" i="4"/>
  <c r="BM91" i="1" s="1"/>
  <c r="JC19" i="4"/>
  <c r="BW91" i="1" s="1"/>
  <c r="JH20" i="4"/>
  <c r="CB92" i="1" s="1"/>
  <c r="JA20" i="4"/>
  <c r="BU92" i="1" s="1"/>
  <c r="HV20" i="4"/>
  <c r="AP92" i="1" s="1"/>
  <c r="BZ29" i="1"/>
  <c r="AI161" i="1"/>
  <c r="AK141" i="1"/>
  <c r="BY169" i="1"/>
  <c r="BY198" i="1" s="1"/>
  <c r="CD29" i="1"/>
  <c r="AJ215" i="1"/>
  <c r="AB135" i="1"/>
  <c r="CI29" i="1"/>
  <c r="R111" i="1"/>
  <c r="R29" i="1"/>
  <c r="AB148" i="1"/>
  <c r="CD24" i="1"/>
  <c r="X111" i="1"/>
  <c r="JP19" i="4"/>
  <c r="CJ91" i="1" s="1"/>
  <c r="JP20" i="4"/>
  <c r="CJ92" i="1" s="1"/>
  <c r="HP19" i="4"/>
  <c r="AJ91" i="1" s="1"/>
  <c r="HZ20" i="4"/>
  <c r="AT92" i="1" s="1"/>
  <c r="IS20" i="4"/>
  <c r="BM92" i="1" s="1"/>
  <c r="JA19" i="4"/>
  <c r="BU91" i="1" s="1"/>
  <c r="IF19" i="4"/>
  <c r="AZ91" i="1" s="1"/>
  <c r="JO19" i="4"/>
  <c r="CI91" i="1" s="1"/>
  <c r="IE20" i="4"/>
  <c r="AY92" i="1" s="1"/>
  <c r="HX19" i="4"/>
  <c r="AR91" i="1" s="1"/>
  <c r="IN20" i="4"/>
  <c r="BH92" i="1" s="1"/>
  <c r="JK19" i="4"/>
  <c r="CE91" i="1" s="1"/>
  <c r="HW20" i="4"/>
  <c r="AQ92" i="1" s="1"/>
  <c r="Z10" i="1"/>
  <c r="Z195" i="1"/>
  <c r="Z261" i="1"/>
  <c r="CY13" i="1"/>
  <c r="CZ13" i="1" s="1"/>
  <c r="DA13" i="1" s="1"/>
  <c r="BY161" i="1"/>
  <c r="BY195" i="1" s="1"/>
  <c r="BY199" i="1" s="1"/>
  <c r="BY174" i="1"/>
  <c r="IU19" i="4"/>
  <c r="BO91" i="1" s="1"/>
  <c r="AL166" i="1"/>
  <c r="AL40" i="1"/>
  <c r="W40" i="1"/>
  <c r="IJ19" i="4"/>
  <c r="BD91" i="1" s="1"/>
  <c r="F40" i="1"/>
  <c r="Z40" i="1"/>
  <c r="H40" i="1"/>
  <c r="HS20" i="4"/>
  <c r="AM92" i="1" s="1"/>
  <c r="HY20" i="4"/>
  <c r="AS92" i="1" s="1"/>
  <c r="HP20" i="4"/>
  <c r="AJ92" i="1" s="1"/>
  <c r="CP138" i="1"/>
  <c r="CQ138" i="1" s="1"/>
  <c r="CR138" i="1" s="1"/>
  <c r="CS138" i="1" s="1"/>
  <c r="CT138" i="1" s="1"/>
  <c r="CU138" i="1" s="1"/>
  <c r="CV138" i="1" s="1"/>
  <c r="CW138" i="1" s="1"/>
  <c r="M201" i="1"/>
  <c r="JH19" i="4"/>
  <c r="CB91" i="1" s="1"/>
  <c r="JK20" i="4"/>
  <c r="CE92" i="1" s="1"/>
  <c r="S24" i="1"/>
  <c r="C24" i="1"/>
  <c r="L111" i="1"/>
  <c r="JD20" i="4"/>
  <c r="BX92" i="1" s="1"/>
  <c r="H24" i="1"/>
  <c r="JF20" i="4"/>
  <c r="BZ92" i="1" s="1"/>
  <c r="AM40" i="1"/>
  <c r="AN141" i="1"/>
  <c r="JG19" i="4"/>
  <c r="CA91" i="1" s="1"/>
  <c r="IL20" i="4"/>
  <c r="BF92" i="1" s="1"/>
  <c r="S201" i="1"/>
  <c r="CD151" i="1"/>
  <c r="JL20" i="4"/>
  <c r="CF92" i="1" s="1"/>
  <c r="IP20" i="4"/>
  <c r="BJ92" i="1" s="1"/>
  <c r="Z169" i="1"/>
  <c r="AA210" i="1" s="1"/>
  <c r="AA211" i="1" s="1"/>
  <c r="AA212" i="1" s="1"/>
  <c r="CG169" i="1"/>
  <c r="CG198" i="1" s="1"/>
  <c r="CG197" i="1" s="1"/>
  <c r="CH197" i="1" s="1"/>
  <c r="CH198" i="1" s="1"/>
  <c r="Z29" i="1"/>
  <c r="AA31" i="1" s="1"/>
  <c r="X142" i="1"/>
  <c r="V201" i="1"/>
  <c r="AK40" i="1"/>
  <c r="BZ40" i="1"/>
  <c r="AK133" i="1"/>
  <c r="JI20" i="4"/>
  <c r="CC92" i="1" s="1"/>
  <c r="CF216" i="1"/>
  <c r="CF214" i="1" s="1"/>
  <c r="AM238" i="1"/>
  <c r="BZ158" i="1"/>
  <c r="G201" i="1"/>
  <c r="Z111" i="1"/>
  <c r="V29" i="1"/>
  <c r="AB146" i="1"/>
  <c r="AL25" i="1"/>
  <c r="AM133" i="1"/>
  <c r="BY133" i="1"/>
  <c r="CD40" i="1"/>
  <c r="IX19" i="4"/>
  <c r="BR91" i="1" s="1"/>
  <c r="Z24" i="1"/>
  <c r="CE170" i="1"/>
  <c r="JE20" i="4"/>
  <c r="BY92" i="1" s="1"/>
  <c r="IU20" i="4"/>
  <c r="BO92" i="1" s="1"/>
  <c r="IW20" i="4"/>
  <c r="BQ92" i="1" s="1"/>
  <c r="T40" i="1"/>
  <c r="X197" i="1"/>
  <c r="CP140" i="1"/>
  <c r="CQ140" i="1" s="1"/>
  <c r="CR140" i="1" s="1"/>
  <c r="CS140" i="1" s="1"/>
  <c r="CT140" i="1" s="1"/>
  <c r="CU140" i="1" s="1"/>
  <c r="CV140" i="1" s="1"/>
  <c r="CW140" i="1" s="1"/>
  <c r="L29" i="1"/>
  <c r="L30" i="1" s="1"/>
  <c r="BZ215" i="1"/>
  <c r="CD46" i="1"/>
  <c r="K40" i="1"/>
  <c r="CG215" i="1"/>
  <c r="IK19" i="4"/>
  <c r="BE91" i="1" s="1"/>
  <c r="IJ20" i="4"/>
  <c r="BD92" i="1" s="1"/>
  <c r="AK174" i="1"/>
  <c r="F201" i="1"/>
  <c r="Q40" i="1"/>
  <c r="AM169" i="1"/>
  <c r="AM198" i="1" s="1"/>
  <c r="AM197" i="1" s="1"/>
  <c r="AN197" i="1" s="1"/>
  <c r="AN198" i="1" s="1"/>
  <c r="IN19" i="4"/>
  <c r="BH91" i="1" s="1"/>
  <c r="IT19" i="4"/>
  <c r="BN91" i="1" s="1"/>
  <c r="AM25" i="1"/>
  <c r="AK169" i="1"/>
  <c r="AK198" i="1" s="1"/>
  <c r="AK197" i="1" s="1"/>
  <c r="AL197" i="1" s="1"/>
  <c r="AL198" i="1" s="1"/>
  <c r="AM161" i="1"/>
  <c r="AB139" i="1"/>
  <c r="J111" i="1"/>
  <c r="JO20" i="4"/>
  <c r="CI92" i="1" s="1"/>
  <c r="W201" i="1"/>
  <c r="BZ157" i="1"/>
  <c r="AI141" i="1"/>
  <c r="AI142" i="1" s="1"/>
  <c r="JD19" i="4"/>
  <c r="BX91" i="1" s="1"/>
  <c r="CL47" i="1"/>
  <c r="CL51" i="1" s="1"/>
  <c r="CL245" i="1"/>
  <c r="CL246" i="1" s="1"/>
  <c r="CL42" i="1"/>
  <c r="X24" i="1"/>
  <c r="CP150" i="1"/>
  <c r="CQ150" i="1" s="1"/>
  <c r="CR150" i="1" s="1"/>
  <c r="CS150" i="1" s="1"/>
  <c r="CT150" i="1" s="1"/>
  <c r="CU150" i="1" s="1"/>
  <c r="CV150" i="1" s="1"/>
  <c r="CW150" i="1" s="1"/>
  <c r="W111" i="1"/>
  <c r="AK151" i="1"/>
  <c r="X201" i="1"/>
  <c r="AJ29" i="1"/>
  <c r="AJ30" i="1" s="1"/>
  <c r="CJ145" i="1"/>
  <c r="CK145" i="1" s="1"/>
  <c r="CK144" i="1" s="1"/>
  <c r="W29" i="1"/>
  <c r="F111" i="1"/>
  <c r="AL147" i="1"/>
  <c r="CC151" i="1"/>
  <c r="CG46" i="1"/>
  <c r="X46" i="1"/>
  <c r="IK20" i="4"/>
  <c r="BE92" i="1" s="1"/>
  <c r="AI169" i="1"/>
  <c r="AI210" i="1" s="1"/>
  <c r="X40" i="1"/>
  <c r="X29" i="1"/>
  <c r="G24" i="1"/>
  <c r="AK25" i="1"/>
  <c r="Z201" i="1"/>
  <c r="T24" i="1"/>
  <c r="CL141" i="1"/>
  <c r="E24" i="1"/>
  <c r="AJ141" i="1"/>
  <c r="AJ40" i="1"/>
  <c r="JN20" i="4"/>
  <c r="CH92" i="1" s="1"/>
  <c r="AM141" i="1"/>
  <c r="AM181" i="1" s="1"/>
  <c r="IY20" i="4"/>
  <c r="BS92" i="1" s="1"/>
  <c r="L40" i="1"/>
  <c r="IE19" i="4"/>
  <c r="AY91" i="1" s="1"/>
  <c r="CD157" i="1"/>
  <c r="T111" i="1"/>
  <c r="AM29" i="1"/>
  <c r="AM41" i="1" s="1"/>
  <c r="HY19" i="4"/>
  <c r="AS91" i="1" s="1"/>
  <c r="T29" i="1"/>
  <c r="T31" i="1" s="1"/>
  <c r="X181" i="1"/>
  <c r="X122" i="1" s="1"/>
  <c r="S111" i="1"/>
  <c r="AL158" i="1"/>
  <c r="AK161" i="1"/>
  <c r="AK195" i="1" s="1"/>
  <c r="D40" i="1"/>
  <c r="IZ19" i="4"/>
  <c r="BT91" i="1" s="1"/>
  <c r="HQ19" i="4"/>
  <c r="AK91" i="1" s="1"/>
  <c r="CA142" i="1"/>
  <c r="CI40" i="1"/>
  <c r="AB176" i="1"/>
  <c r="CP176" i="1"/>
  <c r="CQ176" i="1" s="1"/>
  <c r="CR176" i="1" s="1"/>
  <c r="CS176" i="1" s="1"/>
  <c r="CT176" i="1" s="1"/>
  <c r="CU176" i="1" s="1"/>
  <c r="CV176" i="1" s="1"/>
  <c r="CW176" i="1" s="1"/>
  <c r="CM130" i="1"/>
  <c r="CN130" i="1" s="1"/>
  <c r="CO130" i="1" s="1"/>
  <c r="AB130" i="1" s="1"/>
  <c r="CG40" i="1"/>
  <c r="Y40" i="1"/>
  <c r="CC40" i="1"/>
  <c r="Y216" i="1"/>
  <c r="Y214" i="1" s="1"/>
  <c r="JN19" i="4"/>
  <c r="CH91" i="1" s="1"/>
  <c r="CE40" i="1"/>
  <c r="JM20" i="4"/>
  <c r="CG92" i="1" s="1"/>
  <c r="CA40" i="1"/>
  <c r="CD166" i="1"/>
  <c r="CD169" i="1" s="1"/>
  <c r="CD158" i="1"/>
  <c r="CD161" i="1" s="1"/>
  <c r="J40" i="1"/>
  <c r="L24" i="1"/>
  <c r="L201" i="1"/>
  <c r="BL29" i="1"/>
  <c r="BL30" i="1" s="1"/>
  <c r="BL40" i="1"/>
  <c r="CL46" i="1"/>
  <c r="CM46" i="1" s="1"/>
  <c r="CN46" i="1" s="1"/>
  <c r="CO46" i="1" s="1"/>
  <c r="CP46" i="1" s="1"/>
  <c r="CQ46" i="1" s="1"/>
  <c r="CR46" i="1" s="1"/>
  <c r="CS46" i="1" s="1"/>
  <c r="CU46" i="1" s="1"/>
  <c r="CV46" i="1" s="1"/>
  <c r="CW46" i="1" s="1"/>
  <c r="CX46" i="1" s="1"/>
  <c r="CY46" i="1" s="1"/>
  <c r="CZ46" i="1" s="1"/>
  <c r="DA46" i="1" s="1"/>
  <c r="CL147" i="1"/>
  <c r="CL151" i="1" s="1"/>
  <c r="HU19" i="4"/>
  <c r="AO91" i="1" s="1"/>
  <c r="N40" i="1"/>
  <c r="CH157" i="1"/>
  <c r="I40" i="1"/>
  <c r="CJ40" i="1"/>
  <c r="CC238" i="1"/>
  <c r="CJ112" i="1"/>
  <c r="CJ157" i="1"/>
  <c r="CF201" i="1"/>
  <c r="Y10" i="1"/>
  <c r="Y111" i="1"/>
  <c r="Y29" i="1"/>
  <c r="Y201" i="1"/>
  <c r="Y24" i="1"/>
  <c r="K29" i="1"/>
  <c r="K24" i="1"/>
  <c r="K111" i="1"/>
  <c r="K201" i="1"/>
  <c r="CA181" i="1"/>
  <c r="CB262" i="1"/>
  <c r="CB219" i="1"/>
  <c r="Y142" i="1"/>
  <c r="Y181" i="1"/>
  <c r="Y122" i="1" s="1"/>
  <c r="Y262" i="1"/>
  <c r="Y219" i="1"/>
  <c r="J24" i="1"/>
  <c r="J201" i="1"/>
  <c r="I29" i="1"/>
  <c r="I24" i="1"/>
  <c r="I111" i="1"/>
  <c r="I201" i="1"/>
  <c r="CH130" i="1"/>
  <c r="CG133" i="1"/>
  <c r="CG142" i="1" s="1"/>
  <c r="O201" i="1"/>
  <c r="N201" i="1"/>
  <c r="N29" i="1"/>
  <c r="N111" i="1"/>
  <c r="V40" i="1"/>
  <c r="W24" i="1"/>
  <c r="Q29" i="1"/>
  <c r="Q24" i="1"/>
  <c r="Q111" i="1"/>
  <c r="R24" i="1"/>
  <c r="Q201" i="1"/>
  <c r="CH29" i="1"/>
  <c r="CH41" i="1" s="1"/>
  <c r="CL43" i="1" s="1"/>
  <c r="CH201" i="1"/>
  <c r="CL201" i="1"/>
  <c r="CL24" i="1"/>
  <c r="Y188" i="1"/>
  <c r="Y261" i="1"/>
  <c r="X257" i="1"/>
  <c r="X170" i="1"/>
  <c r="X178" i="1" s="1"/>
  <c r="X195" i="1"/>
  <c r="S41" i="1"/>
  <c r="S245" i="1" s="1"/>
  <c r="S246" i="1" s="1"/>
  <c r="S40" i="1"/>
  <c r="CL166" i="1"/>
  <c r="BX29" i="1"/>
  <c r="CB24" i="1"/>
  <c r="BY25" i="1"/>
  <c r="BX40" i="1"/>
  <c r="AJ46" i="1"/>
  <c r="AJ147" i="1"/>
  <c r="AK46" i="1" s="1"/>
  <c r="U29" i="1"/>
  <c r="U111" i="1"/>
  <c r="U24" i="1"/>
  <c r="U201" i="1"/>
  <c r="U40" i="1"/>
  <c r="CG25" i="1"/>
  <c r="CF40" i="1"/>
  <c r="CF29" i="1"/>
  <c r="CH76" i="1"/>
  <c r="CI78" i="1"/>
  <c r="X261" i="1"/>
  <c r="X188" i="1"/>
  <c r="CD201" i="1"/>
  <c r="CD25" i="1"/>
  <c r="CG24" i="1"/>
  <c r="CC29" i="1"/>
  <c r="CC32" i="1" s="1"/>
  <c r="CC25" i="1"/>
  <c r="CE238" i="1"/>
  <c r="CC219" i="1"/>
  <c r="CC181" i="1"/>
  <c r="CC262" i="1"/>
  <c r="CD219" i="1"/>
  <c r="CD262" i="1"/>
  <c r="CC142" i="1"/>
  <c r="Z71" i="1"/>
  <c r="CE201" i="1"/>
  <c r="CF25" i="1"/>
  <c r="CI24" i="1"/>
  <c r="CE24" i="1"/>
  <c r="CE29" i="1"/>
  <c r="AA72" i="1" s="1"/>
  <c r="CG238" i="1"/>
  <c r="CE25" i="1"/>
  <c r="CK25" i="1"/>
  <c r="CL238" i="1"/>
  <c r="CC24" i="1"/>
  <c r="BZ25" i="1"/>
  <c r="BY29" i="1"/>
  <c r="BY40" i="1"/>
  <c r="Z50" i="1"/>
  <c r="Z181" i="1"/>
  <c r="Z122" i="1" s="1"/>
  <c r="CK215" i="1"/>
  <c r="CL153" i="1"/>
  <c r="CL215" i="1" s="1"/>
  <c r="AL157" i="1"/>
  <c r="Y46" i="1"/>
  <c r="CH24" i="1"/>
  <c r="Y209" i="1"/>
  <c r="R201" i="1"/>
  <c r="CA151" i="1"/>
  <c r="CF238" i="1"/>
  <c r="CI201" i="1"/>
  <c r="Z209" i="1"/>
  <c r="CI238" i="1"/>
  <c r="CB147" i="1"/>
  <c r="CH158" i="1"/>
  <c r="CA238" i="1"/>
  <c r="Y257" i="1"/>
  <c r="Y210" i="1"/>
  <c r="CI25" i="1"/>
  <c r="Y170" i="1"/>
  <c r="Y178" i="1" s="1"/>
  <c r="CI262" i="1"/>
  <c r="Y259" i="1"/>
  <c r="CH40" i="1"/>
  <c r="Z219" i="1"/>
  <c r="CK192" i="1"/>
  <c r="CL192" i="1" s="1"/>
  <c r="CB238" i="1"/>
  <c r="CG201" i="1"/>
  <c r="O24" i="1"/>
  <c r="HT19" i="4"/>
  <c r="AN91" i="1" s="1"/>
  <c r="CH238" i="1"/>
  <c r="CH25" i="1"/>
  <c r="CH166" i="1"/>
  <c r="CH169" i="1" s="1"/>
  <c r="CA25" i="1"/>
  <c r="Z262" i="1"/>
  <c r="Z142" i="1"/>
  <c r="N24" i="1"/>
  <c r="AI151" i="1"/>
  <c r="X259" i="1"/>
  <c r="CF24" i="1"/>
  <c r="CC201" i="1"/>
  <c r="AB36" i="1"/>
  <c r="CJ238" i="1"/>
  <c r="CK121" i="1"/>
  <c r="CK120" i="1"/>
  <c r="CB158" i="1"/>
  <c r="CJ201" i="1"/>
  <c r="CK112" i="1"/>
  <c r="CB166" i="1"/>
  <c r="CB169" i="1" s="1"/>
  <c r="CB25" i="1"/>
  <c r="CJ29" i="1"/>
  <c r="CJ41" i="1" s="1"/>
  <c r="CJ166" i="1"/>
  <c r="CJ169" i="1" s="1"/>
  <c r="CJ24" i="1"/>
  <c r="CJ25" i="1"/>
  <c r="CB40" i="1"/>
  <c r="CD238" i="1"/>
  <c r="CG161" i="1"/>
  <c r="Y71" i="1"/>
  <c r="CB157" i="1"/>
  <c r="CX9" i="1"/>
  <c r="CX21" i="1" s="1"/>
  <c r="CV9" i="1"/>
  <c r="CV21" i="1" s="1"/>
  <c r="CW5" i="1"/>
  <c r="CW9" i="1" s="1"/>
  <c r="CW21" i="1" s="1"/>
  <c r="CY7" i="1"/>
  <c r="CZ15" i="1"/>
  <c r="CZ7" i="1" s="1"/>
  <c r="CI219" i="1"/>
  <c r="AC59" i="1"/>
  <c r="CH215" i="1"/>
  <c r="CA30" i="1"/>
  <c r="CA41" i="1"/>
  <c r="CB32" i="1"/>
  <c r="CU59" i="1"/>
  <c r="CV59" i="1" s="1"/>
  <c r="CW59" i="1" s="1"/>
  <c r="CX59" i="1" s="1"/>
  <c r="CH219" i="1"/>
  <c r="CH262" i="1"/>
  <c r="AL30" i="1"/>
  <c r="AL41" i="1"/>
  <c r="J30" i="1"/>
  <c r="J41" i="1"/>
  <c r="Y194" i="1"/>
  <c r="Y199" i="1"/>
  <c r="CT148" i="1"/>
  <c r="CU148" i="1" s="1"/>
  <c r="CV148" i="1" s="1"/>
  <c r="CW148" i="1" s="1"/>
  <c r="AC148" i="1"/>
  <c r="CC194" i="1"/>
  <c r="CD194" i="1" s="1"/>
  <c r="CD195" i="1" s="1"/>
  <c r="AC58" i="1"/>
  <c r="AC177" i="1"/>
  <c r="CT177" i="1"/>
  <c r="CU177" i="1" s="1"/>
  <c r="CV177" i="1" s="1"/>
  <c r="CW177" i="1" s="1"/>
  <c r="CG181" i="1"/>
  <c r="AB90" i="1"/>
  <c r="CP90" i="1"/>
  <c r="CQ90" i="1" s="1"/>
  <c r="CR90" i="1" s="1"/>
  <c r="CS90" i="1" s="1"/>
  <c r="CB41" i="1"/>
  <c r="CB30" i="1"/>
  <c r="CT36" i="1"/>
  <c r="AC36" i="1"/>
  <c r="O30" i="1"/>
  <c r="O41" i="1"/>
  <c r="CU58" i="1"/>
  <c r="CV58" i="1" s="1"/>
  <c r="CW58" i="1" s="1"/>
  <c r="CX58" i="1" s="1"/>
  <c r="AC139" i="1"/>
  <c r="CT139" i="1"/>
  <c r="CU139" i="1" s="1"/>
  <c r="CV139" i="1" s="1"/>
  <c r="CW139" i="1" s="1"/>
  <c r="CT135" i="1"/>
  <c r="CU135" i="1" s="1"/>
  <c r="CV135" i="1" s="1"/>
  <c r="CW135" i="1" s="1"/>
  <c r="AC135" i="1"/>
  <c r="CT146" i="1"/>
  <c r="CU146" i="1" s="1"/>
  <c r="CV146" i="1" s="1"/>
  <c r="CW146" i="1" s="1"/>
  <c r="AC146" i="1"/>
  <c r="F30" i="1"/>
  <c r="F41" i="1"/>
  <c r="CT131" i="1"/>
  <c r="CU131" i="1" s="1"/>
  <c r="CV131" i="1" s="1"/>
  <c r="CW131" i="1" s="1"/>
  <c r="AC131" i="1"/>
  <c r="CJ219" i="1"/>
  <c r="CJ262" i="1"/>
  <c r="CG41" i="1"/>
  <c r="CG30" i="1"/>
  <c r="CM76" i="1"/>
  <c r="AL32" i="1"/>
  <c r="AK41" i="1"/>
  <c r="AK30" i="1"/>
  <c r="BZ1" i="1"/>
  <c r="CE219" i="1" l="1"/>
  <c r="CE262" i="1"/>
  <c r="CF219" i="1"/>
  <c r="B41" i="1"/>
  <c r="CF262" i="1"/>
  <c r="CE142" i="1"/>
  <c r="CG219" i="1"/>
  <c r="CG262" i="1"/>
  <c r="BY142" i="1"/>
  <c r="BY181" i="1"/>
  <c r="CI181" i="1"/>
  <c r="CJ50" i="1" s="1"/>
  <c r="CI142" i="1"/>
  <c r="BZ169" i="1"/>
  <c r="CE181" i="1"/>
  <c r="CJ144" i="1"/>
  <c r="CM193" i="1"/>
  <c r="CN193" i="1" s="1"/>
  <c r="CO193" i="1" s="1"/>
  <c r="CP193" i="1" s="1"/>
  <c r="CQ193" i="1" s="1"/>
  <c r="CR193" i="1" s="1"/>
  <c r="CS193" i="1" s="1"/>
  <c r="CT193" i="1" s="1"/>
  <c r="CU193" i="1" s="1"/>
  <c r="CV193" i="1" s="1"/>
  <c r="CW193" i="1" s="1"/>
  <c r="CX193" i="1" s="1"/>
  <c r="CY193" i="1" s="1"/>
  <c r="CZ193" i="1" s="1"/>
  <c r="DA193" i="1" s="1"/>
  <c r="CC198" i="1"/>
  <c r="CC170" i="1"/>
  <c r="BY151" i="1"/>
  <c r="BZ46" i="1"/>
  <c r="CI197" i="1"/>
  <c r="CJ197" i="1" s="1"/>
  <c r="CA262" i="1"/>
  <c r="BZ219" i="1"/>
  <c r="BZ262" i="1"/>
  <c r="CA219" i="1"/>
  <c r="CI170" i="1"/>
  <c r="CI178" i="1" s="1"/>
  <c r="CA170" i="1"/>
  <c r="CJ158" i="1"/>
  <c r="CJ161" i="1" s="1"/>
  <c r="BZ151" i="1"/>
  <c r="CA46" i="1"/>
  <c r="AL151" i="1"/>
  <c r="AM46" i="1"/>
  <c r="T30" i="1"/>
  <c r="T41" i="1"/>
  <c r="CI199" i="1"/>
  <c r="CD216" i="1"/>
  <c r="CD214" i="1" s="1"/>
  <c r="C31" i="1"/>
  <c r="BY170" i="1"/>
  <c r="CG170" i="1"/>
  <c r="BZ161" i="1"/>
  <c r="CL158" i="1"/>
  <c r="AI209" i="1"/>
  <c r="CE216" i="1"/>
  <c r="CE214" i="1" s="1"/>
  <c r="BY197" i="1"/>
  <c r="BZ197" i="1" s="1"/>
  <c r="BZ198" i="1" s="1"/>
  <c r="CH210" i="1"/>
  <c r="Z170" i="1"/>
  <c r="CI194" i="1"/>
  <c r="CJ194" i="1" s="1"/>
  <c r="CH147" i="1"/>
  <c r="CG151" i="1"/>
  <c r="CH46" i="1"/>
  <c r="CA194" i="1"/>
  <c r="CB194" i="1" s="1"/>
  <c r="CB195" i="1" s="1"/>
  <c r="CB199" i="1" s="1"/>
  <c r="CA199" i="1"/>
  <c r="G30" i="1"/>
  <c r="H31" i="1"/>
  <c r="G41" i="1"/>
  <c r="H30" i="1"/>
  <c r="H41" i="1"/>
  <c r="P30" i="1"/>
  <c r="P41" i="1"/>
  <c r="M30" i="1"/>
  <c r="M41" i="1"/>
  <c r="D31" i="1"/>
  <c r="C41" i="1"/>
  <c r="C30" i="1"/>
  <c r="P31" i="1"/>
  <c r="Z210" i="1"/>
  <c r="M31" i="1"/>
  <c r="G31" i="1"/>
  <c r="D30" i="1"/>
  <c r="D41" i="1"/>
  <c r="E31" i="1"/>
  <c r="V30" i="1"/>
  <c r="V41" i="1"/>
  <c r="E41" i="1"/>
  <c r="F31" i="1"/>
  <c r="E30" i="1"/>
  <c r="Z151" i="1"/>
  <c r="AA216" i="1" s="1"/>
  <c r="AA214" i="1" s="1"/>
  <c r="Z46" i="1"/>
  <c r="AK142" i="1"/>
  <c r="AK181" i="1"/>
  <c r="R30" i="1"/>
  <c r="Z194" i="1"/>
  <c r="BZ41" i="1"/>
  <c r="CD31" i="1"/>
  <c r="CI41" i="1"/>
  <c r="AL219" i="1"/>
  <c r="CJ120" i="1"/>
  <c r="CJ121" i="1"/>
  <c r="S31" i="1"/>
  <c r="CA32" i="1"/>
  <c r="CI30" i="1"/>
  <c r="BZ30" i="1"/>
  <c r="CD30" i="1"/>
  <c r="AL161" i="1"/>
  <c r="AL262" i="1"/>
  <c r="CE178" i="1"/>
  <c r="R41" i="1"/>
  <c r="CD41" i="1"/>
  <c r="AI219" i="1"/>
  <c r="CC178" i="1"/>
  <c r="AK219" i="1"/>
  <c r="X30" i="1"/>
  <c r="X41" i="1"/>
  <c r="AL169" i="1"/>
  <c r="AL170" i="1" s="1"/>
  <c r="X31" i="1"/>
  <c r="Z198" i="1"/>
  <c r="Z197" i="1" s="1"/>
  <c r="Z30" i="1"/>
  <c r="AC140" i="1"/>
  <c r="BY194" i="1"/>
  <c r="BZ194" i="1" s="1"/>
  <c r="BZ195" i="1" s="1"/>
  <c r="AC138" i="1"/>
  <c r="AM219" i="1"/>
  <c r="AJ151" i="1"/>
  <c r="AK216" i="1" s="1"/>
  <c r="AK214" i="1" s="1"/>
  <c r="Y179" i="1"/>
  <c r="Z41" i="1"/>
  <c r="AM30" i="1"/>
  <c r="CD170" i="1"/>
  <c r="AK32" i="1"/>
  <c r="L41" i="1"/>
  <c r="L42" i="1" s="1"/>
  <c r="X179" i="1"/>
  <c r="AM142" i="1"/>
  <c r="AM170" i="1"/>
  <c r="AM178" i="1" s="1"/>
  <c r="AM179" i="1" s="1"/>
  <c r="AC150" i="1"/>
  <c r="AC176" i="1"/>
  <c r="BL41" i="1"/>
  <c r="BL42" i="1" s="1"/>
  <c r="AM262" i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CH30" i="1"/>
  <c r="W31" i="1"/>
  <c r="CI32" i="1"/>
  <c r="W41" i="1"/>
  <c r="AJ219" i="1"/>
  <c r="AI181" i="1"/>
  <c r="AJ50" i="1" s="1"/>
  <c r="AM195" i="1"/>
  <c r="AK170" i="1"/>
  <c r="AK178" i="1" s="1"/>
  <c r="CL53" i="1"/>
  <c r="CL54" i="1"/>
  <c r="AJ41" i="1"/>
  <c r="AM239" i="1" s="1"/>
  <c r="AI170" i="1"/>
  <c r="AI178" i="1" s="1"/>
  <c r="AI179" i="1" s="1"/>
  <c r="AM32" i="1"/>
  <c r="CH32" i="1"/>
  <c r="W30" i="1"/>
  <c r="CP130" i="1"/>
  <c r="CQ130" i="1" s="1"/>
  <c r="CR130" i="1" s="1"/>
  <c r="CS130" i="1" s="1"/>
  <c r="AC130" i="1" s="1"/>
  <c r="CH161" i="1"/>
  <c r="CH209" i="1" s="1"/>
  <c r="CL262" i="1"/>
  <c r="CL219" i="1"/>
  <c r="CB161" i="1"/>
  <c r="CB170" i="1" s="1"/>
  <c r="B47" i="1"/>
  <c r="B51" i="1" s="1"/>
  <c r="B54" i="1" s="1"/>
  <c r="B42" i="1"/>
  <c r="B125" i="1"/>
  <c r="B245" i="1"/>
  <c r="B246" i="1" s="1"/>
  <c r="CJ115" i="1"/>
  <c r="CJ116" i="1"/>
  <c r="CJ117" i="1"/>
  <c r="Y30" i="1"/>
  <c r="Y41" i="1"/>
  <c r="Y31" i="1"/>
  <c r="Y72" i="1"/>
  <c r="Z31" i="1"/>
  <c r="K31" i="1"/>
  <c r="L31" i="1"/>
  <c r="K30" i="1"/>
  <c r="K41" i="1"/>
  <c r="I41" i="1"/>
  <c r="I30" i="1"/>
  <c r="J31" i="1"/>
  <c r="I31" i="1"/>
  <c r="O31" i="1"/>
  <c r="N30" i="1"/>
  <c r="N41" i="1"/>
  <c r="N31" i="1"/>
  <c r="R31" i="1"/>
  <c r="Q31" i="1"/>
  <c r="Q41" i="1"/>
  <c r="Q30" i="1"/>
  <c r="CL31" i="1"/>
  <c r="CH31" i="1"/>
  <c r="X194" i="1"/>
  <c r="X199" i="1"/>
  <c r="Y202" i="1" s="1"/>
  <c r="Y203" i="1" s="1"/>
  <c r="S47" i="1"/>
  <c r="S51" i="1" s="1"/>
  <c r="S53" i="1" s="1"/>
  <c r="S125" i="1"/>
  <c r="S42" i="1"/>
  <c r="U31" i="1"/>
  <c r="V31" i="1"/>
  <c r="U30" i="1"/>
  <c r="U41" i="1"/>
  <c r="CF30" i="1"/>
  <c r="CF41" i="1"/>
  <c r="CG32" i="1"/>
  <c r="CF31" i="1"/>
  <c r="CH78" i="1"/>
  <c r="CG76" i="1"/>
  <c r="CE32" i="1"/>
  <c r="CE41" i="1"/>
  <c r="AA73" i="1" s="1"/>
  <c r="Z72" i="1"/>
  <c r="BY32" i="1"/>
  <c r="BZ32" i="1"/>
  <c r="BY30" i="1"/>
  <c r="BY41" i="1"/>
  <c r="CC31" i="1"/>
  <c r="AK194" i="1"/>
  <c r="AL194" i="1" s="1"/>
  <c r="AL195" i="1" s="1"/>
  <c r="AL199" i="1" s="1"/>
  <c r="AK199" i="1"/>
  <c r="CB31" i="1"/>
  <c r="BX41" i="1"/>
  <c r="BX30" i="1"/>
  <c r="Y211" i="1"/>
  <c r="AM263" i="1"/>
  <c r="CI105" i="1"/>
  <c r="CI112" i="1"/>
  <c r="CI120" i="1"/>
  <c r="CI121" i="1"/>
  <c r="CG31" i="1"/>
  <c r="CD32" i="1"/>
  <c r="CC30" i="1"/>
  <c r="CC41" i="1"/>
  <c r="CE31" i="1"/>
  <c r="CE30" i="1"/>
  <c r="CI31" i="1"/>
  <c r="CF32" i="1"/>
  <c r="AM47" i="1"/>
  <c r="AM51" i="1" s="1"/>
  <c r="AM245" i="1"/>
  <c r="AM246" i="1" s="1"/>
  <c r="AM42" i="1"/>
  <c r="CB151" i="1"/>
  <c r="CC46" i="1"/>
  <c r="CL157" i="1"/>
  <c r="CG195" i="1"/>
  <c r="CG199" i="1" s="1"/>
  <c r="CJ30" i="1"/>
  <c r="CJ32" i="1"/>
  <c r="CJ31" i="1"/>
  <c r="CK116" i="1"/>
  <c r="CK117" i="1"/>
  <c r="CK115" i="1"/>
  <c r="AD5" i="1"/>
  <c r="DA15" i="1"/>
  <c r="DA7" i="1" s="1"/>
  <c r="AE7" i="1" s="1"/>
  <c r="AE15" i="1" s="1"/>
  <c r="CY5" i="1"/>
  <c r="CM40" i="1"/>
  <c r="CN40" i="1" s="1"/>
  <c r="CO40" i="1" s="1"/>
  <c r="AL216" i="1"/>
  <c r="AL214" i="1" s="1"/>
  <c r="AM216" i="1"/>
  <c r="AM214" i="1" s="1"/>
  <c r="CG178" i="1"/>
  <c r="CG179" i="1" s="1"/>
  <c r="CM196" i="1"/>
  <c r="CJ245" i="1"/>
  <c r="CJ246" i="1" s="1"/>
  <c r="CJ42" i="1"/>
  <c r="CJ47" i="1"/>
  <c r="CJ51" i="1" s="1"/>
  <c r="CJ54" i="1" s="1"/>
  <c r="CJ55" i="1" s="1"/>
  <c r="CX135" i="1"/>
  <c r="CY135" i="1" s="1"/>
  <c r="CZ135" i="1" s="1"/>
  <c r="DA135" i="1" s="1"/>
  <c r="AE135" i="1" s="1"/>
  <c r="AD135" i="1"/>
  <c r="CY58" i="1"/>
  <c r="CZ58" i="1" s="1"/>
  <c r="DA58" i="1" s="1"/>
  <c r="CK262" i="1"/>
  <c r="CK219" i="1"/>
  <c r="AD36" i="1"/>
  <c r="CX36" i="1"/>
  <c r="AE36" i="1" s="1"/>
  <c r="AD148" i="1"/>
  <c r="CX148" i="1"/>
  <c r="CY148" i="1" s="1"/>
  <c r="CZ148" i="1" s="1"/>
  <c r="DA148" i="1" s="1"/>
  <c r="AE148" i="1" s="1"/>
  <c r="CY59" i="1"/>
  <c r="CZ59" i="1" s="1"/>
  <c r="DA59" i="1" s="1"/>
  <c r="AD131" i="1"/>
  <c r="CX131" i="1"/>
  <c r="CY131" i="1" s="1"/>
  <c r="CZ131" i="1" s="1"/>
  <c r="DA131" i="1" s="1"/>
  <c r="AE131" i="1" s="1"/>
  <c r="CX138" i="1"/>
  <c r="CY138" i="1" s="1"/>
  <c r="CZ138" i="1" s="1"/>
  <c r="DA138" i="1" s="1"/>
  <c r="AE138" i="1" s="1"/>
  <c r="AD138" i="1"/>
  <c r="CX139" i="1"/>
  <c r="CY139" i="1" s="1"/>
  <c r="CZ139" i="1" s="1"/>
  <c r="DA139" i="1" s="1"/>
  <c r="AE139" i="1" s="1"/>
  <c r="AD139" i="1"/>
  <c r="CB47" i="1"/>
  <c r="CB42" i="1"/>
  <c r="CB263" i="1"/>
  <c r="CB264" i="1" s="1"/>
  <c r="CB245" i="1"/>
  <c r="CB246" i="1" s="1"/>
  <c r="AC90" i="1"/>
  <c r="CT90" i="1"/>
  <c r="CU90" i="1" s="1"/>
  <c r="CV90" i="1" s="1"/>
  <c r="CW90" i="1" s="1"/>
  <c r="AD177" i="1"/>
  <c r="CX177" i="1"/>
  <c r="CY177" i="1" s="1"/>
  <c r="CZ177" i="1" s="1"/>
  <c r="DA177" i="1" s="1"/>
  <c r="AE177" i="1" s="1"/>
  <c r="BZ47" i="1"/>
  <c r="BZ42" i="1"/>
  <c r="CA44" i="1"/>
  <c r="BZ245" i="1"/>
  <c r="BZ246" i="1" s="1"/>
  <c r="CX140" i="1"/>
  <c r="CY140" i="1" s="1"/>
  <c r="CZ140" i="1" s="1"/>
  <c r="DA140" i="1" s="1"/>
  <c r="AE140" i="1" s="1"/>
  <c r="AD140" i="1"/>
  <c r="T42" i="1"/>
  <c r="T263" i="1"/>
  <c r="T43" i="1"/>
  <c r="T125" i="1"/>
  <c r="T245" i="1"/>
  <c r="T246" i="1" s="1"/>
  <c r="T47" i="1"/>
  <c r="T51" i="1" s="1"/>
  <c r="CX150" i="1"/>
  <c r="CY150" i="1" s="1"/>
  <c r="CZ150" i="1" s="1"/>
  <c r="DA150" i="1" s="1"/>
  <c r="AE150" i="1" s="1"/>
  <c r="AD150" i="1"/>
  <c r="CG47" i="1"/>
  <c r="CG51" i="1" s="1"/>
  <c r="CG42" i="1"/>
  <c r="CH44" i="1"/>
  <c r="CG245" i="1"/>
  <c r="CG246" i="1" s="1"/>
  <c r="F245" i="1"/>
  <c r="F246" i="1" s="1"/>
  <c r="F125" i="1"/>
  <c r="F47" i="1"/>
  <c r="F51" i="1" s="1"/>
  <c r="F53" i="1" s="1"/>
  <c r="F42" i="1"/>
  <c r="AD146" i="1"/>
  <c r="CX146" i="1"/>
  <c r="CY146" i="1" s="1"/>
  <c r="CZ146" i="1" s="1"/>
  <c r="DA146" i="1" s="1"/>
  <c r="AE146" i="1" s="1"/>
  <c r="CH42" i="1"/>
  <c r="CH47" i="1"/>
  <c r="CH51" i="1" s="1"/>
  <c r="CH245" i="1"/>
  <c r="CH246" i="1" s="1"/>
  <c r="CH263" i="1"/>
  <c r="CH264" i="1" s="1"/>
  <c r="CM137" i="1"/>
  <c r="CG122" i="1"/>
  <c r="CH50" i="1"/>
  <c r="CM153" i="1"/>
  <c r="CM215" i="1" s="1"/>
  <c r="J47" i="1"/>
  <c r="J51" i="1" s="1"/>
  <c r="J42" i="1"/>
  <c r="J245" i="1"/>
  <c r="J246" i="1" s="1"/>
  <c r="J125" i="1"/>
  <c r="CX176" i="1"/>
  <c r="CY176" i="1" s="1"/>
  <c r="CZ176" i="1" s="1"/>
  <c r="DA176" i="1" s="1"/>
  <c r="AE176" i="1" s="1"/>
  <c r="AD176" i="1"/>
  <c r="CA42" i="1"/>
  <c r="CA47" i="1"/>
  <c r="CA51" i="1" s="1"/>
  <c r="CA245" i="1"/>
  <c r="CA246" i="1" s="1"/>
  <c r="CB44" i="1"/>
  <c r="AK47" i="1"/>
  <c r="AK51" i="1" s="1"/>
  <c r="AK245" i="1"/>
  <c r="AK246" i="1" s="1"/>
  <c r="AL44" i="1"/>
  <c r="AK42" i="1"/>
  <c r="CN76" i="1"/>
  <c r="CM78" i="1"/>
  <c r="AD58" i="1"/>
  <c r="O125" i="1"/>
  <c r="O245" i="1"/>
  <c r="O246" i="1" s="1"/>
  <c r="O42" i="1"/>
  <c r="O47" i="1"/>
  <c r="O51" i="1" s="1"/>
  <c r="CM192" i="1"/>
  <c r="AL42" i="1"/>
  <c r="AL245" i="1"/>
  <c r="AL246" i="1" s="1"/>
  <c r="AL47" i="1"/>
  <c r="AL51" i="1" s="1"/>
  <c r="AM44" i="1"/>
  <c r="AL263" i="1"/>
  <c r="AD59" i="1"/>
  <c r="CA1" i="1"/>
  <c r="CB1" i="1" s="1"/>
  <c r="CH151" i="1" l="1"/>
  <c r="CI216" i="1" s="1"/>
  <c r="CI214" i="1" s="1"/>
  <c r="CI46" i="1"/>
  <c r="CD245" i="1"/>
  <c r="CD246" i="1" s="1"/>
  <c r="CH43" i="1"/>
  <c r="CD42" i="1"/>
  <c r="CD47" i="1"/>
  <c r="CD51" i="1" s="1"/>
  <c r="CD43" i="1"/>
  <c r="CJ125" i="1"/>
  <c r="CG216" i="1"/>
  <c r="CG214" i="1" s="1"/>
  <c r="CG259" i="1"/>
  <c r="CG257" i="1"/>
  <c r="CI179" i="1"/>
  <c r="CJ195" i="1"/>
  <c r="BZ216" i="1"/>
  <c r="BZ214" i="1" s="1"/>
  <c r="CA216" i="1"/>
  <c r="CA214" i="1" s="1"/>
  <c r="CK194" i="1"/>
  <c r="CL194" i="1" s="1"/>
  <c r="CL195" i="1" s="1"/>
  <c r="D263" i="1"/>
  <c r="D245" i="1"/>
  <c r="D246" i="1" s="1"/>
  <c r="D42" i="1"/>
  <c r="D125" i="1"/>
  <c r="D47" i="1"/>
  <c r="D51" i="1" s="1"/>
  <c r="E43" i="1"/>
  <c r="CJ239" i="1"/>
  <c r="F263" i="1"/>
  <c r="G43" i="1"/>
  <c r="CI44" i="1"/>
  <c r="CI263" i="1"/>
  <c r="CI264" i="1" s="1"/>
  <c r="CI245" i="1"/>
  <c r="CI246" i="1" s="1"/>
  <c r="CI42" i="1"/>
  <c r="CJ44" i="1"/>
  <c r="CI47" i="1"/>
  <c r="CI51" i="1" s="1"/>
  <c r="S263" i="1"/>
  <c r="B53" i="1"/>
  <c r="S54" i="1"/>
  <c r="AA226" i="1"/>
  <c r="AA223" i="1"/>
  <c r="AA224" i="1" s="1"/>
  <c r="AA43" i="1"/>
  <c r="AA263" i="1"/>
  <c r="AA264" i="1" s="1"/>
  <c r="BZ170" i="1"/>
  <c r="CC199" i="1"/>
  <c r="CC197" i="1"/>
  <c r="CD197" i="1" s="1"/>
  <c r="CD198" i="1" s="1"/>
  <c r="CD199" i="1" s="1"/>
  <c r="CK197" i="1"/>
  <c r="CJ198" i="1"/>
  <c r="CA178" i="1"/>
  <c r="CA179" i="1" s="1"/>
  <c r="CJ170" i="1"/>
  <c r="S43" i="1"/>
  <c r="R47" i="1"/>
  <c r="R51" i="1" s="1"/>
  <c r="R245" i="1"/>
  <c r="R246" i="1" s="1"/>
  <c r="R125" i="1"/>
  <c r="R42" i="1"/>
  <c r="Z178" i="1"/>
  <c r="Z179" i="1" s="1"/>
  <c r="E42" i="1"/>
  <c r="F43" i="1"/>
  <c r="E245" i="1"/>
  <c r="E246" i="1" s="1"/>
  <c r="E125" i="1"/>
  <c r="E47" i="1"/>
  <c r="E51" i="1" s="1"/>
  <c r="AJ216" i="1"/>
  <c r="AJ214" i="1" s="1"/>
  <c r="P43" i="1"/>
  <c r="C42" i="1"/>
  <c r="D43" i="1"/>
  <c r="C263" i="1"/>
  <c r="C47" i="1"/>
  <c r="C51" i="1" s="1"/>
  <c r="C125" i="1"/>
  <c r="C245" i="1"/>
  <c r="C246" i="1" s="1"/>
  <c r="M125" i="1"/>
  <c r="M42" i="1"/>
  <c r="M245" i="1"/>
  <c r="M246" i="1" s="1"/>
  <c r="M47" i="1"/>
  <c r="M51" i="1" s="1"/>
  <c r="P245" i="1"/>
  <c r="P246" i="1" s="1"/>
  <c r="P42" i="1"/>
  <c r="P263" i="1"/>
  <c r="P125" i="1"/>
  <c r="P47" i="1"/>
  <c r="P51" i="1" s="1"/>
  <c r="H47" i="1"/>
  <c r="H51" i="1" s="1"/>
  <c r="H245" i="1"/>
  <c r="H246" i="1" s="1"/>
  <c r="H125" i="1"/>
  <c r="H42" i="1"/>
  <c r="H263" i="1"/>
  <c r="H43" i="1"/>
  <c r="G263" i="1"/>
  <c r="G245" i="1"/>
  <c r="G246" i="1" s="1"/>
  <c r="G42" i="1"/>
  <c r="G47" i="1"/>
  <c r="G51" i="1" s="1"/>
  <c r="G125" i="1"/>
  <c r="CC179" i="1"/>
  <c r="X43" i="1"/>
  <c r="BY178" i="1"/>
  <c r="BY179" i="1" s="1"/>
  <c r="AI211" i="1"/>
  <c r="CH211" i="1"/>
  <c r="C43" i="1"/>
  <c r="Z211" i="1"/>
  <c r="Z257" i="1"/>
  <c r="Z216" i="1"/>
  <c r="Z214" i="1" s="1"/>
  <c r="Z259" i="1"/>
  <c r="V42" i="1"/>
  <c r="V125" i="1"/>
  <c r="V47" i="1"/>
  <c r="V51" i="1" s="1"/>
  <c r="V245" i="1"/>
  <c r="V246" i="1" s="1"/>
  <c r="CJ263" i="1"/>
  <c r="CJ264" i="1" s="1"/>
  <c r="AK179" i="1"/>
  <c r="CE179" i="1"/>
  <c r="AM264" i="1"/>
  <c r="BZ199" i="1"/>
  <c r="CA263" i="1"/>
  <c r="CA264" i="1" s="1"/>
  <c r="M263" i="1"/>
  <c r="AL264" i="1"/>
  <c r="Z199" i="1"/>
  <c r="AA202" i="1" s="1"/>
  <c r="AA203" i="1" s="1"/>
  <c r="X42" i="1"/>
  <c r="X125" i="1"/>
  <c r="X47" i="1"/>
  <c r="X245" i="1"/>
  <c r="X246" i="1" s="1"/>
  <c r="Z245" i="1"/>
  <c r="Z246" i="1" s="1"/>
  <c r="L47" i="1"/>
  <c r="L51" i="1" s="1"/>
  <c r="L125" i="1"/>
  <c r="Z47" i="1"/>
  <c r="L245" i="1"/>
  <c r="L246" i="1" s="1"/>
  <c r="M43" i="1"/>
  <c r="Z42" i="1"/>
  <c r="Z125" i="1"/>
  <c r="CD202" i="1"/>
  <c r="W125" i="1"/>
  <c r="W263" i="1"/>
  <c r="BL47" i="1"/>
  <c r="BL51" i="1" s="1"/>
  <c r="BL54" i="1" s="1"/>
  <c r="W42" i="1"/>
  <c r="AJ47" i="1"/>
  <c r="AJ51" i="1" s="1"/>
  <c r="AJ54" i="1" s="1"/>
  <c r="W43" i="1"/>
  <c r="CH170" i="1"/>
  <c r="AJ245" i="1"/>
  <c r="AJ246" i="1" s="1"/>
  <c r="BL245" i="1"/>
  <c r="BL246" i="1" s="1"/>
  <c r="AJ42" i="1"/>
  <c r="CT130" i="1"/>
  <c r="CU130" i="1" s="1"/>
  <c r="CV130" i="1" s="1"/>
  <c r="CW130" i="1" s="1"/>
  <c r="CX130" i="1" s="1"/>
  <c r="CY130" i="1" s="1"/>
  <c r="CZ130" i="1" s="1"/>
  <c r="DA130" i="1" s="1"/>
  <c r="AE130" i="1" s="1"/>
  <c r="CL61" i="1"/>
  <c r="CL55" i="1"/>
  <c r="CL258" i="1" s="1"/>
  <c r="CL247" i="1"/>
  <c r="W47" i="1"/>
  <c r="W51" i="1" s="1"/>
  <c r="W53" i="1" s="1"/>
  <c r="AM125" i="1"/>
  <c r="X263" i="1"/>
  <c r="AM199" i="1"/>
  <c r="AM194" i="1"/>
  <c r="AN194" i="1" s="1"/>
  <c r="AN195" i="1" s="1"/>
  <c r="AN199" i="1" s="1"/>
  <c r="W245" i="1"/>
  <c r="W246" i="1" s="1"/>
  <c r="AK44" i="1"/>
  <c r="CG194" i="1"/>
  <c r="CH194" i="1" s="1"/>
  <c r="CH195" i="1" s="1"/>
  <c r="CH199" i="1" s="1"/>
  <c r="CH202" i="1" s="1"/>
  <c r="Y245" i="1"/>
  <c r="Y246" i="1" s="1"/>
  <c r="Y47" i="1"/>
  <c r="Y51" i="1" s="1"/>
  <c r="Y43" i="1"/>
  <c r="Y73" i="1"/>
  <c r="Z263" i="1"/>
  <c r="Z264" i="1" s="1"/>
  <c r="Z43" i="1"/>
  <c r="Y263" i="1"/>
  <c r="Y264" i="1" s="1"/>
  <c r="Y125" i="1"/>
  <c r="Y42" i="1"/>
  <c r="K245" i="1"/>
  <c r="K246" i="1" s="1"/>
  <c r="K47" i="1"/>
  <c r="K51" i="1" s="1"/>
  <c r="K54" i="1" s="1"/>
  <c r="L43" i="1"/>
  <c r="K43" i="1"/>
  <c r="K42" i="1"/>
  <c r="K125" i="1"/>
  <c r="L263" i="1"/>
  <c r="K263" i="1"/>
  <c r="J263" i="1"/>
  <c r="I125" i="1"/>
  <c r="I43" i="1"/>
  <c r="J43" i="1"/>
  <c r="I263" i="1"/>
  <c r="I245" i="1"/>
  <c r="I246" i="1" s="1"/>
  <c r="I47" i="1"/>
  <c r="I51" i="1" s="1"/>
  <c r="I53" i="1" s="1"/>
  <c r="I42" i="1"/>
  <c r="N125" i="1"/>
  <c r="N43" i="1"/>
  <c r="N47" i="1"/>
  <c r="N51" i="1" s="1"/>
  <c r="N54" i="1" s="1"/>
  <c r="O263" i="1"/>
  <c r="N263" i="1"/>
  <c r="N245" i="1"/>
  <c r="N246" i="1" s="1"/>
  <c r="O43" i="1"/>
  <c r="N42" i="1"/>
  <c r="Q263" i="1"/>
  <c r="R43" i="1"/>
  <c r="Q245" i="1"/>
  <c r="Q246" i="1" s="1"/>
  <c r="R263" i="1"/>
  <c r="Q43" i="1"/>
  <c r="Q47" i="1"/>
  <c r="Q51" i="1" s="1"/>
  <c r="Q54" i="1" s="1"/>
  <c r="Q125" i="1"/>
  <c r="Q42" i="1"/>
  <c r="U245" i="1"/>
  <c r="U246" i="1" s="1"/>
  <c r="U263" i="1"/>
  <c r="V43" i="1"/>
  <c r="U42" i="1"/>
  <c r="U125" i="1"/>
  <c r="V263" i="1"/>
  <c r="U47" i="1"/>
  <c r="U51" i="1" s="1"/>
  <c r="U54" i="1" s="1"/>
  <c r="U43" i="1"/>
  <c r="CI239" i="1"/>
  <c r="CF245" i="1"/>
  <c r="CF246" i="1" s="1"/>
  <c r="CF47" i="1"/>
  <c r="CF51" i="1" s="1"/>
  <c r="CF263" i="1"/>
  <c r="CF264" i="1" s="1"/>
  <c r="CF42" i="1"/>
  <c r="CG44" i="1"/>
  <c r="CI125" i="1"/>
  <c r="CJ43" i="1"/>
  <c r="CG263" i="1"/>
  <c r="CG264" i="1" s="1"/>
  <c r="CF43" i="1"/>
  <c r="CH120" i="1"/>
  <c r="CH121" i="1"/>
  <c r="CH112" i="1"/>
  <c r="CH115" i="1" s="1"/>
  <c r="CF76" i="1"/>
  <c r="CF78" i="1" s="1"/>
  <c r="CG78" i="1"/>
  <c r="CG121" i="1" s="1"/>
  <c r="CG124" i="1" s="1"/>
  <c r="CE263" i="1"/>
  <c r="CE264" i="1" s="1"/>
  <c r="CE245" i="1"/>
  <c r="CE246" i="1" s="1"/>
  <c r="CG239" i="1"/>
  <c r="CG125" i="1"/>
  <c r="CI43" i="1"/>
  <c r="CE42" i="1"/>
  <c r="CF44" i="1"/>
  <c r="CE47" i="1"/>
  <c r="CE51" i="1" s="1"/>
  <c r="CH239" i="1"/>
  <c r="CE43" i="1"/>
  <c r="CE44" i="1"/>
  <c r="CH125" i="1"/>
  <c r="Z73" i="1"/>
  <c r="CC43" i="1"/>
  <c r="CB125" i="1"/>
  <c r="BY47" i="1"/>
  <c r="BY51" i="1" s="1"/>
  <c r="BY42" i="1"/>
  <c r="BZ44" i="1"/>
  <c r="BZ263" i="1"/>
  <c r="BZ264" i="1" s="1"/>
  <c r="BY245" i="1"/>
  <c r="BY246" i="1" s="1"/>
  <c r="BY263" i="1"/>
  <c r="CB43" i="1"/>
  <c r="CA125" i="1"/>
  <c r="CI109" i="1"/>
  <c r="CI107" i="1"/>
  <c r="CI108" i="1"/>
  <c r="CI116" i="1"/>
  <c r="CI117" i="1"/>
  <c r="CI115" i="1"/>
  <c r="CE239" i="1"/>
  <c r="CC125" i="1"/>
  <c r="CC44" i="1"/>
  <c r="CE125" i="1"/>
  <c r="CD263" i="1"/>
  <c r="CD264" i="1" s="1"/>
  <c r="AM53" i="1"/>
  <c r="AM54" i="1"/>
  <c r="AM247" i="1" s="1"/>
  <c r="CL197" i="1"/>
  <c r="CM197" i="1" s="1"/>
  <c r="CK198" i="1"/>
  <c r="CB216" i="1"/>
  <c r="CB214" i="1" s="1"/>
  <c r="CC216" i="1"/>
  <c r="CC214" i="1" s="1"/>
  <c r="BX245" i="1"/>
  <c r="BX246" i="1" s="1"/>
  <c r="BX47" i="1"/>
  <c r="BX51" i="1" s="1"/>
  <c r="BX42" i="1"/>
  <c r="BY44" i="1"/>
  <c r="CC239" i="1"/>
  <c r="CD239" i="1"/>
  <c r="CD125" i="1"/>
  <c r="CC47" i="1"/>
  <c r="CC51" i="1" s="1"/>
  <c r="CC54" i="1" s="1"/>
  <c r="CD44" i="1"/>
  <c r="CC245" i="1"/>
  <c r="CC246" i="1" s="1"/>
  <c r="CC42" i="1"/>
  <c r="CF125" i="1"/>
  <c r="CC263" i="1"/>
  <c r="CC264" i="1" s="1"/>
  <c r="CF239" i="1"/>
  <c r="CG43" i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CY9" i="1"/>
  <c r="CY21" i="1" s="1"/>
  <c r="AD13" i="1"/>
  <c r="AD9" i="1"/>
  <c r="CZ5" i="1"/>
  <c r="CZ9" i="1" s="1"/>
  <c r="CZ21" i="1" s="1"/>
  <c r="DA5" i="1"/>
  <c r="DA9" i="1" s="1"/>
  <c r="DA21" i="1" s="1"/>
  <c r="F54" i="1"/>
  <c r="F61" i="1" s="1"/>
  <c r="T54" i="1"/>
  <c r="T56" i="1" s="1"/>
  <c r="T53" i="1"/>
  <c r="J53" i="1"/>
  <c r="J54" i="1"/>
  <c r="J61" i="1" s="1"/>
  <c r="O54" i="1"/>
  <c r="O53" i="1"/>
  <c r="R54" i="1"/>
  <c r="S56" i="1" s="1"/>
  <c r="R53" i="1"/>
  <c r="AD90" i="1"/>
  <c r="CX90" i="1"/>
  <c r="CY90" i="1" s="1"/>
  <c r="CP40" i="1"/>
  <c r="CM141" i="1"/>
  <c r="CN137" i="1"/>
  <c r="CH54" i="1"/>
  <c r="CL56" i="1" s="1"/>
  <c r="CH53" i="1"/>
  <c r="CD54" i="1"/>
  <c r="CD53" i="1"/>
  <c r="AE59" i="1"/>
  <c r="CJ53" i="1"/>
  <c r="CN192" i="1"/>
  <c r="CO76" i="1"/>
  <c r="CN78" i="1"/>
  <c r="AK53" i="1"/>
  <c r="AK54" i="1"/>
  <c r="CA54" i="1"/>
  <c r="CA53" i="1"/>
  <c r="CN153" i="1"/>
  <c r="CO153" i="1" s="1"/>
  <c r="CI54" i="1"/>
  <c r="CI53" i="1"/>
  <c r="CG53" i="1"/>
  <c r="CG54" i="1"/>
  <c r="BZ51" i="1"/>
  <c r="D53" i="1"/>
  <c r="D54" i="1"/>
  <c r="CH216" i="1"/>
  <c r="CH214" i="1" s="1"/>
  <c r="AE58" i="1"/>
  <c r="AL54" i="1"/>
  <c r="AL53" i="1"/>
  <c r="CK195" i="1"/>
  <c r="CB51" i="1"/>
  <c r="CN196" i="1"/>
  <c r="B55" i="1"/>
  <c r="S55" i="1"/>
  <c r="S258" i="1" s="1"/>
  <c r="CC1" i="1"/>
  <c r="S61" i="1"/>
  <c r="S247" i="1"/>
  <c r="B247" i="1"/>
  <c r="B61" i="1"/>
  <c r="E55" i="2"/>
  <c r="S93" i="2"/>
  <c r="F79" i="2"/>
  <c r="F55" i="2"/>
  <c r="R62" i="2"/>
  <c r="S73" i="2"/>
  <c r="F58" i="2"/>
  <c r="X53" i="2"/>
  <c r="U110" i="2"/>
  <c r="K113" i="2"/>
  <c r="E90" i="2"/>
  <c r="C81" i="2"/>
  <c r="N68" i="2"/>
  <c r="J74" i="2"/>
  <c r="E98" i="2"/>
  <c r="J70" i="2"/>
  <c r="R78" i="2"/>
  <c r="R95" i="2"/>
  <c r="D98" i="2"/>
  <c r="H80" i="2"/>
  <c r="V86" i="2"/>
  <c r="W44" i="2"/>
  <c r="O112" i="2"/>
  <c r="I59" i="2"/>
  <c r="W69" i="2"/>
  <c r="H107" i="2"/>
  <c r="M48" i="2"/>
  <c r="J75" i="2"/>
  <c r="H70" i="2"/>
  <c r="D43" i="2"/>
  <c r="K46" i="2"/>
  <c r="U93" i="2"/>
  <c r="S106" i="2"/>
  <c r="L72" i="2"/>
  <c r="R42" i="2"/>
  <c r="Q82" i="2"/>
  <c r="K109" i="2"/>
  <c r="D40" i="2"/>
  <c r="R107" i="2"/>
  <c r="L87" i="2"/>
  <c r="L63" i="2"/>
  <c r="L51" i="2"/>
  <c r="L55" i="2"/>
  <c r="W66" i="2"/>
  <c r="J63" i="2"/>
  <c r="G85" i="2"/>
  <c r="H69" i="2"/>
  <c r="I58" i="2"/>
  <c r="R91" i="2"/>
  <c r="F109" i="2"/>
  <c r="U113" i="2"/>
  <c r="P86" i="2"/>
  <c r="I54" i="2"/>
  <c r="G92" i="2"/>
  <c r="S70" i="2"/>
  <c r="N106" i="2"/>
  <c r="G52" i="2"/>
  <c r="M40" i="2"/>
  <c r="H43" i="2"/>
  <c r="P76" i="2"/>
  <c r="N48" i="2"/>
  <c r="O106" i="2"/>
  <c r="I51" i="2"/>
  <c r="D56" i="2"/>
  <c r="G106" i="2"/>
  <c r="J107" i="2"/>
  <c r="Q52" i="2"/>
  <c r="I82" i="2"/>
  <c r="F86" i="2"/>
  <c r="J99" i="2"/>
  <c r="O88" i="2"/>
  <c r="Q42" i="2"/>
  <c r="U85" i="2"/>
  <c r="T72" i="2"/>
  <c r="S53" i="2"/>
  <c r="E58" i="2"/>
  <c r="E67" i="2"/>
  <c r="H57" i="2"/>
  <c r="X48" i="2"/>
  <c r="E86" i="2"/>
  <c r="I53" i="2"/>
  <c r="K72" i="2"/>
  <c r="I88" i="2"/>
  <c r="X82" i="2"/>
  <c r="H106" i="2"/>
  <c r="D42" i="2"/>
  <c r="N57" i="2"/>
  <c r="U73" i="2"/>
  <c r="R49" i="2"/>
  <c r="V62" i="2"/>
  <c r="F90" i="2"/>
  <c r="E59" i="2"/>
  <c r="H44" i="2"/>
  <c r="V111" i="2"/>
  <c r="M74" i="2"/>
  <c r="O90" i="2"/>
  <c r="D85" i="2"/>
  <c r="P109" i="2"/>
  <c r="Q97" i="2"/>
  <c r="H45" i="2"/>
  <c r="G51" i="2"/>
  <c r="Q62" i="2"/>
  <c r="X91" i="2"/>
  <c r="G50" i="2"/>
  <c r="D96" i="2"/>
  <c r="K78" i="2"/>
  <c r="S56" i="2"/>
  <c r="W63" i="2"/>
  <c r="J50" i="2"/>
  <c r="L82" i="2"/>
  <c r="K110" i="2"/>
  <c r="S107" i="2"/>
  <c r="U40" i="2"/>
  <c r="P42" i="2"/>
  <c r="N74" i="2"/>
  <c r="W97" i="2"/>
  <c r="K67" i="2"/>
  <c r="U111" i="2"/>
  <c r="W108" i="2"/>
  <c r="J59" i="2"/>
  <c r="K74" i="2"/>
  <c r="G82" i="2"/>
  <c r="X70" i="2"/>
  <c r="C85" i="2"/>
  <c r="Q70" i="2"/>
  <c r="M71" i="2"/>
  <c r="C82" i="2"/>
  <c r="T93" i="2"/>
  <c r="J106" i="2"/>
  <c r="U67" i="2"/>
  <c r="E108" i="2"/>
  <c r="X105" i="2"/>
  <c r="Q87" i="2"/>
  <c r="F71" i="2"/>
  <c r="L58" i="2"/>
  <c r="U45" i="2"/>
  <c r="F59" i="2"/>
  <c r="T113" i="2"/>
  <c r="Q49" i="2"/>
  <c r="H56" i="2"/>
  <c r="F81" i="2"/>
  <c r="O109" i="2"/>
  <c r="C49" i="2"/>
  <c r="U71" i="2"/>
  <c r="S71" i="2"/>
  <c r="S52" i="2"/>
  <c r="T112" i="2"/>
  <c r="U106" i="2"/>
  <c r="J110" i="2"/>
  <c r="X99" i="2"/>
  <c r="D105" i="2"/>
  <c r="F47" i="2"/>
  <c r="I105" i="2"/>
  <c r="L70" i="2"/>
  <c r="L94" i="2"/>
  <c r="R77" i="2"/>
  <c r="W58" i="2"/>
  <c r="S54" i="2"/>
  <c r="N80" i="2"/>
  <c r="J83" i="2"/>
  <c r="D52" i="2"/>
  <c r="I90" i="2"/>
  <c r="P104" i="2"/>
  <c r="Q106" i="2"/>
  <c r="M91" i="2"/>
  <c r="K92" i="2"/>
  <c r="D48" i="2"/>
  <c r="M92" i="2"/>
  <c r="N70" i="2"/>
  <c r="K64" i="2"/>
  <c r="O77" i="2"/>
  <c r="I57" i="2"/>
  <c r="G71" i="2"/>
  <c r="N64" i="2"/>
  <c r="M55" i="2"/>
  <c r="C110" i="2"/>
  <c r="O67" i="2"/>
  <c r="S94" i="2"/>
  <c r="H87" i="2"/>
  <c r="I56" i="2"/>
  <c r="P48" i="2"/>
  <c r="N67" i="2"/>
  <c r="C95" i="2"/>
  <c r="S51" i="2"/>
  <c r="X47" i="2"/>
  <c r="J73" i="2"/>
  <c r="D74" i="2"/>
  <c r="W109" i="2"/>
  <c r="T57" i="2"/>
  <c r="H52" i="2"/>
  <c r="F80" i="2"/>
  <c r="H64" i="2"/>
  <c r="T109" i="2"/>
  <c r="Q65" i="2"/>
  <c r="Q48" i="2"/>
  <c r="U107" i="2"/>
  <c r="H75" i="2"/>
  <c r="V49" i="2"/>
  <c r="S58" i="2"/>
  <c r="N75" i="2"/>
  <c r="W88" i="2"/>
  <c r="O66" i="2"/>
  <c r="C60" i="2"/>
  <c r="P93" i="2"/>
  <c r="S57" i="2"/>
  <c r="L74" i="2"/>
  <c r="Q73" i="2"/>
  <c r="U59" i="2"/>
  <c r="T46" i="2"/>
  <c r="S91" i="2"/>
  <c r="X54" i="2"/>
  <c r="R50" i="2"/>
  <c r="W42" i="2"/>
  <c r="G40" i="2"/>
  <c r="S95" i="2"/>
  <c r="X61" i="2"/>
  <c r="U109" i="2"/>
  <c r="M88" i="2"/>
  <c r="Q98" i="2"/>
  <c r="X75" i="2"/>
  <c r="G58" i="2"/>
  <c r="S49" i="2"/>
  <c r="D107" i="2"/>
  <c r="L54" i="2"/>
  <c r="F68" i="2"/>
  <c r="J43" i="2"/>
  <c r="X84" i="2"/>
  <c r="I73" i="2"/>
  <c r="D83" i="2"/>
  <c r="M77" i="2"/>
  <c r="K42" i="2"/>
  <c r="K53" i="2"/>
  <c r="R84" i="2"/>
  <c r="G83" i="2"/>
  <c r="J66" i="2"/>
  <c r="V84" i="2"/>
  <c r="C66" i="2"/>
  <c r="N77" i="2"/>
  <c r="U72" i="2"/>
  <c r="F40" i="2"/>
  <c r="I45" i="2"/>
  <c r="V85" i="2"/>
  <c r="H71" i="2"/>
  <c r="J57" i="2"/>
  <c r="M44" i="2"/>
  <c r="D90" i="2"/>
  <c r="V94" i="2"/>
  <c r="H76" i="2"/>
  <c r="I77" i="2"/>
  <c r="J64" i="2"/>
  <c r="I93" i="2"/>
  <c r="H81" i="2"/>
  <c r="U42" i="2"/>
  <c r="C41" i="2"/>
  <c r="L52" i="2"/>
  <c r="X113" i="2"/>
  <c r="W82" i="2"/>
  <c r="S109" i="2"/>
  <c r="G95" i="2"/>
  <c r="K86" i="2"/>
  <c r="K97" i="2"/>
  <c r="F84" i="2"/>
  <c r="P60" i="2"/>
  <c r="N71" i="2"/>
  <c r="L69" i="2"/>
  <c r="V67" i="2"/>
  <c r="Q96" i="2"/>
  <c r="S113" i="2"/>
  <c r="D68" i="2"/>
  <c r="W85" i="2"/>
  <c r="C54" i="2"/>
  <c r="E106" i="2"/>
  <c r="X42" i="2"/>
  <c r="Q89" i="2"/>
  <c r="K88" i="2"/>
  <c r="G45" i="2"/>
  <c r="O71" i="2"/>
  <c r="N105" i="2"/>
  <c r="P89" i="2"/>
  <c r="K77" i="2"/>
  <c r="H60" i="2"/>
  <c r="D81" i="2"/>
  <c r="F43" i="2"/>
  <c r="J56" i="2"/>
  <c r="K76" i="2"/>
  <c r="T67" i="2"/>
  <c r="I83" i="2"/>
  <c r="E77" i="2"/>
  <c r="G111" i="2"/>
  <c r="U74" i="2"/>
  <c r="E41" i="2"/>
  <c r="H53" i="2"/>
  <c r="W93" i="2"/>
  <c r="R85" i="2"/>
  <c r="O99" i="2"/>
  <c r="M64" i="2"/>
  <c r="V72" i="2"/>
  <c r="W106" i="2"/>
  <c r="T90" i="2"/>
  <c r="C58" i="2"/>
  <c r="R48" i="2"/>
  <c r="J81" i="2"/>
  <c r="E96" i="2"/>
  <c r="I64" i="2"/>
  <c r="C106" i="2"/>
  <c r="V52" i="2"/>
  <c r="K75" i="2"/>
  <c r="U105" i="2"/>
  <c r="V65" i="2"/>
  <c r="L61" i="2"/>
  <c r="W48" i="2"/>
  <c r="P87" i="2"/>
  <c r="W52" i="2"/>
  <c r="V69" i="2"/>
  <c r="X46" i="2"/>
  <c r="H86" i="2"/>
  <c r="I79" i="2"/>
  <c r="N62" i="2"/>
  <c r="W87" i="2"/>
  <c r="J82" i="2"/>
  <c r="H104" i="2"/>
  <c r="U84" i="2"/>
  <c r="G104" i="2"/>
  <c r="U97" i="2"/>
  <c r="T97" i="2"/>
  <c r="Q66" i="2"/>
  <c r="U46" i="2"/>
  <c r="L59" i="2"/>
  <c r="X68" i="2"/>
  <c r="U65" i="2"/>
  <c r="O55" i="2"/>
  <c r="R45" i="2"/>
  <c r="V80" i="2"/>
  <c r="S59" i="2"/>
  <c r="H98" i="2"/>
  <c r="R67" i="2"/>
  <c r="G84" i="2"/>
  <c r="V91" i="2"/>
  <c r="T78" i="2"/>
  <c r="W47" i="2"/>
  <c r="R112" i="2"/>
  <c r="V97" i="2"/>
  <c r="I55" i="2"/>
  <c r="F53" i="2"/>
  <c r="O104" i="2"/>
  <c r="O59" i="2"/>
  <c r="C105" i="2"/>
  <c r="S55" i="2"/>
  <c r="M46" i="2"/>
  <c r="D61" i="2"/>
  <c r="R81" i="2"/>
  <c r="D44" i="2"/>
  <c r="T71" i="2"/>
  <c r="X49" i="2"/>
  <c r="O96" i="2"/>
  <c r="J108" i="2"/>
  <c r="S99" i="2"/>
  <c r="X51" i="2"/>
  <c r="V104" i="2"/>
  <c r="O86" i="2"/>
  <c r="H65" i="2"/>
  <c r="T86" i="2"/>
  <c r="K49" i="2"/>
  <c r="T43" i="2"/>
  <c r="N52" i="2"/>
  <c r="S61" i="2"/>
  <c r="G93" i="2"/>
  <c r="J91" i="2"/>
  <c r="J44" i="2"/>
  <c r="X108" i="2"/>
  <c r="X94" i="2"/>
  <c r="M63" i="2"/>
  <c r="N109" i="2"/>
  <c r="D76" i="2"/>
  <c r="G87" i="2"/>
  <c r="X72" i="2"/>
  <c r="D59" i="2"/>
  <c r="T108" i="2"/>
  <c r="O111" i="2"/>
  <c r="L91" i="2"/>
  <c r="U58" i="2"/>
  <c r="O80" i="2"/>
  <c r="Q92" i="2"/>
  <c r="V89" i="2"/>
  <c r="Q44" i="2"/>
  <c r="N108" i="2"/>
  <c r="D104" i="2"/>
  <c r="F87" i="2"/>
  <c r="D41" i="2"/>
  <c r="L106" i="2"/>
  <c r="P99" i="2"/>
  <c r="L47" i="2"/>
  <c r="D84" i="2"/>
  <c r="G62" i="2"/>
  <c r="O40" i="2"/>
  <c r="O62" i="2"/>
  <c r="O95" i="2"/>
  <c r="L44" i="2"/>
  <c r="K48" i="2"/>
  <c r="U96" i="2"/>
  <c r="G56" i="2"/>
  <c r="C84" i="2"/>
  <c r="N59" i="2"/>
  <c r="J49" i="2"/>
  <c r="Q75" i="2"/>
  <c r="R106" i="2"/>
  <c r="H47" i="2"/>
  <c r="P91" i="2"/>
  <c r="N43" i="2"/>
  <c r="C98" i="2"/>
  <c r="G98" i="2"/>
  <c r="V75" i="2"/>
  <c r="N95" i="2"/>
  <c r="F111" i="2"/>
  <c r="X77" i="2"/>
  <c r="F63" i="2"/>
  <c r="E107" i="2"/>
  <c r="R83" i="2"/>
  <c r="M75" i="2"/>
  <c r="F108" i="2"/>
  <c r="H48" i="2"/>
  <c r="V71" i="2"/>
  <c r="V54" i="2"/>
  <c r="X74" i="2"/>
  <c r="G79" i="2"/>
  <c r="L48" i="2"/>
  <c r="S82" i="2"/>
  <c r="J105" i="2"/>
  <c r="C76" i="2"/>
  <c r="K107" i="2"/>
  <c r="J53" i="2"/>
  <c r="K41" i="2"/>
  <c r="U104" i="2"/>
  <c r="V59" i="2"/>
  <c r="D108" i="2"/>
  <c r="T62" i="2"/>
  <c r="N110" i="2"/>
  <c r="T87" i="2"/>
  <c r="G109" i="2"/>
  <c r="G78" i="2"/>
  <c r="T105" i="2"/>
  <c r="W54" i="2"/>
  <c r="P94" i="2"/>
  <c r="S89" i="2"/>
  <c r="G112" i="2"/>
  <c r="K51" i="2"/>
  <c r="K111" i="2"/>
  <c r="V41" i="2"/>
  <c r="H72" i="2"/>
  <c r="W41" i="2"/>
  <c r="N89" i="2"/>
  <c r="V40" i="2"/>
  <c r="J95" i="2"/>
  <c r="T76" i="2"/>
  <c r="T111" i="2"/>
  <c r="O58" i="2"/>
  <c r="T54" i="2"/>
  <c r="I89" i="2"/>
  <c r="G44" i="2"/>
  <c r="H108" i="2"/>
  <c r="F94" i="2"/>
  <c r="J78" i="2"/>
  <c r="R59" i="2"/>
  <c r="N87" i="2"/>
  <c r="C44" i="2"/>
  <c r="N41" i="2"/>
  <c r="P75" i="2"/>
  <c r="W84" i="2"/>
  <c r="R96" i="2"/>
  <c r="I49" i="2"/>
  <c r="C89" i="2"/>
  <c r="I68" i="2"/>
  <c r="N93" i="2"/>
  <c r="S63" i="2"/>
  <c r="J89" i="2"/>
  <c r="P68" i="2"/>
  <c r="N73" i="2"/>
  <c r="P108" i="2"/>
  <c r="H79" i="2"/>
  <c r="E71" i="2"/>
  <c r="E65" i="2"/>
  <c r="F85" i="2"/>
  <c r="Q107" i="2"/>
  <c r="U50" i="2"/>
  <c r="I42" i="2"/>
  <c r="I109" i="2"/>
  <c r="U92" i="2"/>
  <c r="V51" i="2"/>
  <c r="F112" i="2"/>
  <c r="L93" i="2"/>
  <c r="I104" i="2"/>
  <c r="O63" i="2"/>
  <c r="K70" i="2"/>
  <c r="N90" i="2"/>
  <c r="P72" i="2"/>
  <c r="W92" i="2"/>
  <c r="P44" i="2"/>
  <c r="N82" i="2"/>
  <c r="E50" i="2"/>
  <c r="Q41" i="2"/>
  <c r="E89" i="2"/>
  <c r="S78" i="2"/>
  <c r="S43" i="2"/>
  <c r="I107" i="2"/>
  <c r="I110" i="2"/>
  <c r="V90" i="2"/>
  <c r="O60" i="2"/>
  <c r="S83" i="2"/>
  <c r="K58" i="2"/>
  <c r="O72" i="2"/>
  <c r="V112" i="2"/>
  <c r="O97" i="2"/>
  <c r="O50" i="2"/>
  <c r="K98" i="2"/>
  <c r="O68" i="2"/>
  <c r="X57" i="2"/>
  <c r="W79" i="2"/>
  <c r="V42" i="2"/>
  <c r="Q74" i="2"/>
  <c r="W60" i="2"/>
  <c r="T85" i="2"/>
  <c r="V68" i="2"/>
  <c r="E66" i="2"/>
  <c r="X80" i="2"/>
  <c r="V53" i="2"/>
  <c r="Q47" i="2"/>
  <c r="J79" i="2"/>
  <c r="R73" i="2"/>
  <c r="C40" i="2"/>
  <c r="O107" i="2"/>
  <c r="Q81" i="2"/>
  <c r="W96" i="2"/>
  <c r="U99" i="2"/>
  <c r="M60" i="2"/>
  <c r="I74" i="2"/>
  <c r="F97" i="2"/>
  <c r="O64" i="2"/>
  <c r="T98" i="2"/>
  <c r="D58" i="2"/>
  <c r="L79" i="2"/>
  <c r="D109" i="2"/>
  <c r="M86" i="2"/>
  <c r="T63" i="2"/>
  <c r="H85" i="2"/>
  <c r="S50" i="2"/>
  <c r="M70" i="2"/>
  <c r="I78" i="2"/>
  <c r="K112" i="2"/>
  <c r="N61" i="2"/>
  <c r="R65" i="2"/>
  <c r="F56" i="2"/>
  <c r="R58" i="2"/>
  <c r="N76" i="2"/>
  <c r="X98" i="2"/>
  <c r="H59" i="2"/>
  <c r="J47" i="2"/>
  <c r="N49" i="2"/>
  <c r="L46" i="2"/>
  <c r="C69" i="2"/>
  <c r="D51" i="2"/>
  <c r="E110" i="2"/>
  <c r="E113" i="2"/>
  <c r="C74" i="2"/>
  <c r="C73" i="2"/>
  <c r="U108" i="2"/>
  <c r="M79" i="2"/>
  <c r="O56" i="2"/>
  <c r="E93" i="2"/>
  <c r="U80" i="2"/>
  <c r="J69" i="2"/>
  <c r="G77" i="2"/>
  <c r="I61" i="2"/>
  <c r="P85" i="2"/>
  <c r="M109" i="2"/>
  <c r="T73" i="2"/>
  <c r="N45" i="2"/>
  <c r="W81" i="2"/>
  <c r="K84" i="2"/>
  <c r="C91" i="2"/>
  <c r="L42" i="2"/>
  <c r="N66" i="2"/>
  <c r="D94" i="2"/>
  <c r="T59" i="2"/>
  <c r="E84" i="2"/>
  <c r="C104" i="2"/>
  <c r="D46" i="2"/>
  <c r="S108" i="2"/>
  <c r="H88" i="2"/>
  <c r="Q63" i="2"/>
  <c r="H89" i="2"/>
  <c r="X96" i="2"/>
  <c r="D49" i="2"/>
  <c r="H111" i="2"/>
  <c r="H93" i="2"/>
  <c r="G108" i="2"/>
  <c r="M72" i="2"/>
  <c r="P74" i="2"/>
  <c r="L98" i="2"/>
  <c r="T94" i="2"/>
  <c r="F64" i="2"/>
  <c r="D65" i="2"/>
  <c r="C68" i="2"/>
  <c r="T79" i="2"/>
  <c r="K93" i="2"/>
  <c r="E60" i="2"/>
  <c r="D86" i="2"/>
  <c r="T69" i="2"/>
  <c r="L50" i="2"/>
  <c r="U60" i="2"/>
  <c r="O98" i="2"/>
  <c r="M59" i="2"/>
  <c r="M66" i="2"/>
  <c r="N79" i="2"/>
  <c r="S92" i="2"/>
  <c r="C93" i="2"/>
  <c r="W57" i="2"/>
  <c r="X78" i="2"/>
  <c r="U66" i="2"/>
  <c r="I99" i="2"/>
  <c r="G61" i="2"/>
  <c r="T89" i="2"/>
  <c r="Q88" i="2"/>
  <c r="V74" i="2"/>
  <c r="D95" i="2"/>
  <c r="M99" i="2"/>
  <c r="W78" i="2"/>
  <c r="P106" i="2"/>
  <c r="S46" i="2"/>
  <c r="L109" i="2"/>
  <c r="M45" i="2"/>
  <c r="K91" i="2"/>
  <c r="R80" i="2"/>
  <c r="J96" i="2"/>
  <c r="L76" i="2"/>
  <c r="I75" i="2"/>
  <c r="E91" i="2"/>
  <c r="O69" i="2"/>
  <c r="K47" i="2"/>
  <c r="P41" i="2"/>
  <c r="V107" i="2"/>
  <c r="C94" i="2"/>
  <c r="D110" i="2"/>
  <c r="G91" i="2"/>
  <c r="T42" i="2"/>
  <c r="S41" i="2"/>
  <c r="G57" i="2"/>
  <c r="R69" i="2"/>
  <c r="P70" i="2"/>
  <c r="L56" i="2"/>
  <c r="O51" i="2"/>
  <c r="P64" i="2"/>
  <c r="V57" i="2"/>
  <c r="P83" i="2"/>
  <c r="N113" i="2"/>
  <c r="W64" i="2"/>
  <c r="V87" i="2"/>
  <c r="L92" i="2"/>
  <c r="Q105" i="2"/>
  <c r="T53" i="2"/>
  <c r="F57" i="2"/>
  <c r="T49" i="2"/>
  <c r="D57" i="2"/>
  <c r="C78" i="2"/>
  <c r="T55" i="2"/>
  <c r="L104" i="2"/>
  <c r="W105" i="2"/>
  <c r="I112" i="2"/>
  <c r="X65" i="2"/>
  <c r="W86" i="2"/>
  <c r="P80" i="2"/>
  <c r="R108" i="2"/>
  <c r="U94" i="2"/>
  <c r="U57" i="2"/>
  <c r="R55" i="2"/>
  <c r="J77" i="2"/>
  <c r="P55" i="2"/>
  <c r="C86" i="2"/>
  <c r="W76" i="2"/>
  <c r="F66" i="2"/>
  <c r="R64" i="2"/>
  <c r="G64" i="2"/>
  <c r="P51" i="2"/>
  <c r="G63" i="2"/>
  <c r="E57" i="2"/>
  <c r="S80" i="2"/>
  <c r="F42" i="2"/>
  <c r="O52" i="2"/>
  <c r="H91" i="2"/>
  <c r="U68" i="2"/>
  <c r="Q80" i="2"/>
  <c r="C45" i="2"/>
  <c r="Q51" i="2"/>
  <c r="S87" i="2"/>
  <c r="X73" i="2"/>
  <c r="V96" i="2"/>
  <c r="O92" i="2"/>
  <c r="K54" i="2"/>
  <c r="R46" i="2"/>
  <c r="M57" i="2"/>
  <c r="X58" i="2"/>
  <c r="K66" i="2"/>
  <c r="T99" i="2"/>
  <c r="W83" i="2"/>
  <c r="V77" i="2"/>
  <c r="E76" i="2"/>
  <c r="N40" i="2"/>
  <c r="N94" i="2"/>
  <c r="E78" i="2"/>
  <c r="D78" i="2"/>
  <c r="E40" i="2"/>
  <c r="X64" i="2"/>
  <c r="U51" i="2"/>
  <c r="L75" i="2"/>
  <c r="P43" i="2"/>
  <c r="J98" i="2"/>
  <c r="C72" i="2"/>
  <c r="T64" i="2"/>
  <c r="J87" i="2"/>
  <c r="W99" i="2"/>
  <c r="J61" i="2"/>
  <c r="G99" i="2"/>
  <c r="X45" i="2"/>
  <c r="L83" i="2"/>
  <c r="U56" i="2"/>
  <c r="U63" i="2"/>
  <c r="D73" i="2"/>
  <c r="M87" i="2"/>
  <c r="F65" i="2"/>
  <c r="C92" i="2"/>
  <c r="N72" i="2"/>
  <c r="M85" i="2"/>
  <c r="W110" i="2"/>
  <c r="S111" i="2"/>
  <c r="M105" i="2"/>
  <c r="C51" i="2"/>
  <c r="H55" i="2"/>
  <c r="K89" i="2"/>
  <c r="D92" i="2"/>
  <c r="L84" i="2"/>
  <c r="L112" i="2"/>
  <c r="E111" i="2"/>
  <c r="D112" i="2"/>
  <c r="D45" i="2"/>
  <c r="V113" i="2"/>
  <c r="K56" i="2"/>
  <c r="T80" i="2"/>
  <c r="H74" i="2"/>
  <c r="R97" i="2"/>
  <c r="D99" i="2"/>
  <c r="W59" i="2"/>
  <c r="T65" i="2"/>
  <c r="E56" i="2"/>
  <c r="F110" i="2"/>
  <c r="K99" i="2"/>
  <c r="K61" i="2"/>
  <c r="K71" i="2"/>
  <c r="Q71" i="2"/>
  <c r="W80" i="2"/>
  <c r="X55" i="2"/>
  <c r="F45" i="2"/>
  <c r="O54" i="2"/>
  <c r="M98" i="2"/>
  <c r="L71" i="2"/>
  <c r="I94" i="2"/>
  <c r="T84" i="2"/>
  <c r="T47" i="2"/>
  <c r="L90" i="2"/>
  <c r="R43" i="2"/>
  <c r="V109" i="2"/>
  <c r="I113" i="2"/>
  <c r="E109" i="2"/>
  <c r="P73" i="2"/>
  <c r="F70" i="2"/>
  <c r="P82" i="2"/>
  <c r="L49" i="2"/>
  <c r="E83" i="2"/>
  <c r="W65" i="2"/>
  <c r="I85" i="2"/>
  <c r="H78" i="2"/>
  <c r="G46" i="2"/>
  <c r="G59" i="2"/>
  <c r="O91" i="2"/>
  <c r="G42" i="2"/>
  <c r="P65" i="2"/>
  <c r="V48" i="2"/>
  <c r="X110" i="2"/>
  <c r="G70" i="2"/>
  <c r="F62" i="2"/>
  <c r="O108" i="2"/>
  <c r="I71" i="2"/>
  <c r="U55" i="2"/>
  <c r="L77" i="2"/>
  <c r="G65" i="2"/>
  <c r="U98" i="2"/>
  <c r="N85" i="2"/>
  <c r="T77" i="2"/>
  <c r="T91" i="2"/>
  <c r="D71" i="2"/>
  <c r="D55" i="2"/>
  <c r="M53" i="2"/>
  <c r="N65" i="2"/>
  <c r="T95" i="2"/>
  <c r="Q60" i="2"/>
  <c r="S72" i="2"/>
  <c r="F76" i="2"/>
  <c r="X52" i="2"/>
  <c r="K68" i="2"/>
  <c r="S85" i="2"/>
  <c r="C67" i="2"/>
  <c r="I52" i="2"/>
  <c r="C80" i="2"/>
  <c r="U95" i="2"/>
  <c r="W56" i="2"/>
  <c r="J86" i="2"/>
  <c r="T45" i="2"/>
  <c r="N58" i="2"/>
  <c r="Q84" i="2"/>
  <c r="U79" i="2"/>
  <c r="V110" i="2"/>
  <c r="D79" i="2"/>
  <c r="D91" i="2"/>
  <c r="O45" i="2"/>
  <c r="L67" i="2"/>
  <c r="M111" i="2"/>
  <c r="N60" i="2"/>
  <c r="H51" i="2"/>
  <c r="I95" i="2"/>
  <c r="M104" i="2"/>
  <c r="K55" i="2"/>
  <c r="W45" i="2"/>
  <c r="T83" i="2"/>
  <c r="R60" i="2"/>
  <c r="U82" i="2"/>
  <c r="H112" i="2"/>
  <c r="N107" i="2"/>
  <c r="G74" i="2"/>
  <c r="V63" i="2"/>
  <c r="M73" i="2"/>
  <c r="K96" i="2"/>
  <c r="U54" i="2"/>
  <c r="W43" i="2"/>
  <c r="P95" i="2"/>
  <c r="V93" i="2"/>
  <c r="E94" i="2"/>
  <c r="T41" i="2"/>
  <c r="H42" i="2"/>
  <c r="T75" i="2"/>
  <c r="U75" i="2"/>
  <c r="P79" i="2"/>
  <c r="U70" i="2"/>
  <c r="I87" i="2"/>
  <c r="S69" i="2"/>
  <c r="C57" i="2"/>
  <c r="H62" i="2"/>
  <c r="S96" i="2"/>
  <c r="I66" i="2"/>
  <c r="R61" i="2"/>
  <c r="C90" i="2"/>
  <c r="V79" i="2"/>
  <c r="V81" i="2"/>
  <c r="G43" i="2"/>
  <c r="S97" i="2"/>
  <c r="C52" i="2"/>
  <c r="K65" i="2"/>
  <c r="O78" i="2"/>
  <c r="I106" i="2"/>
  <c r="P56" i="2"/>
  <c r="H97" i="2"/>
  <c r="H84" i="2"/>
  <c r="I92" i="2"/>
  <c r="E53" i="2"/>
  <c r="L81" i="2"/>
  <c r="S65" i="2"/>
  <c r="F92" i="2"/>
  <c r="K90" i="2"/>
  <c r="V88" i="2"/>
  <c r="C46" i="2"/>
  <c r="C61" i="2"/>
  <c r="T70" i="2"/>
  <c r="C56" i="2"/>
  <c r="Q113" i="2"/>
  <c r="U44" i="2"/>
  <c r="V58" i="2"/>
  <c r="J94" i="2"/>
  <c r="J104" i="2"/>
  <c r="R71" i="2"/>
  <c r="R113" i="2"/>
  <c r="V95" i="2"/>
  <c r="K69" i="2"/>
  <c r="X44" i="2"/>
  <c r="C42" i="2"/>
  <c r="E42" i="2"/>
  <c r="D67" i="2"/>
  <c r="S81" i="2"/>
  <c r="C77" i="2"/>
  <c r="E112" i="2"/>
  <c r="Q83" i="2"/>
  <c r="W107" i="2"/>
  <c r="L80" i="2"/>
  <c r="G75" i="2"/>
  <c r="J109" i="2"/>
  <c r="L95" i="2"/>
  <c r="X79" i="2"/>
  <c r="F72" i="2"/>
  <c r="R53" i="2"/>
  <c r="L53" i="2"/>
  <c r="F60" i="2"/>
  <c r="S74" i="2"/>
  <c r="C63" i="2"/>
  <c r="K104" i="2"/>
  <c r="G48" i="2"/>
  <c r="H95" i="2"/>
  <c r="L73" i="2"/>
  <c r="J42" i="2"/>
  <c r="C50" i="2"/>
  <c r="J71" i="2"/>
  <c r="M50" i="2"/>
  <c r="E51" i="2"/>
  <c r="X88" i="2"/>
  <c r="P62" i="2"/>
  <c r="R74" i="2"/>
  <c r="D106" i="2"/>
  <c r="P97" i="2"/>
  <c r="P107" i="2"/>
  <c r="J68" i="2"/>
  <c r="M41" i="2"/>
  <c r="U53" i="2"/>
  <c r="F78" i="2"/>
  <c r="U41" i="2"/>
  <c r="L40" i="2"/>
  <c r="S105" i="2"/>
  <c r="C64" i="2"/>
  <c r="K57" i="2"/>
  <c r="O93" i="2"/>
  <c r="V43" i="2"/>
  <c r="D113" i="2"/>
  <c r="P45" i="2"/>
  <c r="F67" i="2"/>
  <c r="P112" i="2"/>
  <c r="T66" i="2"/>
  <c r="W51" i="2"/>
  <c r="X43" i="2"/>
  <c r="H63" i="2"/>
  <c r="M56" i="2"/>
  <c r="J48" i="2"/>
  <c r="F99" i="2"/>
  <c r="M97" i="2"/>
  <c r="D63" i="2"/>
  <c r="V50" i="2"/>
  <c r="M43" i="2"/>
  <c r="G81" i="2"/>
  <c r="K82" i="2"/>
  <c r="O49" i="2"/>
  <c r="P50" i="2"/>
  <c r="L62" i="2"/>
  <c r="W91" i="2"/>
  <c r="X97" i="2"/>
  <c r="R51" i="2"/>
  <c r="M83" i="2"/>
  <c r="M108" i="2"/>
  <c r="S104" i="2"/>
  <c r="J65" i="2"/>
  <c r="J97" i="2"/>
  <c r="E47" i="2"/>
  <c r="J45" i="2"/>
  <c r="X89" i="2"/>
  <c r="R86" i="2"/>
  <c r="V44" i="2"/>
  <c r="O74" i="2"/>
  <c r="M89" i="2"/>
  <c r="S66" i="2"/>
  <c r="K79" i="2"/>
  <c r="I72" i="2"/>
  <c r="X109" i="2"/>
  <c r="M95" i="2"/>
  <c r="I80" i="2"/>
  <c r="L111" i="2"/>
  <c r="N92" i="2"/>
  <c r="R111" i="2"/>
  <c r="T81" i="2"/>
  <c r="E95" i="2"/>
  <c r="W75" i="2"/>
  <c r="R57" i="2"/>
  <c r="M112" i="2"/>
  <c r="X111" i="2"/>
  <c r="M110" i="2"/>
  <c r="P40" i="2"/>
  <c r="P92" i="2"/>
  <c r="I65" i="2"/>
  <c r="E85" i="2"/>
  <c r="I47" i="2"/>
  <c r="W112" i="2"/>
  <c r="R44" i="2"/>
  <c r="E44" i="2"/>
  <c r="R40" i="2"/>
  <c r="O53" i="2"/>
  <c r="Q61" i="2"/>
  <c r="C83" i="2"/>
  <c r="V45" i="2"/>
  <c r="C47" i="2"/>
  <c r="J55" i="2"/>
  <c r="K95" i="2"/>
  <c r="S90" i="2"/>
  <c r="G113" i="2"/>
  <c r="M90" i="2"/>
  <c r="P77" i="2"/>
  <c r="X40" i="2"/>
  <c r="K50" i="2"/>
  <c r="I81" i="2"/>
  <c r="L64" i="2"/>
  <c r="E79" i="2"/>
  <c r="J92" i="2"/>
  <c r="V76" i="2"/>
  <c r="X59" i="2"/>
  <c r="C97" i="2"/>
  <c r="L99" i="2"/>
  <c r="J80" i="2"/>
  <c r="T52" i="2"/>
  <c r="L113" i="2"/>
  <c r="F61" i="2"/>
  <c r="R105" i="2"/>
  <c r="L68" i="2"/>
  <c r="Q43" i="2"/>
  <c r="X71" i="2"/>
  <c r="R109" i="2"/>
  <c r="I96" i="2"/>
  <c r="P113" i="2"/>
  <c r="F49" i="2"/>
  <c r="P78" i="2"/>
  <c r="J84" i="2"/>
  <c r="O75" i="2"/>
  <c r="Q95" i="2"/>
  <c r="D72" i="2"/>
  <c r="T82" i="2"/>
  <c r="P90" i="2"/>
  <c r="H109" i="2"/>
  <c r="N51" i="2"/>
  <c r="N111" i="2"/>
  <c r="U48" i="2"/>
  <c r="S110" i="2"/>
  <c r="Q108" i="2"/>
  <c r="T51" i="2"/>
  <c r="V61" i="2"/>
  <c r="X56" i="2"/>
  <c r="E43" i="2"/>
  <c r="I60" i="2"/>
  <c r="Q53" i="2"/>
  <c r="P66" i="2"/>
  <c r="U77" i="2"/>
  <c r="G89" i="2"/>
  <c r="C107" i="2"/>
  <c r="N84" i="2"/>
  <c r="S60" i="2"/>
  <c r="D64" i="2"/>
  <c r="X90" i="2"/>
  <c r="C79" i="2"/>
  <c r="R93" i="2"/>
  <c r="T61" i="2"/>
  <c r="I62" i="2"/>
  <c r="G60" i="2"/>
  <c r="M58" i="2"/>
  <c r="V108" i="2"/>
  <c r="Q77" i="2"/>
  <c r="W50" i="2"/>
  <c r="T44" i="2"/>
  <c r="P58" i="2"/>
  <c r="J111" i="2"/>
  <c r="I48" i="2"/>
  <c r="M76" i="2"/>
  <c r="H77" i="2"/>
  <c r="V55" i="2"/>
  <c r="S79" i="2"/>
  <c r="M107" i="2"/>
  <c r="R88" i="2"/>
  <c r="O89" i="2"/>
  <c r="Q45" i="2"/>
  <c r="M93" i="2"/>
  <c r="O105" i="2"/>
  <c r="X104" i="2"/>
  <c r="U91" i="2"/>
  <c r="M61" i="2"/>
  <c r="E69" i="2"/>
  <c r="F104" i="2"/>
  <c r="J72" i="2"/>
  <c r="U81" i="2"/>
  <c r="V98" i="2"/>
  <c r="L60" i="2"/>
  <c r="P47" i="2"/>
  <c r="F96" i="2"/>
  <c r="S64" i="2"/>
  <c r="M113" i="2"/>
  <c r="Q99" i="2"/>
  <c r="U90" i="2"/>
  <c r="F105" i="2"/>
  <c r="C109" i="2"/>
  <c r="U78" i="2"/>
  <c r="R94" i="2"/>
  <c r="M47" i="2"/>
  <c r="W61" i="2"/>
  <c r="D66" i="2"/>
  <c r="F77" i="2"/>
  <c r="X93" i="2"/>
  <c r="Q50" i="2"/>
  <c r="L88" i="2"/>
  <c r="X95" i="2"/>
  <c r="H41" i="2"/>
  <c r="O61" i="2"/>
  <c r="I98" i="2"/>
  <c r="D69" i="2"/>
  <c r="X69" i="2"/>
  <c r="M84" i="2"/>
  <c r="J52" i="2"/>
  <c r="H67" i="2"/>
  <c r="J62" i="2"/>
  <c r="V83" i="2"/>
  <c r="U62" i="2"/>
  <c r="F83" i="2"/>
  <c r="E99" i="2"/>
  <c r="R104" i="2"/>
  <c r="C48" i="2"/>
  <c r="Q111" i="2"/>
  <c r="F93" i="2"/>
  <c r="K83" i="2"/>
  <c r="U64" i="2"/>
  <c r="Q68" i="2"/>
  <c r="V46" i="2"/>
  <c r="L110" i="2"/>
  <c r="J40" i="2"/>
  <c r="N78" i="2"/>
  <c r="M67" i="2"/>
  <c r="M82" i="2"/>
  <c r="X81" i="2"/>
  <c r="V60" i="2"/>
  <c r="O73" i="2"/>
  <c r="F106" i="2"/>
  <c r="H58" i="2"/>
  <c r="N91" i="2"/>
  <c r="H94" i="2"/>
  <c r="V105" i="2"/>
  <c r="H96" i="2"/>
  <c r="V70" i="2"/>
  <c r="P71" i="2"/>
  <c r="U89" i="2"/>
  <c r="F82" i="2"/>
  <c r="H66" i="2"/>
  <c r="N88" i="2"/>
  <c r="R70" i="2"/>
  <c r="X60" i="2"/>
  <c r="F88" i="2"/>
  <c r="X76" i="2"/>
  <c r="V56" i="2"/>
  <c r="F52" i="2"/>
  <c r="R47" i="2"/>
  <c r="H90" i="2"/>
  <c r="R98" i="2"/>
  <c r="E80" i="2"/>
  <c r="X112" i="2"/>
  <c r="J60" i="2"/>
  <c r="F50" i="2"/>
  <c r="W67" i="2"/>
  <c r="L96" i="2"/>
  <c r="V73" i="2"/>
  <c r="O113" i="2"/>
  <c r="N47" i="2"/>
  <c r="U88" i="2"/>
  <c r="P96" i="2"/>
  <c r="S45" i="2"/>
  <c r="O79" i="2"/>
  <c r="M81" i="2"/>
  <c r="W104" i="2"/>
  <c r="I91" i="2"/>
  <c r="G88" i="2"/>
  <c r="D77" i="2"/>
  <c r="H82" i="2"/>
  <c r="K108" i="2"/>
  <c r="J88" i="2"/>
  <c r="D82" i="2"/>
  <c r="T68" i="2"/>
  <c r="S76" i="2"/>
  <c r="D88" i="2"/>
  <c r="X86" i="2"/>
  <c r="Q112" i="2"/>
  <c r="E92" i="2"/>
  <c r="S86" i="2"/>
  <c r="U52" i="2"/>
  <c r="Q94" i="2"/>
  <c r="O94" i="2"/>
  <c r="E46" i="2"/>
  <c r="W90" i="2"/>
  <c r="K80" i="2"/>
  <c r="D89" i="2"/>
  <c r="D50" i="2"/>
  <c r="I40" i="2"/>
  <c r="V106" i="2"/>
  <c r="F98" i="2"/>
  <c r="E105" i="2"/>
  <c r="I46" i="2"/>
  <c r="E75" i="2"/>
  <c r="G90" i="2"/>
  <c r="D97" i="2"/>
  <c r="H110" i="2"/>
  <c r="G86" i="2"/>
  <c r="S112" i="2"/>
  <c r="I97" i="2"/>
  <c r="Q79" i="2"/>
  <c r="H61" i="2"/>
  <c r="R56" i="2"/>
  <c r="E68" i="2"/>
  <c r="Q93" i="2"/>
  <c r="E82" i="2"/>
  <c r="G107" i="2"/>
  <c r="L41" i="2"/>
  <c r="J113" i="2"/>
  <c r="I41" i="2"/>
  <c r="L57" i="2"/>
  <c r="W49" i="2"/>
  <c r="D60" i="2"/>
  <c r="Q40" i="2"/>
  <c r="M42" i="2"/>
  <c r="I76" i="2"/>
  <c r="E104" i="2"/>
  <c r="H68" i="2"/>
  <c r="M68" i="2"/>
  <c r="P52" i="2"/>
  <c r="R75" i="2"/>
  <c r="W40" i="2"/>
  <c r="R68" i="2"/>
  <c r="S77" i="2"/>
  <c r="X50" i="2"/>
  <c r="P67" i="2"/>
  <c r="N86" i="2"/>
  <c r="R82" i="2"/>
  <c r="V64" i="2"/>
  <c r="E49" i="2"/>
  <c r="W62" i="2"/>
  <c r="P49" i="2"/>
  <c r="E62" i="2"/>
  <c r="G53" i="2"/>
  <c r="O44" i="2"/>
  <c r="R99" i="2"/>
  <c r="C99" i="2"/>
  <c r="I63" i="2"/>
  <c r="N83" i="2"/>
  <c r="N98" i="2"/>
  <c r="W111" i="2"/>
  <c r="L65" i="2"/>
  <c r="J41" i="2"/>
  <c r="O82" i="2"/>
  <c r="N69" i="2"/>
  <c r="O57" i="2"/>
  <c r="R87" i="2"/>
  <c r="P57" i="2"/>
  <c r="I67" i="2"/>
  <c r="C55" i="2"/>
  <c r="W53" i="2"/>
  <c r="C108" i="2"/>
  <c r="U83" i="2"/>
  <c r="N44" i="2"/>
  <c r="E52" i="2"/>
  <c r="D62" i="2"/>
  <c r="G110" i="2"/>
  <c r="O47" i="2"/>
  <c r="Q109" i="2"/>
  <c r="H50" i="2"/>
  <c r="W113" i="2"/>
  <c r="C88" i="2"/>
  <c r="T88" i="2"/>
  <c r="E64" i="2"/>
  <c r="Q104" i="2"/>
  <c r="N99" i="2"/>
  <c r="H40" i="2"/>
  <c r="D93" i="2"/>
  <c r="R66" i="2"/>
  <c r="S75" i="2"/>
  <c r="E63" i="2"/>
  <c r="M49" i="2"/>
  <c r="T58" i="2"/>
  <c r="Q91" i="2"/>
  <c r="L107" i="2"/>
  <c r="M106" i="2"/>
  <c r="J67" i="2"/>
  <c r="T74" i="2"/>
  <c r="D111" i="2"/>
  <c r="O87" i="2"/>
  <c r="C96" i="2"/>
  <c r="O85" i="2"/>
  <c r="N55" i="2"/>
  <c r="K45" i="2"/>
  <c r="Q110" i="2"/>
  <c r="W98" i="2"/>
  <c r="T107" i="2"/>
  <c r="O46" i="2"/>
  <c r="F73" i="2"/>
  <c r="M51" i="2"/>
  <c r="N54" i="2"/>
  <c r="T104" i="2"/>
  <c r="R76" i="2"/>
  <c r="P46" i="2"/>
  <c r="J90" i="2"/>
  <c r="K94" i="2"/>
  <c r="P105" i="2"/>
  <c r="S47" i="2"/>
  <c r="X67" i="2"/>
  <c r="N53" i="2"/>
  <c r="K105" i="2"/>
  <c r="X62" i="2"/>
  <c r="D80" i="2"/>
  <c r="O81" i="2"/>
  <c r="S68" i="2"/>
  <c r="G55" i="2"/>
  <c r="O48" i="2"/>
  <c r="E72" i="2"/>
  <c r="P63" i="2"/>
  <c r="T50" i="2"/>
  <c r="P111" i="2"/>
  <c r="P61" i="2"/>
  <c r="M80" i="2"/>
  <c r="P59" i="2"/>
  <c r="O65" i="2"/>
  <c r="T60" i="2"/>
  <c r="I50" i="2"/>
  <c r="N63" i="2"/>
  <c r="L86" i="2"/>
  <c r="N97" i="2"/>
  <c r="R92" i="2"/>
  <c r="W72" i="2"/>
  <c r="S98" i="2"/>
  <c r="K52" i="2"/>
  <c r="N112" i="2"/>
  <c r="C75" i="2"/>
  <c r="W55" i="2"/>
  <c r="Q76" i="2"/>
  <c r="I111" i="2"/>
  <c r="P53" i="2"/>
  <c r="J54" i="2"/>
  <c r="F51" i="2"/>
  <c r="L43" i="2"/>
  <c r="U112" i="2"/>
  <c r="T96" i="2"/>
  <c r="C62" i="2"/>
  <c r="G97" i="2"/>
  <c r="M62" i="2"/>
  <c r="F91" i="2"/>
  <c r="O110" i="2"/>
  <c r="H46" i="2"/>
  <c r="G96" i="2"/>
  <c r="E88" i="2"/>
  <c r="M94" i="2"/>
  <c r="U76" i="2"/>
  <c r="F74" i="2"/>
  <c r="G94" i="2"/>
  <c r="D70" i="2"/>
  <c r="F41" i="2"/>
  <c r="V47" i="2"/>
  <c r="K106" i="2"/>
  <c r="P88" i="2"/>
  <c r="O83" i="2"/>
  <c r="F69" i="2"/>
  <c r="T110" i="2"/>
  <c r="N42" i="2"/>
  <c r="E73" i="2"/>
  <c r="N104" i="2"/>
  <c r="T40" i="2"/>
  <c r="F46" i="2"/>
  <c r="K62" i="2"/>
  <c r="K73" i="2"/>
  <c r="L85" i="2"/>
  <c r="X87" i="2"/>
  <c r="O70" i="2"/>
  <c r="K85" i="2"/>
  <c r="O43" i="2"/>
  <c r="P84" i="2"/>
  <c r="Q85" i="2"/>
  <c r="D75" i="2"/>
  <c r="O76" i="2"/>
  <c r="O42" i="2"/>
  <c r="S48" i="2"/>
  <c r="M96" i="2"/>
  <c r="W89" i="2"/>
  <c r="R63" i="2"/>
  <c r="I84" i="2"/>
  <c r="V78" i="2"/>
  <c r="H113" i="2"/>
  <c r="M54" i="2"/>
  <c r="S88" i="2"/>
  <c r="E54" i="2"/>
  <c r="I69" i="2"/>
  <c r="J93" i="2"/>
  <c r="L108" i="2"/>
  <c r="F95" i="2"/>
  <c r="P110" i="2"/>
  <c r="I86" i="2"/>
  <c r="F48" i="2"/>
  <c r="C53" i="2"/>
  <c r="G54" i="2"/>
  <c r="J58" i="2"/>
  <c r="J112" i="2"/>
  <c r="S84" i="2"/>
  <c r="G41" i="2"/>
  <c r="S67" i="2"/>
  <c r="Q72" i="2"/>
  <c r="S40" i="2"/>
  <c r="U47" i="2"/>
  <c r="M52" i="2"/>
  <c r="J85" i="2"/>
  <c r="R110" i="2"/>
  <c r="Q64" i="2"/>
  <c r="U86" i="2"/>
  <c r="W71" i="2"/>
  <c r="N50" i="2"/>
  <c r="E74" i="2"/>
  <c r="H73" i="2"/>
  <c r="I44" i="2"/>
  <c r="G66" i="2"/>
  <c r="X106" i="2"/>
  <c r="D54" i="2"/>
  <c r="X107" i="2"/>
  <c r="I70" i="2"/>
  <c r="G49" i="2"/>
  <c r="G67" i="2"/>
  <c r="H105" i="2"/>
  <c r="C43" i="2"/>
  <c r="E81" i="2"/>
  <c r="R89" i="2"/>
  <c r="K63" i="2"/>
  <c r="R90" i="2"/>
  <c r="U69" i="2"/>
  <c r="G105" i="2"/>
  <c r="U61" i="2"/>
  <c r="O84" i="2"/>
  <c r="S42" i="2"/>
  <c r="N46" i="2"/>
  <c r="K81" i="2"/>
  <c r="C70" i="2"/>
  <c r="T106" i="2"/>
  <c r="C71" i="2"/>
  <c r="V92" i="2"/>
  <c r="E97" i="2"/>
  <c r="L45" i="2"/>
  <c r="L89" i="2"/>
  <c r="J76" i="2"/>
  <c r="L105" i="2"/>
  <c r="M65" i="2"/>
  <c r="K40" i="2"/>
  <c r="G76" i="2"/>
  <c r="F54" i="2"/>
  <c r="L66" i="2"/>
  <c r="E87" i="2"/>
  <c r="R79" i="2"/>
  <c r="R41" i="2"/>
  <c r="V66" i="2"/>
  <c r="L78" i="2"/>
  <c r="P54" i="2"/>
  <c r="I108" i="2"/>
  <c r="V82" i="2"/>
  <c r="L97" i="2"/>
  <c r="W68" i="2"/>
  <c r="W77" i="2"/>
  <c r="C87" i="2"/>
  <c r="Q86" i="2"/>
  <c r="J46" i="2"/>
  <c r="U87" i="2"/>
  <c r="G69" i="2"/>
  <c r="G72" i="2"/>
  <c r="V99" i="2"/>
  <c r="U43" i="2"/>
  <c r="P98" i="2"/>
  <c r="W73" i="2"/>
  <c r="N56" i="2"/>
  <c r="H92" i="2"/>
  <c r="G80" i="2"/>
  <c r="T56" i="2"/>
  <c r="X83" i="2"/>
  <c r="Q90" i="2"/>
  <c r="W94" i="2"/>
  <c r="I43" i="2"/>
  <c r="M69" i="2"/>
  <c r="T48" i="2"/>
  <c r="F107" i="2"/>
  <c r="R52" i="2"/>
  <c r="X85" i="2"/>
  <c r="N81" i="2"/>
  <c r="G47" i="2"/>
  <c r="E48" i="2"/>
  <c r="U49" i="2"/>
  <c r="T92" i="2"/>
  <c r="P81" i="2"/>
  <c r="Q67" i="2"/>
  <c r="G68" i="2"/>
  <c r="F44" i="2"/>
  <c r="O41" i="2"/>
  <c r="M78" i="2"/>
  <c r="E70" i="2"/>
  <c r="R72" i="2"/>
  <c r="N96" i="2"/>
  <c r="J51" i="2"/>
  <c r="G73" i="2"/>
  <c r="E61" i="2"/>
  <c r="D87" i="2"/>
  <c r="H83" i="2"/>
  <c r="S44" i="2"/>
  <c r="W95" i="2"/>
  <c r="F113" i="2"/>
  <c r="D53" i="2"/>
  <c r="K60" i="2"/>
  <c r="K44" i="2"/>
  <c r="CJ199" i="1" l="1"/>
  <c r="E54" i="1"/>
  <c r="E61" i="1" s="1"/>
  <c r="E65" i="1" s="1"/>
  <c r="E53" i="1"/>
  <c r="C54" i="1"/>
  <c r="C61" i="1" s="1"/>
  <c r="C53" i="1"/>
  <c r="M53" i="1"/>
  <c r="M54" i="1"/>
  <c r="M61" i="1" s="1"/>
  <c r="L53" i="1"/>
  <c r="L54" i="1"/>
  <c r="I54" i="1"/>
  <c r="P54" i="1"/>
  <c r="P53" i="1"/>
  <c r="H54" i="1"/>
  <c r="H53" i="1"/>
  <c r="G54" i="1"/>
  <c r="G53" i="1"/>
  <c r="V54" i="1"/>
  <c r="V53" i="1"/>
  <c r="J56" i="1"/>
  <c r="Z202" i="1"/>
  <c r="Z203" i="1" s="1"/>
  <c r="CE76" i="1"/>
  <c r="Z51" i="1"/>
  <c r="Z68" i="1"/>
  <c r="X68" i="1"/>
  <c r="X51" i="1"/>
  <c r="CH116" i="1"/>
  <c r="CH117" i="1"/>
  <c r="CG120" i="1"/>
  <c r="CG123" i="1" s="1"/>
  <c r="CG105" i="1"/>
  <c r="CC53" i="1"/>
  <c r="CE54" i="1"/>
  <c r="CE53" i="1"/>
  <c r="CL198" i="1"/>
  <c r="CL199" i="1" s="1"/>
  <c r="BL53" i="1"/>
  <c r="AD130" i="1"/>
  <c r="AJ53" i="1"/>
  <c r="BL247" i="1"/>
  <c r="BL61" i="1"/>
  <c r="BL65" i="1" s="1"/>
  <c r="BL55" i="1"/>
  <c r="BL258" i="1" s="1"/>
  <c r="CI68" i="1"/>
  <c r="CG127" i="1"/>
  <c r="CE68" i="1"/>
  <c r="CA68" i="1"/>
  <c r="CG112" i="1"/>
  <c r="CG115" i="1" s="1"/>
  <c r="U53" i="1"/>
  <c r="W54" i="1"/>
  <c r="W56" i="1" s="1"/>
  <c r="Y68" i="1"/>
  <c r="Q53" i="1"/>
  <c r="AM55" i="1"/>
  <c r="AM258" i="1" s="1"/>
  <c r="CC68" i="1"/>
  <c r="K53" i="1"/>
  <c r="CG126" i="1"/>
  <c r="N53" i="1"/>
  <c r="CG68" i="1"/>
  <c r="CL202" i="1"/>
  <c r="CL65" i="1"/>
  <c r="CL206" i="1"/>
  <c r="CL208" i="1" s="1"/>
  <c r="CL79" i="1"/>
  <c r="CK199" i="1"/>
  <c r="CN197" i="1"/>
  <c r="CO197" i="1" s="1"/>
  <c r="CP197" i="1" s="1"/>
  <c r="CQ197" i="1" s="1"/>
  <c r="CR197" i="1" s="1"/>
  <c r="CS197" i="1" s="1"/>
  <c r="CT197" i="1" s="1"/>
  <c r="CU197" i="1" s="1"/>
  <c r="CV197" i="1" s="1"/>
  <c r="CW197" i="1" s="1"/>
  <c r="CX197" i="1" s="1"/>
  <c r="CY197" i="1" s="1"/>
  <c r="CZ197" i="1" s="1"/>
  <c r="DA197" i="1" s="1"/>
  <c r="CM198" i="1"/>
  <c r="BX54" i="1"/>
  <c r="BX53" i="1"/>
  <c r="CJ57" i="1"/>
  <c r="J247" i="1"/>
  <c r="AE5" i="1"/>
  <c r="C55" i="1"/>
  <c r="D56" i="1"/>
  <c r="M55" i="1"/>
  <c r="M258" i="1" s="1"/>
  <c r="F247" i="1"/>
  <c r="M247" i="1"/>
  <c r="F55" i="1"/>
  <c r="F258" i="1" s="1"/>
  <c r="J55" i="1"/>
  <c r="J258" i="1" s="1"/>
  <c r="C247" i="1"/>
  <c r="M56" i="1"/>
  <c r="E56" i="1"/>
  <c r="E206" i="1"/>
  <c r="E208" i="1" s="1"/>
  <c r="E55" i="1"/>
  <c r="E258" i="1" s="1"/>
  <c r="E247" i="1"/>
  <c r="F56" i="1"/>
  <c r="C56" i="1"/>
  <c r="K56" i="1"/>
  <c r="L56" i="1"/>
  <c r="T247" i="1"/>
  <c r="T55" i="1"/>
  <c r="T258" i="1" s="1"/>
  <c r="T61" i="1"/>
  <c r="O247" i="1"/>
  <c r="O55" i="1"/>
  <c r="O258" i="1" s="1"/>
  <c r="O61" i="1"/>
  <c r="R55" i="1"/>
  <c r="R258" i="1" s="1"/>
  <c r="R61" i="1"/>
  <c r="R247" i="1"/>
  <c r="R56" i="1"/>
  <c r="Q55" i="1"/>
  <c r="Q258" i="1" s="1"/>
  <c r="Q247" i="1"/>
  <c r="Q61" i="1"/>
  <c r="P56" i="1"/>
  <c r="P55" i="1"/>
  <c r="P258" i="1" s="1"/>
  <c r="P61" i="1"/>
  <c r="Q56" i="1"/>
  <c r="P247" i="1"/>
  <c r="H55" i="1"/>
  <c r="H258" i="1" s="1"/>
  <c r="H61" i="1"/>
  <c r="H247" i="1"/>
  <c r="N55" i="1"/>
  <c r="N258" i="1" s="1"/>
  <c r="O56" i="1"/>
  <c r="N61" i="1"/>
  <c r="N247" i="1"/>
  <c r="N56" i="1"/>
  <c r="G55" i="1"/>
  <c r="G258" i="1" s="1"/>
  <c r="H56" i="1"/>
  <c r="G61" i="1"/>
  <c r="G247" i="1"/>
  <c r="G56" i="1"/>
  <c r="K61" i="1"/>
  <c r="K247" i="1"/>
  <c r="K55" i="1"/>
  <c r="K258" i="1" s="1"/>
  <c r="L247" i="1"/>
  <c r="L61" i="1"/>
  <c r="L206" i="1" s="1"/>
  <c r="L208" i="1" s="1"/>
  <c r="L55" i="1"/>
  <c r="L258" i="1" s="1"/>
  <c r="I56" i="1"/>
  <c r="I61" i="1"/>
  <c r="I206" i="1" s="1"/>
  <c r="I208" i="1" s="1"/>
  <c r="I55" i="1"/>
  <c r="I258" i="1" s="1"/>
  <c r="I247" i="1"/>
  <c r="CQ40" i="1"/>
  <c r="CN215" i="1"/>
  <c r="CG108" i="1"/>
  <c r="CG109" i="1"/>
  <c r="CG107" i="1"/>
  <c r="BZ54" i="1"/>
  <c r="BZ53" i="1"/>
  <c r="CI55" i="1"/>
  <c r="CI258" i="1" s="1"/>
  <c r="CI61" i="1"/>
  <c r="CI247" i="1"/>
  <c r="CN141" i="1"/>
  <c r="CO137" i="1"/>
  <c r="CO196" i="1"/>
  <c r="CI56" i="1"/>
  <c r="CE61" i="1"/>
  <c r="CE55" i="1"/>
  <c r="CE258" i="1" s="1"/>
  <c r="CE247" i="1"/>
  <c r="BY54" i="1"/>
  <c r="BY53" i="1"/>
  <c r="CM194" i="1"/>
  <c r="V61" i="1"/>
  <c r="V55" i="1"/>
  <c r="V258" i="1" s="1"/>
  <c r="V247" i="1"/>
  <c r="AJ61" i="1"/>
  <c r="AJ247" i="1"/>
  <c r="AJ55" i="1"/>
  <c r="AK57" i="1"/>
  <c r="AM240" i="1"/>
  <c r="CG56" i="1"/>
  <c r="CG247" i="1"/>
  <c r="CG61" i="1"/>
  <c r="CJ240" i="1"/>
  <c r="CH57" i="1"/>
  <c r="CG55" i="1"/>
  <c r="CG258" i="1" s="1"/>
  <c r="CA247" i="1"/>
  <c r="CE56" i="1"/>
  <c r="CA61" i="1"/>
  <c r="CA55" i="1"/>
  <c r="CA258" i="1" s="1"/>
  <c r="CO78" i="1"/>
  <c r="CP76" i="1"/>
  <c r="CJ247" i="1"/>
  <c r="CJ61" i="1"/>
  <c r="CJ258" i="1"/>
  <c r="CD57" i="1"/>
  <c r="CD55" i="1"/>
  <c r="CD258" i="1" s="1"/>
  <c r="CD247" i="1"/>
  <c r="CE57" i="1"/>
  <c r="CD61" i="1"/>
  <c r="CH56" i="1"/>
  <c r="CM262" i="1"/>
  <c r="CM219" i="1"/>
  <c r="Z54" i="1"/>
  <c r="AA56" i="1" s="1"/>
  <c r="Z53" i="1"/>
  <c r="Y54" i="1"/>
  <c r="Y53" i="1"/>
  <c r="D55" i="1"/>
  <c r="D61" i="1"/>
  <c r="D247" i="1"/>
  <c r="CF54" i="1"/>
  <c r="CF53" i="1"/>
  <c r="AK61" i="1"/>
  <c r="AK55" i="1"/>
  <c r="AK247" i="1"/>
  <c r="AL57" i="1"/>
  <c r="CD76" i="1"/>
  <c r="CE78" i="1"/>
  <c r="CB53" i="1"/>
  <c r="CB54" i="1"/>
  <c r="AL247" i="1"/>
  <c r="AL61" i="1"/>
  <c r="AL55" i="1"/>
  <c r="AL258" i="1" s="1"/>
  <c r="AM57" i="1"/>
  <c r="X54" i="1"/>
  <c r="X53" i="1"/>
  <c r="W247" i="1"/>
  <c r="CC247" i="1"/>
  <c r="CC55" i="1"/>
  <c r="CC258" i="1" s="1"/>
  <c r="CC61" i="1"/>
  <c r="CO215" i="1"/>
  <c r="CP153" i="1"/>
  <c r="CP215" i="1" s="1"/>
  <c r="AB153" i="1"/>
  <c r="CO192" i="1"/>
  <c r="CF112" i="1"/>
  <c r="CF120" i="1"/>
  <c r="CF121" i="1"/>
  <c r="CH247" i="1"/>
  <c r="CH61" i="1"/>
  <c r="CH55" i="1"/>
  <c r="CH258" i="1" s="1"/>
  <c r="CI57" i="1"/>
  <c r="U247" i="1"/>
  <c r="U56" i="1"/>
  <c r="V56" i="1"/>
  <c r="U55" i="1"/>
  <c r="U258" i="1" s="1"/>
  <c r="U61" i="1"/>
  <c r="W146" i="1"/>
  <c r="T185" i="1"/>
  <c r="T92" i="1"/>
  <c r="L168" i="1"/>
  <c r="N145" i="1"/>
  <c r="R150" i="1"/>
  <c r="T91" i="1"/>
  <c r="G90" i="1"/>
  <c r="S153" i="1"/>
  <c r="F163" i="1"/>
  <c r="W160" i="1"/>
  <c r="B145" i="1"/>
  <c r="U157" i="1"/>
  <c r="U192" i="1" s="1"/>
  <c r="R164" i="1"/>
  <c r="D184" i="1"/>
  <c r="F157" i="1"/>
  <c r="F192" i="1" s="1"/>
  <c r="J86" i="1"/>
  <c r="E176" i="1"/>
  <c r="H184" i="1"/>
  <c r="F184" i="1"/>
  <c r="I184" i="1"/>
  <c r="Q140" i="1"/>
  <c r="O172" i="1"/>
  <c r="Q158" i="1"/>
  <c r="Q193" i="1" s="1"/>
  <c r="I176" i="1"/>
  <c r="S166" i="1"/>
  <c r="S196" i="1" s="1"/>
  <c r="I153" i="1"/>
  <c r="S168" i="1"/>
  <c r="L157" i="1"/>
  <c r="L192" i="1" s="1"/>
  <c r="L149" i="1"/>
  <c r="V139" i="1"/>
  <c r="V167" i="1" s="1"/>
  <c r="K162" i="1"/>
  <c r="B139" i="1"/>
  <c r="B167" i="1" s="1"/>
  <c r="N132" i="1"/>
  <c r="C80" i="1"/>
  <c r="G163" i="1"/>
  <c r="S185" i="1"/>
  <c r="M130" i="1"/>
  <c r="B163" i="1"/>
  <c r="U156" i="1"/>
  <c r="K87" i="1"/>
  <c r="S163" i="1"/>
  <c r="I162" i="1"/>
  <c r="K131" i="1"/>
  <c r="I185" i="1"/>
  <c r="H173" i="1"/>
  <c r="N92" i="1"/>
  <c r="E159" i="1"/>
  <c r="W148" i="1"/>
  <c r="W144" i="1" s="1"/>
  <c r="W132" i="1"/>
  <c r="B77" i="1"/>
  <c r="K148" i="1"/>
  <c r="K144" i="1" s="1"/>
  <c r="H177" i="1"/>
  <c r="B173" i="1"/>
  <c r="D130" i="1"/>
  <c r="T135" i="1"/>
  <c r="K146" i="1"/>
  <c r="T156" i="1"/>
  <c r="N86" i="1"/>
  <c r="H137" i="1"/>
  <c r="G92" i="1"/>
  <c r="W173" i="1"/>
  <c r="V90" i="1"/>
  <c r="J162" i="1"/>
  <c r="P91" i="1"/>
  <c r="V145" i="1"/>
  <c r="T86" i="1"/>
  <c r="B177" i="1"/>
  <c r="R140" i="1"/>
  <c r="I173" i="1"/>
  <c r="V156" i="1"/>
  <c r="F131" i="1"/>
  <c r="J130" i="1"/>
  <c r="V184" i="1"/>
  <c r="B150" i="1"/>
  <c r="V160" i="1"/>
  <c r="T155" i="1"/>
  <c r="R138" i="1"/>
  <c r="T159" i="1"/>
  <c r="I91" i="1"/>
  <c r="B185" i="1"/>
  <c r="O168" i="1"/>
  <c r="S80" i="1"/>
  <c r="D166" i="1"/>
  <c r="D196" i="1" s="1"/>
  <c r="K157" i="1"/>
  <c r="K192" i="1" s="1"/>
  <c r="S150" i="1"/>
  <c r="V80" i="1"/>
  <c r="C146" i="1"/>
  <c r="P177" i="1"/>
  <c r="D164" i="1"/>
  <c r="M80" i="1"/>
  <c r="K145" i="1"/>
  <c r="E91" i="1"/>
  <c r="C183" i="1"/>
  <c r="E131" i="1"/>
  <c r="T87" i="1"/>
  <c r="O156" i="1"/>
  <c r="Q177" i="1"/>
  <c r="U150" i="1"/>
  <c r="D146" i="1"/>
  <c r="U130" i="1"/>
  <c r="P157" i="1"/>
  <c r="P192" i="1" s="1"/>
  <c r="J155" i="1"/>
  <c r="L131" i="1"/>
  <c r="J159" i="1"/>
  <c r="D149" i="1"/>
  <c r="O185" i="1"/>
  <c r="E146" i="1"/>
  <c r="W131" i="1"/>
  <c r="M150" i="1"/>
  <c r="V146" i="1"/>
  <c r="K137" i="1"/>
  <c r="R159" i="1"/>
  <c r="I80" i="1"/>
  <c r="K140" i="1"/>
  <c r="W153" i="1"/>
  <c r="X215" i="1" s="1"/>
  <c r="T80" i="1"/>
  <c r="L130" i="1"/>
  <c r="F183" i="1"/>
  <c r="U87" i="1"/>
  <c r="P138" i="1"/>
  <c r="S131" i="1"/>
  <c r="J185" i="1"/>
  <c r="G137" i="1"/>
  <c r="I160" i="1"/>
  <c r="K172" i="1"/>
  <c r="K166" i="1"/>
  <c r="K196" i="1" s="1"/>
  <c r="L184" i="1"/>
  <c r="D173" i="1"/>
  <c r="Q146" i="1"/>
  <c r="V164" i="1"/>
  <c r="C132" i="1"/>
  <c r="B183" i="1"/>
  <c r="P156" i="1"/>
  <c r="F185" i="1"/>
  <c r="M162" i="1"/>
  <c r="Q87" i="1"/>
  <c r="Q163" i="1"/>
  <c r="V135" i="1"/>
  <c r="N87" i="1"/>
  <c r="D162" i="1"/>
  <c r="M87" i="1"/>
  <c r="V92" i="1"/>
  <c r="S157" i="1"/>
  <c r="S192" i="1" s="1"/>
  <c r="G148" i="1"/>
  <c r="G144" i="1" s="1"/>
  <c r="V177" i="1"/>
  <c r="K173" i="1"/>
  <c r="E139" i="1"/>
  <c r="E167" i="1" s="1"/>
  <c r="J150" i="1"/>
  <c r="Q80" i="1"/>
  <c r="U183" i="1"/>
  <c r="O160" i="1"/>
  <c r="L163" i="1"/>
  <c r="N183" i="1"/>
  <c r="R172" i="1"/>
  <c r="W92" i="1"/>
  <c r="J156" i="1"/>
  <c r="P155" i="1"/>
  <c r="F80" i="1"/>
  <c r="C172" i="1"/>
  <c r="B176" i="1"/>
  <c r="Q183" i="1"/>
  <c r="U159" i="1"/>
  <c r="N135" i="1"/>
  <c r="O173" i="1"/>
  <c r="Q153" i="1"/>
  <c r="R155" i="1"/>
  <c r="L145" i="1"/>
  <c r="F148" i="1"/>
  <c r="F144" i="1" s="1"/>
  <c r="T139" i="1"/>
  <c r="T167" i="1" s="1"/>
  <c r="W80" i="1"/>
  <c r="O145" i="1"/>
  <c r="V130" i="1"/>
  <c r="N176" i="1"/>
  <c r="I163" i="1"/>
  <c r="M173" i="1"/>
  <c r="O92" i="1"/>
  <c r="F146" i="1"/>
  <c r="R130" i="1"/>
  <c r="F92" i="1"/>
  <c r="U137" i="1"/>
  <c r="U177" i="1"/>
  <c r="W166" i="1"/>
  <c r="D87" i="1"/>
  <c r="L92" i="1"/>
  <c r="H131" i="1"/>
  <c r="H91" i="1"/>
  <c r="Q185" i="1"/>
  <c r="N138" i="1"/>
  <c r="P176" i="1"/>
  <c r="V159" i="1"/>
  <c r="B146" i="1"/>
  <c r="R148" i="1"/>
  <c r="R144" i="1" s="1"/>
  <c r="M131" i="1"/>
  <c r="V158" i="1"/>
  <c r="V193" i="1" s="1"/>
  <c r="G162" i="1"/>
  <c r="C131" i="1"/>
  <c r="N91" i="1"/>
  <c r="O91" i="1"/>
  <c r="C150" i="1"/>
  <c r="N90" i="1"/>
  <c r="U140" i="1"/>
  <c r="P146" i="1"/>
  <c r="U163" i="1"/>
  <c r="G153" i="1"/>
  <c r="N137" i="1"/>
  <c r="T90" i="1"/>
  <c r="F166" i="1"/>
  <c r="F196" i="1" s="1"/>
  <c r="R87" i="1"/>
  <c r="U162" i="1"/>
  <c r="U148" i="1"/>
  <c r="U144" i="1" s="1"/>
  <c r="L159" i="1"/>
  <c r="C135" i="1"/>
  <c r="E92" i="1"/>
  <c r="R156" i="1"/>
  <c r="E158" i="1"/>
  <c r="E193" i="1" s="1"/>
  <c r="K92" i="1"/>
  <c r="R183" i="1"/>
  <c r="V168" i="1"/>
  <c r="G173" i="1"/>
  <c r="V86" i="1"/>
  <c r="P132" i="1"/>
  <c r="L137" i="1"/>
  <c r="U184" i="1"/>
  <c r="I149" i="1"/>
  <c r="R173" i="1"/>
  <c r="E86" i="1"/>
  <c r="J160" i="1"/>
  <c r="E166" i="1"/>
  <c r="E196" i="1" s="1"/>
  <c r="W91" i="1"/>
  <c r="S130" i="1"/>
  <c r="W87" i="1"/>
  <c r="B159" i="1"/>
  <c r="J149" i="1"/>
  <c r="U145" i="1"/>
  <c r="Q148" i="1"/>
  <c r="Q144" i="1" s="1"/>
  <c r="U149" i="1"/>
  <c r="U86" i="1"/>
  <c r="H138" i="1"/>
  <c r="F149" i="1"/>
  <c r="N173" i="1"/>
  <c r="B80" i="1"/>
  <c r="M157" i="1"/>
  <c r="M192" i="1" s="1"/>
  <c r="O158" i="1"/>
  <c r="O193" i="1" s="1"/>
  <c r="P185" i="1"/>
  <c r="V185" i="1"/>
  <c r="O87" i="1"/>
  <c r="O148" i="1"/>
  <c r="O144" i="1" s="1"/>
  <c r="H153" i="1"/>
  <c r="N80" i="1"/>
  <c r="Q173" i="1"/>
  <c r="H132" i="1"/>
  <c r="T145" i="1"/>
  <c r="T137" i="1"/>
  <c r="U135" i="1"/>
  <c r="O132" i="1"/>
  <c r="E90" i="1"/>
  <c r="W159" i="1"/>
  <c r="D158" i="1"/>
  <c r="D193" i="1" s="1"/>
  <c r="N163" i="1"/>
  <c r="O183" i="1"/>
  <c r="F140" i="1"/>
  <c r="I164" i="1"/>
  <c r="M166" i="1"/>
  <c r="M196" i="1" s="1"/>
  <c r="T153" i="1"/>
  <c r="L150" i="1"/>
  <c r="M92" i="1"/>
  <c r="T131" i="1"/>
  <c r="M138" i="1"/>
  <c r="S138" i="1"/>
  <c r="P163" i="1"/>
  <c r="D140" i="1"/>
  <c r="E135" i="1"/>
  <c r="W90" i="1"/>
  <c r="H158" i="1"/>
  <c r="H193" i="1" s="1"/>
  <c r="V157" i="1"/>
  <c r="V192" i="1" s="1"/>
  <c r="N156" i="1"/>
  <c r="C140" i="1"/>
  <c r="N164" i="1"/>
  <c r="B158" i="1"/>
  <c r="B193" i="1" s="1"/>
  <c r="R177" i="1"/>
  <c r="N162" i="1"/>
  <c r="V140" i="1"/>
  <c r="C166" i="1"/>
  <c r="C196" i="1" s="1"/>
  <c r="F138" i="1"/>
  <c r="S90" i="1"/>
  <c r="P137" i="1"/>
  <c r="D168" i="1"/>
  <c r="I166" i="1"/>
  <c r="I196" i="1" s="1"/>
  <c r="C87" i="1"/>
  <c r="O166" i="1"/>
  <c r="O196" i="1" s="1"/>
  <c r="U173" i="1"/>
  <c r="B149" i="1"/>
  <c r="U185" i="1"/>
  <c r="F139" i="1"/>
  <c r="F167" i="1" s="1"/>
  <c r="F177" i="1"/>
  <c r="O137" i="1"/>
  <c r="S184" i="1"/>
  <c r="D86" i="1"/>
  <c r="G183" i="1"/>
  <c r="M185" i="1"/>
  <c r="E173" i="1"/>
  <c r="E174" i="1" s="1"/>
  <c r="F222" i="1" s="1"/>
  <c r="Q159" i="1"/>
  <c r="S164" i="1"/>
  <c r="D90" i="1"/>
  <c r="K177" i="1"/>
  <c r="I86" i="1"/>
  <c r="C139" i="1"/>
  <c r="C167" i="1" s="1"/>
  <c r="Q137" i="1"/>
  <c r="N184" i="1"/>
  <c r="R149" i="1"/>
  <c r="B144" i="1"/>
  <c r="S146" i="1"/>
  <c r="G157" i="1"/>
  <c r="G192" i="1" s="1"/>
  <c r="B90" i="1"/>
  <c r="E155" i="1"/>
  <c r="E163" i="1"/>
  <c r="N157" i="1"/>
  <c r="N192" i="1" s="1"/>
  <c r="H146" i="1"/>
  <c r="T164" i="1"/>
  <c r="V173" i="1"/>
  <c r="E168" i="1"/>
  <c r="R92" i="1"/>
  <c r="L183" i="1"/>
  <c r="K156" i="1"/>
  <c r="F173" i="1"/>
  <c r="J146" i="1"/>
  <c r="H168" i="1"/>
  <c r="M155" i="1"/>
  <c r="T140" i="1"/>
  <c r="Q131" i="1"/>
  <c r="I150" i="1"/>
  <c r="K158" i="1"/>
  <c r="K193" i="1" s="1"/>
  <c r="E130" i="1"/>
  <c r="W139" i="1"/>
  <c r="W167" i="1" s="1"/>
  <c r="R131" i="1"/>
  <c r="U132" i="1"/>
  <c r="C90" i="1"/>
  <c r="Q184" i="1"/>
  <c r="N158" i="1"/>
  <c r="N193" i="1" s="1"/>
  <c r="W149" i="1"/>
  <c r="P92" i="1"/>
  <c r="F162" i="1"/>
  <c r="S140" i="1"/>
  <c r="O86" i="1"/>
  <c r="G86" i="1"/>
  <c r="R162" i="1"/>
  <c r="M183" i="1"/>
  <c r="Q90" i="1"/>
  <c r="I87" i="1"/>
  <c r="C160" i="1"/>
  <c r="M139" i="1"/>
  <c r="M167" i="1" s="1"/>
  <c r="C138" i="1"/>
  <c r="D159" i="1"/>
  <c r="U158" i="1"/>
  <c r="U193" i="1" s="1"/>
  <c r="Q149" i="1"/>
  <c r="J184" i="1"/>
  <c r="F172" i="1"/>
  <c r="D177" i="1"/>
  <c r="H148" i="1"/>
  <c r="H144" i="1" s="1"/>
  <c r="L91" i="1"/>
  <c r="E164" i="1"/>
  <c r="Q145" i="1"/>
  <c r="N148" i="1"/>
  <c r="N144" i="1" s="1"/>
  <c r="F176" i="1"/>
  <c r="Q91" i="1"/>
  <c r="S162" i="1"/>
  <c r="V131" i="1"/>
  <c r="J92" i="1"/>
  <c r="E87" i="1"/>
  <c r="C76" i="1"/>
  <c r="C177" i="1"/>
  <c r="H135" i="1"/>
  <c r="P164" i="1"/>
  <c r="K155" i="1"/>
  <c r="C130" i="1"/>
  <c r="M164" i="1"/>
  <c r="D92" i="1"/>
  <c r="J173" i="1"/>
  <c r="T183" i="1"/>
  <c r="S92" i="1"/>
  <c r="B164" i="1"/>
  <c r="R184" i="1"/>
  <c r="H149" i="1"/>
  <c r="R176" i="1"/>
  <c r="B138" i="1"/>
  <c r="G164" i="1"/>
  <c r="L160" i="1"/>
  <c r="K160" i="1"/>
  <c r="H163" i="1"/>
  <c r="J164" i="1"/>
  <c r="J140" i="1"/>
  <c r="G159" i="1"/>
  <c r="E137" i="1"/>
  <c r="W158" i="1"/>
  <c r="B155" i="1"/>
  <c r="G131" i="1"/>
  <c r="O130" i="1"/>
  <c r="J131" i="1"/>
  <c r="O149" i="1"/>
  <c r="Q168" i="1"/>
  <c r="V166" i="1"/>
  <c r="V196" i="1" s="1"/>
  <c r="M184" i="1"/>
  <c r="L176" i="1"/>
  <c r="N168" i="1"/>
  <c r="Q156" i="1"/>
  <c r="C156" i="1"/>
  <c r="N185" i="1"/>
  <c r="I135" i="1"/>
  <c r="Q138" i="1"/>
  <c r="E185" i="1"/>
  <c r="R145" i="1"/>
  <c r="I168" i="1"/>
  <c r="V137" i="1"/>
  <c r="R153" i="1"/>
  <c r="N166" i="1"/>
  <c r="N196" i="1" s="1"/>
  <c r="I138" i="1"/>
  <c r="U172" i="1"/>
  <c r="G145" i="1"/>
  <c r="L158" i="1"/>
  <c r="L193" i="1" s="1"/>
  <c r="V138" i="1"/>
  <c r="O176" i="1"/>
  <c r="G150" i="1"/>
  <c r="K184" i="1"/>
  <c r="N131" i="1"/>
  <c r="O157" i="1"/>
  <c r="O192" i="1" s="1"/>
  <c r="R166" i="1"/>
  <c r="R196" i="1" s="1"/>
  <c r="B172" i="1"/>
  <c r="L138" i="1"/>
  <c r="K86" i="1"/>
  <c r="D155" i="1"/>
  <c r="U80" i="1"/>
  <c r="L155" i="1"/>
  <c r="P130" i="1"/>
  <c r="H166" i="1"/>
  <c r="H196" i="1" s="1"/>
  <c r="G130" i="1"/>
  <c r="I148" i="1"/>
  <c r="I144" i="1" s="1"/>
  <c r="L146" i="1"/>
  <c r="Q164" i="1"/>
  <c r="C149" i="1"/>
  <c r="S173" i="1"/>
  <c r="H156" i="1"/>
  <c r="C173" i="1"/>
  <c r="D176" i="1"/>
  <c r="D153" i="1"/>
  <c r="D137" i="1"/>
  <c r="E150" i="1"/>
  <c r="E183" i="1"/>
  <c r="S176" i="1"/>
  <c r="U90" i="1"/>
  <c r="H172" i="1"/>
  <c r="K139" i="1"/>
  <c r="K167" i="1" s="1"/>
  <c r="I139" i="1"/>
  <c r="I167" i="1" s="1"/>
  <c r="S145" i="1"/>
  <c r="I92" i="1"/>
  <c r="T172" i="1"/>
  <c r="E157" i="1"/>
  <c r="E192" i="1" s="1"/>
  <c r="J163" i="1"/>
  <c r="W185" i="1"/>
  <c r="B135" i="1"/>
  <c r="M135" i="1"/>
  <c r="Q139" i="1"/>
  <c r="Q167" i="1" s="1"/>
  <c r="W164" i="1"/>
  <c r="P86" i="1"/>
  <c r="G155" i="1"/>
  <c r="C185" i="1"/>
  <c r="N155" i="1"/>
  <c r="G80" i="1"/>
  <c r="R185" i="1"/>
  <c r="I183" i="1"/>
  <c r="O140" i="1"/>
  <c r="T150" i="1"/>
  <c r="F145" i="1"/>
  <c r="O90" i="1"/>
  <c r="R86" i="1"/>
  <c r="M159" i="1"/>
  <c r="K130" i="1"/>
  <c r="O80" i="1"/>
  <c r="P145" i="1"/>
  <c r="U91" i="1"/>
  <c r="C164" i="1"/>
  <c r="W138" i="1"/>
  <c r="F164" i="1"/>
  <c r="J157" i="1"/>
  <c r="J192" i="1" s="1"/>
  <c r="W177" i="1"/>
  <c r="M146" i="1"/>
  <c r="F155" i="1"/>
  <c r="V163" i="1"/>
  <c r="K164" i="1"/>
  <c r="Q132" i="1"/>
  <c r="E145" i="1"/>
  <c r="U92" i="1"/>
  <c r="O153" i="1"/>
  <c r="M153" i="1"/>
  <c r="B168" i="1"/>
  <c r="M168" i="1"/>
  <c r="L156" i="1"/>
  <c r="M91" i="1"/>
  <c r="H87" i="1"/>
  <c r="B157" i="1"/>
  <c r="B192" i="1" s="1"/>
  <c r="W137" i="1"/>
  <c r="M156" i="1"/>
  <c r="B130" i="1"/>
  <c r="G168" i="1"/>
  <c r="I146" i="1"/>
  <c r="V176" i="1"/>
  <c r="N160" i="1"/>
  <c r="F156" i="1"/>
  <c r="N159" i="1"/>
  <c r="T162" i="1"/>
  <c r="I140" i="1"/>
  <c r="K91" i="1"/>
  <c r="T130" i="1"/>
  <c r="H139" i="1"/>
  <c r="H167" i="1" s="1"/>
  <c r="N153" i="1"/>
  <c r="C77" i="1"/>
  <c r="J172" i="1"/>
  <c r="L185" i="1"/>
  <c r="O146" i="1"/>
  <c r="F137" i="1"/>
  <c r="T184" i="1"/>
  <c r="W140" i="1"/>
  <c r="J176" i="1"/>
  <c r="D163" i="1"/>
  <c r="C159" i="1"/>
  <c r="O162" i="1"/>
  <c r="W86" i="1"/>
  <c r="W150" i="1"/>
  <c r="I90" i="1"/>
  <c r="L172" i="1"/>
  <c r="E138" i="1"/>
  <c r="L177" i="1"/>
  <c r="R132" i="1"/>
  <c r="C176" i="1"/>
  <c r="J166" i="1"/>
  <c r="J196" i="1" s="1"/>
  <c r="Q172" i="1"/>
  <c r="G160" i="1"/>
  <c r="F158" i="1"/>
  <c r="F193" i="1" s="1"/>
  <c r="H157" i="1"/>
  <c r="H192" i="1" s="1"/>
  <c r="Q130" i="1"/>
  <c r="R135" i="1"/>
  <c r="P184" i="1"/>
  <c r="O138" i="1"/>
  <c r="H185" i="1"/>
  <c r="F159" i="1"/>
  <c r="M163" i="1"/>
  <c r="B140" i="1"/>
  <c r="H155" i="1"/>
  <c r="N177" i="1"/>
  <c r="R91" i="1"/>
  <c r="G140" i="1"/>
  <c r="G184" i="1"/>
  <c r="O177" i="1"/>
  <c r="P172" i="1"/>
  <c r="P174" i="1" s="1"/>
  <c r="Q222" i="1" s="1"/>
  <c r="B76" i="1"/>
  <c r="K153" i="1"/>
  <c r="M160" i="1"/>
  <c r="O150" i="1"/>
  <c r="U138" i="1"/>
  <c r="I156" i="1"/>
  <c r="L162" i="1"/>
  <c r="H150" i="1"/>
  <c r="T149" i="1"/>
  <c r="E184" i="1"/>
  <c r="T132" i="1"/>
  <c r="T166" i="1"/>
  <c r="T196" i="1" s="1"/>
  <c r="Q86" i="1"/>
  <c r="U166" i="1"/>
  <c r="U196" i="1" s="1"/>
  <c r="R157" i="1"/>
  <c r="R192" i="1" s="1"/>
  <c r="G132" i="1"/>
  <c r="C162" i="1"/>
  <c r="M86" i="1"/>
  <c r="D144" i="1"/>
  <c r="B132" i="1"/>
  <c r="E132" i="1"/>
  <c r="M149" i="1"/>
  <c r="U176" i="1"/>
  <c r="G91" i="1"/>
  <c r="G149" i="1"/>
  <c r="H176" i="1"/>
  <c r="I158" i="1"/>
  <c r="I193" i="1" s="1"/>
  <c r="B184" i="1"/>
  <c r="H183" i="1"/>
  <c r="J80" i="1"/>
  <c r="C168" i="1"/>
  <c r="D131" i="1"/>
  <c r="T176" i="1"/>
  <c r="U153" i="1"/>
  <c r="F135" i="1"/>
  <c r="M90" i="1"/>
  <c r="C145" i="1"/>
  <c r="D150" i="1"/>
  <c r="W183" i="1"/>
  <c r="D172" i="1"/>
  <c r="G87" i="1"/>
  <c r="S137" i="1"/>
  <c r="D138" i="1"/>
  <c r="C157" i="1"/>
  <c r="C192" i="1" s="1"/>
  <c r="D77" i="1"/>
  <c r="K149" i="1"/>
  <c r="D185" i="1"/>
  <c r="E149" i="1"/>
  <c r="B166" i="1"/>
  <c r="B196" i="1" s="1"/>
  <c r="P80" i="1"/>
  <c r="C184" i="1"/>
  <c r="L148" i="1"/>
  <c r="L144" i="1" s="1"/>
  <c r="E162" i="1"/>
  <c r="V148" i="1"/>
  <c r="V144" i="1" s="1"/>
  <c r="L87" i="1"/>
  <c r="T158" i="1"/>
  <c r="T193" i="1" s="1"/>
  <c r="V162" i="1"/>
  <c r="K176" i="1"/>
  <c r="I172" i="1"/>
  <c r="K90" i="1"/>
  <c r="K163" i="1"/>
  <c r="M158" i="1"/>
  <c r="M193" i="1" s="1"/>
  <c r="P183" i="1"/>
  <c r="F91" i="1"/>
  <c r="J90" i="1"/>
  <c r="K150" i="1"/>
  <c r="P131" i="1"/>
  <c r="E148" i="1"/>
  <c r="E144" i="1" s="1"/>
  <c r="V150" i="1"/>
  <c r="R158" i="1"/>
  <c r="R193" i="1" s="1"/>
  <c r="S158" i="1"/>
  <c r="S193" i="1" s="1"/>
  <c r="S132" i="1"/>
  <c r="B148" i="1"/>
  <c r="J87" i="1"/>
  <c r="N140" i="1"/>
  <c r="M137" i="1"/>
  <c r="O164" i="1"/>
  <c r="O159" i="1"/>
  <c r="J91" i="1"/>
  <c r="H80" i="1"/>
  <c r="O163" i="1"/>
  <c r="W162" i="1"/>
  <c r="P162" i="1"/>
  <c r="S172" i="1"/>
  <c r="L166" i="1"/>
  <c r="L196" i="1" s="1"/>
  <c r="K132" i="1"/>
  <c r="S156" i="1"/>
  <c r="T173" i="1"/>
  <c r="G185" i="1"/>
  <c r="G146" i="1"/>
  <c r="I131" i="1"/>
  <c r="S149" i="1"/>
  <c r="D160" i="1"/>
  <c r="N172" i="1"/>
  <c r="B156" i="1"/>
  <c r="L139" i="1"/>
  <c r="L167" i="1" s="1"/>
  <c r="C92" i="1"/>
  <c r="K138" i="1"/>
  <c r="D80" i="1"/>
  <c r="L86" i="1"/>
  <c r="F87" i="1"/>
  <c r="J148" i="1"/>
  <c r="J144" i="1" s="1"/>
  <c r="W172" i="1"/>
  <c r="T163" i="1"/>
  <c r="E160" i="1"/>
  <c r="F86" i="1"/>
  <c r="U131" i="1"/>
  <c r="S159" i="1"/>
  <c r="W155" i="1"/>
  <c r="L90" i="1"/>
  <c r="S87" i="1"/>
  <c r="W157" i="1"/>
  <c r="P160" i="1"/>
  <c r="S155" i="1"/>
  <c r="U164" i="1"/>
  <c r="N139" i="1"/>
  <c r="N167" i="1" s="1"/>
  <c r="H160" i="1"/>
  <c r="I159" i="1"/>
  <c r="I132" i="1"/>
  <c r="K135" i="1"/>
  <c r="I155" i="1"/>
  <c r="M176" i="1"/>
  <c r="H140" i="1"/>
  <c r="U146" i="1"/>
  <c r="N146" i="1"/>
  <c r="O131" i="1"/>
  <c r="R80" i="1"/>
  <c r="S135" i="1"/>
  <c r="H86" i="1"/>
  <c r="W168" i="1"/>
  <c r="D145" i="1"/>
  <c r="I157" i="1"/>
  <c r="I192" i="1" s="1"/>
  <c r="F90" i="1"/>
  <c r="C91" i="1"/>
  <c r="I145" i="1"/>
  <c r="R163" i="1"/>
  <c r="G156" i="1"/>
  <c r="J153" i="1"/>
  <c r="W176" i="1"/>
  <c r="B91" i="1"/>
  <c r="G139" i="1"/>
  <c r="G167" i="1" s="1"/>
  <c r="S91" i="1"/>
  <c r="F160" i="1"/>
  <c r="F132" i="1"/>
  <c r="R90" i="1"/>
  <c r="P87" i="1"/>
  <c r="M145" i="1"/>
  <c r="P159" i="1"/>
  <c r="G135" i="1"/>
  <c r="C158" i="1"/>
  <c r="C193" i="1" s="1"/>
  <c r="J139" i="1"/>
  <c r="J167" i="1" s="1"/>
  <c r="T138" i="1"/>
  <c r="L173" i="1"/>
  <c r="W156" i="1"/>
  <c r="W135" i="1"/>
  <c r="V91" i="1"/>
  <c r="N130" i="1"/>
  <c r="T160" i="1"/>
  <c r="P150" i="1"/>
  <c r="P139" i="1"/>
  <c r="P167" i="1" s="1"/>
  <c r="P149" i="1"/>
  <c r="L135" i="1"/>
  <c r="H145" i="1"/>
  <c r="J135" i="1"/>
  <c r="M148" i="1"/>
  <c r="M144" i="1" s="1"/>
  <c r="Q157" i="1"/>
  <c r="Q192" i="1" s="1"/>
  <c r="V183" i="1"/>
  <c r="M172" i="1"/>
  <c r="H130" i="1"/>
  <c r="B131" i="1"/>
  <c r="S177" i="1"/>
  <c r="O139" i="1"/>
  <c r="O167" i="1" s="1"/>
  <c r="P90" i="1"/>
  <c r="P135" i="1"/>
  <c r="G177" i="1"/>
  <c r="P158" i="1"/>
  <c r="P193" i="1" s="1"/>
  <c r="F150" i="1"/>
  <c r="Q160" i="1"/>
  <c r="R146" i="1"/>
  <c r="I177" i="1"/>
  <c r="P153" i="1"/>
  <c r="Q155" i="1"/>
  <c r="K185" i="1"/>
  <c r="T148" i="1"/>
  <c r="T144" i="1" s="1"/>
  <c r="V153" i="1"/>
  <c r="D183" i="1"/>
  <c r="F153" i="1"/>
  <c r="L80" i="1"/>
  <c r="U155" i="1"/>
  <c r="D91" i="1"/>
  <c r="H162" i="1"/>
  <c r="O155" i="1"/>
  <c r="B92" i="1"/>
  <c r="T146" i="1"/>
  <c r="M132" i="1"/>
  <c r="B162" i="1"/>
  <c r="L164" i="1"/>
  <c r="R168" i="1"/>
  <c r="U139" i="1"/>
  <c r="U167" i="1" s="1"/>
  <c r="I137" i="1"/>
  <c r="I130" i="1"/>
  <c r="F130" i="1"/>
  <c r="F168" i="1"/>
  <c r="U168" i="1"/>
  <c r="S183" i="1"/>
  <c r="E140" i="1"/>
  <c r="C163" i="1"/>
  <c r="S160" i="1"/>
  <c r="B153" i="1"/>
  <c r="B137" i="1"/>
  <c r="W184" i="1"/>
  <c r="K168" i="1"/>
  <c r="M177" i="1"/>
  <c r="D139" i="1"/>
  <c r="D167" i="1" s="1"/>
  <c r="H90" i="1"/>
  <c r="N149" i="1"/>
  <c r="V155" i="1"/>
  <c r="V87" i="1"/>
  <c r="C155" i="1"/>
  <c r="K159" i="1"/>
  <c r="D76" i="1"/>
  <c r="V132" i="1"/>
  <c r="J138" i="1"/>
  <c r="L153" i="1"/>
  <c r="Q176" i="1"/>
  <c r="D132" i="1"/>
  <c r="R160" i="1"/>
  <c r="G172" i="1"/>
  <c r="E80" i="1"/>
  <c r="C153" i="1"/>
  <c r="S139" i="1"/>
  <c r="S167" i="1" s="1"/>
  <c r="R139" i="1"/>
  <c r="R167" i="1" s="1"/>
  <c r="S148" i="1"/>
  <c r="S144" i="1" s="1"/>
  <c r="J177" i="1"/>
  <c r="T157" i="1"/>
  <c r="T192" i="1" s="1"/>
  <c r="E156" i="1"/>
  <c r="Q135" i="1"/>
  <c r="J183" i="1"/>
  <c r="J158" i="1"/>
  <c r="J193" i="1" s="1"/>
  <c r="J137" i="1"/>
  <c r="B160" i="1"/>
  <c r="J168" i="1"/>
  <c r="V172" i="1"/>
  <c r="O135" i="1"/>
  <c r="L140" i="1"/>
  <c r="R137" i="1"/>
  <c r="T168" i="1"/>
  <c r="O184" i="1"/>
  <c r="U160" i="1"/>
  <c r="S86" i="1"/>
  <c r="E153" i="1"/>
  <c r="H164" i="1"/>
  <c r="P148" i="1"/>
  <c r="P144" i="1" s="1"/>
  <c r="H92" i="1"/>
  <c r="C86" i="1"/>
  <c r="K80" i="1"/>
  <c r="C148" i="1"/>
  <c r="D156" i="1"/>
  <c r="Q162" i="1"/>
  <c r="W163" i="1"/>
  <c r="L132" i="1"/>
  <c r="C144" i="1"/>
  <c r="Q92" i="1"/>
  <c r="N150" i="1"/>
  <c r="G158" i="1"/>
  <c r="G193" i="1" s="1"/>
  <c r="D148" i="1"/>
  <c r="E177" i="1"/>
  <c r="T177" i="1"/>
  <c r="K183" i="1"/>
  <c r="Q150" i="1"/>
  <c r="J145" i="1"/>
  <c r="H159" i="1"/>
  <c r="D157" i="1"/>
  <c r="D192" i="1" s="1"/>
  <c r="V149" i="1"/>
  <c r="G138" i="1"/>
  <c r="M140" i="1"/>
  <c r="CZ90" i="1"/>
  <c r="CD1" i="1"/>
  <c r="CE1" i="1" s="1"/>
  <c r="CF1" i="1" s="1"/>
  <c r="CG1" i="1" s="1"/>
  <c r="CH1" i="1" s="1"/>
  <c r="CI1" i="1" s="1"/>
  <c r="CJ1" i="1" s="1"/>
  <c r="J206" i="1"/>
  <c r="J208" i="1" s="1"/>
  <c r="M206" i="1"/>
  <c r="M208" i="1" s="1"/>
  <c r="B65" i="1"/>
  <c r="F65" i="1"/>
  <c r="C65" i="1"/>
  <c r="S65" i="1"/>
  <c r="J65" i="1"/>
  <c r="S206" i="1"/>
  <c r="S208" i="1" s="1"/>
  <c r="M65" i="1"/>
  <c r="F206" i="1"/>
  <c r="F208" i="1" s="1"/>
  <c r="C206" i="1"/>
  <c r="C208" i="1" s="1"/>
  <c r="AG24" i="3"/>
  <c r="N19" i="3"/>
  <c r="R25" i="3"/>
  <c r="AB47" i="3"/>
  <c r="L13" i="3"/>
  <c r="R39" i="3"/>
  <c r="AQ11" i="3"/>
  <c r="AG39" i="3"/>
  <c r="AK14" i="3"/>
  <c r="AK29" i="3"/>
  <c r="AA26" i="3"/>
  <c r="N10" i="3"/>
  <c r="V29" i="3"/>
  <c r="AN14" i="3"/>
  <c r="AE31" i="3"/>
  <c r="J41" i="3"/>
  <c r="C27" i="3"/>
  <c r="P26" i="3"/>
  <c r="AO37" i="3"/>
  <c r="N23" i="3"/>
  <c r="AQ19" i="3"/>
  <c r="X11" i="3"/>
  <c r="AB73" i="3"/>
  <c r="AA34" i="3"/>
  <c r="S12" i="3"/>
  <c r="Q12" i="3"/>
  <c r="AG8" i="3"/>
  <c r="AK33" i="3"/>
  <c r="AM32" i="3"/>
  <c r="AP94" i="3"/>
  <c r="AP14" i="3"/>
  <c r="AE42" i="3"/>
  <c r="L34" i="3"/>
  <c r="AQ12" i="3"/>
  <c r="H40" i="3"/>
  <c r="P24" i="3"/>
  <c r="AP76" i="3"/>
  <c r="M14" i="3"/>
  <c r="AA36" i="3"/>
  <c r="V14" i="3"/>
  <c r="AM21" i="3"/>
  <c r="AH16" i="3"/>
  <c r="M33" i="3"/>
  <c r="AC41" i="3"/>
  <c r="AE35" i="3"/>
  <c r="L36" i="3"/>
  <c r="R7" i="3"/>
  <c r="Q25" i="3"/>
  <c r="C25" i="3"/>
  <c r="AD49" i="3"/>
  <c r="AE14" i="3"/>
  <c r="AL34" i="3"/>
  <c r="U36" i="3"/>
  <c r="U6" i="3"/>
  <c r="V7" i="3"/>
  <c r="P25" i="3"/>
  <c r="AG42" i="3"/>
  <c r="AO29" i="3"/>
  <c r="AA13" i="3"/>
  <c r="T29" i="3"/>
  <c r="Y23" i="3"/>
  <c r="AJ41" i="3"/>
  <c r="X16" i="3"/>
  <c r="AP31" i="3"/>
  <c r="P41" i="3"/>
  <c r="AL29" i="3"/>
  <c r="K12" i="3"/>
  <c r="Z13" i="3"/>
  <c r="AJ24" i="3"/>
  <c r="P36" i="3"/>
  <c r="AM8" i="3"/>
  <c r="S10" i="3"/>
  <c r="R27" i="3"/>
  <c r="AA7" i="3"/>
  <c r="AH21" i="3"/>
  <c r="AQ37" i="3"/>
  <c r="J5" i="3"/>
  <c r="AA41" i="3"/>
  <c r="U5" i="3"/>
  <c r="AB56" i="3"/>
  <c r="AK24" i="3"/>
  <c r="O27" i="3"/>
  <c r="C24" i="3"/>
  <c r="O28" i="3"/>
  <c r="J31" i="3"/>
  <c r="C21" i="3"/>
  <c r="I32" i="3"/>
  <c r="AG27" i="3"/>
  <c r="M19" i="3"/>
  <c r="AB68" i="3"/>
  <c r="AH26" i="3"/>
  <c r="V40" i="3"/>
  <c r="I18" i="3"/>
  <c r="Y13" i="3"/>
  <c r="AJ31" i="3"/>
  <c r="AP35" i="3"/>
  <c r="AJ33" i="3"/>
  <c r="D49" i="3"/>
  <c r="AJ20" i="3"/>
  <c r="AB67" i="3"/>
  <c r="P42" i="3"/>
  <c r="R24" i="3"/>
  <c r="AJ29" i="3"/>
  <c r="I12" i="3"/>
  <c r="AC14" i="3"/>
  <c r="G32" i="3"/>
  <c r="AB54" i="3"/>
  <c r="AP80" i="3"/>
  <c r="AO28" i="3"/>
  <c r="K7" i="3"/>
  <c r="P11" i="3"/>
  <c r="AA6" i="3"/>
  <c r="S16" i="3"/>
  <c r="V35" i="3"/>
  <c r="C47" i="3"/>
  <c r="AD47" i="3"/>
  <c r="X41" i="3"/>
  <c r="AC40" i="3"/>
  <c r="AQ18" i="3"/>
  <c r="AB13" i="3"/>
  <c r="S32" i="3"/>
  <c r="U37" i="3"/>
  <c r="Z26" i="3"/>
  <c r="K42" i="3"/>
  <c r="S42" i="3"/>
  <c r="T12" i="3"/>
  <c r="X39" i="3"/>
  <c r="I39" i="3"/>
  <c r="AJ23" i="3"/>
  <c r="R42" i="3"/>
  <c r="AI42" i="3"/>
  <c r="AH19" i="3"/>
  <c r="O7" i="3"/>
  <c r="J58" i="3"/>
  <c r="I33" i="3"/>
  <c r="AK30" i="3"/>
  <c r="K29" i="3"/>
  <c r="AP30" i="3"/>
  <c r="AQ32" i="3"/>
  <c r="AP87" i="3"/>
  <c r="AK42" i="3"/>
  <c r="C15" i="3"/>
  <c r="T9" i="3"/>
  <c r="AD31" i="3"/>
  <c r="AJ9" i="3"/>
  <c r="L38" i="3"/>
  <c r="V10" i="3"/>
  <c r="S29" i="3"/>
  <c r="J18" i="3"/>
  <c r="AI41" i="3"/>
  <c r="AQ31" i="3"/>
  <c r="AE26" i="3"/>
  <c r="Z22" i="3"/>
  <c r="AL15" i="3"/>
  <c r="W30" i="3"/>
  <c r="H8" i="3"/>
  <c r="O41" i="3"/>
  <c r="P38" i="3"/>
  <c r="AA21" i="3"/>
  <c r="P10" i="3"/>
  <c r="AP83" i="3"/>
  <c r="L14" i="3"/>
  <c r="AL14" i="3"/>
  <c r="AH25" i="3"/>
  <c r="AB84" i="3"/>
  <c r="R10" i="3"/>
  <c r="AH11" i="3"/>
  <c r="AN6" i="3"/>
  <c r="Y26" i="3"/>
  <c r="O20" i="3"/>
  <c r="C22" i="3"/>
  <c r="AE6" i="3"/>
  <c r="N17" i="3"/>
  <c r="O36" i="3"/>
  <c r="AE9" i="3"/>
  <c r="C33" i="3"/>
  <c r="R37" i="3"/>
  <c r="AG19" i="3"/>
  <c r="AP25" i="3"/>
  <c r="V41" i="3"/>
  <c r="AP91" i="3"/>
  <c r="N15" i="3"/>
  <c r="N32" i="3"/>
  <c r="AA33" i="3"/>
  <c r="L30" i="3"/>
  <c r="K26" i="3"/>
  <c r="N16" i="3"/>
  <c r="AC10" i="3"/>
  <c r="AD23" i="3"/>
  <c r="AC6" i="3"/>
  <c r="AJ22" i="3"/>
  <c r="L39" i="3"/>
  <c r="J35" i="3"/>
  <c r="AH22" i="3"/>
  <c r="L5" i="3"/>
  <c r="X24" i="3"/>
  <c r="AH32" i="3"/>
  <c r="AA12" i="3"/>
  <c r="I10" i="3"/>
  <c r="P6" i="3"/>
  <c r="AA35" i="3"/>
  <c r="K14" i="3"/>
  <c r="AJ21" i="3"/>
  <c r="U7" i="3"/>
  <c r="X19" i="3"/>
  <c r="T30" i="3"/>
  <c r="V25" i="3"/>
  <c r="J24" i="3"/>
  <c r="C49" i="3"/>
  <c r="AQ26" i="3"/>
  <c r="U41" i="3"/>
  <c r="AI38" i="3"/>
  <c r="M38" i="3"/>
  <c r="AE7" i="3"/>
  <c r="AA24" i="3"/>
  <c r="AQ20" i="3"/>
  <c r="AQ28" i="3"/>
  <c r="I35" i="3"/>
  <c r="H16" i="3"/>
  <c r="AE37" i="3"/>
  <c r="AO7" i="3"/>
  <c r="AL20" i="3"/>
  <c r="Q22" i="3"/>
  <c r="I14" i="3"/>
  <c r="X14" i="3"/>
  <c r="M8" i="3"/>
  <c r="O18" i="3"/>
  <c r="I22" i="3"/>
  <c r="AP28" i="3"/>
  <c r="J39" i="3"/>
  <c r="T40" i="3"/>
  <c r="J38" i="3"/>
  <c r="AC7" i="3"/>
  <c r="AG34" i="3"/>
  <c r="T28" i="3"/>
  <c r="AA30" i="3"/>
  <c r="AB19" i="3"/>
  <c r="R11" i="3"/>
  <c r="AB6" i="3"/>
  <c r="AD36" i="3"/>
  <c r="L40" i="3"/>
  <c r="L8" i="3"/>
  <c r="Y36" i="3"/>
  <c r="AN13" i="3"/>
  <c r="AJ28" i="3"/>
  <c r="AQ24" i="3"/>
  <c r="AB78" i="3"/>
  <c r="AD21" i="3"/>
  <c r="J55" i="3"/>
  <c r="H13" i="3"/>
  <c r="H27" i="3"/>
  <c r="AG13" i="3"/>
  <c r="AB11" i="3"/>
  <c r="Z7" i="3"/>
  <c r="AK6" i="3"/>
  <c r="AC37" i="3"/>
  <c r="H7" i="3"/>
  <c r="M9" i="3"/>
  <c r="AD22" i="3"/>
  <c r="D50" i="3"/>
  <c r="O33" i="3"/>
  <c r="AN21" i="3"/>
  <c r="Q36" i="3"/>
  <c r="AI25" i="3"/>
  <c r="P7" i="3"/>
  <c r="AH15" i="3"/>
  <c r="C18" i="3"/>
  <c r="O35" i="3"/>
  <c r="J32" i="3"/>
  <c r="U12" i="3"/>
  <c r="AK38" i="3"/>
  <c r="K10" i="3"/>
  <c r="AP66" i="3"/>
  <c r="AO38" i="3"/>
  <c r="M27" i="3"/>
  <c r="AJ19" i="3"/>
  <c r="M25" i="3"/>
  <c r="AP37" i="3"/>
  <c r="L25" i="3"/>
  <c r="AP58" i="3"/>
  <c r="AG30" i="3"/>
  <c r="M7" i="3"/>
  <c r="AC29" i="3"/>
  <c r="U40" i="3"/>
  <c r="AP47" i="3"/>
  <c r="O39" i="3"/>
  <c r="Y11" i="3"/>
  <c r="AM7" i="3"/>
  <c r="AM29" i="3"/>
  <c r="L17" i="3"/>
  <c r="W5" i="3"/>
  <c r="AB59" i="3"/>
  <c r="AM26" i="3"/>
  <c r="AO15" i="3"/>
  <c r="AG40" i="3"/>
  <c r="AL25" i="3"/>
  <c r="AN24" i="3"/>
  <c r="Q40" i="3"/>
  <c r="AQ8" i="3"/>
  <c r="AP85" i="3"/>
  <c r="R16" i="3"/>
  <c r="U19" i="3"/>
  <c r="AP36" i="3"/>
  <c r="AI11" i="3"/>
  <c r="Y7" i="3"/>
  <c r="S5" i="3"/>
  <c r="AB58" i="3"/>
  <c r="AC33" i="3"/>
  <c r="AJ37" i="3"/>
  <c r="N24" i="3"/>
  <c r="AO25" i="3"/>
  <c r="AJ16" i="3"/>
  <c r="AB29" i="3"/>
  <c r="AA37" i="3"/>
  <c r="W65" i="3"/>
  <c r="Q24" i="3"/>
  <c r="AO40" i="3"/>
  <c r="R29" i="3"/>
  <c r="AC42" i="3"/>
  <c r="Q39" i="3"/>
  <c r="Y40" i="3"/>
  <c r="AO5" i="3"/>
  <c r="AP68" i="3"/>
  <c r="AH37" i="3"/>
  <c r="P33" i="3"/>
  <c r="AJ30" i="3"/>
  <c r="J14" i="3"/>
  <c r="O6" i="3"/>
  <c r="M23" i="3"/>
  <c r="N38" i="3"/>
  <c r="AC39" i="3"/>
  <c r="V21" i="3"/>
  <c r="U29" i="3"/>
  <c r="AN33" i="3"/>
  <c r="Y22" i="3"/>
  <c r="Z6" i="3"/>
  <c r="AP59" i="3"/>
  <c r="H34" i="3"/>
  <c r="AJ5" i="3"/>
  <c r="P40" i="3"/>
  <c r="AG32" i="3"/>
  <c r="AE11" i="3"/>
  <c r="W8" i="3"/>
  <c r="I24" i="3"/>
  <c r="J10" i="3"/>
  <c r="AN34" i="3"/>
  <c r="AA18" i="3"/>
  <c r="AC26" i="3"/>
  <c r="O9" i="3"/>
  <c r="AP10" i="3"/>
  <c r="T27" i="3"/>
  <c r="P9" i="3"/>
  <c r="AH6" i="3"/>
  <c r="AK27" i="3"/>
  <c r="AJ39" i="3"/>
  <c r="AP40" i="3"/>
  <c r="Y28" i="3"/>
  <c r="AQ10" i="3"/>
  <c r="AJ6" i="3"/>
  <c r="AO69" i="3"/>
  <c r="Z36" i="3"/>
  <c r="U16" i="3"/>
  <c r="AP65" i="3"/>
  <c r="AL26" i="3"/>
  <c r="AI12" i="3"/>
  <c r="T25" i="3"/>
  <c r="I26" i="3"/>
  <c r="AN15" i="3"/>
  <c r="AP34" i="3"/>
  <c r="AB69" i="3"/>
  <c r="X26" i="3"/>
  <c r="G40" i="3"/>
  <c r="Q8" i="3"/>
  <c r="AB77" i="3"/>
  <c r="O29" i="3"/>
  <c r="AE30" i="3"/>
  <c r="U14" i="3"/>
  <c r="AD39" i="3"/>
  <c r="U38" i="3"/>
  <c r="Z37" i="3"/>
  <c r="AO30" i="3"/>
  <c r="O16" i="3"/>
  <c r="Q23" i="3"/>
  <c r="AC28" i="3"/>
  <c r="AN38" i="3"/>
  <c r="C9" i="3"/>
  <c r="AI18" i="3"/>
  <c r="AN5" i="3"/>
  <c r="AB95" i="3"/>
  <c r="O15" i="3"/>
  <c r="P17" i="3"/>
  <c r="W9" i="3"/>
  <c r="T39" i="3"/>
  <c r="AO41" i="3"/>
  <c r="AJ14" i="3"/>
  <c r="W41" i="3"/>
  <c r="AE17" i="3"/>
  <c r="Q35" i="3"/>
  <c r="AA17" i="3"/>
  <c r="AO63" i="3"/>
  <c r="I5" i="3"/>
  <c r="AN90" i="3"/>
  <c r="AP19" i="3"/>
  <c r="AQ7" i="3"/>
  <c r="W17" i="3"/>
  <c r="AE24" i="3"/>
  <c r="O38" i="3"/>
  <c r="K39" i="3"/>
  <c r="AB9" i="3"/>
  <c r="AN73" i="3"/>
  <c r="AH29" i="3"/>
  <c r="L59" i="3"/>
  <c r="AI36" i="3"/>
  <c r="K17" i="3"/>
  <c r="C30" i="3"/>
  <c r="AE23" i="3"/>
  <c r="W19" i="3"/>
  <c r="AN9" i="3"/>
  <c r="L68" i="3"/>
  <c r="W55" i="3"/>
  <c r="AO31" i="3"/>
  <c r="W20" i="3"/>
  <c r="AC11" i="3"/>
  <c r="V37" i="3"/>
  <c r="R19" i="3"/>
  <c r="AO55" i="3"/>
  <c r="L76" i="3"/>
  <c r="AM28" i="3"/>
  <c r="V39" i="3"/>
  <c r="AK23" i="3"/>
  <c r="U21" i="3"/>
  <c r="C17" i="3"/>
  <c r="V27" i="3"/>
  <c r="AB91" i="3"/>
  <c r="L26" i="3"/>
  <c r="X42" i="3"/>
  <c r="AE12" i="3"/>
  <c r="V22" i="3"/>
  <c r="S89" i="3"/>
  <c r="AM5" i="3"/>
  <c r="AK32" i="3"/>
  <c r="AM19" i="3"/>
  <c r="AC31" i="3"/>
  <c r="W34" i="3"/>
  <c r="AD30" i="3"/>
  <c r="L47" i="3"/>
  <c r="AM9" i="3"/>
  <c r="J16" i="3"/>
  <c r="H37" i="3"/>
  <c r="J33" i="3"/>
  <c r="R22" i="3"/>
  <c r="AQ16" i="3"/>
  <c r="X7" i="3"/>
  <c r="L27" i="3"/>
  <c r="AB31" i="3"/>
  <c r="K19" i="3"/>
  <c r="N39" i="3"/>
  <c r="W42" i="3"/>
  <c r="AG6" i="3"/>
  <c r="R30" i="3"/>
  <c r="AB89" i="3"/>
  <c r="AQ5" i="3"/>
  <c r="U10" i="3"/>
  <c r="L82" i="3"/>
  <c r="AP49" i="3"/>
  <c r="AE40" i="3"/>
  <c r="AK31" i="3"/>
  <c r="U22" i="3"/>
  <c r="S14" i="3"/>
  <c r="V31" i="3"/>
  <c r="AN19" i="3"/>
  <c r="L89" i="3"/>
  <c r="AO70" i="3"/>
  <c r="AJ87" i="3"/>
  <c r="U57" i="3"/>
  <c r="AB20" i="3"/>
  <c r="AP18" i="3"/>
  <c r="AH5" i="3"/>
  <c r="V36" i="3"/>
  <c r="AP78" i="3"/>
  <c r="O37" i="3"/>
  <c r="W11" i="3"/>
  <c r="AK41" i="3"/>
  <c r="K22" i="3"/>
  <c r="L35" i="3"/>
  <c r="C40" i="3"/>
  <c r="R40" i="3"/>
  <c r="X8" i="3"/>
  <c r="AB55" i="3"/>
  <c r="AB21" i="3"/>
  <c r="AA15" i="3"/>
  <c r="I16" i="3"/>
  <c r="AE38" i="3"/>
  <c r="T19" i="3"/>
  <c r="AH47" i="3"/>
  <c r="S25" i="3"/>
  <c r="AI5" i="3"/>
  <c r="AQ40" i="3"/>
  <c r="V16" i="3"/>
  <c r="AL31" i="3"/>
  <c r="AM12" i="3"/>
  <c r="AG11" i="3"/>
  <c r="AG12" i="3"/>
  <c r="P35" i="3"/>
  <c r="C28" i="3"/>
  <c r="AA8" i="3"/>
  <c r="P19" i="3"/>
  <c r="O8" i="3"/>
  <c r="AK39" i="3"/>
  <c r="W12" i="3"/>
  <c r="AB12" i="3"/>
  <c r="H41" i="3"/>
  <c r="AB74" i="3"/>
  <c r="AA25" i="3"/>
  <c r="AL30" i="3"/>
  <c r="AC19" i="3"/>
  <c r="AN11" i="3"/>
  <c r="G33" i="3"/>
  <c r="V28" i="3"/>
  <c r="I41" i="3"/>
  <c r="AB23" i="3"/>
  <c r="T26" i="3"/>
  <c r="AH88" i="3"/>
  <c r="AE18" i="3"/>
  <c r="AE41" i="3"/>
  <c r="W89" i="3"/>
  <c r="C6" i="3"/>
  <c r="AM24" i="3"/>
  <c r="AC34" i="3"/>
  <c r="J61" i="3"/>
  <c r="S83" i="3"/>
  <c r="U55" i="3"/>
  <c r="R41" i="3"/>
  <c r="AN18" i="3"/>
  <c r="AP82" i="3"/>
  <c r="AN81" i="3"/>
  <c r="W33" i="3"/>
  <c r="AA16" i="3"/>
  <c r="AD40" i="3"/>
  <c r="U72" i="3"/>
  <c r="V11" i="3"/>
  <c r="J13" i="3"/>
  <c r="AN26" i="3"/>
  <c r="T35" i="3"/>
  <c r="C12" i="3"/>
  <c r="M34" i="3"/>
  <c r="U25" i="3"/>
  <c r="AQ9" i="3"/>
  <c r="AH17" i="3"/>
  <c r="L70" i="3"/>
  <c r="O42" i="3"/>
  <c r="U96" i="3"/>
  <c r="AA10" i="3"/>
  <c r="AO12" i="3"/>
  <c r="Q15" i="3"/>
  <c r="AO68" i="3"/>
  <c r="AB28" i="3"/>
  <c r="AP72" i="3"/>
  <c r="U67" i="3"/>
  <c r="M18" i="3"/>
  <c r="AC13" i="3"/>
  <c r="N5" i="3"/>
  <c r="AD24" i="3"/>
  <c r="J26" i="3"/>
  <c r="Z10" i="3"/>
  <c r="X18" i="3"/>
  <c r="H29" i="3"/>
  <c r="AP55" i="3"/>
  <c r="AI22" i="3"/>
  <c r="AO27" i="3"/>
  <c r="AL33" i="3"/>
  <c r="O11" i="3"/>
  <c r="I40" i="3"/>
  <c r="AI16" i="3"/>
  <c r="AB57" i="3"/>
  <c r="Y15" i="3"/>
  <c r="S8" i="3"/>
  <c r="N27" i="3"/>
  <c r="AN42" i="3"/>
  <c r="W40" i="3"/>
  <c r="N26" i="3"/>
  <c r="Z39" i="3"/>
  <c r="V8" i="3"/>
  <c r="W92" i="3"/>
  <c r="AH65" i="3"/>
  <c r="AE36" i="3"/>
  <c r="I27" i="3"/>
  <c r="AN27" i="3"/>
  <c r="R8" i="3"/>
  <c r="AK10" i="3"/>
  <c r="J75" i="3"/>
  <c r="T22" i="3"/>
  <c r="Y27" i="3"/>
  <c r="AC15" i="3"/>
  <c r="AL39" i="3"/>
  <c r="AL40" i="3"/>
  <c r="M39" i="3"/>
  <c r="K11" i="3"/>
  <c r="J94" i="3"/>
  <c r="AM13" i="3"/>
  <c r="AG37" i="3"/>
  <c r="AK22" i="3"/>
  <c r="AN85" i="3"/>
  <c r="W88" i="3"/>
  <c r="S73" i="3"/>
  <c r="G35" i="3"/>
  <c r="M22" i="3"/>
  <c r="X28" i="3"/>
  <c r="W7" i="3"/>
  <c r="W15" i="3"/>
  <c r="AA19" i="3"/>
  <c r="C41" i="3"/>
  <c r="V24" i="3"/>
  <c r="D48" i="3"/>
  <c r="AM31" i="3"/>
  <c r="Q21" i="3"/>
  <c r="AO90" i="3"/>
  <c r="AC8" i="3"/>
  <c r="W31" i="3"/>
  <c r="W49" i="3"/>
  <c r="AB10" i="3"/>
  <c r="X22" i="3"/>
  <c r="AJ56" i="3"/>
  <c r="Q9" i="3"/>
  <c r="S24" i="3"/>
  <c r="AK17" i="3"/>
  <c r="AM25" i="3"/>
  <c r="AB42" i="3"/>
  <c r="S77" i="3"/>
  <c r="G41" i="3"/>
  <c r="AI97" i="3"/>
  <c r="U83" i="3"/>
  <c r="AI32" i="3"/>
  <c r="AK18" i="3"/>
  <c r="C26" i="3"/>
  <c r="AE8" i="3"/>
  <c r="Z18" i="3"/>
  <c r="I6" i="3"/>
  <c r="AK12" i="3"/>
  <c r="AO22" i="3"/>
  <c r="X37" i="3"/>
  <c r="J30" i="3"/>
  <c r="AM38" i="3"/>
  <c r="AN96" i="3"/>
  <c r="U35" i="3"/>
  <c r="Q32" i="3"/>
  <c r="AQ39" i="3"/>
  <c r="AI56" i="3"/>
  <c r="P16" i="3"/>
  <c r="N11" i="3"/>
  <c r="AD37" i="3"/>
  <c r="L11" i="3"/>
  <c r="X35" i="3"/>
  <c r="X31" i="3"/>
  <c r="AB60" i="3"/>
  <c r="X5" i="3"/>
  <c r="X6" i="3"/>
  <c r="AA11" i="3"/>
  <c r="AO11" i="3"/>
  <c r="AG10" i="3"/>
  <c r="O24" i="3"/>
  <c r="P37" i="3"/>
  <c r="H33" i="3"/>
  <c r="AH96" i="3"/>
  <c r="AB71" i="3"/>
  <c r="Z41" i="3"/>
  <c r="S11" i="3"/>
  <c r="E50" i="3"/>
  <c r="S9" i="3"/>
  <c r="AM18" i="3"/>
  <c r="X20" i="3"/>
  <c r="AB16" i="3"/>
  <c r="AJ13" i="3"/>
  <c r="Y5" i="3"/>
  <c r="AK25" i="3"/>
  <c r="V38" i="3"/>
  <c r="AL32" i="3"/>
  <c r="AN28" i="3"/>
  <c r="AP29" i="3"/>
  <c r="O5" i="3"/>
  <c r="N18" i="3"/>
  <c r="O95" i="3"/>
  <c r="N29" i="3"/>
  <c r="AI10" i="3"/>
  <c r="N21" i="3"/>
  <c r="AB22" i="3"/>
  <c r="O94" i="3"/>
  <c r="AN12" i="3"/>
  <c r="J17" i="3"/>
  <c r="AO14" i="3"/>
  <c r="T18" i="3"/>
  <c r="AA14" i="3"/>
  <c r="K40" i="3"/>
  <c r="Y57" i="3"/>
  <c r="AL18" i="3"/>
  <c r="AD20" i="3"/>
  <c r="T36" i="3"/>
  <c r="J21" i="3"/>
  <c r="AC12" i="3"/>
  <c r="Z12" i="3"/>
  <c r="AQ33" i="3"/>
  <c r="AI35" i="3"/>
  <c r="AC22" i="3"/>
  <c r="M29" i="3"/>
  <c r="AJ42" i="3"/>
  <c r="W6" i="3"/>
  <c r="L19" i="3"/>
  <c r="S28" i="3"/>
  <c r="AB17" i="3"/>
  <c r="W29" i="3"/>
  <c r="AO54" i="3"/>
  <c r="H30" i="3"/>
  <c r="AH78" i="3"/>
  <c r="V13" i="3"/>
  <c r="K38" i="3"/>
  <c r="Y9" i="3"/>
  <c r="C13" i="3"/>
  <c r="U28" i="3"/>
  <c r="AH34" i="3"/>
  <c r="M40" i="3"/>
  <c r="AN8" i="3"/>
  <c r="AD25" i="3"/>
  <c r="Y84" i="3"/>
  <c r="W39" i="3"/>
  <c r="I19" i="3"/>
  <c r="Y24" i="3"/>
  <c r="AP93" i="3"/>
  <c r="V15" i="3"/>
  <c r="AQ27" i="3"/>
  <c r="T16" i="3"/>
  <c r="AM41" i="3"/>
  <c r="L41" i="3"/>
  <c r="J12" i="3"/>
  <c r="AP77" i="3"/>
  <c r="AI26" i="3"/>
  <c r="AP63" i="3"/>
  <c r="AG16" i="3"/>
  <c r="V17" i="3"/>
  <c r="AI59" i="3"/>
  <c r="U31" i="3"/>
  <c r="J29" i="3"/>
  <c r="N36" i="3"/>
  <c r="M37" i="3"/>
  <c r="U17" i="3"/>
  <c r="S41" i="3"/>
  <c r="AQ36" i="3"/>
  <c r="AI13" i="3"/>
  <c r="AI27" i="3"/>
  <c r="L18" i="3"/>
  <c r="AB92" i="3"/>
  <c r="AO13" i="3"/>
  <c r="AP27" i="3"/>
  <c r="AO47" i="3"/>
  <c r="AK40" i="3"/>
  <c r="AO87" i="3"/>
  <c r="N30" i="3"/>
  <c r="M35" i="3"/>
  <c r="S63" i="3"/>
  <c r="AM42" i="3"/>
  <c r="AL23" i="3"/>
  <c r="AP16" i="3"/>
  <c r="S61" i="3"/>
  <c r="AO18" i="3"/>
  <c r="Y31" i="3"/>
  <c r="H12" i="3"/>
  <c r="Y34" i="3"/>
  <c r="AI24" i="3"/>
  <c r="C35" i="3"/>
  <c r="C32" i="3"/>
  <c r="T17" i="3"/>
  <c r="AP50" i="3"/>
  <c r="P39" i="3"/>
  <c r="U15" i="3"/>
  <c r="AI21" i="3"/>
  <c r="Z9" i="3"/>
  <c r="AE33" i="3"/>
  <c r="K34" i="3"/>
  <c r="X81" i="3"/>
  <c r="AB40" i="3"/>
  <c r="AA27" i="3"/>
  <c r="AH24" i="3"/>
  <c r="P31" i="3"/>
  <c r="S21" i="3"/>
  <c r="G49" i="3"/>
  <c r="U23" i="3"/>
  <c r="Y42" i="3"/>
  <c r="Y39" i="3"/>
  <c r="AD35" i="3"/>
  <c r="AB26" i="3"/>
  <c r="AN31" i="3"/>
  <c r="J22" i="3"/>
  <c r="N20" i="3"/>
  <c r="T5" i="3"/>
  <c r="V5" i="3"/>
  <c r="U27" i="3"/>
  <c r="AC36" i="3"/>
  <c r="AJ34" i="3"/>
  <c r="C48" i="3"/>
  <c r="AQ21" i="3"/>
  <c r="U20" i="3"/>
  <c r="S37" i="3"/>
  <c r="AL27" i="3"/>
  <c r="I20" i="3"/>
  <c r="L7" i="3"/>
  <c r="AN22" i="3"/>
  <c r="AL9" i="3"/>
  <c r="AK8" i="3"/>
  <c r="AH8" i="3"/>
  <c r="AK28" i="3"/>
  <c r="Z23" i="3"/>
  <c r="AI7" i="3"/>
  <c r="X29" i="3"/>
  <c r="AJ7" i="3"/>
  <c r="AL6" i="3"/>
  <c r="AJ32" i="3"/>
  <c r="AO20" i="3"/>
  <c r="AH28" i="3"/>
  <c r="T42" i="3"/>
  <c r="U18" i="3"/>
  <c r="P5" i="3"/>
  <c r="AL36" i="3"/>
  <c r="AM23" i="3"/>
  <c r="R9" i="3"/>
  <c r="Q27" i="3"/>
  <c r="V9" i="3"/>
  <c r="AC5" i="3"/>
  <c r="K27" i="3"/>
  <c r="L60" i="3"/>
  <c r="AG9" i="3"/>
  <c r="V34" i="3"/>
  <c r="V18" i="3"/>
  <c r="T34" i="3"/>
  <c r="W24" i="3"/>
  <c r="AL41" i="3"/>
  <c r="AD33" i="3"/>
  <c r="L24" i="3"/>
  <c r="AL22" i="3"/>
  <c r="Y20" i="3"/>
  <c r="AH38" i="3"/>
  <c r="AG33" i="3"/>
  <c r="AB64" i="3"/>
  <c r="M13" i="3"/>
  <c r="L61" i="3"/>
  <c r="AB80" i="3"/>
  <c r="O25" i="3"/>
  <c r="W18" i="3"/>
  <c r="Q11" i="3"/>
  <c r="AI33" i="3"/>
  <c r="AJ8" i="3"/>
  <c r="AM14" i="3"/>
  <c r="AB93" i="3"/>
  <c r="H28" i="3"/>
  <c r="Y18" i="3"/>
  <c r="AO57" i="3"/>
  <c r="AB63" i="3"/>
  <c r="R31" i="3"/>
  <c r="AP88" i="3"/>
  <c r="X23" i="3"/>
  <c r="I23" i="3"/>
  <c r="AN7" i="3"/>
  <c r="AL10" i="3"/>
  <c r="AC20" i="3"/>
  <c r="AH12" i="3"/>
  <c r="AE28" i="3"/>
  <c r="S22" i="3"/>
  <c r="AM22" i="3"/>
  <c r="W25" i="3"/>
  <c r="AP38" i="3"/>
  <c r="G36" i="3"/>
  <c r="E48" i="3"/>
  <c r="AD32" i="3"/>
  <c r="T38" i="3"/>
  <c r="C34" i="3"/>
  <c r="S56" i="3"/>
  <c r="Z40" i="3"/>
  <c r="Z38" i="3"/>
  <c r="AH14" i="3"/>
  <c r="J6" i="3"/>
  <c r="AP56" i="3"/>
  <c r="AK11" i="3"/>
  <c r="AO8" i="3"/>
  <c r="Y32" i="3"/>
  <c r="AM11" i="3"/>
  <c r="L42" i="3"/>
  <c r="P32" i="3"/>
  <c r="Y29" i="3"/>
  <c r="Z42" i="3"/>
  <c r="AP24" i="3"/>
  <c r="AE39" i="3"/>
  <c r="K33" i="3"/>
  <c r="T31" i="3"/>
  <c r="AD48" i="3"/>
  <c r="T20" i="3"/>
  <c r="X12" i="3"/>
  <c r="AP62" i="3"/>
  <c r="M11" i="3"/>
  <c r="X21" i="3"/>
  <c r="AG22" i="3"/>
  <c r="AA42" i="3"/>
  <c r="V30" i="3"/>
  <c r="I36" i="3"/>
  <c r="H9" i="3"/>
  <c r="R18" i="3"/>
  <c r="AH20" i="3"/>
  <c r="U30" i="3"/>
  <c r="Z17" i="3"/>
  <c r="P22" i="3"/>
  <c r="K21" i="3"/>
  <c r="Z20" i="3"/>
  <c r="AG17" i="3"/>
  <c r="C20" i="3"/>
  <c r="O10" i="3"/>
  <c r="I17" i="3"/>
  <c r="L88" i="3"/>
  <c r="AA9" i="3"/>
  <c r="Q5" i="3"/>
  <c r="M41" i="3"/>
  <c r="T41" i="3"/>
  <c r="P49" i="3"/>
  <c r="AA38" i="3"/>
  <c r="S59" i="3"/>
  <c r="AC18" i="3"/>
  <c r="S35" i="3"/>
  <c r="E47" i="3"/>
  <c r="AM30" i="3"/>
  <c r="AJ27" i="3"/>
  <c r="AQ14" i="3"/>
  <c r="Z34" i="3"/>
  <c r="R32" i="3"/>
  <c r="AB25" i="3"/>
  <c r="M31" i="3"/>
  <c r="L56" i="3"/>
  <c r="AI31" i="3"/>
  <c r="W23" i="3"/>
  <c r="Q31" i="3"/>
  <c r="K15" i="3"/>
  <c r="AJ36" i="3"/>
  <c r="AK9" i="3"/>
  <c r="G47" i="3"/>
  <c r="N8" i="3"/>
  <c r="AI69" i="3"/>
  <c r="Q13" i="3"/>
  <c r="S23" i="3"/>
  <c r="K6" i="3"/>
  <c r="Y30" i="3"/>
  <c r="V56" i="3"/>
  <c r="AO24" i="3"/>
  <c r="AG7" i="3"/>
  <c r="N9" i="3"/>
  <c r="AM37" i="3"/>
  <c r="X9" i="3"/>
  <c r="W74" i="3"/>
  <c r="T57" i="3"/>
  <c r="P94" i="3"/>
  <c r="U48" i="3"/>
  <c r="K8" i="3"/>
  <c r="AJ25" i="3"/>
  <c r="AJ40" i="3"/>
  <c r="AH9" i="3"/>
  <c r="S76" i="3"/>
  <c r="K37" i="3"/>
  <c r="P48" i="3"/>
  <c r="M20" i="3"/>
  <c r="S88" i="3"/>
  <c r="P18" i="3"/>
  <c r="I37" i="3"/>
  <c r="AB24" i="3"/>
  <c r="V33" i="3"/>
  <c r="X94" i="3"/>
  <c r="W93" i="3"/>
  <c r="P89" i="3"/>
  <c r="AJ66" i="3"/>
  <c r="U92" i="3"/>
  <c r="P14" i="3"/>
  <c r="M6" i="3"/>
  <c r="V73" i="3"/>
  <c r="AQ34" i="3"/>
  <c r="AJ11" i="3"/>
  <c r="T6" i="3"/>
  <c r="AP90" i="3"/>
  <c r="T32" i="3"/>
  <c r="H6" i="3"/>
  <c r="W32" i="3"/>
  <c r="AE16" i="3"/>
  <c r="AQ30" i="3"/>
  <c r="AI34" i="3"/>
  <c r="J76" i="3"/>
  <c r="AI23" i="3"/>
  <c r="Q18" i="3"/>
  <c r="AA32" i="3"/>
  <c r="Y41" i="3"/>
  <c r="AP48" i="3"/>
  <c r="Q42" i="3"/>
  <c r="AG18" i="3"/>
  <c r="O34" i="3"/>
  <c r="AM10" i="3"/>
  <c r="J11" i="3"/>
  <c r="AB14" i="3"/>
  <c r="AI29" i="3"/>
  <c r="AO19" i="3"/>
  <c r="AO88" i="3"/>
  <c r="U13" i="3"/>
  <c r="N6" i="3"/>
  <c r="Q20" i="3"/>
  <c r="U84" i="3"/>
  <c r="N14" i="3"/>
  <c r="L12" i="3"/>
  <c r="AL16" i="3"/>
  <c r="AN37" i="3"/>
  <c r="AH66" i="3"/>
  <c r="J20" i="3"/>
  <c r="AM86" i="3"/>
  <c r="T23" i="3"/>
  <c r="AM27" i="3"/>
  <c r="Z31" i="3"/>
  <c r="AC71" i="3"/>
  <c r="AN61" i="3"/>
  <c r="X33" i="3"/>
  <c r="Q7" i="3"/>
  <c r="C10" i="3"/>
  <c r="R34" i="3"/>
  <c r="AJ15" i="3"/>
  <c r="AH35" i="3"/>
  <c r="AL35" i="3"/>
  <c r="X84" i="3"/>
  <c r="C7" i="3"/>
  <c r="AG31" i="3"/>
  <c r="M36" i="3"/>
  <c r="AB62" i="3"/>
  <c r="X15" i="3"/>
  <c r="AB61" i="3"/>
  <c r="P8" i="3"/>
  <c r="K41" i="3"/>
  <c r="AI9" i="3"/>
  <c r="AN40" i="3"/>
  <c r="L6" i="3"/>
  <c r="AM36" i="3"/>
  <c r="Y37" i="3"/>
  <c r="H21" i="3"/>
  <c r="AI39" i="3"/>
  <c r="H19" i="3"/>
  <c r="Y89" i="3"/>
  <c r="Z11" i="3"/>
  <c r="Y82" i="3"/>
  <c r="O30" i="3"/>
  <c r="R38" i="3"/>
  <c r="W47" i="3"/>
  <c r="AJ38" i="3"/>
  <c r="S96" i="3"/>
  <c r="L29" i="3"/>
  <c r="AO95" i="3"/>
  <c r="AH91" i="3"/>
  <c r="W96" i="3"/>
  <c r="Y35" i="3"/>
  <c r="AA28" i="3"/>
  <c r="AM62" i="3"/>
  <c r="AP22" i="3"/>
  <c r="X59" i="3"/>
  <c r="AI79" i="3"/>
  <c r="AK26" i="3"/>
  <c r="AC49" i="3"/>
  <c r="N13" i="3"/>
  <c r="AP15" i="3"/>
  <c r="AE15" i="3"/>
  <c r="S15" i="3"/>
  <c r="AI15" i="3"/>
  <c r="AD38" i="3"/>
  <c r="AC16" i="3"/>
  <c r="T11" i="3"/>
  <c r="K25" i="3"/>
  <c r="Z32" i="3"/>
  <c r="AP39" i="3"/>
  <c r="U8" i="3"/>
  <c r="T37" i="3"/>
  <c r="AN35" i="3"/>
  <c r="AJ47" i="3"/>
  <c r="Y38" i="3"/>
  <c r="I31" i="3"/>
  <c r="W87" i="3"/>
  <c r="AM6" i="3"/>
  <c r="V80" i="3"/>
  <c r="AE21" i="3"/>
  <c r="AO79" i="3"/>
  <c r="W28" i="3"/>
  <c r="AM17" i="3"/>
  <c r="C31" i="3"/>
  <c r="X17" i="3"/>
  <c r="AH75" i="3"/>
  <c r="AJ48" i="3"/>
  <c r="J19" i="3"/>
  <c r="W27" i="3"/>
  <c r="AC17" i="3"/>
  <c r="AN23" i="3"/>
  <c r="U75" i="3"/>
  <c r="AN72" i="3"/>
  <c r="AB65" i="3"/>
  <c r="AG14" i="3"/>
  <c r="L15" i="3"/>
  <c r="AH7" i="3"/>
  <c r="S27" i="3"/>
  <c r="AQ23" i="3"/>
  <c r="O23" i="3"/>
  <c r="X38" i="3"/>
  <c r="V20" i="3"/>
  <c r="AM16" i="3"/>
  <c r="E49" i="3"/>
  <c r="AL42" i="3"/>
  <c r="AN29" i="3"/>
  <c r="H5" i="3"/>
  <c r="T15" i="3"/>
  <c r="C38" i="3"/>
  <c r="AD19" i="3"/>
  <c r="H14" i="3"/>
  <c r="G42" i="3"/>
  <c r="K16" i="3"/>
  <c r="C39" i="3"/>
  <c r="AO16" i="3"/>
  <c r="AP64" i="3"/>
  <c r="AA39" i="3"/>
  <c r="AM20" i="3"/>
  <c r="C19" i="3"/>
  <c r="AP70" i="3"/>
  <c r="V32" i="3"/>
  <c r="G34" i="3"/>
  <c r="AE10" i="3"/>
  <c r="M42" i="3"/>
  <c r="W94" i="3"/>
  <c r="AB30" i="3"/>
  <c r="AK35" i="3"/>
  <c r="AH13" i="3"/>
  <c r="AE29" i="3"/>
  <c r="N37" i="3"/>
  <c r="AD42" i="3"/>
  <c r="K9" i="3"/>
  <c r="U42" i="3"/>
  <c r="S26" i="3"/>
  <c r="AP86" i="3"/>
  <c r="AN41" i="3"/>
  <c r="AD28" i="3"/>
  <c r="AL21" i="3"/>
  <c r="Y14" i="3"/>
  <c r="H18" i="3"/>
  <c r="AG5" i="3"/>
  <c r="N28" i="3"/>
  <c r="K31" i="3"/>
  <c r="AQ41" i="3"/>
  <c r="H35" i="3"/>
  <c r="Y10" i="3"/>
  <c r="I21" i="3"/>
  <c r="AB83" i="3"/>
  <c r="AP33" i="3"/>
  <c r="G50" i="3"/>
  <c r="S30" i="3"/>
  <c r="AI20" i="3"/>
  <c r="AI96" i="3"/>
  <c r="AI40" i="3"/>
  <c r="AJ69" i="3"/>
  <c r="AJ96" i="3"/>
  <c r="AO77" i="3"/>
  <c r="H54" i="3"/>
  <c r="AB85" i="3"/>
  <c r="O56" i="3"/>
  <c r="R6" i="3"/>
  <c r="S55" i="3"/>
  <c r="W14" i="3"/>
  <c r="AN84" i="3"/>
  <c r="AJ88" i="3"/>
  <c r="I38" i="3"/>
  <c r="AP23" i="3"/>
  <c r="V97" i="3"/>
  <c r="Q68" i="3"/>
  <c r="N91" i="3"/>
  <c r="AM35" i="3"/>
  <c r="Y74" i="3"/>
  <c r="Z25" i="3"/>
  <c r="R20" i="3"/>
  <c r="T14" i="3"/>
  <c r="AG90" i="3"/>
  <c r="AC32" i="3"/>
  <c r="AB82" i="3"/>
  <c r="S19" i="3"/>
  <c r="W75" i="3"/>
  <c r="AE13" i="3"/>
  <c r="O78" i="3"/>
  <c r="W70" i="3"/>
  <c r="AC84" i="3"/>
  <c r="P56" i="3"/>
  <c r="Y33" i="3"/>
  <c r="X92" i="3"/>
  <c r="AO85" i="3"/>
  <c r="H59" i="3"/>
  <c r="V89" i="3"/>
  <c r="W26" i="3"/>
  <c r="O75" i="3"/>
  <c r="AJ55" i="3"/>
  <c r="AP8" i="3"/>
  <c r="L37" i="3"/>
  <c r="AO10" i="3"/>
  <c r="N41" i="3"/>
  <c r="AQ35" i="3"/>
  <c r="AH70" i="3"/>
  <c r="H76" i="3"/>
  <c r="P76" i="3"/>
  <c r="U24" i="3"/>
  <c r="J25" i="3"/>
  <c r="X89" i="3"/>
  <c r="AG21" i="3"/>
  <c r="S79" i="3"/>
  <c r="AO67" i="3"/>
  <c r="K28" i="3"/>
  <c r="AI55" i="3"/>
  <c r="AP79" i="3"/>
  <c r="AO76" i="3"/>
  <c r="K20" i="3"/>
  <c r="I11" i="3"/>
  <c r="AI17" i="3"/>
  <c r="AB90" i="3"/>
  <c r="M5" i="3"/>
  <c r="AI19" i="3"/>
  <c r="AN32" i="3"/>
  <c r="S85" i="3"/>
  <c r="P88" i="3"/>
  <c r="T72" i="3"/>
  <c r="O92" i="3"/>
  <c r="AG88" i="3"/>
  <c r="AH49" i="3"/>
  <c r="T7" i="3"/>
  <c r="Q10" i="3"/>
  <c r="P50" i="3"/>
  <c r="P27" i="3"/>
  <c r="W91" i="3"/>
  <c r="X13" i="3"/>
  <c r="AN92" i="3"/>
  <c r="AB96" i="3"/>
  <c r="AC69" i="3"/>
  <c r="AD29" i="3"/>
  <c r="AB79" i="3"/>
  <c r="J37" i="3"/>
  <c r="AO9" i="3"/>
  <c r="O17" i="3"/>
  <c r="C23" i="3"/>
  <c r="AB75" i="3"/>
  <c r="Y58" i="3"/>
  <c r="P13" i="3"/>
  <c r="AC86" i="3"/>
  <c r="U66" i="3"/>
  <c r="AP71" i="3"/>
  <c r="AO94" i="3"/>
  <c r="K5" i="3"/>
  <c r="AA20" i="3"/>
  <c r="AI30" i="3"/>
  <c r="K56" i="3"/>
  <c r="S93" i="3"/>
  <c r="AG25" i="3"/>
  <c r="Q41" i="3"/>
  <c r="C42" i="3"/>
  <c r="Q26" i="3"/>
  <c r="P93" i="3"/>
  <c r="M24" i="3"/>
  <c r="H26" i="3"/>
  <c r="AC27" i="3"/>
  <c r="AJ35" i="3"/>
  <c r="AH31" i="3"/>
  <c r="AQ13" i="3"/>
  <c r="U26" i="3"/>
  <c r="X40" i="3"/>
  <c r="AO61" i="3"/>
  <c r="X70" i="3"/>
  <c r="H10" i="3"/>
  <c r="R21" i="3"/>
  <c r="I25" i="3"/>
  <c r="AB81" i="3"/>
  <c r="L10" i="3"/>
  <c r="AH30" i="3"/>
  <c r="AH69" i="3"/>
  <c r="AE22" i="3"/>
  <c r="AL11" i="3"/>
  <c r="P28" i="3"/>
  <c r="AQ22" i="3"/>
  <c r="S6" i="3"/>
  <c r="X66" i="3"/>
  <c r="AN25" i="3"/>
  <c r="AH92" i="3"/>
  <c r="AB39" i="3"/>
  <c r="P65" i="3"/>
  <c r="AP97" i="3"/>
  <c r="L23" i="3"/>
  <c r="AP57" i="3"/>
  <c r="AL28" i="3"/>
  <c r="Z19" i="3"/>
  <c r="P29" i="3"/>
  <c r="N7" i="3"/>
  <c r="AN17" i="3"/>
  <c r="AB34" i="3"/>
  <c r="AP11" i="3"/>
  <c r="AM33" i="3"/>
  <c r="AP92" i="3"/>
  <c r="C29" i="3"/>
  <c r="AO17" i="3"/>
  <c r="I8" i="3"/>
  <c r="R5" i="3"/>
  <c r="H22" i="3"/>
  <c r="AK5" i="3"/>
  <c r="H39" i="3"/>
  <c r="AP73" i="3"/>
  <c r="AE27" i="3"/>
  <c r="Z35" i="3"/>
  <c r="AG36" i="3"/>
  <c r="AG26" i="3"/>
  <c r="Y56" i="3"/>
  <c r="N12" i="3"/>
  <c r="AL7" i="3"/>
  <c r="AP54" i="3"/>
  <c r="Z33" i="3"/>
  <c r="AQ17" i="3"/>
  <c r="X50" i="3"/>
  <c r="AC25" i="3"/>
  <c r="V72" i="3"/>
  <c r="L21" i="3"/>
  <c r="AO34" i="3"/>
  <c r="N40" i="3"/>
  <c r="V12" i="3"/>
  <c r="AI28" i="3"/>
  <c r="AB41" i="3"/>
  <c r="O57" i="3"/>
  <c r="AL5" i="3"/>
  <c r="V26" i="3"/>
  <c r="AO32" i="3"/>
  <c r="I42" i="3"/>
  <c r="Y25" i="3"/>
  <c r="AH36" i="3"/>
  <c r="M21" i="3"/>
  <c r="K13" i="3"/>
  <c r="AA31" i="3"/>
  <c r="AP12" i="3"/>
  <c r="AN39" i="3"/>
  <c r="AD27" i="3"/>
  <c r="D47" i="3"/>
  <c r="K30" i="3"/>
  <c r="AB66" i="3"/>
  <c r="S40" i="3"/>
  <c r="S36" i="3"/>
  <c r="T8" i="3"/>
  <c r="AP21" i="3"/>
  <c r="O82" i="3"/>
  <c r="L78" i="3"/>
  <c r="AM39" i="3"/>
  <c r="I9" i="3"/>
  <c r="AJ12" i="3"/>
  <c r="U60" i="3"/>
  <c r="U63" i="3"/>
  <c r="V87" i="3"/>
  <c r="AP96" i="3"/>
  <c r="P12" i="3"/>
  <c r="V19" i="3"/>
  <c r="T48" i="3"/>
  <c r="Y66" i="3"/>
  <c r="AJ57" i="3"/>
  <c r="AH58" i="3"/>
  <c r="L28" i="3"/>
  <c r="Q14" i="3"/>
  <c r="AB7" i="3"/>
  <c r="M12" i="3"/>
  <c r="P23" i="3"/>
  <c r="AK34" i="3"/>
  <c r="AP61" i="3"/>
  <c r="X65" i="3"/>
  <c r="AC93" i="3"/>
  <c r="K24" i="3"/>
  <c r="W21" i="3"/>
  <c r="AP95" i="3"/>
  <c r="AB32" i="3"/>
  <c r="P73" i="3"/>
  <c r="AG38" i="3"/>
  <c r="AO96" i="3"/>
  <c r="J50" i="3"/>
  <c r="AI6" i="3"/>
  <c r="U32" i="3"/>
  <c r="C4" i="3"/>
  <c r="L20" i="3"/>
  <c r="AI8" i="3"/>
  <c r="AQ42" i="3"/>
  <c r="AK21" i="3"/>
  <c r="J36" i="3"/>
  <c r="AQ38" i="3"/>
  <c r="P54" i="3"/>
  <c r="J68" i="3"/>
  <c r="U50" i="3"/>
  <c r="N42" i="3"/>
  <c r="AH10" i="3"/>
  <c r="AL17" i="3"/>
  <c r="J8" i="3"/>
  <c r="AB86" i="3"/>
  <c r="AP84" i="3"/>
  <c r="U39" i="3"/>
  <c r="AH27" i="3"/>
  <c r="J40" i="3"/>
  <c r="M17" i="3"/>
  <c r="T33" i="3"/>
  <c r="AP20" i="3"/>
  <c r="R23" i="3"/>
  <c r="AQ25" i="3"/>
  <c r="AI14" i="3"/>
  <c r="X10" i="3"/>
  <c r="AD26" i="3"/>
  <c r="X30" i="3"/>
  <c r="Q6" i="3"/>
  <c r="AK36" i="3"/>
  <c r="K32" i="3"/>
  <c r="Q37" i="3"/>
  <c r="AP89" i="3"/>
  <c r="H20" i="3"/>
  <c r="AH42" i="3"/>
  <c r="AC38" i="3"/>
  <c r="L9" i="3"/>
  <c r="AJ10" i="3"/>
  <c r="S69" i="3"/>
  <c r="AH23" i="3"/>
  <c r="S58" i="3"/>
  <c r="AB88" i="3"/>
  <c r="R33" i="3"/>
  <c r="J15" i="3"/>
  <c r="AC80" i="3"/>
  <c r="AK19" i="3"/>
  <c r="AB27" i="3"/>
  <c r="S39" i="3"/>
  <c r="AO42" i="3"/>
  <c r="AG28" i="3"/>
  <c r="T10" i="3"/>
  <c r="Y16" i="3"/>
  <c r="O26" i="3"/>
  <c r="AE19" i="3"/>
  <c r="AB48" i="3"/>
  <c r="H31" i="3"/>
  <c r="N22" i="3"/>
  <c r="Q17" i="3"/>
  <c r="H32" i="3"/>
  <c r="T24" i="3"/>
  <c r="S20" i="3"/>
  <c r="J23" i="3"/>
  <c r="H17" i="3"/>
  <c r="C14" i="3"/>
  <c r="AK15" i="3"/>
  <c r="AB49" i="3"/>
  <c r="J9" i="3"/>
  <c r="I15" i="3"/>
  <c r="T13" i="3"/>
  <c r="AQ29" i="3"/>
  <c r="AK7" i="3"/>
  <c r="AK37" i="3"/>
  <c r="AB70" i="3"/>
  <c r="R26" i="3"/>
  <c r="AL12" i="3"/>
  <c r="W86" i="3"/>
  <c r="O31" i="3"/>
  <c r="AB87" i="3"/>
  <c r="H36" i="3"/>
  <c r="AB94" i="3"/>
  <c r="Q38" i="3"/>
  <c r="P59" i="3"/>
  <c r="S7" i="3"/>
  <c r="AH18" i="3"/>
  <c r="V23" i="3"/>
  <c r="AP60" i="3"/>
  <c r="O21" i="3"/>
  <c r="X54" i="3"/>
  <c r="R17" i="3"/>
  <c r="L81" i="3"/>
  <c r="P71" i="3"/>
  <c r="AH40" i="3"/>
  <c r="O14" i="3"/>
  <c r="X47" i="3"/>
  <c r="M32" i="3"/>
  <c r="AO21" i="3"/>
  <c r="AA5" i="3"/>
  <c r="AO23" i="3"/>
  <c r="AQ15" i="3"/>
  <c r="AP13" i="3"/>
  <c r="Q30" i="3"/>
  <c r="Z16" i="3"/>
  <c r="AI37" i="3"/>
  <c r="V54" i="3"/>
  <c r="AN20" i="3"/>
  <c r="AC21" i="3"/>
  <c r="Y6" i="3"/>
  <c r="S17" i="3"/>
  <c r="J87" i="3"/>
  <c r="O19" i="3"/>
  <c r="AH55" i="3"/>
  <c r="AM15" i="3"/>
  <c r="Z14" i="3"/>
  <c r="R13" i="3"/>
  <c r="AP17" i="3"/>
  <c r="AL8" i="3"/>
  <c r="AA49" i="3"/>
  <c r="AP67" i="3"/>
  <c r="P80" i="3"/>
  <c r="AB35" i="3"/>
  <c r="AB33" i="3"/>
  <c r="AG15" i="3"/>
  <c r="H25" i="3"/>
  <c r="Y12" i="3"/>
  <c r="S31" i="3"/>
  <c r="AE34" i="3"/>
  <c r="AP26" i="3"/>
  <c r="W95" i="3"/>
  <c r="AC77" i="3"/>
  <c r="G39" i="3"/>
  <c r="J95" i="3"/>
  <c r="AC9" i="3"/>
  <c r="Z24" i="3"/>
  <c r="O12" i="3"/>
  <c r="AJ17" i="3"/>
  <c r="W22" i="3"/>
  <c r="K18" i="3"/>
  <c r="AE32" i="3"/>
  <c r="M15" i="3"/>
  <c r="AD50" i="3"/>
  <c r="I29" i="3"/>
  <c r="Y48" i="3"/>
  <c r="U34" i="3"/>
  <c r="K36" i="3"/>
  <c r="AO83" i="3"/>
  <c r="X32" i="3"/>
  <c r="I30" i="3"/>
  <c r="Q34" i="3"/>
  <c r="S33" i="3"/>
  <c r="W37" i="3"/>
  <c r="Z28" i="3"/>
  <c r="AP69" i="3"/>
  <c r="U62" i="3"/>
  <c r="AE25" i="3"/>
  <c r="AI71" i="3"/>
  <c r="M30" i="3"/>
  <c r="V60" i="3"/>
  <c r="I7" i="3"/>
  <c r="Q29" i="3"/>
  <c r="AA55" i="3"/>
  <c r="AO80" i="3"/>
  <c r="AN58" i="3"/>
  <c r="L22" i="3"/>
  <c r="AO35" i="3"/>
  <c r="AK20" i="3"/>
  <c r="O40" i="3"/>
  <c r="L32" i="3"/>
  <c r="G38" i="3"/>
  <c r="AO73" i="3"/>
  <c r="AC35" i="3"/>
  <c r="G48" i="3"/>
  <c r="O13" i="3"/>
  <c r="AD34" i="3"/>
  <c r="L63" i="3"/>
  <c r="AL13" i="3"/>
  <c r="M70" i="3"/>
  <c r="L72" i="3"/>
  <c r="AK77" i="3"/>
  <c r="R79" i="3"/>
  <c r="T77" i="3"/>
  <c r="L84" i="3"/>
  <c r="AP32" i="3"/>
  <c r="U91" i="3"/>
  <c r="X25" i="3"/>
  <c r="AC66" i="3"/>
  <c r="R36" i="3"/>
  <c r="W80" i="3"/>
  <c r="H11" i="3"/>
  <c r="W56" i="3"/>
  <c r="AO59" i="3"/>
  <c r="AG91" i="3"/>
  <c r="AG41" i="3"/>
  <c r="K35" i="3"/>
  <c r="L16" i="3"/>
  <c r="AG20" i="3"/>
  <c r="C11" i="3"/>
  <c r="I28" i="3"/>
  <c r="AO33" i="3"/>
  <c r="Z29" i="3"/>
  <c r="AK13" i="3"/>
  <c r="AG35" i="3"/>
  <c r="S13" i="3"/>
  <c r="W36" i="3"/>
  <c r="L33" i="3"/>
  <c r="X73" i="3"/>
  <c r="M26" i="3"/>
  <c r="W13" i="3"/>
  <c r="AB38" i="3"/>
  <c r="J7" i="3"/>
  <c r="Z27" i="3"/>
  <c r="U9" i="3"/>
  <c r="Z5" i="3"/>
  <c r="Y70" i="3"/>
  <c r="T21" i="3"/>
  <c r="AN16" i="3"/>
  <c r="S38" i="3"/>
  <c r="AB50" i="3"/>
  <c r="U11" i="3"/>
  <c r="AC30" i="3"/>
  <c r="I34" i="3"/>
  <c r="Z30" i="3"/>
  <c r="H91" i="3"/>
  <c r="M28" i="3"/>
  <c r="AO72" i="3"/>
  <c r="AI95" i="3"/>
  <c r="M93" i="3"/>
  <c r="H38" i="3"/>
  <c r="AN82" i="3"/>
  <c r="W62" i="3"/>
  <c r="AC82" i="3"/>
  <c r="AB97" i="3"/>
  <c r="AB37" i="3"/>
  <c r="AH39" i="3"/>
  <c r="W60" i="3"/>
  <c r="AP75" i="3"/>
  <c r="AJ26" i="3"/>
  <c r="AG71" i="3"/>
  <c r="S18" i="3"/>
  <c r="J27" i="3"/>
  <c r="AN64" i="3"/>
  <c r="AB36" i="3"/>
  <c r="AM40" i="3"/>
  <c r="R73" i="3"/>
  <c r="N97" i="3"/>
  <c r="I13" i="3"/>
  <c r="AP41" i="3"/>
  <c r="AP74" i="3"/>
  <c r="W90" i="3"/>
  <c r="L71" i="3"/>
  <c r="V42" i="3"/>
  <c r="AB76" i="3"/>
  <c r="J34" i="3"/>
  <c r="AN30" i="3"/>
  <c r="P64" i="3"/>
  <c r="S34" i="3"/>
  <c r="AG23" i="3"/>
  <c r="L67" i="3"/>
  <c r="H96" i="3"/>
  <c r="AO64" i="3"/>
  <c r="P69" i="3"/>
  <c r="J49" i="3"/>
  <c r="U76" i="3"/>
  <c r="K85" i="3"/>
  <c r="AL38" i="3"/>
  <c r="AH33" i="3"/>
  <c r="M16" i="3"/>
  <c r="Y21" i="3"/>
  <c r="U33" i="3"/>
  <c r="AA84" i="3"/>
  <c r="AB72" i="3"/>
  <c r="J42" i="3"/>
  <c r="W16" i="3"/>
  <c r="N33" i="3"/>
  <c r="Z15" i="3"/>
  <c r="Q28" i="3"/>
  <c r="AG29" i="3"/>
  <c r="AP9" i="3"/>
  <c r="AE5" i="3"/>
  <c r="V6" i="3"/>
  <c r="O32" i="3"/>
  <c r="Z21" i="3"/>
  <c r="Y17" i="3"/>
  <c r="AK16" i="3"/>
  <c r="AI74" i="3"/>
  <c r="X90" i="3"/>
  <c r="Q16" i="3"/>
  <c r="Z8" i="3"/>
  <c r="AH41" i="3"/>
  <c r="Z60" i="3"/>
  <c r="W73" i="3"/>
  <c r="O50" i="3"/>
  <c r="AB8" i="3"/>
  <c r="AB15" i="3"/>
  <c r="N34" i="3"/>
  <c r="AN36" i="3"/>
  <c r="H23" i="3"/>
  <c r="R50" i="3"/>
  <c r="AE69" i="3"/>
  <c r="K79" i="3"/>
  <c r="P15" i="3"/>
  <c r="Q19" i="3"/>
  <c r="AN10" i="3"/>
  <c r="K23" i="3"/>
  <c r="O22" i="3"/>
  <c r="AP42" i="3"/>
  <c r="R12" i="3"/>
  <c r="AP81" i="3"/>
  <c r="H79" i="3"/>
  <c r="P74" i="3"/>
  <c r="W10" i="3"/>
  <c r="AH57" i="3"/>
  <c r="O87" i="3"/>
  <c r="Y59" i="3"/>
  <c r="N25" i="3"/>
  <c r="U69" i="3"/>
  <c r="M10" i="3"/>
  <c r="X36" i="3"/>
  <c r="S50" i="3"/>
  <c r="AM34" i="3"/>
  <c r="R88" i="3"/>
  <c r="AA23" i="3"/>
  <c r="X34" i="3"/>
  <c r="R48" i="3"/>
  <c r="AH93" i="3"/>
  <c r="AL37" i="3"/>
  <c r="AA22" i="3"/>
  <c r="AO65" i="3"/>
  <c r="AE95" i="3"/>
  <c r="Q33" i="3"/>
  <c r="H24" i="3"/>
  <c r="L31" i="3"/>
  <c r="R15" i="3"/>
  <c r="R28" i="3"/>
  <c r="P20" i="3"/>
  <c r="J28" i="3"/>
  <c r="W35" i="3"/>
  <c r="AO36" i="3"/>
  <c r="N31" i="3"/>
  <c r="X27" i="3"/>
  <c r="N50" i="3"/>
  <c r="AD41" i="3"/>
  <c r="AE20" i="3"/>
  <c r="C16" i="3"/>
  <c r="S94" i="3"/>
  <c r="C8" i="3"/>
  <c r="J86" i="3"/>
  <c r="AO26" i="3"/>
  <c r="AO91" i="3"/>
  <c r="AG69" i="3"/>
  <c r="AJ18" i="3"/>
  <c r="H42" i="3"/>
  <c r="AA48" i="3"/>
  <c r="J81" i="3"/>
  <c r="AC24" i="3"/>
  <c r="W38" i="3"/>
  <c r="Y19" i="3"/>
  <c r="AB18" i="3"/>
  <c r="AC23" i="3"/>
  <c r="R14" i="3"/>
  <c r="C37" i="3"/>
  <c r="AA40" i="3"/>
  <c r="P34" i="3"/>
  <c r="P21" i="3"/>
  <c r="G37" i="3"/>
  <c r="P30" i="3"/>
  <c r="N35" i="3"/>
  <c r="AA29" i="3"/>
  <c r="R35" i="3"/>
  <c r="AO39" i="3"/>
  <c r="AH86" i="3"/>
  <c r="AH97" i="3"/>
  <c r="AL19" i="3"/>
  <c r="C36" i="3"/>
  <c r="H15" i="3"/>
  <c r="AA72" i="3"/>
  <c r="Y91" i="3"/>
  <c r="AG65" i="3"/>
  <c r="AG75" i="3"/>
  <c r="AI64" i="3"/>
  <c r="M58" i="3"/>
  <c r="AN66" i="3"/>
  <c r="R76" i="3"/>
  <c r="U82" i="3"/>
  <c r="Y8" i="3"/>
  <c r="U85" i="3"/>
  <c r="AL24" i="3"/>
  <c r="AC50" i="3"/>
  <c r="L55" i="3"/>
  <c r="L80" i="3"/>
  <c r="L54" i="3"/>
  <c r="W83" i="3"/>
  <c r="W78" i="3"/>
  <c r="W77" i="3"/>
  <c r="W61" i="3"/>
  <c r="W54" i="3"/>
  <c r="S86" i="3"/>
  <c r="S95" i="3"/>
  <c r="S74" i="3"/>
  <c r="AO50" i="3"/>
  <c r="AO78" i="3"/>
  <c r="AO92" i="3"/>
  <c r="AO56" i="3"/>
  <c r="AO97" i="3"/>
  <c r="AO48" i="3"/>
  <c r="AJ83" i="3"/>
  <c r="AJ95" i="3"/>
  <c r="AJ59" i="3"/>
  <c r="AJ89" i="3"/>
  <c r="AN76" i="3"/>
  <c r="AN60" i="3"/>
  <c r="AN74" i="3"/>
  <c r="AN75" i="3"/>
  <c r="AH68" i="3"/>
  <c r="AH89" i="3"/>
  <c r="AH60" i="3"/>
  <c r="AH83" i="3"/>
  <c r="AH77" i="3"/>
  <c r="AI89" i="3"/>
  <c r="AI83" i="3"/>
  <c r="AI48" i="3"/>
  <c r="AI92" i="3"/>
  <c r="AI87" i="3"/>
  <c r="AI63" i="3"/>
  <c r="AI75" i="3"/>
  <c r="X83" i="3"/>
  <c r="X76" i="3"/>
  <c r="X91" i="3"/>
  <c r="X75" i="3"/>
  <c r="X61" i="3"/>
  <c r="X58" i="3"/>
  <c r="X96" i="3"/>
  <c r="X72" i="3"/>
  <c r="X71" i="3"/>
  <c r="X69" i="3"/>
  <c r="X49" i="3"/>
  <c r="Y80" i="3"/>
  <c r="Y97" i="3"/>
  <c r="Y79" i="3"/>
  <c r="Y85" i="3"/>
  <c r="Y72" i="3"/>
  <c r="Y76" i="3"/>
  <c r="Y61" i="3"/>
  <c r="O49" i="3"/>
  <c r="O71" i="3"/>
  <c r="O83" i="3"/>
  <c r="O90" i="3"/>
  <c r="O77" i="3"/>
  <c r="O64" i="3"/>
  <c r="O93" i="3"/>
  <c r="O55" i="3"/>
  <c r="O79" i="3"/>
  <c r="T86" i="3"/>
  <c r="T85" i="3"/>
  <c r="T82" i="3"/>
  <c r="T88" i="3"/>
  <c r="T59" i="3"/>
  <c r="T61" i="3"/>
  <c r="T60" i="3"/>
  <c r="T62" i="3"/>
  <c r="T96" i="3"/>
  <c r="T83" i="3"/>
  <c r="T73" i="3"/>
  <c r="T65" i="3"/>
  <c r="T63" i="3"/>
  <c r="T89" i="3"/>
  <c r="T70" i="3"/>
  <c r="T91" i="3"/>
  <c r="T92" i="3"/>
  <c r="T50" i="3"/>
  <c r="V48" i="3"/>
  <c r="V82" i="3"/>
  <c r="V84" i="3"/>
  <c r="V90" i="3"/>
  <c r="V93" i="3"/>
  <c r="V59" i="3"/>
  <c r="V63" i="3"/>
  <c r="V77" i="3"/>
  <c r="P82" i="3"/>
  <c r="P70" i="3"/>
  <c r="P68" i="3"/>
  <c r="P85" i="3"/>
  <c r="P92" i="3"/>
  <c r="P66" i="3"/>
  <c r="P83" i="3"/>
  <c r="P84" i="3"/>
  <c r="P86" i="3"/>
  <c r="P61" i="3"/>
  <c r="P47" i="3"/>
  <c r="P57" i="3"/>
  <c r="AC81" i="3"/>
  <c r="AC47" i="3"/>
  <c r="AC96" i="3"/>
  <c r="AC58" i="3"/>
  <c r="AC88" i="3"/>
  <c r="AC83" i="3"/>
  <c r="AC76" i="3"/>
  <c r="AC56" i="3"/>
  <c r="AC85" i="3"/>
  <c r="AC92" i="3"/>
  <c r="AC60" i="3"/>
  <c r="AC55" i="3"/>
  <c r="AC59" i="3"/>
  <c r="AC61" i="3"/>
  <c r="Q58" i="3"/>
  <c r="Q74" i="3"/>
  <c r="Q87" i="3"/>
  <c r="Q77" i="3"/>
  <c r="Q97" i="3"/>
  <c r="H84" i="3"/>
  <c r="H94" i="3"/>
  <c r="H74" i="3"/>
  <c r="H57" i="3"/>
  <c r="H78" i="3"/>
  <c r="H66" i="3"/>
  <c r="H97" i="3"/>
  <c r="H83" i="3"/>
  <c r="H72" i="3"/>
  <c r="H75" i="3"/>
  <c r="H82" i="3"/>
  <c r="H58" i="3"/>
  <c r="H92" i="3"/>
  <c r="H47" i="3"/>
  <c r="H93" i="3"/>
  <c r="H69" i="3"/>
  <c r="H88" i="3"/>
  <c r="H80" i="3"/>
  <c r="H90" i="3"/>
  <c r="H55" i="3"/>
  <c r="H64" i="3"/>
  <c r="H86" i="3"/>
  <c r="H48" i="3"/>
  <c r="AG95" i="3"/>
  <c r="AG57" i="3"/>
  <c r="AG63" i="3"/>
  <c r="AG83" i="3"/>
  <c r="AG80" i="3"/>
  <c r="AG67" i="3"/>
  <c r="AG94" i="3"/>
  <c r="AG70" i="3"/>
  <c r="AG76" i="3"/>
  <c r="AG68" i="3"/>
  <c r="AG92" i="3"/>
  <c r="AG64" i="3"/>
  <c r="AG72" i="3"/>
  <c r="AG85" i="3"/>
  <c r="M86" i="3"/>
  <c r="M90" i="3"/>
  <c r="M63" i="3"/>
  <c r="M87" i="3"/>
  <c r="M62" i="3"/>
  <c r="M74" i="3"/>
  <c r="M97" i="3"/>
  <c r="M47" i="3"/>
  <c r="M65" i="3"/>
  <c r="M56" i="3"/>
  <c r="M67" i="3"/>
  <c r="M92" i="3"/>
  <c r="M57" i="3"/>
  <c r="M96" i="3"/>
  <c r="M55" i="3"/>
  <c r="K80" i="3"/>
  <c r="K64" i="3"/>
  <c r="K67" i="3"/>
  <c r="K77" i="3"/>
  <c r="K94" i="3"/>
  <c r="K71" i="3"/>
  <c r="K97" i="3"/>
  <c r="K62" i="3"/>
  <c r="K76" i="3"/>
  <c r="R65" i="3"/>
  <c r="R55" i="3"/>
  <c r="R92" i="3"/>
  <c r="R84" i="3"/>
  <c r="R90" i="3"/>
  <c r="R64" i="3"/>
  <c r="R78" i="3"/>
  <c r="R91" i="3"/>
  <c r="R63" i="3"/>
  <c r="R87" i="3"/>
  <c r="R47" i="3"/>
  <c r="R95" i="3"/>
  <c r="R72" i="3"/>
  <c r="R66" i="3"/>
  <c r="R69" i="3"/>
  <c r="R61" i="3"/>
  <c r="R97" i="3"/>
  <c r="R82" i="3"/>
  <c r="R56" i="3"/>
  <c r="R75" i="3"/>
  <c r="AK93" i="3"/>
  <c r="AK72" i="3"/>
  <c r="AK94" i="3"/>
  <c r="AK84" i="3"/>
  <c r="AK50" i="3"/>
  <c r="AK97" i="3"/>
  <c r="AK85" i="3"/>
  <c r="AK65" i="3"/>
  <c r="AK71" i="3"/>
  <c r="AL85" i="3"/>
  <c r="AA56" i="3"/>
  <c r="AA86" i="3"/>
  <c r="AA79" i="3"/>
  <c r="Z77" i="3"/>
  <c r="AA74" i="1" l="1"/>
  <c r="J48" i="3"/>
  <c r="U79" i="3"/>
  <c r="T74" i="3"/>
  <c r="P72" i="3"/>
  <c r="S91" i="3"/>
  <c r="X97" i="3"/>
  <c r="AC89" i="3"/>
  <c r="P91" i="3"/>
  <c r="L91" i="3"/>
  <c r="S87" i="3"/>
  <c r="U93" i="3"/>
  <c r="Q64" i="3"/>
  <c r="AH54" i="3"/>
  <c r="L96" i="3"/>
  <c r="AN57" i="3"/>
  <c r="J78" i="3"/>
  <c r="AK60" i="3"/>
  <c r="AA96" i="3"/>
  <c r="AA89" i="3"/>
  <c r="AA50" i="3"/>
  <c r="AE57" i="3"/>
  <c r="U70" i="3"/>
  <c r="X56" i="3"/>
  <c r="AH71" i="3"/>
  <c r="J60" i="3"/>
  <c r="AL64" i="3"/>
  <c r="P58" i="3"/>
  <c r="J70" i="3"/>
  <c r="U97" i="3"/>
  <c r="P79" i="3"/>
  <c r="AK88" i="3"/>
  <c r="AK64" i="3"/>
  <c r="AA57" i="3"/>
  <c r="AA78" i="3"/>
  <c r="AA85" i="3"/>
  <c r="Z50" i="3"/>
  <c r="AE65" i="3"/>
  <c r="AH61" i="3"/>
  <c r="Y50" i="3"/>
  <c r="AH50" i="3"/>
  <c r="V83" i="3"/>
  <c r="Y49" i="3"/>
  <c r="AK63" i="3"/>
  <c r="AL50" i="3"/>
  <c r="AA54" i="3"/>
  <c r="AA82" i="3"/>
  <c r="Z88" i="3"/>
  <c r="AE78" i="3"/>
  <c r="R54" i="3"/>
  <c r="AK96" i="3"/>
  <c r="AL97" i="3"/>
  <c r="AA68" i="3"/>
  <c r="AA47" i="3"/>
  <c r="AA63" i="3"/>
  <c r="Z81" i="3"/>
  <c r="AA73" i="3"/>
  <c r="AA81" i="3"/>
  <c r="AA88" i="3"/>
  <c r="Z59" i="3"/>
  <c r="U90" i="3"/>
  <c r="U88" i="3"/>
  <c r="AO71" i="3"/>
  <c r="AH56" i="3"/>
  <c r="X86" i="3"/>
  <c r="X74" i="3"/>
  <c r="V49" i="3"/>
  <c r="X68" i="3"/>
  <c r="AO66" i="3"/>
  <c r="AI88" i="3"/>
  <c r="AJ67" i="3"/>
  <c r="AJ85" i="3"/>
  <c r="T78" i="3"/>
  <c r="U68" i="3"/>
  <c r="O62" i="3"/>
  <c r="T87" i="3"/>
  <c r="AI86" i="3"/>
  <c r="K88" i="3"/>
  <c r="T93" i="3"/>
  <c r="Y60" i="3"/>
  <c r="H73" i="3"/>
  <c r="AI90" i="3"/>
  <c r="AO75" i="3"/>
  <c r="AL66" i="3"/>
  <c r="AA83" i="3"/>
  <c r="AA70" i="3"/>
  <c r="AA58" i="3"/>
  <c r="Z71" i="3"/>
  <c r="Z47" i="3"/>
  <c r="Z56" i="3"/>
  <c r="Z96" i="3"/>
  <c r="Z69" i="3"/>
  <c r="AE64" i="3"/>
  <c r="AE76" i="3"/>
  <c r="AE71" i="3"/>
  <c r="AE49" i="3"/>
  <c r="S75" i="3"/>
  <c r="S65" i="3"/>
  <c r="J73" i="3"/>
  <c r="AC95" i="3"/>
  <c r="AH63" i="3"/>
  <c r="J89" i="3"/>
  <c r="AI58" i="3"/>
  <c r="T69" i="3"/>
  <c r="AI85" i="3"/>
  <c r="AC75" i="3"/>
  <c r="AG97" i="3"/>
  <c r="H85" i="3"/>
  <c r="O73" i="3"/>
  <c r="M48" i="3"/>
  <c r="V68" i="3"/>
  <c r="AK59" i="3"/>
  <c r="V58" i="3"/>
  <c r="AL81" i="3"/>
  <c r="Z62" i="3"/>
  <c r="Z76" i="3"/>
  <c r="Z82" i="3"/>
  <c r="Z94" i="3"/>
  <c r="Z55" i="3"/>
  <c r="AE74" i="3"/>
  <c r="AE83" i="3"/>
  <c r="AE93" i="3"/>
  <c r="V47" i="3"/>
  <c r="N93" i="3"/>
  <c r="T66" i="3"/>
  <c r="AI54" i="3"/>
  <c r="X67" i="3"/>
  <c r="V96" i="3"/>
  <c r="T97" i="3"/>
  <c r="Y62" i="3"/>
  <c r="X57" i="3"/>
  <c r="AI65" i="3"/>
  <c r="K74" i="3"/>
  <c r="V81" i="3"/>
  <c r="AL96" i="3"/>
  <c r="AI57" i="3"/>
  <c r="T80" i="3"/>
  <c r="AH62" i="3"/>
  <c r="Z63" i="3"/>
  <c r="Z83" i="3"/>
  <c r="Z90" i="3"/>
  <c r="Z93" i="3"/>
  <c r="Z86" i="3"/>
  <c r="AE90" i="3"/>
  <c r="AE75" i="3"/>
  <c r="AE48" i="3"/>
  <c r="AG62" i="3"/>
  <c r="M54" i="3"/>
  <c r="H67" i="3"/>
  <c r="M88" i="3"/>
  <c r="AL61" i="3"/>
  <c r="Z89" i="3"/>
  <c r="Z79" i="3"/>
  <c r="Z49" i="3"/>
  <c r="Z68" i="3"/>
  <c r="Z91" i="3"/>
  <c r="AE67" i="3"/>
  <c r="AE55" i="3"/>
  <c r="AE87" i="3"/>
  <c r="AE77" i="3"/>
  <c r="Z87" i="3"/>
  <c r="Z78" i="3"/>
  <c r="Z84" i="3"/>
  <c r="Z54" i="3"/>
  <c r="Z58" i="3"/>
  <c r="Z65" i="3"/>
  <c r="AE73" i="3"/>
  <c r="AE97" i="3"/>
  <c r="AE72" i="3"/>
  <c r="CG116" i="1"/>
  <c r="W61" i="1"/>
  <c r="W65" i="1" s="1"/>
  <c r="BL206" i="1"/>
  <c r="BL208" i="1" s="1"/>
  <c r="CG117" i="1"/>
  <c r="W55" i="1"/>
  <c r="W258" i="1" s="1"/>
  <c r="X56" i="1"/>
  <c r="CN198" i="1"/>
  <c r="BX55" i="1"/>
  <c r="BX258" i="1" s="1"/>
  <c r="BX247" i="1"/>
  <c r="BX61" i="1"/>
  <c r="L65" i="1"/>
  <c r="CF240" i="1"/>
  <c r="CJ56" i="1"/>
  <c r="F174" i="1"/>
  <c r="G222" i="1" s="1"/>
  <c r="AE9" i="1"/>
  <c r="AE13" i="1"/>
  <c r="I65" i="1"/>
  <c r="G215" i="1"/>
  <c r="T206" i="1"/>
  <c r="T208" i="1" s="1"/>
  <c r="T65" i="1"/>
  <c r="O65" i="1"/>
  <c r="O206" i="1"/>
  <c r="O208" i="1" s="1"/>
  <c r="R206" i="1"/>
  <c r="R208" i="1" s="1"/>
  <c r="R65" i="1"/>
  <c r="Q206" i="1"/>
  <c r="Q208" i="1" s="1"/>
  <c r="Q65" i="1"/>
  <c r="P206" i="1"/>
  <c r="P208" i="1" s="1"/>
  <c r="P65" i="1"/>
  <c r="H206" i="1"/>
  <c r="H208" i="1" s="1"/>
  <c r="H65" i="1"/>
  <c r="N65" i="1"/>
  <c r="N206" i="1"/>
  <c r="N208" i="1" s="1"/>
  <c r="G206" i="1"/>
  <c r="G208" i="1" s="1"/>
  <c r="G65" i="1"/>
  <c r="K206" i="1"/>
  <c r="K208" i="1" s="1"/>
  <c r="K65" i="1"/>
  <c r="T215" i="1"/>
  <c r="B78" i="1"/>
  <c r="B120" i="1" s="1"/>
  <c r="I147" i="1"/>
  <c r="I151" i="1" s="1"/>
  <c r="M215" i="1"/>
  <c r="F215" i="1"/>
  <c r="CR40" i="1"/>
  <c r="AL132" i="1"/>
  <c r="AL133" i="1" s="1"/>
  <c r="AL65" i="1"/>
  <c r="AL206" i="1"/>
  <c r="AL208" i="1" s="1"/>
  <c r="CB57" i="1"/>
  <c r="CB247" i="1"/>
  <c r="CF56" i="1"/>
  <c r="CB55" i="1"/>
  <c r="CB258" i="1" s="1"/>
  <c r="CC57" i="1"/>
  <c r="CB61" i="1"/>
  <c r="CE240" i="1"/>
  <c r="CB56" i="1"/>
  <c r="CJ206" i="1"/>
  <c r="CJ208" i="1" s="1"/>
  <c r="CJ132" i="1"/>
  <c r="CJ133" i="1" s="1"/>
  <c r="CJ79" i="1"/>
  <c r="CJ65" i="1"/>
  <c r="CD240" i="1"/>
  <c r="CC56" i="1"/>
  <c r="BY247" i="1"/>
  <c r="BY55" i="1"/>
  <c r="BY258" i="1" s="1"/>
  <c r="BY61" i="1"/>
  <c r="BY57" i="1"/>
  <c r="CP196" i="1"/>
  <c r="CO198" i="1"/>
  <c r="BZ57" i="1"/>
  <c r="CC240" i="1"/>
  <c r="BZ55" i="1"/>
  <c r="BZ258" i="1" s="1"/>
  <c r="CA57" i="1"/>
  <c r="CD56" i="1"/>
  <c r="BZ247" i="1"/>
  <c r="BZ61" i="1"/>
  <c r="CH206" i="1"/>
  <c r="CH208" i="1" s="1"/>
  <c r="CH212" i="1" s="1"/>
  <c r="CH226" i="1" s="1"/>
  <c r="CH79" i="1"/>
  <c r="CH65" i="1"/>
  <c r="CH132" i="1"/>
  <c r="CH133" i="1" s="1"/>
  <c r="CI220" i="1" s="1"/>
  <c r="CI218" i="1" s="1"/>
  <c r="CF117" i="1"/>
  <c r="CF116" i="1"/>
  <c r="CF115" i="1"/>
  <c r="AB215" i="1"/>
  <c r="CC206" i="1"/>
  <c r="CC208" i="1" s="1"/>
  <c r="CC65" i="1"/>
  <c r="X247" i="1"/>
  <c r="X61" i="1"/>
  <c r="X55" i="1"/>
  <c r="X258" i="1" s="1"/>
  <c r="Y56" i="1"/>
  <c r="CG57" i="1"/>
  <c r="CF61" i="1"/>
  <c r="CG67" i="1" s="1"/>
  <c r="CF55" i="1"/>
  <c r="CF258" i="1" s="1"/>
  <c r="CI240" i="1"/>
  <c r="CF247" i="1"/>
  <c r="Y55" i="1"/>
  <c r="Y258" i="1" s="1"/>
  <c r="Z56" i="1"/>
  <c r="Y74" i="1"/>
  <c r="Y61" i="1"/>
  <c r="Y247" i="1"/>
  <c r="CG240" i="1"/>
  <c r="CE206" i="1"/>
  <c r="CE208" i="1" s="1"/>
  <c r="CE79" i="1"/>
  <c r="CE65" i="1"/>
  <c r="CP137" i="1"/>
  <c r="CO141" i="1"/>
  <c r="AB137" i="1"/>
  <c r="CI206" i="1"/>
  <c r="CI208" i="1" s="1"/>
  <c r="CI65" i="1"/>
  <c r="CI79" i="1"/>
  <c r="U65" i="1"/>
  <c r="U206" i="1"/>
  <c r="U208" i="1" s="1"/>
  <c r="CQ153" i="1"/>
  <c r="CQ215" i="1" s="1"/>
  <c r="CE121" i="1"/>
  <c r="CE105" i="1"/>
  <c r="CE112" i="1"/>
  <c r="CE120" i="1"/>
  <c r="D65" i="1"/>
  <c r="D206" i="1"/>
  <c r="D208" i="1" s="1"/>
  <c r="CD65" i="1"/>
  <c r="CD132" i="1"/>
  <c r="CD133" i="1" s="1"/>
  <c r="CE220" i="1" s="1"/>
  <c r="CE218" i="1" s="1"/>
  <c r="CD206" i="1"/>
  <c r="CD208" i="1" s="1"/>
  <c r="CQ76" i="1"/>
  <c r="CP78" i="1"/>
  <c r="CA206" i="1"/>
  <c r="CA208" i="1" s="1"/>
  <c r="CA65" i="1"/>
  <c r="AJ132" i="1"/>
  <c r="AJ133" i="1" s="1"/>
  <c r="AK220" i="1" s="1"/>
  <c r="AK218" i="1" s="1"/>
  <c r="AJ206" i="1"/>
  <c r="AJ208" i="1" s="1"/>
  <c r="AJ65" i="1"/>
  <c r="V65" i="1"/>
  <c r="V206" i="1"/>
  <c r="V208" i="1" s="1"/>
  <c r="CN194" i="1"/>
  <c r="CM195" i="1"/>
  <c r="CM199" i="1" s="1"/>
  <c r="CF57" i="1"/>
  <c r="CN262" i="1"/>
  <c r="CN219" i="1"/>
  <c r="CP192" i="1"/>
  <c r="CD78" i="1"/>
  <c r="CD79" i="1" s="1"/>
  <c r="CC76" i="1"/>
  <c r="AK65" i="1"/>
  <c r="AK206" i="1"/>
  <c r="AK208" i="1" s="1"/>
  <c r="Z247" i="1"/>
  <c r="Z55" i="1"/>
  <c r="Z258" i="1" s="1"/>
  <c r="Z74" i="1"/>
  <c r="Z61" i="1"/>
  <c r="CG65" i="1"/>
  <c r="CG206" i="1"/>
  <c r="CG208" i="1" s="1"/>
  <c r="CG79" i="1"/>
  <c r="CH240" i="1"/>
  <c r="AW144" i="1"/>
  <c r="AW153" i="1"/>
  <c r="BI159" i="1"/>
  <c r="BJ159" i="1" s="1"/>
  <c r="BI130" i="1"/>
  <c r="BI160" i="1"/>
  <c r="BJ160" i="1" s="1"/>
  <c r="BI140" i="1"/>
  <c r="BJ140" i="1" s="1"/>
  <c r="BI158" i="1"/>
  <c r="BS137" i="1"/>
  <c r="BA138" i="1"/>
  <c r="BB138" i="1" s="1"/>
  <c r="BA159" i="1"/>
  <c r="BB159" i="1" s="1"/>
  <c r="BU130" i="1"/>
  <c r="BU172" i="1"/>
  <c r="BU148" i="1"/>
  <c r="BV148" i="1" s="1"/>
  <c r="BU167" i="1"/>
  <c r="BV167" i="1" s="1"/>
  <c r="BG159" i="1"/>
  <c r="BH159" i="1" s="1"/>
  <c r="BC167" i="1"/>
  <c r="BD167" i="1" s="1"/>
  <c r="BC172" i="1"/>
  <c r="BC176" i="1"/>
  <c r="BD176" i="1" s="1"/>
  <c r="BC139" i="1"/>
  <c r="BD139" i="1" s="1"/>
  <c r="BC168" i="1"/>
  <c r="BD168" i="1" s="1"/>
  <c r="BC140" i="1"/>
  <c r="BD140" i="1" s="1"/>
  <c r="BC130" i="1"/>
  <c r="BC166" i="1"/>
  <c r="BC135" i="1"/>
  <c r="BD135" i="1" s="1"/>
  <c r="BC163" i="1"/>
  <c r="BD163" i="1" s="1"/>
  <c r="BC177" i="1"/>
  <c r="BD177" i="1" s="1"/>
  <c r="BO165" i="1"/>
  <c r="BP165" i="1" s="1"/>
  <c r="BO177" i="1"/>
  <c r="BP177" i="1" s="1"/>
  <c r="BO156" i="1"/>
  <c r="BP156" i="1" s="1"/>
  <c r="BO173" i="1"/>
  <c r="BO162" i="1"/>
  <c r="BI172" i="1"/>
  <c r="BI135" i="1"/>
  <c r="BJ135" i="1" s="1"/>
  <c r="BI168" i="1"/>
  <c r="BJ168" i="1" s="1"/>
  <c r="BI153" i="1"/>
  <c r="BJ153" i="1" s="1"/>
  <c r="AY160" i="1"/>
  <c r="AZ160" i="1" s="1"/>
  <c r="AY153" i="1"/>
  <c r="AZ153" i="1" s="1"/>
  <c r="BE150" i="1"/>
  <c r="AU139" i="1"/>
  <c r="AV139" i="1" s="1"/>
  <c r="AU153" i="1"/>
  <c r="AV153" i="1" s="1"/>
  <c r="BO138" i="1"/>
  <c r="BP138" i="1" s="1"/>
  <c r="BM138" i="1"/>
  <c r="BN138" i="1" s="1"/>
  <c r="BA148" i="1"/>
  <c r="BB148" i="1" s="1"/>
  <c r="BM160" i="1"/>
  <c r="BN160" i="1" s="1"/>
  <c r="AY177" i="1"/>
  <c r="AZ177" i="1" s="1"/>
  <c r="BI176" i="1"/>
  <c r="BJ176" i="1" s="1"/>
  <c r="BI173" i="1"/>
  <c r="BE158" i="1"/>
  <c r="BE156" i="1"/>
  <c r="BF156" i="1" s="1"/>
  <c r="BM167" i="1"/>
  <c r="BN167" i="1" s="1"/>
  <c r="BM131" i="1"/>
  <c r="BN131" i="1" s="1"/>
  <c r="BU156" i="1"/>
  <c r="BV156" i="1" s="1"/>
  <c r="AW165" i="1"/>
  <c r="AX165" i="1" s="1"/>
  <c r="BC173" i="1"/>
  <c r="BA160" i="1"/>
  <c r="BB160" i="1" s="1"/>
  <c r="AS137" i="1"/>
  <c r="BA135" i="1"/>
  <c r="BB135" i="1" s="1"/>
  <c r="AW150" i="1"/>
  <c r="AX150" i="1" s="1"/>
  <c r="AQ156" i="1"/>
  <c r="AR156" i="1" s="1"/>
  <c r="BO176" i="1"/>
  <c r="BP176" i="1" s="1"/>
  <c r="AW132" i="1"/>
  <c r="BA167" i="1"/>
  <c r="BB167" i="1" s="1"/>
  <c r="BI157" i="1"/>
  <c r="BI132" i="1"/>
  <c r="AY166" i="1"/>
  <c r="AY132" i="1"/>
  <c r="AY176" i="1"/>
  <c r="AZ176" i="1" s="1"/>
  <c r="BU146" i="1"/>
  <c r="BG156" i="1"/>
  <c r="BH156" i="1" s="1"/>
  <c r="AS131" i="1"/>
  <c r="AT131" i="1" s="1"/>
  <c r="AS138" i="1"/>
  <c r="AT138" i="1" s="1"/>
  <c r="BO130" i="1"/>
  <c r="BE148" i="1"/>
  <c r="BF148" i="1" s="1"/>
  <c r="BI164" i="1"/>
  <c r="BJ164" i="1" s="1"/>
  <c r="BA137" i="1"/>
  <c r="BM144" i="1"/>
  <c r="BM139" i="1"/>
  <c r="BN139" i="1" s="1"/>
  <c r="AU130" i="1"/>
  <c r="AU158" i="1"/>
  <c r="BO166" i="1"/>
  <c r="AU168" i="1"/>
  <c r="AV168" i="1" s="1"/>
  <c r="BU139" i="1"/>
  <c r="BV139" i="1" s="1"/>
  <c r="BE164" i="1"/>
  <c r="BF164" i="1" s="1"/>
  <c r="AS132" i="1"/>
  <c r="AY150" i="1"/>
  <c r="AZ150" i="1" s="1"/>
  <c r="BA158" i="1"/>
  <c r="BU165" i="1"/>
  <c r="BV165" i="1" s="1"/>
  <c r="BE172" i="1"/>
  <c r="BE146" i="1"/>
  <c r="AU156" i="1"/>
  <c r="AV156" i="1" s="1"/>
  <c r="AU155" i="1"/>
  <c r="BU177" i="1"/>
  <c r="BV177" i="1" s="1"/>
  <c r="BM168" i="1"/>
  <c r="BN168" i="1" s="1"/>
  <c r="BU162" i="1"/>
  <c r="AY140" i="1"/>
  <c r="AZ140" i="1" s="1"/>
  <c r="AY130" i="1"/>
  <c r="BE166" i="1"/>
  <c r="BG130" i="1"/>
  <c r="BM162" i="1"/>
  <c r="BM146" i="1"/>
  <c r="AY156" i="1"/>
  <c r="AZ156" i="1" s="1"/>
  <c r="BC146" i="1"/>
  <c r="BE130" i="1"/>
  <c r="AQ137" i="1"/>
  <c r="BO168" i="1"/>
  <c r="BP168" i="1" s="1"/>
  <c r="BM177" i="1"/>
  <c r="BN177" i="1" s="1"/>
  <c r="BU144" i="1"/>
  <c r="BE159" i="1"/>
  <c r="BF159" i="1" s="1"/>
  <c r="BU140" i="1"/>
  <c r="BV140" i="1" s="1"/>
  <c r="AU131" i="1"/>
  <c r="AV131" i="1" s="1"/>
  <c r="AQ162" i="1"/>
  <c r="AQ172" i="1"/>
  <c r="BA168" i="1"/>
  <c r="BB168" i="1" s="1"/>
  <c r="AY173" i="1"/>
  <c r="BE132" i="1"/>
  <c r="BU131" i="1"/>
  <c r="BV131" i="1" s="1"/>
  <c r="BG148" i="1"/>
  <c r="BH148" i="1" s="1"/>
  <c r="BQ153" i="1"/>
  <c r="BR153" i="1" s="1"/>
  <c r="BC153" i="1"/>
  <c r="BD153" i="1" s="1"/>
  <c r="BA131" i="1"/>
  <c r="BB131" i="1" s="1"/>
  <c r="BU160" i="1"/>
  <c r="BV160" i="1" s="1"/>
  <c r="BQ148" i="1"/>
  <c r="BR148" i="1" s="1"/>
  <c r="AU165" i="1"/>
  <c r="AV165" i="1" s="1"/>
  <c r="BU153" i="1"/>
  <c r="BV153" i="1" s="1"/>
  <c r="BM140" i="1"/>
  <c r="BN140" i="1" s="1"/>
  <c r="AY138" i="1"/>
  <c r="AZ138" i="1" s="1"/>
  <c r="BK177" i="1"/>
  <c r="BL177" i="1" s="1"/>
  <c r="BC165" i="1"/>
  <c r="BD165" i="1" s="1"/>
  <c r="BC137" i="1"/>
  <c r="BE160" i="1"/>
  <c r="BF160" i="1" s="1"/>
  <c r="BA173" i="1"/>
  <c r="BU155" i="1"/>
  <c r="BE167" i="1"/>
  <c r="BF167" i="1" s="1"/>
  <c r="AQ153" i="1"/>
  <c r="AR153" i="1" s="1"/>
  <c r="BE131" i="1"/>
  <c r="BF131" i="1" s="1"/>
  <c r="BM163" i="1"/>
  <c r="BN163" i="1" s="1"/>
  <c r="BA176" i="1"/>
  <c r="BU173" i="1"/>
  <c r="BU176" i="1"/>
  <c r="BV176" i="1" s="1"/>
  <c r="BM172" i="1"/>
  <c r="AU177" i="1"/>
  <c r="AV177" i="1" s="1"/>
  <c r="BA164" i="1"/>
  <c r="BB164" i="1" s="1"/>
  <c r="BO150" i="1"/>
  <c r="BP150" i="1" s="1"/>
  <c r="BM148" i="1"/>
  <c r="BN148" i="1" s="1"/>
  <c r="BC150" i="1"/>
  <c r="BD150" i="1" s="1"/>
  <c r="AS168" i="1"/>
  <c r="AT168" i="1" s="1"/>
  <c r="BU138" i="1"/>
  <c r="BV138" i="1" s="1"/>
  <c r="BU163" i="1"/>
  <c r="BV163" i="1" s="1"/>
  <c r="BU168" i="1"/>
  <c r="BV168" i="1" s="1"/>
  <c r="AS130" i="1"/>
  <c r="BC155" i="1"/>
  <c r="AQ130" i="1"/>
  <c r="AS139" i="1"/>
  <c r="AT139" i="1" s="1"/>
  <c r="BM173" i="1"/>
  <c r="AQ160" i="1"/>
  <c r="AR160" i="1" s="1"/>
  <c r="AS150" i="1"/>
  <c r="AT150" i="1" s="1"/>
  <c r="AU162" i="1"/>
  <c r="BQ159" i="1"/>
  <c r="BR159" i="1" s="1"/>
  <c r="AS176" i="1"/>
  <c r="AT176" i="1" s="1"/>
  <c r="BQ160" i="1"/>
  <c r="BR160" i="1" s="1"/>
  <c r="AS165" i="1"/>
  <c r="AT165" i="1" s="1"/>
  <c r="AS163" i="1"/>
  <c r="AT163" i="1" s="1"/>
  <c r="BQ163" i="1"/>
  <c r="BR163" i="1" s="1"/>
  <c r="AS146" i="1"/>
  <c r="AU173" i="1"/>
  <c r="E215" i="1"/>
  <c r="U215" i="1"/>
  <c r="J133" i="1"/>
  <c r="J67" i="1" s="1"/>
  <c r="D215" i="1"/>
  <c r="G174" i="1"/>
  <c r="H222" i="1" s="1"/>
  <c r="M174" i="1"/>
  <c r="N222" i="1" s="1"/>
  <c r="S174" i="1"/>
  <c r="T222" i="1" s="1"/>
  <c r="L147" i="1"/>
  <c r="L46" i="1" s="1"/>
  <c r="D174" i="1"/>
  <c r="E222" i="1" s="1"/>
  <c r="B186" i="1"/>
  <c r="D147" i="1"/>
  <c r="D46" i="1" s="1"/>
  <c r="R141" i="1"/>
  <c r="R50" i="1" s="1"/>
  <c r="F133" i="1"/>
  <c r="F188" i="1" s="1"/>
  <c r="T174" i="1"/>
  <c r="U222" i="1" s="1"/>
  <c r="D141" i="1"/>
  <c r="D50" i="1" s="1"/>
  <c r="P133" i="1"/>
  <c r="P261" i="1" s="1"/>
  <c r="M133" i="1"/>
  <c r="M188" i="1" s="1"/>
  <c r="F147" i="1"/>
  <c r="L133" i="1"/>
  <c r="W215" i="1"/>
  <c r="N133" i="1"/>
  <c r="N147" i="1"/>
  <c r="N151" i="1" s="1"/>
  <c r="P141" i="1"/>
  <c r="P181" i="1" s="1"/>
  <c r="P122" i="1" s="1"/>
  <c r="U147" i="1"/>
  <c r="U46" i="1" s="1"/>
  <c r="E133" i="1"/>
  <c r="E188" i="1" s="1"/>
  <c r="J147" i="1"/>
  <c r="J151" i="1" s="1"/>
  <c r="V147" i="1"/>
  <c r="V46" i="1" s="1"/>
  <c r="B174" i="1"/>
  <c r="C222" i="1" s="1"/>
  <c r="R147" i="1"/>
  <c r="R46" i="1" s="1"/>
  <c r="P186" i="1"/>
  <c r="O133" i="1"/>
  <c r="O67" i="1" s="1"/>
  <c r="U186" i="1"/>
  <c r="I215" i="1"/>
  <c r="D133" i="1"/>
  <c r="D67" i="1" s="1"/>
  <c r="J215" i="1"/>
  <c r="G133" i="1"/>
  <c r="N141" i="1"/>
  <c r="N50" i="1" s="1"/>
  <c r="K186" i="1"/>
  <c r="U161" i="1"/>
  <c r="U195" i="1" s="1"/>
  <c r="U194" i="1" s="1"/>
  <c r="Q215" i="1"/>
  <c r="G169" i="1"/>
  <c r="G198" i="1" s="1"/>
  <c r="G197" i="1" s="1"/>
  <c r="I161" i="1"/>
  <c r="I195" i="1" s="1"/>
  <c r="I194" i="1" s="1"/>
  <c r="J174" i="1"/>
  <c r="K222" i="1" s="1"/>
  <c r="M141" i="1"/>
  <c r="M50" i="1" s="1"/>
  <c r="S169" i="1"/>
  <c r="S198" i="1" s="1"/>
  <c r="S197" i="1" s="1"/>
  <c r="J141" i="1"/>
  <c r="J50" i="1" s="1"/>
  <c r="M147" i="1"/>
  <c r="I174" i="1"/>
  <c r="J222" i="1" s="1"/>
  <c r="E147" i="1"/>
  <c r="E46" i="1" s="1"/>
  <c r="AX87" i="1"/>
  <c r="BU87" i="1"/>
  <c r="AY87" i="1"/>
  <c r="AV45" i="1"/>
  <c r="AV207" i="1" s="1"/>
  <c r="BA37" i="1"/>
  <c r="BF35" i="1"/>
  <c r="AY49" i="1"/>
  <c r="BU64" i="1"/>
  <c r="AQ37" i="1"/>
  <c r="BE26" i="1"/>
  <c r="AP60" i="1"/>
  <c r="AQ49" i="1"/>
  <c r="AU35" i="1"/>
  <c r="BG60" i="1"/>
  <c r="AW34" i="1"/>
  <c r="AY33" i="1"/>
  <c r="AW37" i="1"/>
  <c r="BJ52" i="1"/>
  <c r="AR58" i="1"/>
  <c r="BV59" i="1"/>
  <c r="AQ35" i="1"/>
  <c r="BM52" i="1"/>
  <c r="BK60" i="1"/>
  <c r="BK27" i="1"/>
  <c r="BF36" i="1"/>
  <c r="AW64" i="1"/>
  <c r="BJ86" i="1"/>
  <c r="BG52" i="1"/>
  <c r="BU21" i="1"/>
  <c r="BQ36" i="1"/>
  <c r="AQ28" i="1"/>
  <c r="BS34" i="1"/>
  <c r="AX28" i="1"/>
  <c r="BS45" i="1"/>
  <c r="BS207" i="1" s="1"/>
  <c r="BC35" i="1"/>
  <c r="AT87" i="1"/>
  <c r="BB37" i="1"/>
  <c r="BA87" i="1"/>
  <c r="AP86" i="1"/>
  <c r="AI28" i="1"/>
  <c r="BM49" i="1"/>
  <c r="BG59" i="1"/>
  <c r="AS64" i="1"/>
  <c r="BB48" i="1"/>
  <c r="BB64" i="1"/>
  <c r="AR59" i="1"/>
  <c r="AU27" i="1"/>
  <c r="AW22" i="1"/>
  <c r="BD21" i="1"/>
  <c r="BD244" i="1" s="1"/>
  <c r="AP28" i="1"/>
  <c r="AV87" i="1"/>
  <c r="BB60" i="1"/>
  <c r="BM35" i="1"/>
  <c r="BK59" i="1"/>
  <c r="AV86" i="1"/>
  <c r="BK36" i="1"/>
  <c r="AT48" i="1"/>
  <c r="BW49" i="1"/>
  <c r="BI33" i="1"/>
  <c r="BJ58" i="1"/>
  <c r="AS45" i="1"/>
  <c r="AT49" i="1"/>
  <c r="BQ34" i="1"/>
  <c r="AT37" i="1"/>
  <c r="BT28" i="1"/>
  <c r="BI26" i="1"/>
  <c r="BE27" i="1"/>
  <c r="AY35" i="1"/>
  <c r="BH86" i="1"/>
  <c r="AP59" i="1"/>
  <c r="AS22" i="1"/>
  <c r="AY45" i="1"/>
  <c r="AY207" i="1" s="1"/>
  <c r="AR27" i="1"/>
  <c r="AR22" i="1"/>
  <c r="BP52" i="1"/>
  <c r="BI86" i="1"/>
  <c r="AU86" i="1"/>
  <c r="BN86" i="1"/>
  <c r="BE59" i="1"/>
  <c r="AZ87" i="1"/>
  <c r="AQ58" i="1"/>
  <c r="BB33" i="1"/>
  <c r="BW26" i="1"/>
  <c r="BC37" i="1"/>
  <c r="BD64" i="1"/>
  <c r="BO52" i="1"/>
  <c r="AI52" i="1"/>
  <c r="BI28" i="1"/>
  <c r="BQ21" i="1"/>
  <c r="BF64" i="1"/>
  <c r="BV22" i="1"/>
  <c r="AV35" i="1"/>
  <c r="AT28" i="1"/>
  <c r="BT64" i="1"/>
  <c r="AQ36" i="1"/>
  <c r="BS59" i="1"/>
  <c r="BB45" i="1"/>
  <c r="BB207" i="1" s="1"/>
  <c r="BT33" i="1"/>
  <c r="BQ60" i="1"/>
  <c r="BN21" i="1"/>
  <c r="BR48" i="1"/>
  <c r="BU59" i="1"/>
  <c r="BC86" i="1"/>
  <c r="AX58" i="1"/>
  <c r="BI87" i="1"/>
  <c r="AN27" i="1"/>
  <c r="AT27" i="1"/>
  <c r="BK33" i="1"/>
  <c r="BJ48" i="1"/>
  <c r="AP35" i="1"/>
  <c r="AX27" i="1"/>
  <c r="BR35" i="1"/>
  <c r="BM59" i="1"/>
  <c r="BP22" i="1"/>
  <c r="BP64" i="1"/>
  <c r="BA52" i="1"/>
  <c r="BM28" i="1"/>
  <c r="BQ49" i="1"/>
  <c r="AZ64" i="1"/>
  <c r="BE52" i="1"/>
  <c r="AI60" i="1"/>
  <c r="BU60" i="1"/>
  <c r="BB59" i="1"/>
  <c r="BF34" i="1"/>
  <c r="BD34" i="1"/>
  <c r="BM36" i="1"/>
  <c r="BT36" i="1"/>
  <c r="BQ45" i="1"/>
  <c r="BQ207" i="1" s="1"/>
  <c r="AS35" i="1"/>
  <c r="AJ86" i="1"/>
  <c r="BP59" i="1"/>
  <c r="AW26" i="1"/>
  <c r="AV27" i="1"/>
  <c r="BI27" i="1"/>
  <c r="AS34" i="1"/>
  <c r="AV60" i="1"/>
  <c r="BI58" i="1"/>
  <c r="BP26" i="1"/>
  <c r="BD87" i="1"/>
  <c r="AZ34" i="1"/>
  <c r="AY52" i="1"/>
  <c r="BH36" i="1"/>
  <c r="BA34" i="1"/>
  <c r="BF37" i="1"/>
  <c r="BC49" i="1"/>
  <c r="BW37" i="1"/>
  <c r="BR45" i="1"/>
  <c r="AX36" i="1"/>
  <c r="BS26" i="1"/>
  <c r="BQ33" i="1"/>
  <c r="BE33" i="1"/>
  <c r="BI22" i="1"/>
  <c r="BP21" i="1"/>
  <c r="AO37" i="1"/>
  <c r="BA26" i="1"/>
  <c r="BV64" i="1"/>
  <c r="BD86" i="1"/>
  <c r="BT22" i="1"/>
  <c r="AY26" i="1"/>
  <c r="BI59" i="1"/>
  <c r="BN34" i="1"/>
  <c r="AS36" i="1"/>
  <c r="AW28" i="1"/>
  <c r="AU58" i="1"/>
  <c r="AI26" i="1"/>
  <c r="AT21" i="1"/>
  <c r="AT244" i="1" s="1"/>
  <c r="BT60" i="1"/>
  <c r="BE64" i="1"/>
  <c r="BR34" i="1"/>
  <c r="BA36" i="1"/>
  <c r="AI36" i="1"/>
  <c r="AP87" i="1"/>
  <c r="BD37" i="1"/>
  <c r="AN52" i="1"/>
  <c r="BW59" i="1"/>
  <c r="BE22" i="1"/>
  <c r="AY21" i="1"/>
  <c r="BW28" i="1"/>
  <c r="AM58" i="1"/>
  <c r="AT36" i="1"/>
  <c r="BE35" i="1"/>
  <c r="AR26" i="1"/>
  <c r="BM27" i="1"/>
  <c r="BC48" i="1"/>
  <c r="BG45" i="1"/>
  <c r="BG207" i="1" s="1"/>
  <c r="AZ52" i="1"/>
  <c r="BH33" i="1"/>
  <c r="BJ64" i="1"/>
  <c r="BS64" i="1"/>
  <c r="BR59" i="1"/>
  <c r="BE60" i="1"/>
  <c r="AY34" i="1"/>
  <c r="BV52" i="1"/>
  <c r="BQ64" i="1"/>
  <c r="AI59" i="1"/>
  <c r="AN60" i="1"/>
  <c r="AQ60" i="1"/>
  <c r="BW36" i="1"/>
  <c r="AO28" i="1"/>
  <c r="AW27" i="1"/>
  <c r="BR28" i="1"/>
  <c r="BH37" i="1"/>
  <c r="BH35" i="1"/>
  <c r="AI34" i="1"/>
  <c r="BO60" i="1"/>
  <c r="BO37" i="1"/>
  <c r="AP45" i="1"/>
  <c r="AP207" i="1" s="1"/>
  <c r="AQ45" i="1"/>
  <c r="BT34" i="1"/>
  <c r="AY60" i="1"/>
  <c r="AZ33" i="1"/>
  <c r="BK48" i="1"/>
  <c r="BH87" i="1"/>
  <c r="BH45" i="1"/>
  <c r="BH207" i="1" s="1"/>
  <c r="AT34" i="1"/>
  <c r="BR64" i="1"/>
  <c r="BP60" i="1"/>
  <c r="AN48" i="1"/>
  <c r="BS33" i="1"/>
  <c r="BB22" i="1"/>
  <c r="AX64" i="1"/>
  <c r="AZ26" i="1"/>
  <c r="BB35" i="1"/>
  <c r="AW49" i="1"/>
  <c r="BD28" i="1"/>
  <c r="BN45" i="1"/>
  <c r="BM21" i="1"/>
  <c r="AO27" i="1"/>
  <c r="BK37" i="1"/>
  <c r="AU87" i="1"/>
  <c r="BN27" i="1"/>
  <c r="BH21" i="1"/>
  <c r="BH244" i="1" s="1"/>
  <c r="BA49" i="1"/>
  <c r="BA64" i="1"/>
  <c r="BH64" i="1"/>
  <c r="AP48" i="1"/>
  <c r="BI37" i="1"/>
  <c r="BS48" i="1"/>
  <c r="BN26" i="1"/>
  <c r="AY48" i="1"/>
  <c r="AV36" i="1"/>
  <c r="BW60" i="1"/>
  <c r="BO34" i="1"/>
  <c r="BO35" i="1"/>
  <c r="BB26" i="1"/>
  <c r="BI60" i="1"/>
  <c r="AN49" i="1"/>
  <c r="AU26" i="1"/>
  <c r="BT52" i="1"/>
  <c r="BQ58" i="1"/>
  <c r="BG33" i="1"/>
  <c r="BU49" i="1"/>
  <c r="BQ48" i="1"/>
  <c r="BO45" i="1"/>
  <c r="BO207" i="1" s="1"/>
  <c r="BG34" i="1"/>
  <c r="AM86" i="1"/>
  <c r="BO64" i="1"/>
  <c r="AO52" i="1"/>
  <c r="BV34" i="1"/>
  <c r="BS21" i="1"/>
  <c r="BS10" i="1" s="1"/>
  <c r="BH49" i="1"/>
  <c r="AZ27" i="1"/>
  <c r="BG35" i="1"/>
  <c r="AQ22" i="1"/>
  <c r="AQ34" i="1"/>
  <c r="AP21" i="1"/>
  <c r="AP244" i="1" s="1"/>
  <c r="AO26" i="1"/>
  <c r="BD48" i="1"/>
  <c r="BD52" i="1"/>
  <c r="BW58" i="1"/>
  <c r="BR27" i="1"/>
  <c r="AT52" i="1"/>
  <c r="BT35" i="1"/>
  <c r="BU37" i="1"/>
  <c r="AN59" i="1"/>
  <c r="AZ21" i="1"/>
  <c r="AZ244" i="1" s="1"/>
  <c r="AN33" i="1"/>
  <c r="BV28" i="1"/>
  <c r="AQ27" i="1"/>
  <c r="BP45" i="1"/>
  <c r="BI35" i="1"/>
  <c r="BA58" i="1"/>
  <c r="AZ60" i="1"/>
  <c r="BW45" i="1"/>
  <c r="BW207" i="1" s="1"/>
  <c r="AV28" i="1"/>
  <c r="AO34" i="1"/>
  <c r="BO48" i="1"/>
  <c r="BM48" i="1"/>
  <c r="AP26" i="1"/>
  <c r="AS27" i="1"/>
  <c r="BG28" i="1"/>
  <c r="BV86" i="1"/>
  <c r="AQ26" i="1"/>
  <c r="AX35" i="1"/>
  <c r="BK21" i="1"/>
  <c r="AR60" i="1"/>
  <c r="AU28" i="1"/>
  <c r="BT26" i="1"/>
  <c r="AI21" i="1"/>
  <c r="BU52" i="1"/>
  <c r="BC59" i="1"/>
  <c r="AV22" i="1"/>
  <c r="BA60" i="1"/>
  <c r="BD60" i="1"/>
  <c r="BW27" i="1"/>
  <c r="BF22" i="1"/>
  <c r="BV37" i="1"/>
  <c r="BG36" i="1"/>
  <c r="AO58" i="1"/>
  <c r="BN59" i="1"/>
  <c r="AW45" i="1"/>
  <c r="AW207" i="1" s="1"/>
  <c r="BC26" i="1"/>
  <c r="AM87" i="1"/>
  <c r="BS58" i="1"/>
  <c r="BU36" i="1"/>
  <c r="BU48" i="1"/>
  <c r="BN60" i="1"/>
  <c r="BR60" i="1"/>
  <c r="BA21" i="1"/>
  <c r="AZ36" i="1"/>
  <c r="BO49" i="1"/>
  <c r="AI35" i="1"/>
  <c r="BE48" i="1"/>
  <c r="AW21" i="1"/>
  <c r="AZ22" i="1"/>
  <c r="BP27" i="1"/>
  <c r="BR58" i="1"/>
  <c r="AR33" i="1"/>
  <c r="BF48" i="1"/>
  <c r="BT37" i="1"/>
  <c r="AR37" i="1"/>
  <c r="BO59" i="1"/>
  <c r="BA48" i="1"/>
  <c r="AZ28" i="1"/>
  <c r="AV59" i="1"/>
  <c r="BQ35" i="1"/>
  <c r="AX45" i="1"/>
  <c r="AX207" i="1" s="1"/>
  <c r="AO21" i="1"/>
  <c r="BV33" i="1"/>
  <c r="BJ22" i="1"/>
  <c r="BJ23" i="1" s="1"/>
  <c r="AJ87" i="1"/>
  <c r="BC36" i="1"/>
  <c r="BI36" i="1"/>
  <c r="BA45" i="1"/>
  <c r="BS37" i="1"/>
  <c r="AO64" i="1"/>
  <c r="BB21" i="1"/>
  <c r="AV37" i="1"/>
  <c r="BW48" i="1"/>
  <c r="BK45" i="1"/>
  <c r="AO35" i="1"/>
  <c r="AW33" i="1"/>
  <c r="AU60" i="1"/>
  <c r="AP22" i="1"/>
  <c r="BE36" i="1"/>
  <c r="BR49" i="1"/>
  <c r="BS52" i="1"/>
  <c r="AV48" i="1"/>
  <c r="BU34" i="1"/>
  <c r="BR21" i="1"/>
  <c r="BM34" i="1"/>
  <c r="BN58" i="1"/>
  <c r="AU21" i="1"/>
  <c r="BC64" i="1"/>
  <c r="AX60" i="1"/>
  <c r="BI45" i="1"/>
  <c r="BM58" i="1"/>
  <c r="BW35" i="1"/>
  <c r="BM22" i="1"/>
  <c r="AP33" i="1"/>
  <c r="BA59" i="1"/>
  <c r="BN52" i="1"/>
  <c r="AR45" i="1"/>
  <c r="AR207" i="1" s="1"/>
  <c r="BI48" i="1"/>
  <c r="BU27" i="1"/>
  <c r="AK87" i="1"/>
  <c r="BT45" i="1"/>
  <c r="AI64" i="1"/>
  <c r="BJ60" i="1"/>
  <c r="AX26" i="1"/>
  <c r="AR48" i="1"/>
  <c r="BI49" i="1"/>
  <c r="AP52" i="1"/>
  <c r="AZ35" i="1"/>
  <c r="BQ59" i="1"/>
  <c r="AN26" i="1"/>
  <c r="AR64" i="1"/>
  <c r="AV64" i="1"/>
  <c r="AN34" i="1"/>
  <c r="AQ64" i="1"/>
  <c r="BK52" i="1"/>
  <c r="BH27" i="1"/>
  <c r="AV52" i="1"/>
  <c r="BC28" i="1"/>
  <c r="AO59" i="1"/>
  <c r="AT45" i="1"/>
  <c r="AT207" i="1" s="1"/>
  <c r="AW35" i="1"/>
  <c r="BD49" i="1"/>
  <c r="AV33" i="1"/>
  <c r="BD22" i="1"/>
  <c r="AI33" i="1"/>
  <c r="AT64" i="1"/>
  <c r="AN64" i="1"/>
  <c r="BR37" i="1"/>
  <c r="AR34" i="1"/>
  <c r="BR33" i="1"/>
  <c r="BP34" i="1"/>
  <c r="BF52" i="1"/>
  <c r="BU28" i="1"/>
  <c r="BR52" i="1"/>
  <c r="BH52" i="1"/>
  <c r="AI58" i="1"/>
  <c r="AU49" i="1"/>
  <c r="AR36" i="1"/>
  <c r="BQ26" i="1"/>
  <c r="BU58" i="1"/>
  <c r="BG26" i="1"/>
  <c r="BH60" i="1"/>
  <c r="BI21" i="1"/>
  <c r="BW64" i="1"/>
  <c r="AS21" i="1"/>
  <c r="BB49" i="1"/>
  <c r="BW33" i="1"/>
  <c r="BK34" i="1"/>
  <c r="AX22" i="1"/>
  <c r="AY22" i="1"/>
  <c r="AO22" i="1"/>
  <c r="BA35" i="1"/>
  <c r="BG48" i="1"/>
  <c r="BU26" i="1"/>
  <c r="AN36" i="1"/>
  <c r="BP28" i="1"/>
  <c r="BJ49" i="1"/>
  <c r="BJ265" i="1" s="1"/>
  <c r="BO58" i="1"/>
  <c r="BU45" i="1"/>
  <c r="BR22" i="1"/>
  <c r="AO49" i="1"/>
  <c r="AQ21" i="1"/>
  <c r="AQ33" i="1"/>
  <c r="BP58" i="1"/>
  <c r="BH59" i="1"/>
  <c r="BG22" i="1"/>
  <c r="BW22" i="1"/>
  <c r="BC21" i="1"/>
  <c r="BB28" i="1"/>
  <c r="BR36" i="1"/>
  <c r="BN49" i="1"/>
  <c r="BA27" i="1"/>
  <c r="AP37" i="1"/>
  <c r="AR35" i="1"/>
  <c r="BS28" i="1"/>
  <c r="AX48" i="1"/>
  <c r="BV45" i="1"/>
  <c r="BV207" i="1" s="1"/>
  <c r="BD45" i="1"/>
  <c r="BD207" i="1" s="1"/>
  <c r="BF60" i="1"/>
  <c r="BD35" i="1"/>
  <c r="BD36" i="1"/>
  <c r="BD27" i="1"/>
  <c r="AS60" i="1"/>
  <c r="BS60" i="1"/>
  <c r="AO48" i="1"/>
  <c r="AV34" i="1"/>
  <c r="BF45" i="1"/>
  <c r="BF207" i="1" s="1"/>
  <c r="BA28" i="1"/>
  <c r="BK64" i="1"/>
  <c r="BK35" i="1"/>
  <c r="BS27" i="1"/>
  <c r="AW59" i="1"/>
  <c r="AV21" i="1"/>
  <c r="AV244" i="1" s="1"/>
  <c r="AO45" i="1"/>
  <c r="AX37" i="1"/>
  <c r="AR49" i="1"/>
  <c r="BR26" i="1"/>
  <c r="AI27" i="1"/>
  <c r="BU33" i="1"/>
  <c r="BT59" i="1"/>
  <c r="BT21" i="1"/>
  <c r="BT10" i="1" s="1"/>
  <c r="AM59" i="1"/>
  <c r="AV49" i="1"/>
  <c r="BN35" i="1"/>
  <c r="AP64" i="1"/>
  <c r="AV26" i="1"/>
  <c r="BH26" i="1"/>
  <c r="BQ52" i="1"/>
  <c r="AY58" i="1"/>
  <c r="AR52" i="1"/>
  <c r="BM26" i="1"/>
  <c r="BW34" i="1"/>
  <c r="AV58" i="1"/>
  <c r="BT58" i="1"/>
  <c r="AP49" i="1"/>
  <c r="AZ45" i="1"/>
  <c r="BK49" i="1"/>
  <c r="AU22" i="1"/>
  <c r="AY59" i="1"/>
  <c r="BQ28" i="1"/>
  <c r="BE37" i="1"/>
  <c r="BV35" i="1"/>
  <c r="BD58" i="1"/>
  <c r="BM64" i="1"/>
  <c r="BM60" i="1"/>
  <c r="BH22" i="1"/>
  <c r="BV58" i="1"/>
  <c r="BN22" i="1"/>
  <c r="BI64" i="1"/>
  <c r="AT33" i="1"/>
  <c r="BD33" i="1"/>
  <c r="BF21" i="1"/>
  <c r="AX21" i="1"/>
  <c r="AT58" i="1"/>
  <c r="BP35" i="1"/>
  <c r="BC34" i="1"/>
  <c r="AK86" i="1"/>
  <c r="BP33" i="1"/>
  <c r="BC22" i="1"/>
  <c r="BF26" i="1"/>
  <c r="BM37" i="1"/>
  <c r="AO36" i="1"/>
  <c r="BV60" i="1"/>
  <c r="BK26" i="1"/>
  <c r="AO33" i="1"/>
  <c r="AZ59" i="1"/>
  <c r="BW52" i="1"/>
  <c r="AY37" i="1"/>
  <c r="AS28" i="1"/>
  <c r="AY36" i="1"/>
  <c r="AU52" i="1"/>
  <c r="AQ59" i="1"/>
  <c r="BJ87" i="1"/>
  <c r="BM33" i="1"/>
  <c r="AQ52" i="1"/>
  <c r="AX49" i="1"/>
  <c r="BG37" i="1"/>
  <c r="BF27" i="1"/>
  <c r="AU37" i="1"/>
  <c r="BE49" i="1"/>
  <c r="BK22" i="1"/>
  <c r="AZ49" i="1"/>
  <c r="BF59" i="1"/>
  <c r="BS49" i="1"/>
  <c r="AT22" i="1"/>
  <c r="BG27" i="1"/>
  <c r="BF49" i="1"/>
  <c r="BC60" i="1"/>
  <c r="BE45" i="1"/>
  <c r="BE207" i="1" s="1"/>
  <c r="BE34" i="1"/>
  <c r="BE21" i="1"/>
  <c r="BT48" i="1"/>
  <c r="BN37" i="1"/>
  <c r="BC45" i="1"/>
  <c r="BC207" i="1" s="1"/>
  <c r="BI52" i="1"/>
  <c r="AW36" i="1"/>
  <c r="AP58" i="1"/>
  <c r="AS26" i="1"/>
  <c r="BS35" i="1"/>
  <c r="AT35" i="1"/>
  <c r="AW48" i="1"/>
  <c r="BG21" i="1"/>
  <c r="BP36" i="1"/>
  <c r="AR28" i="1"/>
  <c r="AW58" i="1"/>
  <c r="BF58" i="1"/>
  <c r="BV26" i="1"/>
  <c r="AI37" i="1"/>
  <c r="AT59" i="1"/>
  <c r="BH48" i="1"/>
  <c r="AP36" i="1"/>
  <c r="AS48" i="1"/>
  <c r="BO28" i="1"/>
  <c r="BP48" i="1"/>
  <c r="BC27" i="1"/>
  <c r="BB58" i="1"/>
  <c r="BE28" i="1"/>
  <c r="BV49" i="1"/>
  <c r="AP34" i="1"/>
  <c r="AX59" i="1"/>
  <c r="BQ87" i="1"/>
  <c r="AU48" i="1"/>
  <c r="AZ37" i="1"/>
  <c r="BD26" i="1"/>
  <c r="AS37" i="1"/>
  <c r="BN28" i="1"/>
  <c r="BM45" i="1"/>
  <c r="BJ45" i="1"/>
  <c r="AM60" i="1"/>
  <c r="BQ37" i="1"/>
  <c r="AU34" i="1"/>
  <c r="AX33" i="1"/>
  <c r="BS36" i="1"/>
  <c r="BB52" i="1"/>
  <c r="BC33" i="1"/>
  <c r="AT60" i="1"/>
  <c r="AW52" i="1"/>
  <c r="BV48" i="1"/>
  <c r="BH58" i="1"/>
  <c r="AN35" i="1"/>
  <c r="AX34" i="1"/>
  <c r="BS22" i="1"/>
  <c r="AP27" i="1"/>
  <c r="BP37" i="1"/>
  <c r="AQ48" i="1"/>
  <c r="BV87" i="1"/>
  <c r="AM64" i="1"/>
  <c r="BH28" i="1"/>
  <c r="BA22" i="1"/>
  <c r="AU36" i="1"/>
  <c r="BA33" i="1"/>
  <c r="AN22" i="1"/>
  <c r="BE58" i="1"/>
  <c r="AS52" i="1"/>
  <c r="AI48" i="1"/>
  <c r="AY64" i="1"/>
  <c r="BN48" i="1"/>
  <c r="BO26" i="1"/>
  <c r="BG58" i="1"/>
  <c r="BI34" i="1"/>
  <c r="AY28" i="1"/>
  <c r="BU22" i="1"/>
  <c r="BU35" i="1"/>
  <c r="BF33" i="1"/>
  <c r="BB36" i="1"/>
  <c r="BV36" i="1"/>
  <c r="BG49" i="1"/>
  <c r="BT49" i="1"/>
  <c r="AN28" i="1"/>
  <c r="BO27" i="1"/>
  <c r="BT27" i="1"/>
  <c r="AZ58" i="1"/>
  <c r="AS59" i="1"/>
  <c r="BH34" i="1"/>
  <c r="BO36" i="1"/>
  <c r="BC58" i="1"/>
  <c r="BO33" i="1"/>
  <c r="AN45" i="1"/>
  <c r="AN207" i="1" s="1"/>
  <c r="AN21" i="1"/>
  <c r="AW60" i="1"/>
  <c r="BK58" i="1"/>
  <c r="BV27" i="1"/>
  <c r="AS49" i="1"/>
  <c r="AO60" i="1"/>
  <c r="AI86" i="1"/>
  <c r="BB34" i="1"/>
  <c r="BN36" i="1"/>
  <c r="AN37" i="1"/>
  <c r="AU33" i="1"/>
  <c r="AU45" i="1"/>
  <c r="AU207" i="1" s="1"/>
  <c r="AI49" i="1"/>
  <c r="BW21" i="1"/>
  <c r="BW10" i="1" s="1"/>
  <c r="BO21" i="1"/>
  <c r="BO10" i="1" s="1"/>
  <c r="BG64" i="1"/>
  <c r="BC52" i="1"/>
  <c r="AR21" i="1"/>
  <c r="BN33" i="1"/>
  <c r="BP49" i="1"/>
  <c r="BK28" i="1"/>
  <c r="AS33" i="1"/>
  <c r="AY27" i="1"/>
  <c r="AU64" i="1"/>
  <c r="BB27" i="1"/>
  <c r="AX52" i="1"/>
  <c r="BD59" i="1"/>
  <c r="BQ27" i="1"/>
  <c r="AI22" i="1"/>
  <c r="BF28" i="1"/>
  <c r="BJ59" i="1"/>
  <c r="AN58" i="1"/>
  <c r="BN64" i="1"/>
  <c r="BQ22" i="1"/>
  <c r="AI45" i="1"/>
  <c r="AI207" i="1" s="1"/>
  <c r="BV21" i="1"/>
  <c r="AZ48" i="1"/>
  <c r="AT26" i="1"/>
  <c r="AS58" i="1"/>
  <c r="AU59" i="1"/>
  <c r="BO22" i="1"/>
  <c r="V215" i="1"/>
  <c r="B133" i="1"/>
  <c r="B188" i="1" s="1"/>
  <c r="O141" i="1"/>
  <c r="G161" i="1"/>
  <c r="G195" i="1" s="1"/>
  <c r="G194" i="1" s="1"/>
  <c r="N161" i="1"/>
  <c r="N195" i="1" s="1"/>
  <c r="N194" i="1" s="1"/>
  <c r="F161" i="1"/>
  <c r="F195" i="1" s="1"/>
  <c r="F194" i="1" s="1"/>
  <c r="N169" i="1"/>
  <c r="N198" i="1" s="1"/>
  <c r="N197" i="1" s="1"/>
  <c r="C169" i="1"/>
  <c r="C198" i="1" s="1"/>
  <c r="C197" i="1" s="1"/>
  <c r="L215" i="1"/>
  <c r="B141" i="1"/>
  <c r="N215" i="1"/>
  <c r="L161" i="1"/>
  <c r="L195" i="1" s="1"/>
  <c r="R215" i="1"/>
  <c r="E186" i="1"/>
  <c r="N186" i="1"/>
  <c r="C133" i="1"/>
  <c r="C188" i="1" s="1"/>
  <c r="C78" i="1"/>
  <c r="C120" i="1" s="1"/>
  <c r="M186" i="1"/>
  <c r="K161" i="1"/>
  <c r="K195" i="1" s="1"/>
  <c r="K194" i="1" s="1"/>
  <c r="V174" i="1"/>
  <c r="W222" i="1" s="1"/>
  <c r="B147" i="1"/>
  <c r="B46" i="1" s="1"/>
  <c r="U174" i="1"/>
  <c r="V222" i="1" s="1"/>
  <c r="H133" i="1"/>
  <c r="H188" i="1" s="1"/>
  <c r="O147" i="1"/>
  <c r="O151" i="1" s="1"/>
  <c r="N174" i="1"/>
  <c r="P147" i="1"/>
  <c r="P151" i="1" s="1"/>
  <c r="R133" i="1"/>
  <c r="R188" i="1" s="1"/>
  <c r="C174" i="1"/>
  <c r="J161" i="1"/>
  <c r="J195" i="1" s="1"/>
  <c r="M169" i="1"/>
  <c r="M198" i="1" s="1"/>
  <c r="M197" i="1" s="1"/>
  <c r="L186" i="1"/>
  <c r="U133" i="1"/>
  <c r="C147" i="1"/>
  <c r="C151" i="1" s="1"/>
  <c r="H141" i="1"/>
  <c r="W147" i="1"/>
  <c r="W46" i="1" s="1"/>
  <c r="T169" i="1"/>
  <c r="T198" i="1" s="1"/>
  <c r="T197" i="1" s="1"/>
  <c r="U169" i="1"/>
  <c r="U198" i="1" s="1"/>
  <c r="U197" i="1" s="1"/>
  <c r="T147" i="1"/>
  <c r="T151" i="1" s="1"/>
  <c r="G147" i="1"/>
  <c r="BG86" i="1"/>
  <c r="F141" i="1"/>
  <c r="F50" i="1" s="1"/>
  <c r="T186" i="1"/>
  <c r="S215" i="1"/>
  <c r="V169" i="1"/>
  <c r="V198" i="1" s="1"/>
  <c r="V197" i="1" s="1"/>
  <c r="E169" i="1"/>
  <c r="E198" i="1" s="1"/>
  <c r="E197" i="1" s="1"/>
  <c r="C141" i="1"/>
  <c r="C50" i="1" s="1"/>
  <c r="U141" i="1"/>
  <c r="V141" i="1"/>
  <c r="V50" i="1" s="1"/>
  <c r="O215" i="1"/>
  <c r="S147" i="1"/>
  <c r="S46" i="1" s="1"/>
  <c r="V161" i="1"/>
  <c r="S133" i="1"/>
  <c r="S188" i="1" s="1"/>
  <c r="H174" i="1"/>
  <c r="I222" i="1" s="1"/>
  <c r="G141" i="1"/>
  <c r="T161" i="1"/>
  <c r="T195" i="1" s="1"/>
  <c r="T194" i="1" s="1"/>
  <c r="G186" i="1"/>
  <c r="O174" i="1"/>
  <c r="D78" i="1"/>
  <c r="D79" i="1" s="1"/>
  <c r="K215" i="1"/>
  <c r="S141" i="1"/>
  <c r="C161" i="1"/>
  <c r="C195" i="1" s="1"/>
  <c r="C194" i="1" s="1"/>
  <c r="Q133" i="1"/>
  <c r="K147" i="1"/>
  <c r="K46" i="1" s="1"/>
  <c r="H161" i="1"/>
  <c r="I141" i="1"/>
  <c r="E161" i="1"/>
  <c r="E195" i="1" s="1"/>
  <c r="E194" i="1" s="1"/>
  <c r="L169" i="1"/>
  <c r="L198" i="1" s="1"/>
  <c r="L197" i="1" s="1"/>
  <c r="S161" i="1"/>
  <c r="S195" i="1" s="1"/>
  <c r="W186" i="1"/>
  <c r="H186" i="1"/>
  <c r="T133" i="1"/>
  <c r="Q161" i="1"/>
  <c r="Q195" i="1" s="1"/>
  <c r="Q194" i="1" s="1"/>
  <c r="T141" i="1"/>
  <c r="T50" i="1" s="1"/>
  <c r="Q174" i="1"/>
  <c r="R222" i="1" s="1"/>
  <c r="R186" i="1"/>
  <c r="R161" i="1"/>
  <c r="R195" i="1" s="1"/>
  <c r="R194" i="1" s="1"/>
  <c r="R174" i="1"/>
  <c r="S222" i="1" s="1"/>
  <c r="P161" i="1"/>
  <c r="P195" i="1" s="1"/>
  <c r="P194" i="1" s="1"/>
  <c r="C186" i="1"/>
  <c r="V186" i="1"/>
  <c r="I186" i="1"/>
  <c r="D186" i="1"/>
  <c r="Q169" i="1"/>
  <c r="Q198" i="1" s="1"/>
  <c r="Q197" i="1" s="1"/>
  <c r="R169" i="1"/>
  <c r="P169" i="1"/>
  <c r="P198" i="1" s="1"/>
  <c r="P197" i="1" s="1"/>
  <c r="O169" i="1"/>
  <c r="O198" i="1" s="1"/>
  <c r="O197" i="1" s="1"/>
  <c r="D169" i="1"/>
  <c r="D198" i="1" s="1"/>
  <c r="D197" i="1" s="1"/>
  <c r="J169" i="1"/>
  <c r="I169" i="1"/>
  <c r="M161" i="1"/>
  <c r="M195" i="1" s="1"/>
  <c r="M194" i="1" s="1"/>
  <c r="F169" i="1"/>
  <c r="P215" i="1"/>
  <c r="E141" i="1"/>
  <c r="Q147" i="1"/>
  <c r="K174" i="1"/>
  <c r="B161" i="1"/>
  <c r="H169" i="1"/>
  <c r="O161" i="1"/>
  <c r="O195" i="1" s="1"/>
  <c r="F186" i="1"/>
  <c r="D161" i="1"/>
  <c r="D195" i="1" s="1"/>
  <c r="S186" i="1"/>
  <c r="I133" i="1"/>
  <c r="H147" i="1"/>
  <c r="O186" i="1"/>
  <c r="H215" i="1"/>
  <c r="L141" i="1"/>
  <c r="K133" i="1"/>
  <c r="Q141" i="1"/>
  <c r="K169" i="1"/>
  <c r="B169" i="1"/>
  <c r="B198" i="1" s="1"/>
  <c r="B197" i="1" s="1"/>
  <c r="C215" i="1"/>
  <c r="L174" i="1"/>
  <c r="M222" i="1" s="1"/>
  <c r="V133" i="1"/>
  <c r="K141" i="1"/>
  <c r="J186" i="1"/>
  <c r="W141" i="1"/>
  <c r="Q186" i="1"/>
  <c r="DA90" i="1"/>
  <c r="AE90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O93" i="3"/>
  <c r="AJ70" i="3"/>
  <c r="J93" i="3"/>
  <c r="U87" i="3"/>
  <c r="AL63" i="3"/>
  <c r="AG74" i="3"/>
  <c r="AG58" i="3"/>
  <c r="M60" i="3"/>
  <c r="AN71" i="3"/>
  <c r="N77" i="3"/>
  <c r="K70" i="3"/>
  <c r="K47" i="3"/>
  <c r="AQ92" i="3"/>
  <c r="AH81" i="3"/>
  <c r="X64" i="3"/>
  <c r="W50" i="3"/>
  <c r="L90" i="3"/>
  <c r="Y92" i="3"/>
  <c r="AA91" i="3"/>
  <c r="V64" i="3"/>
  <c r="O68" i="3"/>
  <c r="H49" i="3"/>
  <c r="S81" i="3"/>
  <c r="AK70" i="3"/>
  <c r="P60" i="3"/>
  <c r="J56" i="3"/>
  <c r="Z64" i="3"/>
  <c r="AN91" i="3"/>
  <c r="Q61" i="3"/>
  <c r="N54" i="3"/>
  <c r="N72" i="3"/>
  <c r="K60" i="3"/>
  <c r="AQ84" i="3"/>
  <c r="AQ67" i="3"/>
  <c r="AO74" i="3"/>
  <c r="AN54" i="3"/>
  <c r="T81" i="3"/>
  <c r="O65" i="3"/>
  <c r="AN87" i="3"/>
  <c r="AQ87" i="3"/>
  <c r="AM80" i="3"/>
  <c r="AG49" i="3"/>
  <c r="K96" i="3"/>
  <c r="AC54" i="3"/>
  <c r="U59" i="3"/>
  <c r="N71" i="3"/>
  <c r="AL89" i="3"/>
  <c r="AM71" i="3"/>
  <c r="AQ97" i="3"/>
  <c r="M95" i="3"/>
  <c r="Y86" i="3"/>
  <c r="Q76" i="3"/>
  <c r="AJ63" i="3"/>
  <c r="AA62" i="3"/>
  <c r="I67" i="3"/>
  <c r="AA71" i="3"/>
  <c r="M80" i="3"/>
  <c r="V85" i="3"/>
  <c r="J65" i="3"/>
  <c r="AJ50" i="3"/>
  <c r="AA87" i="3"/>
  <c r="I47" i="3"/>
  <c r="S48" i="3"/>
  <c r="AK82" i="3"/>
  <c r="I71" i="3"/>
  <c r="I59" i="3"/>
  <c r="AH73" i="3"/>
  <c r="T84" i="3"/>
  <c r="O47" i="3"/>
  <c r="AN78" i="3"/>
  <c r="AQ60" i="3"/>
  <c r="AM91" i="3"/>
  <c r="M71" i="3"/>
  <c r="Y95" i="3"/>
  <c r="Q65" i="3"/>
  <c r="AO82" i="3"/>
  <c r="Z73" i="3"/>
  <c r="I74" i="3"/>
  <c r="AG48" i="3"/>
  <c r="N80" i="3"/>
  <c r="AL48" i="3"/>
  <c r="U54" i="3"/>
  <c r="L64" i="3"/>
  <c r="Q95" i="3"/>
  <c r="S67" i="3"/>
  <c r="AH79" i="3"/>
  <c r="V66" i="3"/>
  <c r="H89" i="3"/>
  <c r="L69" i="3"/>
  <c r="AM66" i="3"/>
  <c r="AJ84" i="3"/>
  <c r="Z70" i="3"/>
  <c r="I55" i="3"/>
  <c r="W79" i="3"/>
  <c r="V71" i="3"/>
  <c r="AM70" i="3"/>
  <c r="M61" i="3"/>
  <c r="AA94" i="3"/>
  <c r="Q82" i="3"/>
  <c r="W97" i="3"/>
  <c r="AK86" i="3"/>
  <c r="I88" i="3"/>
  <c r="AI67" i="3"/>
  <c r="N63" i="3"/>
  <c r="AL93" i="3"/>
  <c r="AJ90" i="3"/>
  <c r="AA69" i="3"/>
  <c r="I86" i="3"/>
  <c r="AE68" i="3"/>
  <c r="X60" i="3"/>
  <c r="J79" i="3"/>
  <c r="AL67" i="3"/>
  <c r="M79" i="3"/>
  <c r="Q55" i="3"/>
  <c r="AA95" i="3"/>
  <c r="H71" i="3"/>
  <c r="S84" i="3"/>
  <c r="I69" i="3"/>
  <c r="V88" i="3"/>
  <c r="AM67" i="3"/>
  <c r="AC79" i="3"/>
  <c r="AH59" i="3"/>
  <c r="O91" i="3"/>
  <c r="AQ68" i="3"/>
  <c r="AI50" i="3"/>
  <c r="I81" i="3"/>
  <c r="AK79" i="3"/>
  <c r="V62" i="3"/>
  <c r="M78" i="3"/>
  <c r="Q78" i="3"/>
  <c r="Z85" i="3"/>
  <c r="J62" i="3"/>
  <c r="AC68" i="3"/>
  <c r="Z80" i="3"/>
  <c r="AH76" i="3"/>
  <c r="J84" i="3"/>
  <c r="AC78" i="3"/>
  <c r="AN94" i="3"/>
  <c r="O89" i="3"/>
  <c r="AQ90" i="3"/>
  <c r="M66" i="3"/>
  <c r="Q60" i="3"/>
  <c r="AK73" i="3"/>
  <c r="N86" i="3"/>
  <c r="AJ77" i="3"/>
  <c r="J96" i="3"/>
  <c r="AE70" i="3"/>
  <c r="M73" i="3"/>
  <c r="N79" i="3"/>
  <c r="AM69" i="3"/>
  <c r="W81" i="3"/>
  <c r="Y71" i="3"/>
  <c r="V79" i="3"/>
  <c r="S82" i="3"/>
  <c r="AK91" i="3"/>
  <c r="U81" i="3"/>
  <c r="AN89" i="3"/>
  <c r="K91" i="3"/>
  <c r="K68" i="3"/>
  <c r="U71" i="3"/>
  <c r="AK66" i="3"/>
  <c r="Q96" i="3"/>
  <c r="AK57" i="3"/>
  <c r="AJ92" i="3"/>
  <c r="AN95" i="3"/>
  <c r="O86" i="3"/>
  <c r="AN50" i="3"/>
  <c r="AQ85" i="3"/>
  <c r="AM56" i="3"/>
  <c r="L92" i="3"/>
  <c r="AE86" i="3"/>
  <c r="AQ50" i="3"/>
  <c r="R93" i="3"/>
  <c r="AM64" i="3"/>
  <c r="N75" i="3"/>
  <c r="AC67" i="3"/>
  <c r="L79" i="3"/>
  <c r="AM81" i="3"/>
  <c r="T95" i="3"/>
  <c r="AN63" i="3"/>
  <c r="AM75" i="3"/>
  <c r="I56" i="3"/>
  <c r="AK87" i="3"/>
  <c r="AG86" i="3"/>
  <c r="N48" i="3"/>
  <c r="AL55" i="3"/>
  <c r="AK55" i="3"/>
  <c r="X93" i="3"/>
  <c r="AI80" i="3"/>
  <c r="AL73" i="3"/>
  <c r="AH95" i="3"/>
  <c r="K65" i="3"/>
  <c r="AM85" i="3"/>
  <c r="AK78" i="3"/>
  <c r="AN83" i="3"/>
  <c r="AM54" i="3"/>
  <c r="AJ75" i="3"/>
  <c r="J57" i="3"/>
  <c r="Z66" i="3"/>
  <c r="AE91" i="3"/>
  <c r="M69" i="3"/>
  <c r="Q93" i="3"/>
  <c r="N94" i="3"/>
  <c r="AM57" i="3"/>
  <c r="AH74" i="3"/>
  <c r="X88" i="3"/>
  <c r="L73" i="3"/>
  <c r="T90" i="3"/>
  <c r="O58" i="3"/>
  <c r="R96" i="3"/>
  <c r="AJ74" i="3"/>
  <c r="AG61" i="3"/>
  <c r="Q71" i="3"/>
  <c r="N56" i="3"/>
  <c r="K66" i="3"/>
  <c r="AM95" i="3"/>
  <c r="AQ82" i="3"/>
  <c r="AI61" i="3"/>
  <c r="H70" i="3"/>
  <c r="R59" i="3"/>
  <c r="S90" i="3"/>
  <c r="I66" i="3"/>
  <c r="W48" i="3"/>
  <c r="AK47" i="3"/>
  <c r="AN77" i="3"/>
  <c r="O97" i="3"/>
  <c r="R77" i="3"/>
  <c r="AE84" i="3"/>
  <c r="AM58" i="3"/>
  <c r="Y69" i="3"/>
  <c r="J80" i="3"/>
  <c r="AC57" i="3"/>
  <c r="K73" i="3"/>
  <c r="AL77" i="3"/>
  <c r="AI84" i="3"/>
  <c r="AL78" i="3"/>
  <c r="Y73" i="3"/>
  <c r="AE63" i="3"/>
  <c r="AQ47" i="3"/>
  <c r="P55" i="3"/>
  <c r="AM93" i="3"/>
  <c r="AK68" i="3"/>
  <c r="W72" i="3"/>
  <c r="AM65" i="3"/>
  <c r="L74" i="3"/>
  <c r="W67" i="3"/>
  <c r="V92" i="3"/>
  <c r="J64" i="3"/>
  <c r="AC63" i="3"/>
  <c r="H60" i="3"/>
  <c r="Q75" i="3"/>
  <c r="X85" i="3"/>
  <c r="N68" i="3"/>
  <c r="R71" i="3"/>
  <c r="T55" i="3"/>
  <c r="AH84" i="3"/>
  <c r="AQ55" i="3"/>
  <c r="AM84" i="3"/>
  <c r="AQ65" i="3"/>
  <c r="AJ76" i="3"/>
  <c r="U58" i="3"/>
  <c r="Z97" i="3"/>
  <c r="AG84" i="3"/>
  <c r="M94" i="3"/>
  <c r="N83" i="3"/>
  <c r="AM59" i="3"/>
  <c r="X82" i="3"/>
  <c r="X87" i="3"/>
  <c r="L50" i="3"/>
  <c r="V69" i="3"/>
  <c r="S71" i="3"/>
  <c r="AI76" i="3"/>
  <c r="U47" i="3"/>
  <c r="N81" i="3"/>
  <c r="AM48" i="3"/>
  <c r="AI91" i="3"/>
  <c r="AL57" i="3"/>
  <c r="AJ78" i="3"/>
  <c r="AA65" i="3"/>
  <c r="H50" i="3"/>
  <c r="AN55" i="3"/>
  <c r="O74" i="3"/>
  <c r="AQ54" i="3"/>
  <c r="K78" i="3"/>
  <c r="X80" i="3"/>
  <c r="J47" i="3"/>
  <c r="K87" i="3"/>
  <c r="AL90" i="3"/>
  <c r="J91" i="3"/>
  <c r="AA61" i="3"/>
  <c r="AG96" i="3"/>
  <c r="N57" i="3"/>
  <c r="U95" i="3"/>
  <c r="Q50" i="3"/>
  <c r="M59" i="3"/>
  <c r="Q80" i="3"/>
  <c r="Z57" i="3"/>
  <c r="J77" i="3"/>
  <c r="AC73" i="3"/>
  <c r="AI78" i="3"/>
  <c r="AL70" i="3"/>
  <c r="Q54" i="3"/>
  <c r="V57" i="3"/>
  <c r="AN48" i="3"/>
  <c r="AM96" i="3"/>
  <c r="M85" i="3"/>
  <c r="Y88" i="3"/>
  <c r="AH90" i="3"/>
  <c r="AQ61" i="3"/>
  <c r="N92" i="3"/>
  <c r="AL47" i="3"/>
  <c r="AA80" i="3"/>
  <c r="I60" i="3"/>
  <c r="K49" i="3"/>
  <c r="AC91" i="3"/>
  <c r="Y81" i="3"/>
  <c r="Q81" i="3"/>
  <c r="AH48" i="3"/>
  <c r="J90" i="3"/>
  <c r="AL92" i="3"/>
  <c r="AL69" i="3"/>
  <c r="U80" i="3"/>
  <c r="X48" i="3"/>
  <c r="W58" i="3"/>
  <c r="AA64" i="3"/>
  <c r="O80" i="3"/>
  <c r="S60" i="3"/>
  <c r="AI66" i="3"/>
  <c r="AN80" i="3"/>
  <c r="N58" i="3"/>
  <c r="K55" i="3"/>
  <c r="AQ69" i="3"/>
  <c r="AQ95" i="3"/>
  <c r="I82" i="3"/>
  <c r="P75" i="3"/>
  <c r="AJ91" i="3"/>
  <c r="J97" i="3"/>
  <c r="AC70" i="3"/>
  <c r="L85" i="3"/>
  <c r="AO81" i="3"/>
  <c r="I63" i="3"/>
  <c r="AG82" i="3"/>
  <c r="N84" i="3"/>
  <c r="AJ62" i="3"/>
  <c r="I49" i="3"/>
  <c r="X55" i="3"/>
  <c r="AQ77" i="3"/>
  <c r="N74" i="3"/>
  <c r="AL56" i="3"/>
  <c r="Q84" i="3"/>
  <c r="U64" i="3"/>
  <c r="AL91" i="3"/>
  <c r="AE62" i="3"/>
  <c r="AG77" i="3"/>
  <c r="M81" i="3"/>
  <c r="M50" i="3"/>
  <c r="N66" i="3"/>
  <c r="K92" i="3"/>
  <c r="AQ94" i="3"/>
  <c r="W85" i="3"/>
  <c r="L57" i="3"/>
  <c r="T94" i="3"/>
  <c r="H65" i="3"/>
  <c r="R68" i="3"/>
  <c r="J72" i="3"/>
  <c r="Z95" i="3"/>
  <c r="Q63" i="3"/>
  <c r="N47" i="3"/>
  <c r="N89" i="3"/>
  <c r="K61" i="3"/>
  <c r="AQ74" i="3"/>
  <c r="AK69" i="3"/>
  <c r="W64" i="3"/>
  <c r="I61" i="3"/>
  <c r="X95" i="3"/>
  <c r="J54" i="3"/>
  <c r="AL86" i="3"/>
  <c r="V76" i="3"/>
  <c r="L65" i="3"/>
  <c r="H62" i="3"/>
  <c r="Q57" i="3"/>
  <c r="AI77" i="3"/>
  <c r="O70" i="3"/>
  <c r="Y87" i="3"/>
  <c r="AJ49" i="3"/>
  <c r="I57" i="3"/>
  <c r="S66" i="3"/>
  <c r="AM68" i="3"/>
  <c r="V70" i="3"/>
  <c r="AI70" i="3"/>
  <c r="AL84" i="3"/>
  <c r="Y83" i="3"/>
  <c r="J66" i="3"/>
  <c r="AC87" i="3"/>
  <c r="N49" i="3"/>
  <c r="Q72" i="3"/>
  <c r="AI82" i="3"/>
  <c r="AL59" i="3"/>
  <c r="AA97" i="3"/>
  <c r="S78" i="3"/>
  <c r="I62" i="3"/>
  <c r="Y67" i="3"/>
  <c r="AO60" i="3"/>
  <c r="AK67" i="3"/>
  <c r="I90" i="3"/>
  <c r="K48" i="3"/>
  <c r="AC62" i="3"/>
  <c r="Y90" i="3"/>
  <c r="P63" i="3"/>
  <c r="AJ97" i="3"/>
  <c r="J92" i="3"/>
  <c r="U74" i="3"/>
  <c r="AE82" i="3"/>
  <c r="AG47" i="3"/>
  <c r="AG55" i="3"/>
  <c r="M91" i="3"/>
  <c r="AN49" i="3"/>
  <c r="N61" i="3"/>
  <c r="K75" i="3"/>
  <c r="AM50" i="3"/>
  <c r="AQ83" i="3"/>
  <c r="AH82" i="3"/>
  <c r="X63" i="3"/>
  <c r="W66" i="3"/>
  <c r="L97" i="3"/>
  <c r="Y63" i="3"/>
  <c r="T49" i="3"/>
  <c r="V75" i="3"/>
  <c r="O69" i="3"/>
  <c r="S97" i="3"/>
  <c r="R83" i="3"/>
  <c r="AK80" i="3"/>
  <c r="P96" i="3"/>
  <c r="J82" i="3"/>
  <c r="Z67" i="3"/>
  <c r="AN86" i="3"/>
  <c r="Q88" i="3"/>
  <c r="N87" i="3"/>
  <c r="N69" i="3"/>
  <c r="K50" i="3"/>
  <c r="AQ63" i="3"/>
  <c r="AQ66" i="3"/>
  <c r="O59" i="3"/>
  <c r="R85" i="3"/>
  <c r="V95" i="3"/>
  <c r="O66" i="3"/>
  <c r="R94" i="3"/>
  <c r="AQ88" i="3"/>
  <c r="AM73" i="3"/>
  <c r="AI73" i="3"/>
  <c r="L83" i="3"/>
  <c r="AL88" i="3"/>
  <c r="H77" i="3"/>
  <c r="Y65" i="3"/>
  <c r="Q79" i="3"/>
  <c r="S57" i="3"/>
  <c r="AL80" i="3"/>
  <c r="U56" i="3"/>
  <c r="AA92" i="3"/>
  <c r="I96" i="3"/>
  <c r="S49" i="3"/>
  <c r="AK83" i="3"/>
  <c r="I68" i="3"/>
  <c r="I95" i="3"/>
  <c r="U89" i="3"/>
  <c r="AQ48" i="3"/>
  <c r="U77" i="3"/>
  <c r="S68" i="3"/>
  <c r="AK76" i="3"/>
  <c r="AM97" i="3"/>
  <c r="W84" i="3"/>
  <c r="V67" i="3"/>
  <c r="I77" i="3"/>
  <c r="AE96" i="3"/>
  <c r="R60" i="3"/>
  <c r="AQ79" i="3"/>
  <c r="AE79" i="3"/>
  <c r="P87" i="3"/>
  <c r="AC90" i="3"/>
  <c r="AM94" i="3"/>
  <c r="AJ94" i="3"/>
  <c r="Z48" i="3"/>
  <c r="I70" i="3"/>
  <c r="S62" i="3"/>
  <c r="AK56" i="3"/>
  <c r="I83" i="3"/>
  <c r="AI81" i="3"/>
  <c r="L58" i="3"/>
  <c r="AL62" i="3"/>
  <c r="AJ86" i="3"/>
  <c r="Y77" i="3"/>
  <c r="Q62" i="3"/>
  <c r="AE80" i="3"/>
  <c r="R81" i="3"/>
  <c r="AQ72" i="3"/>
  <c r="AJ79" i="3"/>
  <c r="AA90" i="3"/>
  <c r="AM61" i="3"/>
  <c r="AN47" i="3"/>
  <c r="T67" i="3"/>
  <c r="O84" i="3"/>
  <c r="AH94" i="3"/>
  <c r="AQ58" i="3"/>
  <c r="AM83" i="3"/>
  <c r="AJ81" i="3"/>
  <c r="Z61" i="3"/>
  <c r="I58" i="3"/>
  <c r="AN65" i="3"/>
  <c r="V61" i="3"/>
  <c r="AM76" i="3"/>
  <c r="AI62" i="3"/>
  <c r="Y94" i="3"/>
  <c r="AL54" i="3"/>
  <c r="AO89" i="3"/>
  <c r="AK75" i="3"/>
  <c r="I80" i="3"/>
  <c r="S92" i="3"/>
  <c r="AJ60" i="3"/>
  <c r="J85" i="3"/>
  <c r="U61" i="3"/>
  <c r="AE81" i="3"/>
  <c r="AG73" i="3"/>
  <c r="M64" i="3"/>
  <c r="M76" i="3"/>
  <c r="AN69" i="3"/>
  <c r="N82" i="3"/>
  <c r="K93" i="3"/>
  <c r="AM88" i="3"/>
  <c r="AQ73" i="3"/>
  <c r="AH87" i="3"/>
  <c r="X77" i="3"/>
  <c r="W71" i="3"/>
  <c r="L48" i="3"/>
  <c r="Y54" i="3"/>
  <c r="T75" i="3"/>
  <c r="V94" i="3"/>
  <c r="O63" i="3"/>
  <c r="S64" i="3"/>
  <c r="R58" i="3"/>
  <c r="AK92" i="3"/>
  <c r="P95" i="3"/>
  <c r="J88" i="3"/>
  <c r="AE88" i="3"/>
  <c r="AN62" i="3"/>
  <c r="Q83" i="3"/>
  <c r="N88" i="3"/>
  <c r="K58" i="3"/>
  <c r="K63" i="3"/>
  <c r="AQ49" i="3"/>
  <c r="AE54" i="3"/>
  <c r="AQ81" i="3"/>
  <c r="K69" i="3"/>
  <c r="AM79" i="3"/>
  <c r="Y93" i="3"/>
  <c r="AJ64" i="3"/>
  <c r="I87" i="3"/>
  <c r="I97" i="3"/>
  <c r="AK81" i="3"/>
  <c r="W63" i="3"/>
  <c r="I65" i="3"/>
  <c r="N65" i="3"/>
  <c r="W69" i="3"/>
  <c r="T56" i="3"/>
  <c r="AN97" i="3"/>
  <c r="AM49" i="3"/>
  <c r="J74" i="3"/>
  <c r="P62" i="3"/>
  <c r="AC97" i="3"/>
  <c r="N95" i="3"/>
  <c r="AL72" i="3"/>
  <c r="AN56" i="3"/>
  <c r="AM92" i="3"/>
  <c r="W76" i="3"/>
  <c r="I72" i="3"/>
  <c r="Y55" i="3"/>
  <c r="AO49" i="3"/>
  <c r="I85" i="3"/>
  <c r="K59" i="3"/>
  <c r="AO84" i="3"/>
  <c r="O60" i="3"/>
  <c r="V74" i="3"/>
  <c r="K57" i="3"/>
  <c r="AM55" i="3"/>
  <c r="T79" i="3"/>
  <c r="AH72" i="3"/>
  <c r="AM60" i="3"/>
  <c r="AA76" i="3"/>
  <c r="W68" i="3"/>
  <c r="I64" i="3"/>
  <c r="AJ58" i="3"/>
  <c r="Z74" i="3"/>
  <c r="AG50" i="3"/>
  <c r="M68" i="3"/>
  <c r="Q73" i="3"/>
  <c r="K82" i="3"/>
  <c r="AQ96" i="3"/>
  <c r="AH80" i="3"/>
  <c r="X79" i="3"/>
  <c r="L87" i="3"/>
  <c r="T54" i="3"/>
  <c r="O76" i="3"/>
  <c r="R70" i="3"/>
  <c r="P90" i="3"/>
  <c r="AE58" i="3"/>
  <c r="Q70" i="3"/>
  <c r="N55" i="3"/>
  <c r="K83" i="3"/>
  <c r="AQ76" i="3"/>
  <c r="AG60" i="3"/>
  <c r="AC65" i="3"/>
  <c r="N70" i="3"/>
  <c r="AL74" i="3"/>
  <c r="U65" i="3"/>
  <c r="AA66" i="3"/>
  <c r="AO58" i="3"/>
  <c r="I89" i="3"/>
  <c r="AM77" i="3"/>
  <c r="T58" i="3"/>
  <c r="AM87" i="3"/>
  <c r="AL68" i="3"/>
  <c r="R57" i="3"/>
  <c r="AE89" i="3"/>
  <c r="AQ89" i="3"/>
  <c r="AG54" i="3"/>
  <c r="U94" i="3"/>
  <c r="Q67" i="3"/>
  <c r="AH85" i="3"/>
  <c r="O88" i="3"/>
  <c r="AQ59" i="3"/>
  <c r="AJ71" i="3"/>
  <c r="Z72" i="3"/>
  <c r="S47" i="3"/>
  <c r="I48" i="3"/>
  <c r="S54" i="3"/>
  <c r="AE85" i="3"/>
  <c r="AQ71" i="3"/>
  <c r="N85" i="3"/>
  <c r="O85" i="3"/>
  <c r="V78" i="3"/>
  <c r="J83" i="3"/>
  <c r="AL82" i="3"/>
  <c r="AJ82" i="3"/>
  <c r="I79" i="3"/>
  <c r="AQ64" i="3"/>
  <c r="AK90" i="3"/>
  <c r="AJ61" i="3"/>
  <c r="AG56" i="3"/>
  <c r="M75" i="3"/>
  <c r="K84" i="3"/>
  <c r="W82" i="3"/>
  <c r="AA93" i="3"/>
  <c r="V86" i="3"/>
  <c r="S80" i="3"/>
  <c r="AK48" i="3"/>
  <c r="U73" i="3"/>
  <c r="AN88" i="3"/>
  <c r="L62" i="3"/>
  <c r="AL58" i="3"/>
  <c r="Y47" i="3"/>
  <c r="Q49" i="3"/>
  <c r="AK89" i="3"/>
  <c r="I73" i="3"/>
  <c r="V55" i="3"/>
  <c r="R86" i="3"/>
  <c r="AQ80" i="3"/>
  <c r="AE61" i="3"/>
  <c r="Q91" i="3"/>
  <c r="P78" i="3"/>
  <c r="AI60" i="3"/>
  <c r="AM74" i="3"/>
  <c r="L77" i="3"/>
  <c r="H87" i="3"/>
  <c r="Q94" i="3"/>
  <c r="R89" i="3"/>
  <c r="AE94" i="3"/>
  <c r="AC74" i="3"/>
  <c r="AN59" i="3"/>
  <c r="AM89" i="3"/>
  <c r="V91" i="3"/>
  <c r="AI49" i="3"/>
  <c r="AL75" i="3"/>
  <c r="K86" i="3"/>
  <c r="L49" i="3"/>
  <c r="AE59" i="3"/>
  <c r="AQ57" i="3"/>
  <c r="M83" i="3"/>
  <c r="AL94" i="3"/>
  <c r="AN67" i="3"/>
  <c r="O72" i="3"/>
  <c r="J59" i="3"/>
  <c r="AE92" i="3"/>
  <c r="M82" i="3"/>
  <c r="Q85" i="3"/>
  <c r="K72" i="3"/>
  <c r="W59" i="3"/>
  <c r="AA77" i="3"/>
  <c r="T71" i="3"/>
  <c r="H63" i="3"/>
  <c r="R74" i="3"/>
  <c r="AJ54" i="3"/>
  <c r="AG93" i="3"/>
  <c r="Q92" i="3"/>
  <c r="N76" i="3"/>
  <c r="K90" i="3"/>
  <c r="AQ91" i="3"/>
  <c r="Y68" i="3"/>
  <c r="I84" i="3"/>
  <c r="T68" i="3"/>
  <c r="AN93" i="3"/>
  <c r="AM82" i="3"/>
  <c r="AE47" i="3"/>
  <c r="AQ86" i="3"/>
  <c r="AM63" i="3"/>
  <c r="I91" i="3"/>
  <c r="AC94" i="3"/>
  <c r="L75" i="3"/>
  <c r="K89" i="3"/>
  <c r="Y78" i="3"/>
  <c r="AO62" i="3"/>
  <c r="I92" i="3"/>
  <c r="P97" i="3"/>
  <c r="N59" i="3"/>
  <c r="AH64" i="3"/>
  <c r="O48" i="3"/>
  <c r="AQ56" i="3"/>
  <c r="O67" i="3"/>
  <c r="AG89" i="3"/>
  <c r="AJ93" i="3"/>
  <c r="J67" i="3"/>
  <c r="H56" i="3"/>
  <c r="O61" i="3"/>
  <c r="V65" i="3"/>
  <c r="K54" i="3"/>
  <c r="AM90" i="3"/>
  <c r="J71" i="3"/>
  <c r="AL76" i="3"/>
  <c r="AE60" i="3"/>
  <c r="AG81" i="3"/>
  <c r="M72" i="3"/>
  <c r="M89" i="3"/>
  <c r="N64" i="3"/>
  <c r="N67" i="3"/>
  <c r="K95" i="3"/>
  <c r="AQ78" i="3"/>
  <c r="X78" i="3"/>
  <c r="L93" i="3"/>
  <c r="T76" i="3"/>
  <c r="H68" i="3"/>
  <c r="R62" i="3"/>
  <c r="AJ80" i="3"/>
  <c r="Z75" i="3"/>
  <c r="Q48" i="3"/>
  <c r="N62" i="3"/>
  <c r="U49" i="3"/>
  <c r="AA74" i="3"/>
  <c r="Q56" i="3"/>
  <c r="AO86" i="3"/>
  <c r="AK58" i="3"/>
  <c r="I75" i="3"/>
  <c r="O81" i="3"/>
  <c r="R49" i="3"/>
  <c r="V50" i="3"/>
  <c r="O54" i="3"/>
  <c r="R80" i="3"/>
  <c r="AQ70" i="3"/>
  <c r="AM72" i="3"/>
  <c r="Y96" i="3"/>
  <c r="AG79" i="3"/>
  <c r="N96" i="3"/>
  <c r="AC64" i="3"/>
  <c r="U86" i="3"/>
  <c r="N73" i="3"/>
  <c r="AL95" i="3"/>
  <c r="AG66" i="3"/>
  <c r="AG78" i="3"/>
  <c r="AK74" i="3"/>
  <c r="I76" i="3"/>
  <c r="AI72" i="3"/>
  <c r="L66" i="3"/>
  <c r="AL83" i="3"/>
  <c r="H61" i="3"/>
  <c r="Y64" i="3"/>
  <c r="Q69" i="3"/>
  <c r="Q59" i="3"/>
  <c r="AJ73" i="3"/>
  <c r="AA75" i="3"/>
  <c r="I93" i="3"/>
  <c r="S72" i="3"/>
  <c r="AK54" i="3"/>
  <c r="AG59" i="3"/>
  <c r="N60" i="3"/>
  <c r="AC48" i="3"/>
  <c r="U78" i="3"/>
  <c r="L95" i="3"/>
  <c r="Q90" i="3"/>
  <c r="AE66" i="3"/>
  <c r="R67" i="3"/>
  <c r="AQ93" i="3"/>
  <c r="J69" i="3"/>
  <c r="AC72" i="3"/>
  <c r="AM47" i="3"/>
  <c r="Z92" i="3"/>
  <c r="P77" i="3"/>
  <c r="AI94" i="3"/>
  <c r="AL60" i="3"/>
  <c r="AK62" i="3"/>
  <c r="AL79" i="3"/>
  <c r="AA59" i="3"/>
  <c r="AE56" i="3"/>
  <c r="M77" i="3"/>
  <c r="AL87" i="3"/>
  <c r="J63" i="3"/>
  <c r="N90" i="3"/>
  <c r="AH67" i="3"/>
  <c r="X62" i="3"/>
  <c r="L94" i="3"/>
  <c r="AA67" i="3"/>
  <c r="O96" i="3"/>
  <c r="S70" i="3"/>
  <c r="P81" i="3"/>
  <c r="AN68" i="3"/>
  <c r="AQ62" i="3"/>
  <c r="AJ72" i="3"/>
  <c r="I54" i="3"/>
  <c r="AK95" i="3"/>
  <c r="AE50" i="3"/>
  <c r="AQ75" i="3"/>
  <c r="K81" i="3"/>
  <c r="AM78" i="3"/>
  <c r="AI93" i="3"/>
  <c r="AL71" i="3"/>
  <c r="Y75" i="3"/>
  <c r="AN70" i="3"/>
  <c r="T47" i="3"/>
  <c r="M84" i="3"/>
  <c r="Q47" i="3"/>
  <c r="AA60" i="3"/>
  <c r="I50" i="3"/>
  <c r="AK61" i="3"/>
  <c r="W57" i="3"/>
  <c r="I94" i="3"/>
  <c r="L86" i="3"/>
  <c r="H95" i="3"/>
  <c r="Q66" i="3"/>
  <c r="P67" i="3"/>
  <c r="AI47" i="3"/>
  <c r="AL65" i="3"/>
  <c r="AN79" i="3"/>
  <c r="T64" i="3"/>
  <c r="N78" i="3"/>
  <c r="M49" i="3"/>
  <c r="Q89" i="3"/>
  <c r="AK49" i="3"/>
  <c r="AI68" i="3"/>
  <c r="AL49" i="3"/>
  <c r="AG87" i="3"/>
  <c r="H81" i="3"/>
  <c r="Q86" i="3"/>
  <c r="I78" i="3"/>
  <c r="AJ65" i="3"/>
  <c r="AJ68" i="3"/>
  <c r="AW162" i="1" l="1"/>
  <c r="BG138" i="1"/>
  <c r="BH138" i="1" s="1"/>
  <c r="BG140" i="1"/>
  <c r="BH140" i="1" s="1"/>
  <c r="BG176" i="1"/>
  <c r="BH176" i="1" s="1"/>
  <c r="BG157" i="1"/>
  <c r="BG144" i="1"/>
  <c r="BG155" i="1"/>
  <c r="BQ176" i="1"/>
  <c r="BR176" i="1" s="1"/>
  <c r="BI166" i="1"/>
  <c r="BQ140" i="1"/>
  <c r="BR140" i="1" s="1"/>
  <c r="AY167" i="1"/>
  <c r="AZ167" i="1" s="1"/>
  <c r="BG158" i="1"/>
  <c r="BK131" i="1"/>
  <c r="BL131" i="1" s="1"/>
  <c r="BK163" i="1"/>
  <c r="BL163" i="1" s="1"/>
  <c r="BG166" i="1"/>
  <c r="BQ162" i="1"/>
  <c r="AY165" i="1"/>
  <c r="AZ165" i="1" s="1"/>
  <c r="BQ135" i="1"/>
  <c r="BR135" i="1" s="1"/>
  <c r="BK155" i="1"/>
  <c r="BQ138" i="1"/>
  <c r="BR138" i="1" s="1"/>
  <c r="BA156" i="1"/>
  <c r="BB156" i="1" s="1"/>
  <c r="BA146" i="1"/>
  <c r="BG131" i="1"/>
  <c r="BH131" i="1" s="1"/>
  <c r="BG160" i="1"/>
  <c r="BH160" i="1" s="1"/>
  <c r="BE86" i="1"/>
  <c r="BE87" i="1"/>
  <c r="BG87" i="1"/>
  <c r="BN87" i="1"/>
  <c r="BF87" i="1"/>
  <c r="BR87" i="1"/>
  <c r="BI177" i="1"/>
  <c r="BJ177" i="1" s="1"/>
  <c r="BE137" i="1"/>
  <c r="BG146" i="1"/>
  <c r="BO160" i="1"/>
  <c r="BP160" i="1" s="1"/>
  <c r="BO140" i="1"/>
  <c r="BP140" i="1" s="1"/>
  <c r="BA144" i="1"/>
  <c r="AQ150" i="1"/>
  <c r="AR150" i="1" s="1"/>
  <c r="BM137" i="1"/>
  <c r="BO131" i="1"/>
  <c r="BP131" i="1" s="1"/>
  <c r="BG132" i="1"/>
  <c r="BA139" i="1"/>
  <c r="BB139" i="1" s="1"/>
  <c r="AY163" i="1"/>
  <c r="AZ163" i="1" s="1"/>
  <c r="BO132" i="1"/>
  <c r="AQ140" i="1"/>
  <c r="AR140" i="1" s="1"/>
  <c r="BE135" i="1"/>
  <c r="BF135" i="1" s="1"/>
  <c r="BU164" i="1"/>
  <c r="BV164" i="1" s="1"/>
  <c r="BG173" i="1"/>
  <c r="AS140" i="1"/>
  <c r="AT140" i="1" s="1"/>
  <c r="BO139" i="1"/>
  <c r="BP139" i="1" s="1"/>
  <c r="BA140" i="1"/>
  <c r="BB140" i="1" s="1"/>
  <c r="BO163" i="1"/>
  <c r="BP163" i="1" s="1"/>
  <c r="BK165" i="1"/>
  <c r="BL165" i="1" s="1"/>
  <c r="BK162" i="1"/>
  <c r="BK150" i="1"/>
  <c r="BL150" i="1" s="1"/>
  <c r="BK148" i="1"/>
  <c r="BL148" i="1" s="1"/>
  <c r="BK173" i="1"/>
  <c r="BK139" i="1"/>
  <c r="BL139" i="1" s="1"/>
  <c r="BK153" i="1"/>
  <c r="AU137" i="1"/>
  <c r="BK86" i="1"/>
  <c r="BF86" i="1"/>
  <c r="BB86" i="1"/>
  <c r="BW137" i="1"/>
  <c r="BX137" i="1" s="1"/>
  <c r="AY146" i="1"/>
  <c r="AU176" i="1"/>
  <c r="AV176" i="1" s="1"/>
  <c r="BW155" i="1"/>
  <c r="BX155" i="1" s="1"/>
  <c r="AQ177" i="1"/>
  <c r="AR177" i="1" s="1"/>
  <c r="AS166" i="1"/>
  <c r="AS196" i="1" s="1"/>
  <c r="AS148" i="1"/>
  <c r="AT148" i="1" s="1"/>
  <c r="BM157" i="1"/>
  <c r="BM192" i="1" s="1"/>
  <c r="BK135" i="1"/>
  <c r="BL135" i="1" s="1"/>
  <c r="BW167" i="1"/>
  <c r="BX167" i="1" s="1"/>
  <c r="AQ139" i="1"/>
  <c r="AR139" i="1" s="1"/>
  <c r="AW168" i="1"/>
  <c r="AX168" i="1" s="1"/>
  <c r="BG153" i="1"/>
  <c r="BH153" i="1" s="1"/>
  <c r="BI215" i="1" s="1"/>
  <c r="AQ148" i="1"/>
  <c r="AR148" i="1" s="1"/>
  <c r="AW160" i="1"/>
  <c r="AX160" i="1" s="1"/>
  <c r="AS158" i="1"/>
  <c r="AS193" i="1" s="1"/>
  <c r="BK168" i="1"/>
  <c r="BL168" i="1" s="1"/>
  <c r="AY172" i="1"/>
  <c r="BC158" i="1"/>
  <c r="BC193" i="1" s="1"/>
  <c r="AQ159" i="1"/>
  <c r="AR159" i="1" s="1"/>
  <c r="BM130" i="1"/>
  <c r="BN130" i="1" s="1"/>
  <c r="AQ173" i="1"/>
  <c r="AW146" i="1"/>
  <c r="AW147" i="1" s="1"/>
  <c r="BK132" i="1"/>
  <c r="BL132" i="1" s="1"/>
  <c r="BW176" i="1"/>
  <c r="BX176" i="1" s="1"/>
  <c r="AQ158" i="1"/>
  <c r="AS144" i="1"/>
  <c r="AS147" i="1" s="1"/>
  <c r="BM87" i="1"/>
  <c r="BW86" i="1"/>
  <c r="AQ138" i="1"/>
  <c r="AR138" i="1" s="1"/>
  <c r="AQ132" i="1"/>
  <c r="AW173" i="1"/>
  <c r="BK140" i="1"/>
  <c r="BL140" i="1" s="1"/>
  <c r="BQ168" i="1"/>
  <c r="BR168" i="1" s="1"/>
  <c r="AY162" i="1"/>
  <c r="AZ162" i="1" s="1"/>
  <c r="AU138" i="1"/>
  <c r="AV138" i="1" s="1"/>
  <c r="BS140" i="1"/>
  <c r="BT140" i="1" s="1"/>
  <c r="AS162" i="1"/>
  <c r="AT162" i="1" s="1"/>
  <c r="BK157" i="1"/>
  <c r="BK192" i="1" s="1"/>
  <c r="BW164" i="1"/>
  <c r="BX164" i="1" s="1"/>
  <c r="BW138" i="1"/>
  <c r="BX138" i="1" s="1"/>
  <c r="AQ87" i="1"/>
  <c r="AW140" i="1"/>
  <c r="AX140" i="1" s="1"/>
  <c r="BQ172" i="1"/>
  <c r="AZ86" i="1"/>
  <c r="BE138" i="1"/>
  <c r="BF138" i="1" s="1"/>
  <c r="BC164" i="1"/>
  <c r="BD164" i="1" s="1"/>
  <c r="BW173" i="1"/>
  <c r="BS87" i="1"/>
  <c r="BT86" i="1"/>
  <c r="AS167" i="1"/>
  <c r="AT167" i="1" s="1"/>
  <c r="BK158" i="1"/>
  <c r="BK193" i="1" s="1"/>
  <c r="BA150" i="1"/>
  <c r="BB150" i="1" s="1"/>
  <c r="BW150" i="1"/>
  <c r="BX150" i="1" s="1"/>
  <c r="AW138" i="1"/>
  <c r="AX138" i="1" s="1"/>
  <c r="BC160" i="1"/>
  <c r="BD160" i="1" s="1"/>
  <c r="AQ168" i="1"/>
  <c r="AR168" i="1" s="1"/>
  <c r="AS87" i="1"/>
  <c r="AS157" i="1"/>
  <c r="AS192" i="1" s="1"/>
  <c r="BM153" i="1"/>
  <c r="BN153" i="1" s="1"/>
  <c r="BK137" i="1"/>
  <c r="BL137" i="1" s="1"/>
  <c r="BA162" i="1"/>
  <c r="BB162" i="1" s="1"/>
  <c r="BW177" i="1"/>
  <c r="BX177" i="1" s="1"/>
  <c r="BO164" i="1"/>
  <c r="BP164" i="1" s="1"/>
  <c r="AY135" i="1"/>
  <c r="AZ135" i="1" s="1"/>
  <c r="AU172" i="1"/>
  <c r="AU174" i="1" s="1"/>
  <c r="BG162" i="1"/>
  <c r="BH162" i="1" s="1"/>
  <c r="BC132" i="1"/>
  <c r="BA172" i="1"/>
  <c r="BA174" i="1" s="1"/>
  <c r="AR87" i="1"/>
  <c r="BM159" i="1"/>
  <c r="BN159" i="1" s="1"/>
  <c r="BA132" i="1"/>
  <c r="BW158" i="1"/>
  <c r="BS177" i="1"/>
  <c r="BT177" i="1" s="1"/>
  <c r="AQ164" i="1"/>
  <c r="AR164" i="1" s="1"/>
  <c r="AU132" i="1"/>
  <c r="BS131" i="1"/>
  <c r="BT131" i="1" s="1"/>
  <c r="BK167" i="1"/>
  <c r="BL167" i="1" s="1"/>
  <c r="AQ167" i="1"/>
  <c r="AR167" i="1" s="1"/>
  <c r="BA157" i="1"/>
  <c r="BA192" i="1" s="1"/>
  <c r="BQ167" i="1"/>
  <c r="BR167" i="1" s="1"/>
  <c r="AY158" i="1"/>
  <c r="BC157" i="1"/>
  <c r="BC192" i="1" s="1"/>
  <c r="BK146" i="1"/>
  <c r="BW159" i="1"/>
  <c r="BX159" i="1" s="1"/>
  <c r="AQ135" i="1"/>
  <c r="AR135" i="1" s="1"/>
  <c r="BQ146" i="1"/>
  <c r="AY157" i="1"/>
  <c r="AY192" i="1" s="1"/>
  <c r="AN86" i="1"/>
  <c r="AU144" i="1"/>
  <c r="BG167" i="1"/>
  <c r="BH167" i="1" s="1"/>
  <c r="BE168" i="1"/>
  <c r="BF168" i="1" s="1"/>
  <c r="BC87" i="1"/>
  <c r="BW168" i="1"/>
  <c r="BX168" i="1" s="1"/>
  <c r="AQ146" i="1"/>
  <c r="AS135" i="1"/>
  <c r="AT135" i="1" s="1"/>
  <c r="BM132" i="1"/>
  <c r="BM150" i="1"/>
  <c r="BN150" i="1" s="1"/>
  <c r="BA165" i="1"/>
  <c r="BB165" i="1" s="1"/>
  <c r="BX65" i="1"/>
  <c r="BX206" i="1"/>
  <c r="BX208" i="1" s="1"/>
  <c r="I46" i="1"/>
  <c r="AO155" i="1"/>
  <c r="AP155" i="1" s="1"/>
  <c r="AW159" i="1"/>
  <c r="AX159" i="1" s="1"/>
  <c r="BW163" i="1"/>
  <c r="BX163" i="1" s="1"/>
  <c r="BQ139" i="1"/>
  <c r="BR139" i="1" s="1"/>
  <c r="AY168" i="1"/>
  <c r="AZ168" i="1" s="1"/>
  <c r="BK144" i="1"/>
  <c r="BS139" i="1"/>
  <c r="BT139" i="1" s="1"/>
  <c r="BS159" i="1"/>
  <c r="BT159" i="1" s="1"/>
  <c r="AO162" i="1"/>
  <c r="AP162" i="1" s="1"/>
  <c r="AO172" i="1"/>
  <c r="BW162" i="1"/>
  <c r="BE139" i="1"/>
  <c r="BC144" i="1"/>
  <c r="BC147" i="1" s="1"/>
  <c r="BU166" i="1"/>
  <c r="AS153" i="1"/>
  <c r="AS215" i="1" s="1"/>
  <c r="AU148" i="1"/>
  <c r="AV148" i="1" s="1"/>
  <c r="AO156" i="1"/>
  <c r="AP156" i="1" s="1"/>
  <c r="AW135" i="1"/>
  <c r="AX135" i="1" s="1"/>
  <c r="BI137" i="1"/>
  <c r="BJ137" i="1" s="1"/>
  <c r="BW153" i="1"/>
  <c r="BX153" i="1" s="1"/>
  <c r="BY215" i="1" s="1"/>
  <c r="BQ155" i="1"/>
  <c r="BR155" i="1" s="1"/>
  <c r="AS164" i="1"/>
  <c r="AT164" i="1" s="1"/>
  <c r="BO137" i="1"/>
  <c r="BM165" i="1"/>
  <c r="BN165" i="1" s="1"/>
  <c r="BK130" i="1"/>
  <c r="BL130" i="1" s="1"/>
  <c r="BS160" i="1"/>
  <c r="BT160" i="1" s="1"/>
  <c r="BS135" i="1"/>
  <c r="BT135" i="1" s="1"/>
  <c r="AO140" i="1"/>
  <c r="AP140" i="1" s="1"/>
  <c r="AO139" i="1"/>
  <c r="AP139" i="1" s="1"/>
  <c r="AO86" i="1"/>
  <c r="AW157" i="1"/>
  <c r="AW192" i="1" s="1"/>
  <c r="BW139" i="1"/>
  <c r="BX139" i="1" s="1"/>
  <c r="BE157" i="1"/>
  <c r="BE192" i="1" s="1"/>
  <c r="AQ163" i="1"/>
  <c r="AR163" i="1" s="1"/>
  <c r="BU135" i="1"/>
  <c r="BV135" i="1" s="1"/>
  <c r="AS173" i="1"/>
  <c r="AU166" i="1"/>
  <c r="AU196" i="1" s="1"/>
  <c r="AO132" i="1"/>
  <c r="AW158" i="1"/>
  <c r="AW193" i="1" s="1"/>
  <c r="BR86" i="1"/>
  <c r="BI167" i="1"/>
  <c r="BJ167" i="1" s="1"/>
  <c r="BW131" i="1"/>
  <c r="BX131" i="1" s="1"/>
  <c r="AQ86" i="1"/>
  <c r="BO144" i="1"/>
  <c r="BM158" i="1"/>
  <c r="AU160" i="1"/>
  <c r="AV160" i="1" s="1"/>
  <c r="BS173" i="1"/>
  <c r="BS146" i="1"/>
  <c r="AO137" i="1"/>
  <c r="AP137" i="1" s="1"/>
  <c r="AO138" i="1"/>
  <c r="AP138" i="1" s="1"/>
  <c r="AO135" i="1"/>
  <c r="AP135" i="1" s="1"/>
  <c r="BI155" i="1"/>
  <c r="BJ155" i="1" s="1"/>
  <c r="BW132" i="1"/>
  <c r="BX132" i="1" s="1"/>
  <c r="BQ86" i="1"/>
  <c r="BQ137" i="1"/>
  <c r="BG172" i="1"/>
  <c r="BG174" i="1" s="1"/>
  <c r="AR86" i="1"/>
  <c r="AQ131" i="1"/>
  <c r="AR131" i="1" s="1"/>
  <c r="BC156" i="1"/>
  <c r="BD156" i="1" s="1"/>
  <c r="AY155" i="1"/>
  <c r="AZ155" i="1" s="1"/>
  <c r="BU157" i="1"/>
  <c r="BU192" i="1" s="1"/>
  <c r="BO172" i="1"/>
  <c r="AU159" i="1"/>
  <c r="AV159" i="1" s="1"/>
  <c r="AW166" i="1"/>
  <c r="AW196" i="1" s="1"/>
  <c r="BI138" i="1"/>
  <c r="BJ138" i="1" s="1"/>
  <c r="AS86" i="1"/>
  <c r="BM166" i="1"/>
  <c r="BM196" i="1" s="1"/>
  <c r="BK160" i="1"/>
  <c r="BL160" i="1" s="1"/>
  <c r="AU135" i="1"/>
  <c r="AV135" i="1" s="1"/>
  <c r="BS164" i="1"/>
  <c r="BT164" i="1" s="1"/>
  <c r="BI146" i="1"/>
  <c r="BG139" i="1"/>
  <c r="BH139" i="1" s="1"/>
  <c r="BU159" i="1"/>
  <c r="BV159" i="1" s="1"/>
  <c r="BO158" i="1"/>
  <c r="BO193" i="1" s="1"/>
  <c r="BI144" i="1"/>
  <c r="BW148" i="1"/>
  <c r="BX148" i="1" s="1"/>
  <c r="BE140" i="1"/>
  <c r="BF140" i="1" s="1"/>
  <c r="AS160" i="1"/>
  <c r="AT160" i="1" s="1"/>
  <c r="BO86" i="1"/>
  <c r="BK172" i="1"/>
  <c r="BK174" i="1" s="1"/>
  <c r="AW148" i="1"/>
  <c r="AX148" i="1" s="1"/>
  <c r="BS176" i="1"/>
  <c r="BT176" i="1" s="1"/>
  <c r="BS163" i="1"/>
  <c r="BT163" i="1" s="1"/>
  <c r="AO160" i="1"/>
  <c r="AP160" i="1" s="1"/>
  <c r="AW137" i="1"/>
  <c r="AX137" i="1" s="1"/>
  <c r="AW177" i="1"/>
  <c r="AX177" i="1" s="1"/>
  <c r="BI148" i="1"/>
  <c r="BJ148" i="1" s="1"/>
  <c r="BW130" i="1"/>
  <c r="BX130" i="1" s="1"/>
  <c r="BQ165" i="1"/>
  <c r="BR165" i="1" s="1"/>
  <c r="BE153" i="1"/>
  <c r="BF153" i="1" s="1"/>
  <c r="AT86" i="1"/>
  <c r="BC148" i="1"/>
  <c r="BD148" i="1" s="1"/>
  <c r="BU86" i="1"/>
  <c r="BS166" i="1"/>
  <c r="BS196" i="1" s="1"/>
  <c r="AO130" i="1"/>
  <c r="AP130" i="1" s="1"/>
  <c r="AW155" i="1"/>
  <c r="AX155" i="1" s="1"/>
  <c r="BI165" i="1"/>
  <c r="BJ165" i="1" s="1"/>
  <c r="BQ144" i="1"/>
  <c r="AS155" i="1"/>
  <c r="AT155" i="1" s="1"/>
  <c r="BO157" i="1"/>
  <c r="BO192" i="1" s="1"/>
  <c r="BK164" i="1"/>
  <c r="BL164" i="1" s="1"/>
  <c r="AO148" i="1"/>
  <c r="AP148" i="1" s="1"/>
  <c r="AO173" i="1"/>
  <c r="AO150" i="1"/>
  <c r="AP150" i="1" s="1"/>
  <c r="AW164" i="1"/>
  <c r="AX164" i="1" s="1"/>
  <c r="AW139" i="1"/>
  <c r="AX139" i="1" s="1"/>
  <c r="BI150" i="1"/>
  <c r="BJ150" i="1" s="1"/>
  <c r="BQ130" i="1"/>
  <c r="BR130" i="1" s="1"/>
  <c r="BE173" i="1"/>
  <c r="BE174" i="1" s="1"/>
  <c r="AY137" i="1"/>
  <c r="AZ137" i="1" s="1"/>
  <c r="BU158" i="1"/>
  <c r="BU193" i="1" s="1"/>
  <c r="BV193" i="1" s="1"/>
  <c r="BA155" i="1"/>
  <c r="BO155" i="1"/>
  <c r="BP155" i="1" s="1"/>
  <c r="AU140" i="1"/>
  <c r="AV140" i="1" s="1"/>
  <c r="BS168" i="1"/>
  <c r="BT168" i="1" s="1"/>
  <c r="AO146" i="1"/>
  <c r="AW163" i="1"/>
  <c r="AX163" i="1" s="1"/>
  <c r="BQ156" i="1"/>
  <c r="BR156" i="1" s="1"/>
  <c r="BE177" i="1"/>
  <c r="BF177" i="1" s="1"/>
  <c r="BO146" i="1"/>
  <c r="BK138" i="1"/>
  <c r="BS157" i="1"/>
  <c r="BS192" i="1" s="1"/>
  <c r="AO157" i="1"/>
  <c r="AO192" i="1" s="1"/>
  <c r="BS167" i="1"/>
  <c r="BT167" i="1" s="1"/>
  <c r="AO158" i="1"/>
  <c r="AO193" i="1" s="1"/>
  <c r="AO168" i="1"/>
  <c r="AP168" i="1" s="1"/>
  <c r="BI139" i="1"/>
  <c r="BJ139" i="1" s="1"/>
  <c r="BW135" i="1"/>
  <c r="BX135" i="1" s="1"/>
  <c r="BC131" i="1"/>
  <c r="BD131" i="1" s="1"/>
  <c r="AY148" i="1"/>
  <c r="AZ148" i="1" s="1"/>
  <c r="BU137" i="1"/>
  <c r="BV137" i="1" s="1"/>
  <c r="BV141" i="1" s="1"/>
  <c r="BO87" i="1"/>
  <c r="BK156" i="1"/>
  <c r="BL156" i="1" s="1"/>
  <c r="BS144" i="1"/>
  <c r="AW172" i="1"/>
  <c r="BW156" i="1"/>
  <c r="BX156" i="1" s="1"/>
  <c r="BE155" i="1"/>
  <c r="BF155" i="1" s="1"/>
  <c r="AY164" i="1"/>
  <c r="AZ164" i="1" s="1"/>
  <c r="BO159" i="1"/>
  <c r="BP159" i="1" s="1"/>
  <c r="BK176" i="1"/>
  <c r="BL176" i="1" s="1"/>
  <c r="AO87" i="1"/>
  <c r="BS150" i="1"/>
  <c r="BT150" i="1" s="1"/>
  <c r="BS162" i="1"/>
  <c r="BT162" i="1" s="1"/>
  <c r="BS86" i="1"/>
  <c r="AO153" i="1"/>
  <c r="AP153" i="1" s="1"/>
  <c r="AQ215" i="1" s="1"/>
  <c r="AO131" i="1"/>
  <c r="AP131" i="1" s="1"/>
  <c r="AW87" i="1"/>
  <c r="BW166" i="1"/>
  <c r="BW196" i="1" s="1"/>
  <c r="BW144" i="1"/>
  <c r="BQ158" i="1"/>
  <c r="BQ193" i="1" s="1"/>
  <c r="BG135" i="1"/>
  <c r="BH135" i="1" s="1"/>
  <c r="BE162" i="1"/>
  <c r="BC159" i="1"/>
  <c r="BD159" i="1" s="1"/>
  <c r="BP86" i="1"/>
  <c r="BA177" i="1"/>
  <c r="BB177" i="1" s="1"/>
  <c r="BO135" i="1"/>
  <c r="BP135" i="1" s="1"/>
  <c r="BK166" i="1"/>
  <c r="BK196" i="1" s="1"/>
  <c r="AU167" i="1"/>
  <c r="AV167" i="1" s="1"/>
  <c r="BI131" i="1"/>
  <c r="BW87" i="1"/>
  <c r="BG165" i="1"/>
  <c r="BH165" i="1" s="1"/>
  <c r="BE165" i="1"/>
  <c r="BF165" i="1" s="1"/>
  <c r="AY144" i="1"/>
  <c r="BP87" i="1"/>
  <c r="AS159" i="1"/>
  <c r="AT159" i="1" s="1"/>
  <c r="BO148" i="1"/>
  <c r="BP148" i="1" s="1"/>
  <c r="BM176" i="1"/>
  <c r="BN176" i="1" s="1"/>
  <c r="BA153" i="1"/>
  <c r="BA215" i="1" s="1"/>
  <c r="AU146" i="1"/>
  <c r="AO167" i="1"/>
  <c r="AP167" i="1" s="1"/>
  <c r="AW167" i="1"/>
  <c r="AX167" i="1" s="1"/>
  <c r="BI156" i="1"/>
  <c r="BQ150" i="1"/>
  <c r="BR150" i="1" s="1"/>
  <c r="BA166" i="1"/>
  <c r="AS172" i="1"/>
  <c r="BO153" i="1"/>
  <c r="BP153" i="1" s="1"/>
  <c r="BQ215" i="1" s="1"/>
  <c r="BM155" i="1"/>
  <c r="BN155" i="1" s="1"/>
  <c r="BS130" i="1"/>
  <c r="BT130" i="1" s="1"/>
  <c r="AO177" i="1"/>
  <c r="AP177" i="1" s="1"/>
  <c r="BS138" i="1"/>
  <c r="BT138" i="1" s="1"/>
  <c r="BS132" i="1"/>
  <c r="BS165" i="1"/>
  <c r="BT165" i="1" s="1"/>
  <c r="AO163" i="1"/>
  <c r="AP163" i="1" s="1"/>
  <c r="AO144" i="1"/>
  <c r="AW131" i="1"/>
  <c r="AX131" i="1" s="1"/>
  <c r="BW172" i="1"/>
  <c r="BW160" i="1"/>
  <c r="BX160" i="1" s="1"/>
  <c r="BQ173" i="1"/>
  <c r="BG137" i="1"/>
  <c r="AQ165" i="1"/>
  <c r="AR165" i="1" s="1"/>
  <c r="BT87" i="1"/>
  <c r="BC138" i="1"/>
  <c r="AY86" i="1"/>
  <c r="BK159" i="1"/>
  <c r="BL159" i="1" s="1"/>
  <c r="AO176" i="1"/>
  <c r="AP176" i="1" s="1"/>
  <c r="BI162" i="1"/>
  <c r="BJ162" i="1" s="1"/>
  <c r="BQ157" i="1"/>
  <c r="BQ192" i="1" s="1"/>
  <c r="BG168" i="1"/>
  <c r="BH168" i="1" s="1"/>
  <c r="AY159" i="1"/>
  <c r="AZ159" i="1" s="1"/>
  <c r="BA130" i="1"/>
  <c r="BB130" i="1" s="1"/>
  <c r="AS177" i="1"/>
  <c r="AT177" i="1" s="1"/>
  <c r="BM156" i="1"/>
  <c r="BN156" i="1" s="1"/>
  <c r="BS153" i="1"/>
  <c r="BT153" i="1" s="1"/>
  <c r="BU215" i="1" s="1"/>
  <c r="BE176" i="1"/>
  <c r="BF176" i="1" s="1"/>
  <c r="AQ155" i="1"/>
  <c r="AY131" i="1"/>
  <c r="AZ131" i="1" s="1"/>
  <c r="BS155" i="1"/>
  <c r="BT155" i="1" s="1"/>
  <c r="BS148" i="1"/>
  <c r="BT148" i="1" s="1"/>
  <c r="BS158" i="1"/>
  <c r="BS193" i="1" s="1"/>
  <c r="AO166" i="1"/>
  <c r="AO196" i="1" s="1"/>
  <c r="AO165" i="1"/>
  <c r="AP165" i="1" s="1"/>
  <c r="AW156" i="1"/>
  <c r="AX156" i="1" s="1"/>
  <c r="BW146" i="1"/>
  <c r="BQ131" i="1"/>
  <c r="BR131" i="1" s="1"/>
  <c r="BG177" i="1"/>
  <c r="BH177" i="1" s="1"/>
  <c r="BE163" i="1"/>
  <c r="BF163" i="1" s="1"/>
  <c r="AQ157" i="1"/>
  <c r="AQ192" i="1" s="1"/>
  <c r="BU132" i="1"/>
  <c r="BU133" i="1" s="1"/>
  <c r="AU150" i="1"/>
  <c r="AV150" i="1" s="1"/>
  <c r="AO164" i="1"/>
  <c r="AP164" i="1" s="1"/>
  <c r="AW176" i="1"/>
  <c r="AX176" i="1" s="1"/>
  <c r="BB87" i="1"/>
  <c r="BQ166" i="1"/>
  <c r="BQ196" i="1" s="1"/>
  <c r="BG164" i="1"/>
  <c r="BH164" i="1" s="1"/>
  <c r="AQ176" i="1"/>
  <c r="AR176" i="1" s="1"/>
  <c r="AX86" i="1"/>
  <c r="AY139" i="1"/>
  <c r="AZ139" i="1" s="1"/>
  <c r="BA163" i="1"/>
  <c r="BB163" i="1" s="1"/>
  <c r="AS156" i="1"/>
  <c r="AT156" i="1" s="1"/>
  <c r="BM86" i="1"/>
  <c r="BK87" i="1"/>
  <c r="AU157" i="1"/>
  <c r="AN87" i="1"/>
  <c r="BS156" i="1"/>
  <c r="BT156" i="1" s="1"/>
  <c r="BS172" i="1"/>
  <c r="AO159" i="1"/>
  <c r="AP159" i="1" s="1"/>
  <c r="AW86" i="1"/>
  <c r="BW140" i="1"/>
  <c r="BX140" i="1" s="1"/>
  <c r="BW165" i="1"/>
  <c r="BX165" i="1" s="1"/>
  <c r="BQ177" i="1"/>
  <c r="BR177" i="1" s="1"/>
  <c r="BQ132" i="1"/>
  <c r="BG163" i="1"/>
  <c r="BH163" i="1" s="1"/>
  <c r="BC162" i="1"/>
  <c r="AU164" i="1"/>
  <c r="AV164" i="1" s="1"/>
  <c r="AU163" i="1"/>
  <c r="AV163" i="1" s="1"/>
  <c r="AW130" i="1"/>
  <c r="BI163" i="1"/>
  <c r="BJ163" i="1" s="1"/>
  <c r="BW157" i="1"/>
  <c r="BW192" i="1" s="1"/>
  <c r="BG150" i="1"/>
  <c r="BH150" i="1" s="1"/>
  <c r="BE144" i="1"/>
  <c r="BE147" i="1" s="1"/>
  <c r="BF147" i="1" s="1"/>
  <c r="BG46" i="1" s="1"/>
  <c r="AQ144" i="1"/>
  <c r="BA86" i="1"/>
  <c r="BO167" i="1"/>
  <c r="BM135" i="1"/>
  <c r="BN135" i="1" s="1"/>
  <c r="BU150" i="1"/>
  <c r="BV150" i="1" s="1"/>
  <c r="B79" i="1"/>
  <c r="BQ8" i="1"/>
  <c r="BU16" i="1" s="1"/>
  <c r="BQ7" i="1"/>
  <c r="BU15" i="1" s="1"/>
  <c r="BQ5" i="1"/>
  <c r="BU13" i="1" s="1"/>
  <c r="BU244" i="1"/>
  <c r="BU10" i="1"/>
  <c r="BN244" i="1"/>
  <c r="BN10" i="1"/>
  <c r="BV244" i="1"/>
  <c r="BV10" i="1"/>
  <c r="BR244" i="1"/>
  <c r="BR10" i="1"/>
  <c r="BP244" i="1"/>
  <c r="BP10" i="1"/>
  <c r="AI50" i="1"/>
  <c r="B121" i="1"/>
  <c r="BN265" i="1"/>
  <c r="BU23" i="1"/>
  <c r="BY24" i="1" s="1"/>
  <c r="I170" i="1"/>
  <c r="I178" i="1" s="1"/>
  <c r="F46" i="1"/>
  <c r="F151" i="1"/>
  <c r="F259" i="1" s="1"/>
  <c r="N67" i="1"/>
  <c r="N188" i="1"/>
  <c r="G188" i="1"/>
  <c r="G67" i="1"/>
  <c r="S262" i="1"/>
  <c r="S264" i="1" s="1"/>
  <c r="AX153" i="1"/>
  <c r="AY215" i="1" s="1"/>
  <c r="M46" i="1"/>
  <c r="M151" i="1"/>
  <c r="H210" i="1"/>
  <c r="BJ215" i="1"/>
  <c r="U151" i="1"/>
  <c r="J46" i="1"/>
  <c r="N262" i="1"/>
  <c r="N264" i="1" s="1"/>
  <c r="N261" i="1"/>
  <c r="BN266" i="1"/>
  <c r="BK265" i="1"/>
  <c r="BM23" i="1"/>
  <c r="BM25" i="1" s="1"/>
  <c r="BU265" i="1"/>
  <c r="CJ82" i="1"/>
  <c r="CJ100" i="1" s="1"/>
  <c r="CS40" i="1"/>
  <c r="BM174" i="1"/>
  <c r="CQ78" i="1"/>
  <c r="CR76" i="1"/>
  <c r="CO262" i="1"/>
  <c r="CO219" i="1"/>
  <c r="CH105" i="1"/>
  <c r="CH67" i="1"/>
  <c r="CH220" i="1"/>
  <c r="CH218" i="1" s="1"/>
  <c r="CH223" i="1" s="1"/>
  <c r="CH173" i="1" s="1"/>
  <c r="CH174" i="1" s="1"/>
  <c r="CH142" i="1"/>
  <c r="CH68" i="1" s="1"/>
  <c r="BZ206" i="1"/>
  <c r="BZ208" i="1" s="1"/>
  <c r="CC67" i="1"/>
  <c r="BZ65" i="1"/>
  <c r="BZ132" i="1"/>
  <c r="BZ133" i="1" s="1"/>
  <c r="CQ196" i="1"/>
  <c r="CP198" i="1"/>
  <c r="AL142" i="1"/>
  <c r="AL220" i="1"/>
  <c r="AL218" i="1" s="1"/>
  <c r="CQ192" i="1"/>
  <c r="CO194" i="1"/>
  <c r="CN195" i="1"/>
  <c r="CN199" i="1" s="1"/>
  <c r="CE117" i="1"/>
  <c r="CE115" i="1"/>
  <c r="CE116" i="1"/>
  <c r="CR153" i="1"/>
  <c r="CR215" i="1" s="1"/>
  <c r="CQ137" i="1"/>
  <c r="CP141" i="1"/>
  <c r="X67" i="1"/>
  <c r="X206" i="1"/>
  <c r="X208" i="1" s="1"/>
  <c r="X65" i="1"/>
  <c r="CJ220" i="1"/>
  <c r="CJ218" i="1" s="1"/>
  <c r="CJ142" i="1"/>
  <c r="CJ68" i="1" s="1"/>
  <c r="CJ67" i="1"/>
  <c r="CJ105" i="1"/>
  <c r="CE67" i="1"/>
  <c r="CB132" i="1"/>
  <c r="CB133" i="1" s="1"/>
  <c r="CB65" i="1"/>
  <c r="CB206" i="1"/>
  <c r="CB208" i="1" s="1"/>
  <c r="CC78" i="1"/>
  <c r="CB76" i="1"/>
  <c r="AJ142" i="1"/>
  <c r="AJ220" i="1"/>
  <c r="AJ218" i="1" s="1"/>
  <c r="CE107" i="1"/>
  <c r="CE109" i="1"/>
  <c r="CE108" i="1"/>
  <c r="Y65" i="1"/>
  <c r="Y220" i="1"/>
  <c r="Y218" i="1" s="1"/>
  <c r="Y67" i="1"/>
  <c r="Y206" i="1"/>
  <c r="Y208" i="1" s="1"/>
  <c r="Y212" i="1" s="1"/>
  <c r="Y226" i="1" s="1"/>
  <c r="CF206" i="1"/>
  <c r="CF208" i="1" s="1"/>
  <c r="CF132" i="1"/>
  <c r="CF133" i="1" s="1"/>
  <c r="CI67" i="1"/>
  <c r="CF79" i="1"/>
  <c r="CI82" i="1" s="1"/>
  <c r="CF65" i="1"/>
  <c r="BY206" i="1"/>
  <c r="BY208" i="1" s="1"/>
  <c r="BY65" i="1"/>
  <c r="CA67" i="1"/>
  <c r="N142" i="1"/>
  <c r="N68" i="1" s="1"/>
  <c r="Z220" i="1"/>
  <c r="Z218" i="1" s="1"/>
  <c r="Z65" i="1"/>
  <c r="Z206" i="1"/>
  <c r="Z208" i="1" s="1"/>
  <c r="Z212" i="1" s="1"/>
  <c r="Z226" i="1" s="1"/>
  <c r="Z67" i="1"/>
  <c r="CD120" i="1"/>
  <c r="CD121" i="1"/>
  <c r="CD112" i="1"/>
  <c r="CD67" i="1"/>
  <c r="CD105" i="1"/>
  <c r="CD220" i="1"/>
  <c r="CD218" i="1" s="1"/>
  <c r="CD142" i="1"/>
  <c r="CD68" i="1" s="1"/>
  <c r="BU147" i="1"/>
  <c r="BM164" i="1"/>
  <c r="AQ166" i="1"/>
  <c r="BM147" i="1"/>
  <c r="BN147" i="1" s="1"/>
  <c r="BC174" i="1"/>
  <c r="V151" i="1"/>
  <c r="BQ164" i="1"/>
  <c r="BR164" i="1" s="1"/>
  <c r="N219" i="1"/>
  <c r="M219" i="1"/>
  <c r="D151" i="1"/>
  <c r="D216" i="1" s="1"/>
  <c r="D214" i="1" s="1"/>
  <c r="BF265" i="1"/>
  <c r="AV162" i="1"/>
  <c r="BV155" i="1"/>
  <c r="BE133" i="1"/>
  <c r="BF130" i="1"/>
  <c r="AV155" i="1"/>
  <c r="AV130" i="1"/>
  <c r="BB137" i="1"/>
  <c r="BR162" i="1"/>
  <c r="AT137" i="1"/>
  <c r="BI174" i="1"/>
  <c r="BT137" i="1"/>
  <c r="L151" i="1"/>
  <c r="AO266" i="1"/>
  <c r="BJ29" i="1"/>
  <c r="BJ41" i="1" s="1"/>
  <c r="BD155" i="1"/>
  <c r="BB176" i="1"/>
  <c r="AR137" i="1"/>
  <c r="BL155" i="1"/>
  <c r="BN162" i="1"/>
  <c r="AZ130" i="1"/>
  <c r="BP130" i="1"/>
  <c r="BD130" i="1"/>
  <c r="BU174" i="1"/>
  <c r="BF137" i="1"/>
  <c r="AR130" i="1"/>
  <c r="BD137" i="1"/>
  <c r="BH130" i="1"/>
  <c r="BG133" i="1"/>
  <c r="BH155" i="1"/>
  <c r="BG161" i="1"/>
  <c r="BV130" i="1"/>
  <c r="BJ130" i="1"/>
  <c r="AT130" i="1"/>
  <c r="AS133" i="1"/>
  <c r="AR162" i="1"/>
  <c r="BV162" i="1"/>
  <c r="BN137" i="1"/>
  <c r="BN141" i="1" s="1"/>
  <c r="BM141" i="1"/>
  <c r="BA147" i="1"/>
  <c r="BF150" i="1"/>
  <c r="BP162" i="1"/>
  <c r="AX162" i="1"/>
  <c r="BG193" i="1"/>
  <c r="BG192" i="1"/>
  <c r="BG196" i="1"/>
  <c r="R67" i="1"/>
  <c r="BO196" i="1"/>
  <c r="BC244" i="1"/>
  <c r="BC196" i="1"/>
  <c r="AS244" i="1"/>
  <c r="AU193" i="1"/>
  <c r="BQ244" i="1"/>
  <c r="BD23" i="1"/>
  <c r="BD29" i="1" s="1"/>
  <c r="U142" i="1"/>
  <c r="U68" i="1" s="1"/>
  <c r="AW23" i="1"/>
  <c r="AW29" i="1" s="1"/>
  <c r="AW30" i="1" s="1"/>
  <c r="BS244" i="1"/>
  <c r="W151" i="1"/>
  <c r="X216" i="1" s="1"/>
  <c r="X214" i="1" s="1"/>
  <c r="BE244" i="1"/>
  <c r="BE196" i="1"/>
  <c r="BE193" i="1"/>
  <c r="AQ244" i="1"/>
  <c r="BI244" i="1"/>
  <c r="BI196" i="1"/>
  <c r="BI192" i="1"/>
  <c r="BI193" i="1"/>
  <c r="BA244" i="1"/>
  <c r="BA193" i="1"/>
  <c r="AI192" i="1"/>
  <c r="AI193" i="1"/>
  <c r="AI196" i="1"/>
  <c r="AI198" i="1"/>
  <c r="AI195" i="1"/>
  <c r="BM244" i="1"/>
  <c r="BM193" i="1"/>
  <c r="AY265" i="1"/>
  <c r="AY196" i="1"/>
  <c r="B151" i="1"/>
  <c r="C216" i="1" s="1"/>
  <c r="C214" i="1" s="1"/>
  <c r="BH265" i="1"/>
  <c r="U50" i="1"/>
  <c r="BI265" i="1"/>
  <c r="P220" i="1"/>
  <c r="D261" i="1"/>
  <c r="Q220" i="1"/>
  <c r="O261" i="1"/>
  <c r="AY23" i="1"/>
  <c r="AY29" i="1" s="1"/>
  <c r="P188" i="1"/>
  <c r="O188" i="1"/>
  <c r="G261" i="1"/>
  <c r="BR215" i="1"/>
  <c r="B181" i="1"/>
  <c r="B122" i="1" s="1"/>
  <c r="B123" i="1" s="1"/>
  <c r="B126" i="1" s="1"/>
  <c r="C261" i="1"/>
  <c r="D219" i="1"/>
  <c r="E142" i="1"/>
  <c r="E68" i="1" s="1"/>
  <c r="F261" i="1"/>
  <c r="G142" i="1"/>
  <c r="G68" i="1" s="1"/>
  <c r="G181" i="1"/>
  <c r="G122" i="1" s="1"/>
  <c r="N220" i="1"/>
  <c r="M220" i="1"/>
  <c r="P142" i="1"/>
  <c r="P68" i="1" s="1"/>
  <c r="R151" i="1"/>
  <c r="R259" i="1" s="1"/>
  <c r="M261" i="1"/>
  <c r="E220" i="1"/>
  <c r="J142" i="1"/>
  <c r="J68" i="1" s="1"/>
  <c r="D181" i="1"/>
  <c r="D122" i="1" s="1"/>
  <c r="P219" i="1"/>
  <c r="J188" i="1"/>
  <c r="R142" i="1"/>
  <c r="R68" i="1" s="1"/>
  <c r="L209" i="1"/>
  <c r="G220" i="1"/>
  <c r="J261" i="1"/>
  <c r="F67" i="1"/>
  <c r="K262" i="1"/>
  <c r="K264" i="1" s="1"/>
  <c r="M142" i="1"/>
  <c r="M68" i="1" s="1"/>
  <c r="J220" i="1"/>
  <c r="D188" i="1"/>
  <c r="AR244" i="1"/>
  <c r="BP265" i="1"/>
  <c r="AP265" i="1"/>
  <c r="AP23" i="1"/>
  <c r="AP24" i="1" s="1"/>
  <c r="AX39" i="1"/>
  <c r="L188" i="1"/>
  <c r="P50" i="1"/>
  <c r="P262" i="1"/>
  <c r="P264" i="1" s="1"/>
  <c r="D142" i="1"/>
  <c r="D68" i="1" s="1"/>
  <c r="P67" i="1"/>
  <c r="R220" i="1"/>
  <c r="J181" i="1"/>
  <c r="J122" i="1" s="1"/>
  <c r="O220" i="1"/>
  <c r="O262" i="1"/>
  <c r="O264" i="1" s="1"/>
  <c r="N46" i="1"/>
  <c r="AO207" i="1"/>
  <c r="K220" i="1"/>
  <c r="M67" i="1"/>
  <c r="F220" i="1"/>
  <c r="S210" i="1"/>
  <c r="R261" i="1"/>
  <c r="AP266" i="1"/>
  <c r="BQ23" i="1"/>
  <c r="BQ29" i="1" s="1"/>
  <c r="BR111" i="1"/>
  <c r="M181" i="1"/>
  <c r="M122" i="1" s="1"/>
  <c r="V219" i="1"/>
  <c r="U261" i="1"/>
  <c r="BK23" i="1"/>
  <c r="C121" i="1"/>
  <c r="K209" i="1"/>
  <c r="U67" i="1"/>
  <c r="C46" i="1"/>
  <c r="D222" i="1"/>
  <c r="C79" i="1"/>
  <c r="C81" i="1" s="1"/>
  <c r="L67" i="1"/>
  <c r="BD39" i="1"/>
  <c r="AN46" i="1"/>
  <c r="BD266" i="1"/>
  <c r="BW266" i="1"/>
  <c r="BO39" i="1"/>
  <c r="BA23" i="1"/>
  <c r="BA29" i="1" s="1"/>
  <c r="BA30" i="1" s="1"/>
  <c r="AW39" i="1"/>
  <c r="AM61" i="1"/>
  <c r="AM206" i="1" s="1"/>
  <c r="AM208" i="1" s="1"/>
  <c r="BR39" i="1"/>
  <c r="AZ23" i="1"/>
  <c r="BD215" i="1"/>
  <c r="AU39" i="1"/>
  <c r="J209" i="1"/>
  <c r="O50" i="1"/>
  <c r="U181" i="1"/>
  <c r="U122" i="1" s="1"/>
  <c r="BO111" i="1"/>
  <c r="BS111" i="1"/>
  <c r="BK39" i="1"/>
  <c r="G50" i="1"/>
  <c r="O222" i="1"/>
  <c r="N259" i="1"/>
  <c r="O142" i="1"/>
  <c r="O68" i="1" s="1"/>
  <c r="K170" i="1"/>
  <c r="BO265" i="1"/>
  <c r="J170" i="1"/>
  <c r="J178" i="1" s="1"/>
  <c r="BP111" i="1"/>
  <c r="AN265" i="1"/>
  <c r="BW39" i="1"/>
  <c r="BQ265" i="1"/>
  <c r="BU39" i="1"/>
  <c r="O181" i="1"/>
  <c r="O122" i="1" s="1"/>
  <c r="U188" i="1"/>
  <c r="B67" i="1"/>
  <c r="N257" i="1"/>
  <c r="N181" i="1"/>
  <c r="N122" i="1" s="1"/>
  <c r="BV215" i="1"/>
  <c r="R181" i="1"/>
  <c r="R122" i="1" s="1"/>
  <c r="C219" i="1"/>
  <c r="C181" i="1"/>
  <c r="C122" i="1" s="1"/>
  <c r="C123" i="1" s="1"/>
  <c r="C126" i="1" s="1"/>
  <c r="B50" i="1"/>
  <c r="BC111" i="1"/>
  <c r="BB266" i="1"/>
  <c r="P222" i="1"/>
  <c r="S261" i="1"/>
  <c r="W262" i="1"/>
  <c r="W264" i="1" s="1"/>
  <c r="C67" i="1"/>
  <c r="AU111" i="1"/>
  <c r="AN219" i="1"/>
  <c r="BN111" i="1"/>
  <c r="BJ111" i="1"/>
  <c r="BG111" i="1"/>
  <c r="AI216" i="1"/>
  <c r="AI214" i="1" s="1"/>
  <c r="R198" i="1"/>
  <c r="R197" i="1" s="1"/>
  <c r="O46" i="1"/>
  <c r="R170" i="1"/>
  <c r="AV215" i="1"/>
  <c r="AI39" i="1"/>
  <c r="H262" i="1"/>
  <c r="H264" i="1" s="1"/>
  <c r="E67" i="1"/>
  <c r="O219" i="1"/>
  <c r="H219" i="1"/>
  <c r="U220" i="1"/>
  <c r="H181" i="1"/>
  <c r="H122" i="1" s="1"/>
  <c r="P46" i="1"/>
  <c r="H142" i="1"/>
  <c r="H68" i="1" s="1"/>
  <c r="BV266" i="1"/>
  <c r="G199" i="1"/>
  <c r="N170" i="1"/>
  <c r="N178" i="1" s="1"/>
  <c r="J262" i="1"/>
  <c r="J264" i="1" s="1"/>
  <c r="H67" i="1"/>
  <c r="H50" i="1"/>
  <c r="T188" i="1"/>
  <c r="G170" i="1"/>
  <c r="BJ40" i="1"/>
  <c r="F170" i="1"/>
  <c r="H209" i="1"/>
  <c r="U262" i="1"/>
  <c r="U264" i="1" s="1"/>
  <c r="BV23" i="1"/>
  <c r="H220" i="1"/>
  <c r="G209" i="1"/>
  <c r="T220" i="1"/>
  <c r="U209" i="1"/>
  <c r="F209" i="1"/>
  <c r="O210" i="1"/>
  <c r="D210" i="1"/>
  <c r="U170" i="1"/>
  <c r="C199" i="1"/>
  <c r="C170" i="1"/>
  <c r="C178" i="1" s="1"/>
  <c r="H198" i="1"/>
  <c r="H197" i="1" s="1"/>
  <c r="T181" i="1"/>
  <c r="T122" i="1" s="1"/>
  <c r="E209" i="1"/>
  <c r="BO23" i="1"/>
  <c r="BO29" i="1" s="1"/>
  <c r="AR266" i="1"/>
  <c r="BU111" i="1"/>
  <c r="BW111" i="1"/>
  <c r="AZ111" i="1"/>
  <c r="BG39" i="1"/>
  <c r="BA265" i="1"/>
  <c r="AY266" i="1"/>
  <c r="AT23" i="1"/>
  <c r="AT29" i="1" s="1"/>
  <c r="AZ39" i="1"/>
  <c r="AS39" i="1"/>
  <c r="E219" i="1"/>
  <c r="I181" i="1"/>
  <c r="I122" i="1" s="1"/>
  <c r="H261" i="1"/>
  <c r="L170" i="1"/>
  <c r="D220" i="1"/>
  <c r="C142" i="1"/>
  <c r="C68" i="1" s="1"/>
  <c r="I220" i="1"/>
  <c r="BO244" i="1"/>
  <c r="AS265" i="1"/>
  <c r="BA39" i="1"/>
  <c r="AZ265" i="1"/>
  <c r="BE39" i="1"/>
  <c r="BR23" i="1"/>
  <c r="AR39" i="1"/>
  <c r="BD265" i="1"/>
  <c r="BI39" i="1"/>
  <c r="BQ39" i="1"/>
  <c r="AR23" i="1"/>
  <c r="AR29" i="1" s="1"/>
  <c r="AR30" i="1" s="1"/>
  <c r="AS23" i="1"/>
  <c r="AS29" i="1" s="1"/>
  <c r="AS30" i="1" s="1"/>
  <c r="AT39" i="1"/>
  <c r="E151" i="1"/>
  <c r="BP39" i="1"/>
  <c r="BT266" i="1"/>
  <c r="AP39" i="1"/>
  <c r="U199" i="1"/>
  <c r="T46" i="1"/>
  <c r="B142" i="1"/>
  <c r="B68" i="1" s="1"/>
  <c r="AI23" i="1"/>
  <c r="BX111" i="1"/>
  <c r="BG266" i="1"/>
  <c r="BV111" i="1"/>
  <c r="AL111" i="1"/>
  <c r="AT265" i="1"/>
  <c r="AT111" i="1"/>
  <c r="BT111" i="1"/>
  <c r="AW266" i="1"/>
  <c r="BS265" i="1"/>
  <c r="AX265" i="1"/>
  <c r="AO265" i="1"/>
  <c r="AN39" i="1"/>
  <c r="BT39" i="1"/>
  <c r="AQ39" i="1"/>
  <c r="AV39" i="1"/>
  <c r="BH39" i="1"/>
  <c r="BI23" i="1"/>
  <c r="BI29" i="1" s="1"/>
  <c r="BP23" i="1"/>
  <c r="BP29" i="1" s="1"/>
  <c r="AY39" i="1"/>
  <c r="BF39" i="1"/>
  <c r="I210" i="1"/>
  <c r="BN39" i="1"/>
  <c r="AU23" i="1"/>
  <c r="B261" i="1"/>
  <c r="AY244" i="1"/>
  <c r="BV265" i="1"/>
  <c r="BS23" i="1"/>
  <c r="BS29" i="1" s="1"/>
  <c r="BQ111" i="1"/>
  <c r="BE23" i="1"/>
  <c r="BE29" i="1" s="1"/>
  <c r="BY111" i="1"/>
  <c r="BE265" i="1"/>
  <c r="BL111" i="1"/>
  <c r="AT266" i="1"/>
  <c r="BT265" i="1"/>
  <c r="BM266" i="1"/>
  <c r="BM207" i="1"/>
  <c r="BP266" i="1"/>
  <c r="BP207" i="1"/>
  <c r="BR266" i="1"/>
  <c r="BR207" i="1"/>
  <c r="M170" i="1"/>
  <c r="T170" i="1"/>
  <c r="T178" i="1" s="1"/>
  <c r="N210" i="1"/>
  <c r="BC23" i="1"/>
  <c r="AU266" i="1"/>
  <c r="BH111" i="1"/>
  <c r="BF266" i="1"/>
  <c r="BD111" i="1"/>
  <c r="AI46" i="1"/>
  <c r="BH23" i="1"/>
  <c r="AX111" i="1"/>
  <c r="BQ266" i="1"/>
  <c r="T199" i="1"/>
  <c r="BK111" i="1"/>
  <c r="AX266" i="1"/>
  <c r="AR111" i="1"/>
  <c r="AQ265" i="1"/>
  <c r="AS111" i="1"/>
  <c r="AQ23" i="1"/>
  <c r="BT207" i="1"/>
  <c r="AR265" i="1"/>
  <c r="BU207" i="1"/>
  <c r="BU266" i="1"/>
  <c r="BK266" i="1"/>
  <c r="BK207" i="1"/>
  <c r="BK244" i="1"/>
  <c r="BM111" i="1"/>
  <c r="BM265" i="1"/>
  <c r="BS39" i="1"/>
  <c r="AN23" i="1"/>
  <c r="AN244" i="1"/>
  <c r="AN111" i="1"/>
  <c r="AO111" i="1"/>
  <c r="E170" i="1"/>
  <c r="AU244" i="1"/>
  <c r="BO266" i="1"/>
  <c r="BF111" i="1"/>
  <c r="AR215" i="1"/>
  <c r="BF23" i="1"/>
  <c r="AV23" i="1"/>
  <c r="AY111" i="1"/>
  <c r="AW111" i="1"/>
  <c r="AV265" i="1"/>
  <c r="AP111" i="1"/>
  <c r="AV111" i="1"/>
  <c r="BW23" i="1"/>
  <c r="BW244" i="1"/>
  <c r="BZ111" i="1"/>
  <c r="AO39" i="1"/>
  <c r="BR265" i="1"/>
  <c r="BN207" i="1"/>
  <c r="AQ266" i="1"/>
  <c r="AQ207" i="1"/>
  <c r="BN23" i="1"/>
  <c r="BW265" i="1"/>
  <c r="AZ215" i="1"/>
  <c r="BI266" i="1"/>
  <c r="BI207" i="1"/>
  <c r="BB244" i="1"/>
  <c r="BB23" i="1"/>
  <c r="BM39" i="1"/>
  <c r="BI111" i="1"/>
  <c r="BF244" i="1"/>
  <c r="BE111" i="1"/>
  <c r="AN266" i="1"/>
  <c r="M210" i="1"/>
  <c r="BC265" i="1"/>
  <c r="AV266" i="1"/>
  <c r="BC266" i="1"/>
  <c r="BE266" i="1"/>
  <c r="AQ111" i="1"/>
  <c r="BH266" i="1"/>
  <c r="BB265" i="1"/>
  <c r="BV39" i="1"/>
  <c r="BJ266" i="1"/>
  <c r="BJ207" i="1"/>
  <c r="BG265" i="1"/>
  <c r="BG244" i="1"/>
  <c r="BC39" i="1"/>
  <c r="AX244" i="1"/>
  <c r="AX23" i="1"/>
  <c r="AZ266" i="1"/>
  <c r="AZ207" i="1"/>
  <c r="BT244" i="1"/>
  <c r="BT23" i="1"/>
  <c r="BG23" i="1"/>
  <c r="AU265" i="1"/>
  <c r="BA266" i="1"/>
  <c r="BA207" i="1"/>
  <c r="AO244" i="1"/>
  <c r="AO23" i="1"/>
  <c r="AW265" i="1"/>
  <c r="AW244" i="1"/>
  <c r="AI244" i="1"/>
  <c r="BB39" i="1"/>
  <c r="BA111" i="1"/>
  <c r="BB111" i="1"/>
  <c r="AN215" i="1"/>
  <c r="AS266" i="1"/>
  <c r="AS207" i="1"/>
  <c r="BS266" i="1"/>
  <c r="Q261" i="1"/>
  <c r="V210" i="1"/>
  <c r="T210" i="1"/>
  <c r="C220" i="1"/>
  <c r="U210" i="1"/>
  <c r="P210" i="1"/>
  <c r="S151" i="1"/>
  <c r="S259" i="1" s="1"/>
  <c r="V170" i="1"/>
  <c r="C262" i="1"/>
  <c r="C264" i="1" s="1"/>
  <c r="G151" i="1"/>
  <c r="G46" i="1"/>
  <c r="AW215" i="1"/>
  <c r="D262" i="1"/>
  <c r="D264" i="1" s="1"/>
  <c r="AN262" i="1"/>
  <c r="S219" i="1"/>
  <c r="V209" i="1"/>
  <c r="T209" i="1"/>
  <c r="F181" i="1"/>
  <c r="F122" i="1" s="1"/>
  <c r="F262" i="1"/>
  <c r="F264" i="1" s="1"/>
  <c r="I209" i="1"/>
  <c r="G219" i="1"/>
  <c r="T219" i="1"/>
  <c r="V195" i="1"/>
  <c r="V199" i="1" s="1"/>
  <c r="V262" i="1"/>
  <c r="V264" i="1" s="1"/>
  <c r="G262" i="1"/>
  <c r="G264" i="1" s="1"/>
  <c r="V181" i="1"/>
  <c r="V122" i="1" s="1"/>
  <c r="F142" i="1"/>
  <c r="F68" i="1" s="1"/>
  <c r="Q181" i="1"/>
  <c r="Q122" i="1" s="1"/>
  <c r="S67" i="1"/>
  <c r="S220" i="1"/>
  <c r="S142" i="1"/>
  <c r="S68" i="1" s="1"/>
  <c r="R209" i="1"/>
  <c r="Q209" i="1"/>
  <c r="S181" i="1"/>
  <c r="S122" i="1" s="1"/>
  <c r="D209" i="1"/>
  <c r="D120" i="1"/>
  <c r="T262" i="1"/>
  <c r="T264" i="1" s="1"/>
  <c r="S50" i="1"/>
  <c r="I50" i="1"/>
  <c r="D121" i="1"/>
  <c r="H195" i="1"/>
  <c r="H194" i="1" s="1"/>
  <c r="L142" i="1"/>
  <c r="L68" i="1" s="1"/>
  <c r="D170" i="1"/>
  <c r="E210" i="1"/>
  <c r="V220" i="1"/>
  <c r="O209" i="1"/>
  <c r="P209" i="1"/>
  <c r="E199" i="1"/>
  <c r="K151" i="1"/>
  <c r="J198" i="1"/>
  <c r="J197" i="1" s="1"/>
  <c r="V261" i="1"/>
  <c r="T67" i="1"/>
  <c r="T261" i="1"/>
  <c r="J259" i="1"/>
  <c r="Q67" i="1"/>
  <c r="Q188" i="1"/>
  <c r="I219" i="1"/>
  <c r="J219" i="1"/>
  <c r="R210" i="1"/>
  <c r="Q199" i="1"/>
  <c r="N209" i="1"/>
  <c r="I259" i="1"/>
  <c r="O259" i="1"/>
  <c r="H170" i="1"/>
  <c r="I142" i="1"/>
  <c r="I68" i="1" s="1"/>
  <c r="I262" i="1"/>
  <c r="I264" i="1" s="1"/>
  <c r="Q262" i="1"/>
  <c r="Q264" i="1" s="1"/>
  <c r="T142" i="1"/>
  <c r="T68" i="1" s="1"/>
  <c r="O170" i="1"/>
  <c r="O178" i="1" s="1"/>
  <c r="Q170" i="1"/>
  <c r="R262" i="1"/>
  <c r="R264" i="1" s="1"/>
  <c r="P199" i="1"/>
  <c r="Q210" i="1"/>
  <c r="I198" i="1"/>
  <c r="I197" i="1" s="1"/>
  <c r="Q219" i="1"/>
  <c r="U219" i="1"/>
  <c r="M209" i="1"/>
  <c r="S209" i="1"/>
  <c r="P170" i="1"/>
  <c r="P178" i="1" s="1"/>
  <c r="S170" i="1"/>
  <c r="J210" i="1"/>
  <c r="C210" i="1"/>
  <c r="K210" i="1"/>
  <c r="J257" i="1"/>
  <c r="H46" i="1"/>
  <c r="H151" i="1"/>
  <c r="I216" i="1" s="1"/>
  <c r="I214" i="1" s="1"/>
  <c r="E50" i="1"/>
  <c r="E181" i="1"/>
  <c r="E122" i="1" s="1"/>
  <c r="F219" i="1"/>
  <c r="T259" i="1"/>
  <c r="I261" i="1"/>
  <c r="I67" i="1"/>
  <c r="I188" i="1"/>
  <c r="D82" i="1"/>
  <c r="D81" i="1"/>
  <c r="K181" i="1"/>
  <c r="K122" i="1" s="1"/>
  <c r="K50" i="1"/>
  <c r="K142" i="1"/>
  <c r="K219" i="1"/>
  <c r="B195" i="1"/>
  <c r="C209" i="1"/>
  <c r="B170" i="1"/>
  <c r="F198" i="1"/>
  <c r="G210" i="1"/>
  <c r="S194" i="1"/>
  <c r="S199" i="1"/>
  <c r="M199" i="1"/>
  <c r="K198" i="1"/>
  <c r="L210" i="1"/>
  <c r="Q50" i="1"/>
  <c r="Q142" i="1"/>
  <c r="Q68" i="1" s="1"/>
  <c r="R219" i="1"/>
  <c r="L262" i="1"/>
  <c r="L264" i="1" s="1"/>
  <c r="L50" i="1"/>
  <c r="L181" i="1"/>
  <c r="L122" i="1" s="1"/>
  <c r="L219" i="1"/>
  <c r="M262" i="1"/>
  <c r="M264" i="1" s="1"/>
  <c r="L222" i="1"/>
  <c r="K261" i="1"/>
  <c r="F210" i="1"/>
  <c r="P257" i="1"/>
  <c r="V188" i="1"/>
  <c r="V67" i="1"/>
  <c r="V142" i="1"/>
  <c r="Q46" i="1"/>
  <c r="Q151" i="1"/>
  <c r="L220" i="1"/>
  <c r="K188" i="1"/>
  <c r="K67" i="1"/>
  <c r="W50" i="1"/>
  <c r="X262" i="1"/>
  <c r="X264" i="1" s="1"/>
  <c r="X219" i="1"/>
  <c r="W219" i="1"/>
  <c r="L261" i="1"/>
  <c r="I257" i="1"/>
  <c r="P259" i="1"/>
  <c r="T257" i="1"/>
  <c r="O257" i="1"/>
  <c r="N199" i="1"/>
  <c r="O194" i="1"/>
  <c r="O199" i="1"/>
  <c r="L194" i="1"/>
  <c r="L199" i="1"/>
  <c r="D194" i="1"/>
  <c r="D199" i="1"/>
  <c r="J194" i="1"/>
  <c r="O216" i="1"/>
  <c r="O214" i="1" s="1"/>
  <c r="P216" i="1"/>
  <c r="P214" i="1" s="1"/>
  <c r="J216" i="1"/>
  <c r="J214" i="1" s="1"/>
  <c r="BU169" i="1" l="1"/>
  <c r="BU198" i="1" s="1"/>
  <c r="BO141" i="1"/>
  <c r="AY174" i="1"/>
  <c r="AY193" i="1"/>
  <c r="BG147" i="1"/>
  <c r="AQ174" i="1"/>
  <c r="BL162" i="1"/>
  <c r="BB141" i="1"/>
  <c r="BA141" i="1"/>
  <c r="AT141" i="1"/>
  <c r="AS141" i="1"/>
  <c r="BL153" i="1"/>
  <c r="BM215" i="1" s="1"/>
  <c r="BO133" i="1"/>
  <c r="BK215" i="1"/>
  <c r="AV137" i="1"/>
  <c r="BW193" i="1"/>
  <c r="AQ193" i="1"/>
  <c r="BO174" i="1"/>
  <c r="BK147" i="1"/>
  <c r="AU133" i="1"/>
  <c r="BQ147" i="1"/>
  <c r="CT40" i="1"/>
  <c r="BW174" i="1"/>
  <c r="BW147" i="1"/>
  <c r="BX147" i="1" s="1"/>
  <c r="F178" i="1"/>
  <c r="AU147" i="1"/>
  <c r="BU196" i="1"/>
  <c r="BV196" i="1" s="1"/>
  <c r="BL133" i="1"/>
  <c r="AR141" i="1"/>
  <c r="AS174" i="1"/>
  <c r="AW174" i="1"/>
  <c r="BQ141" i="1"/>
  <c r="AY147" i="1"/>
  <c r="AZ147" i="1" s="1"/>
  <c r="AZ151" i="1" s="1"/>
  <c r="BK133" i="1"/>
  <c r="AQ141" i="1"/>
  <c r="AQ181" i="1" s="1"/>
  <c r="BH215" i="1"/>
  <c r="BM133" i="1"/>
  <c r="BU161" i="1"/>
  <c r="BU195" i="1" s="1"/>
  <c r="BU194" i="1" s="1"/>
  <c r="BV194" i="1" s="1"/>
  <c r="BQ174" i="1"/>
  <c r="AO141" i="1"/>
  <c r="AO262" i="1" s="1"/>
  <c r="BN215" i="1"/>
  <c r="AQ147" i="1"/>
  <c r="AQ151" i="1" s="1"/>
  <c r="BS147" i="1"/>
  <c r="BT46" i="1" s="1"/>
  <c r="AT153" i="1"/>
  <c r="AU215" i="1" s="1"/>
  <c r="BA161" i="1"/>
  <c r="BA195" i="1" s="1"/>
  <c r="BA194" i="1" s="1"/>
  <c r="BB194" i="1" s="1"/>
  <c r="BB155" i="1"/>
  <c r="BB153" i="1"/>
  <c r="BC215" i="1" s="1"/>
  <c r="BB215" i="1"/>
  <c r="BH137" i="1"/>
  <c r="BH141" i="1" s="1"/>
  <c r="BG141" i="1"/>
  <c r="BG142" i="1" s="1"/>
  <c r="AU192" i="1"/>
  <c r="AV192" i="1" s="1"/>
  <c r="AU161" i="1"/>
  <c r="AU195" i="1" s="1"/>
  <c r="BD162" i="1"/>
  <c r="BC169" i="1"/>
  <c r="BC198" i="1" s="1"/>
  <c r="BC197" i="1" s="1"/>
  <c r="BD197" i="1" s="1"/>
  <c r="AO147" i="1"/>
  <c r="BJ156" i="1"/>
  <c r="BI161" i="1"/>
  <c r="BI195" i="1" s="1"/>
  <c r="BI194" i="1" s="1"/>
  <c r="BJ194" i="1" s="1"/>
  <c r="B81" i="1"/>
  <c r="B82" i="1"/>
  <c r="BO147" i="1"/>
  <c r="BP46" i="1" s="1"/>
  <c r="BI147" i="1"/>
  <c r="BE169" i="1"/>
  <c r="BE198" i="1" s="1"/>
  <c r="BE197" i="1" s="1"/>
  <c r="BF197" i="1" s="1"/>
  <c r="BA169" i="1"/>
  <c r="BF139" i="1"/>
  <c r="BF141" i="1" s="1"/>
  <c r="BE141" i="1"/>
  <c r="BL138" i="1"/>
  <c r="BL141" i="1" s="1"/>
  <c r="BK141" i="1"/>
  <c r="BJ131" i="1"/>
  <c r="BI133" i="1"/>
  <c r="BD138" i="1"/>
  <c r="BD141" i="1" s="1"/>
  <c r="BC141" i="1"/>
  <c r="AQ161" i="1"/>
  <c r="AQ195" i="1" s="1"/>
  <c r="AR155" i="1"/>
  <c r="AX130" i="1"/>
  <c r="AW133" i="1"/>
  <c r="BP167" i="1"/>
  <c r="BO169" i="1"/>
  <c r="BO198" i="1" s="1"/>
  <c r="BO197" i="1" s="1"/>
  <c r="BP197" i="1" s="1"/>
  <c r="BW161" i="1"/>
  <c r="BW195" i="1" s="1"/>
  <c r="BW194" i="1" s="1"/>
  <c r="BX194" i="1" s="1"/>
  <c r="BE215" i="1"/>
  <c r="BF215" i="1"/>
  <c r="BT215" i="1"/>
  <c r="AW141" i="1"/>
  <c r="AX141" i="1"/>
  <c r="BS133" i="1"/>
  <c r="BG151" i="1"/>
  <c r="AQ169" i="1"/>
  <c r="AQ198" i="1" s="1"/>
  <c r="BP137" i="1"/>
  <c r="BP141" i="1" s="1"/>
  <c r="BS174" i="1"/>
  <c r="BQ133" i="1"/>
  <c r="BQ142" i="1" s="1"/>
  <c r="BS215" i="1"/>
  <c r="AO174" i="1"/>
  <c r="AQ133" i="1"/>
  <c r="AY133" i="1"/>
  <c r="AS169" i="1"/>
  <c r="AS198" i="1" s="1"/>
  <c r="AS197" i="1" s="1"/>
  <c r="AT197" i="1" s="1"/>
  <c r="BX215" i="1"/>
  <c r="AP141" i="1"/>
  <c r="BW215" i="1"/>
  <c r="AW161" i="1"/>
  <c r="BE161" i="1"/>
  <c r="BE195" i="1" s="1"/>
  <c r="BE194" i="1" s="1"/>
  <c r="BF194" i="1" s="1"/>
  <c r="BA133" i="1"/>
  <c r="BA142" i="1" s="1"/>
  <c r="AY161" i="1"/>
  <c r="AY195" i="1" s="1"/>
  <c r="AY194" i="1" s="1"/>
  <c r="AZ194" i="1" s="1"/>
  <c r="AY169" i="1"/>
  <c r="AY198" i="1" s="1"/>
  <c r="AY197" i="1" s="1"/>
  <c r="AZ197" i="1" s="1"/>
  <c r="BK169" i="1"/>
  <c r="BK198" i="1" s="1"/>
  <c r="BK197" i="1" s="1"/>
  <c r="BL197" i="1" s="1"/>
  <c r="AO133" i="1"/>
  <c r="BW169" i="1"/>
  <c r="BW198" i="1" s="1"/>
  <c r="BR137" i="1"/>
  <c r="BR141" i="1" s="1"/>
  <c r="BW141" i="1"/>
  <c r="BJ141" i="1"/>
  <c r="BQ161" i="1"/>
  <c r="BQ195" i="1" s="1"/>
  <c r="AW169" i="1"/>
  <c r="AW198" i="1" s="1"/>
  <c r="AW197" i="1" s="1"/>
  <c r="AX197" i="1" s="1"/>
  <c r="BO161" i="1"/>
  <c r="BX162" i="1"/>
  <c r="BT141" i="1"/>
  <c r="BI141" i="1"/>
  <c r="BG169" i="1"/>
  <c r="BG198" i="1" s="1"/>
  <c r="BG197" i="1" s="1"/>
  <c r="BH197" i="1" s="1"/>
  <c r="BF162" i="1"/>
  <c r="BS161" i="1"/>
  <c r="BS195" i="1" s="1"/>
  <c r="BS194" i="1" s="1"/>
  <c r="BT194" i="1" s="1"/>
  <c r="BM161" i="1"/>
  <c r="BM195" i="1" s="1"/>
  <c r="BM194" i="1" s="1"/>
  <c r="BN194" i="1" s="1"/>
  <c r="AO161" i="1"/>
  <c r="AO195" i="1" s="1"/>
  <c r="AS161" i="1"/>
  <c r="N179" i="1"/>
  <c r="BA196" i="1"/>
  <c r="BX141" i="1"/>
  <c r="BY219" i="1" s="1"/>
  <c r="AY141" i="1"/>
  <c r="AU141" i="1"/>
  <c r="AU262" i="1" s="1"/>
  <c r="AZ141" i="1"/>
  <c r="BU29" i="1"/>
  <c r="AV141" i="1"/>
  <c r="BS169" i="1"/>
  <c r="BS198" i="1" s="1"/>
  <c r="BS197" i="1" s="1"/>
  <c r="BT197" i="1" s="1"/>
  <c r="BU141" i="1"/>
  <c r="BK161" i="1"/>
  <c r="BC161" i="1"/>
  <c r="BC195" i="1" s="1"/>
  <c r="AO169" i="1"/>
  <c r="AO198" i="1" s="1"/>
  <c r="AO197" i="1" s="1"/>
  <c r="AP197" i="1" s="1"/>
  <c r="BW133" i="1"/>
  <c r="BU40" i="1"/>
  <c r="BI169" i="1"/>
  <c r="BI198" i="1" s="1"/>
  <c r="BC133" i="1"/>
  <c r="BS141" i="1"/>
  <c r="BX133" i="1"/>
  <c r="BY220" i="1" s="1"/>
  <c r="AU169" i="1"/>
  <c r="AU198" i="1" s="1"/>
  <c r="AU197" i="1" s="1"/>
  <c r="AV197" i="1" s="1"/>
  <c r="G216" i="1"/>
  <c r="G214" i="1" s="1"/>
  <c r="F257" i="1"/>
  <c r="AX215" i="1"/>
  <c r="BM238" i="1"/>
  <c r="N218" i="1"/>
  <c r="M218" i="1"/>
  <c r="BV147" i="1"/>
  <c r="BV151" i="1" s="1"/>
  <c r="BU151" i="1"/>
  <c r="BN164" i="1"/>
  <c r="BM169" i="1"/>
  <c r="BM198" i="1" s="1"/>
  <c r="BD147" i="1"/>
  <c r="BD151" i="1" s="1"/>
  <c r="BC151" i="1"/>
  <c r="H211" i="1"/>
  <c r="H212" i="1" s="1"/>
  <c r="E216" i="1"/>
  <c r="E214" i="1" s="1"/>
  <c r="M178" i="1"/>
  <c r="M179" i="1" s="1"/>
  <c r="BM40" i="1"/>
  <c r="V178" i="1"/>
  <c r="V179" i="1" s="1"/>
  <c r="U178" i="1"/>
  <c r="U179" i="1" s="1"/>
  <c r="N216" i="1"/>
  <c r="N214" i="1" s="1"/>
  <c r="M259" i="1"/>
  <c r="M257" i="1"/>
  <c r="U257" i="1"/>
  <c r="U259" i="1"/>
  <c r="V216" i="1"/>
  <c r="V214" i="1" s="1"/>
  <c r="U216" i="1"/>
  <c r="U214" i="1" s="1"/>
  <c r="V257" i="1"/>
  <c r="V259" i="1"/>
  <c r="L259" i="1"/>
  <c r="M216" i="1"/>
  <c r="M214" i="1" s="1"/>
  <c r="AJ25" i="1"/>
  <c r="AI29" i="1"/>
  <c r="BE41" i="1"/>
  <c r="CJ99" i="1"/>
  <c r="AW40" i="1"/>
  <c r="AQ196" i="1"/>
  <c r="CJ98" i="1"/>
  <c r="BH147" i="1"/>
  <c r="AS41" i="1"/>
  <c r="Z223" i="1"/>
  <c r="Z224" i="1" s="1"/>
  <c r="D178" i="1"/>
  <c r="AT40" i="1"/>
  <c r="BM29" i="1"/>
  <c r="BM31" i="1" s="1"/>
  <c r="Y223" i="1"/>
  <c r="Y224" i="1" s="1"/>
  <c r="Q218" i="1"/>
  <c r="E257" i="1"/>
  <c r="BL215" i="1"/>
  <c r="CH82" i="1"/>
  <c r="CG82" i="1"/>
  <c r="BQ169" i="1"/>
  <c r="BQ198" i="1" s="1"/>
  <c r="BQ197" i="1" s="1"/>
  <c r="BR197" i="1" s="1"/>
  <c r="L257" i="1"/>
  <c r="W216" i="1"/>
  <c r="W214" i="1" s="1"/>
  <c r="L178" i="1"/>
  <c r="L179" i="1" s="1"/>
  <c r="BJ30" i="1"/>
  <c r="L216" i="1"/>
  <c r="L214" i="1" s="1"/>
  <c r="CG220" i="1"/>
  <c r="CG218" i="1" s="1"/>
  <c r="CF105" i="1"/>
  <c r="CF220" i="1"/>
  <c r="CF218" i="1" s="1"/>
  <c r="CF142" i="1"/>
  <c r="CF68" i="1" s="1"/>
  <c r="CF67" i="1"/>
  <c r="CA76" i="1"/>
  <c r="CB78" i="1"/>
  <c r="CB105" i="1" s="1"/>
  <c r="CR137" i="1"/>
  <c r="CQ141" i="1"/>
  <c r="CR196" i="1"/>
  <c r="CQ198" i="1"/>
  <c r="CD107" i="1"/>
  <c r="CD109" i="1"/>
  <c r="CD108" i="1"/>
  <c r="CC120" i="1"/>
  <c r="CC112" i="1"/>
  <c r="CC105" i="1"/>
  <c r="CC121" i="1"/>
  <c r="CC79" i="1"/>
  <c r="CF82" i="1" s="1"/>
  <c r="CB142" i="1"/>
  <c r="CB68" i="1" s="1"/>
  <c r="CB67" i="1"/>
  <c r="CB220" i="1"/>
  <c r="CB218" i="1" s="1"/>
  <c r="CC220" i="1"/>
  <c r="CC218" i="1" s="1"/>
  <c r="CR192" i="1"/>
  <c r="CH109" i="1"/>
  <c r="CH108" i="1"/>
  <c r="CH107" i="1"/>
  <c r="CI99" i="1"/>
  <c r="CI98" i="1"/>
  <c r="CI100" i="1"/>
  <c r="CS153" i="1"/>
  <c r="BZ142" i="1"/>
  <c r="BZ220" i="1"/>
  <c r="BZ218" i="1" s="1"/>
  <c r="CA220" i="1"/>
  <c r="CA218" i="1" s="1"/>
  <c r="CS76" i="1"/>
  <c r="CR78" i="1"/>
  <c r="CD115" i="1"/>
  <c r="CD117" i="1"/>
  <c r="CD116" i="1"/>
  <c r="CJ109" i="1"/>
  <c r="CJ108" i="1"/>
  <c r="CJ107" i="1"/>
  <c r="CP219" i="1"/>
  <c r="CP262" i="1"/>
  <c r="CP194" i="1"/>
  <c r="CO195" i="1"/>
  <c r="CO199" i="1" s="1"/>
  <c r="CH224" i="1"/>
  <c r="CI222" i="1"/>
  <c r="CH178" i="1"/>
  <c r="CH179" i="1" s="1"/>
  <c r="CH261" i="1"/>
  <c r="CH257" i="1"/>
  <c r="CH259" i="1"/>
  <c r="CH181" i="1"/>
  <c r="BN151" i="1"/>
  <c r="BO46" i="1"/>
  <c r="BU201" i="1"/>
  <c r="R71" i="1"/>
  <c r="BN46" i="1"/>
  <c r="AT32" i="1"/>
  <c r="BU24" i="1"/>
  <c r="BM151" i="1"/>
  <c r="AM24" i="1"/>
  <c r="BF151" i="1"/>
  <c r="BG195" i="1"/>
  <c r="AW31" i="1"/>
  <c r="F216" i="1"/>
  <c r="F214" i="1" s="1"/>
  <c r="R257" i="1"/>
  <c r="N71" i="1"/>
  <c r="S71" i="1"/>
  <c r="BJ24" i="1"/>
  <c r="T71" i="1"/>
  <c r="W71" i="1"/>
  <c r="BD24" i="1"/>
  <c r="BO142" i="1"/>
  <c r="AX147" i="1"/>
  <c r="AW151" i="1"/>
  <c r="AT147" i="1"/>
  <c r="AT151" i="1" s="1"/>
  <c r="AS151" i="1"/>
  <c r="B178" i="1"/>
  <c r="AP29" i="1"/>
  <c r="AP31" i="1" s="1"/>
  <c r="V71" i="1"/>
  <c r="BV25" i="1"/>
  <c r="X71" i="1"/>
  <c r="R178" i="1"/>
  <c r="R179" i="1" s="1"/>
  <c r="BD40" i="1"/>
  <c r="BV158" i="1"/>
  <c r="BE151" i="1"/>
  <c r="BM181" i="1"/>
  <c r="BR147" i="1"/>
  <c r="BQ151" i="1"/>
  <c r="U71" i="1"/>
  <c r="AS142" i="1"/>
  <c r="BB147" i="1"/>
  <c r="BA151" i="1"/>
  <c r="BA181" i="1"/>
  <c r="BL147" i="1"/>
  <c r="BK151" i="1"/>
  <c r="BL46" i="1"/>
  <c r="BN196" i="1"/>
  <c r="AI199" i="1"/>
  <c r="AI194" i="1"/>
  <c r="AJ194" i="1" s="1"/>
  <c r="BF193" i="1"/>
  <c r="BF158" i="1" s="1"/>
  <c r="BT196" i="1"/>
  <c r="AX196" i="1"/>
  <c r="AX166" i="1" s="1"/>
  <c r="AX169" i="1" s="1"/>
  <c r="BR196" i="1"/>
  <c r="AV193" i="1"/>
  <c r="AV158" i="1" s="1"/>
  <c r="AT192" i="1"/>
  <c r="AZ192" i="1"/>
  <c r="BN192" i="1"/>
  <c r="BN157" i="1" s="1"/>
  <c r="BL196" i="1"/>
  <c r="AI197" i="1"/>
  <c r="AJ197" i="1" s="1"/>
  <c r="BB192" i="1"/>
  <c r="BJ193" i="1"/>
  <c r="BJ158" i="1" s="1"/>
  <c r="BF192" i="1"/>
  <c r="BF157" i="1" s="1"/>
  <c r="BT192" i="1"/>
  <c r="AP193" i="1"/>
  <c r="AP158" i="1" s="1"/>
  <c r="BX193" i="1"/>
  <c r="BX158" i="1" s="1"/>
  <c r="BR193" i="1"/>
  <c r="BR158" i="1" s="1"/>
  <c r="AT193" i="1"/>
  <c r="AT158" i="1" s="1"/>
  <c r="BD196" i="1"/>
  <c r="BP193" i="1"/>
  <c r="BP158" i="1" s="1"/>
  <c r="BH196" i="1"/>
  <c r="AJ192" i="1"/>
  <c r="BP192" i="1"/>
  <c r="AY40" i="1"/>
  <c r="BV192" i="1"/>
  <c r="AZ196" i="1"/>
  <c r="BL193" i="1"/>
  <c r="BL158" i="1" s="1"/>
  <c r="AJ196" i="1"/>
  <c r="BJ192" i="1"/>
  <c r="AR192" i="1"/>
  <c r="AR157" i="1" s="1"/>
  <c r="BT193" i="1"/>
  <c r="BT158" i="1" s="1"/>
  <c r="AX192" i="1"/>
  <c r="AX157" i="1" s="1"/>
  <c r="AP196" i="1"/>
  <c r="BX196" i="1"/>
  <c r="BX166" i="1" s="1"/>
  <c r="BR192" i="1"/>
  <c r="BD193" i="1"/>
  <c r="BD158" i="1" s="1"/>
  <c r="BH192" i="1"/>
  <c r="BH157" i="1" s="1"/>
  <c r="AP192" i="1"/>
  <c r="R218" i="1"/>
  <c r="AN158" i="1"/>
  <c r="AN166" i="1"/>
  <c r="AN169" i="1" s="1"/>
  <c r="AN157" i="1"/>
  <c r="AZ193" i="1"/>
  <c r="AZ158" i="1" s="1"/>
  <c r="BN193" i="1"/>
  <c r="BN158" i="1" s="1"/>
  <c r="BL192" i="1"/>
  <c r="BL157" i="1" s="1"/>
  <c r="AJ193" i="1"/>
  <c r="AJ158" i="1" s="1"/>
  <c r="BB193" i="1"/>
  <c r="BB158" i="1" s="1"/>
  <c r="BJ196" i="1"/>
  <c r="AR193" i="1"/>
  <c r="AR158" i="1" s="1"/>
  <c r="BF196" i="1"/>
  <c r="AX193" i="1"/>
  <c r="AX158" i="1" s="1"/>
  <c r="BX192" i="1"/>
  <c r="BX157" i="1" s="1"/>
  <c r="AV196" i="1"/>
  <c r="AT196" i="1"/>
  <c r="BD192" i="1"/>
  <c r="BD157" i="1" s="1"/>
  <c r="BP196" i="1"/>
  <c r="BH193" i="1"/>
  <c r="BH158" i="1" s="1"/>
  <c r="AZ25" i="1"/>
  <c r="BA31" i="1"/>
  <c r="P218" i="1"/>
  <c r="L211" i="1"/>
  <c r="L212" i="1" s="1"/>
  <c r="G211" i="1"/>
  <c r="G212" i="1" s="1"/>
  <c r="BD201" i="1"/>
  <c r="AZ29" i="1"/>
  <c r="AZ41" i="1" s="1"/>
  <c r="B124" i="1"/>
  <c r="B127" i="1" s="1"/>
  <c r="AU40" i="1"/>
  <c r="BQ30" i="1"/>
  <c r="BQ24" i="1"/>
  <c r="BQ40" i="1"/>
  <c r="BH40" i="1"/>
  <c r="U211" i="1"/>
  <c r="U212" i="1" s="1"/>
  <c r="BA41" i="1"/>
  <c r="BA42" i="1" s="1"/>
  <c r="BO24" i="1"/>
  <c r="BC40" i="1"/>
  <c r="BC24" i="1"/>
  <c r="P179" i="1"/>
  <c r="D218" i="1"/>
  <c r="O218" i="1"/>
  <c r="AI40" i="1"/>
  <c r="AT262" i="1"/>
  <c r="D124" i="1"/>
  <c r="D127" i="1" s="1"/>
  <c r="D123" i="1"/>
  <c r="D126" i="1" s="1"/>
  <c r="F218" i="1"/>
  <c r="G218" i="1"/>
  <c r="J211" i="1"/>
  <c r="J212" i="1" s="1"/>
  <c r="J226" i="1" s="1"/>
  <c r="J218" i="1"/>
  <c r="K211" i="1"/>
  <c r="K212" i="1" s="1"/>
  <c r="J179" i="1"/>
  <c r="K218" i="1"/>
  <c r="O211" i="1"/>
  <c r="O212" i="1" s="1"/>
  <c r="O226" i="1" s="1"/>
  <c r="S211" i="1"/>
  <c r="S212" i="1" s="1"/>
  <c r="V202" i="1"/>
  <c r="V203" i="1" s="1"/>
  <c r="V194" i="1"/>
  <c r="BB262" i="1"/>
  <c r="BS201" i="1"/>
  <c r="V218" i="1"/>
  <c r="AT24" i="1"/>
  <c r="BC29" i="1"/>
  <c r="BC31" i="1" s="1"/>
  <c r="AQ25" i="1"/>
  <c r="BF46" i="1"/>
  <c r="BS238" i="1"/>
  <c r="AL238" i="1"/>
  <c r="BL25" i="1"/>
  <c r="AM220" i="1"/>
  <c r="AM218" i="1" s="1"/>
  <c r="AT219" i="1"/>
  <c r="BV46" i="1"/>
  <c r="BU238" i="1"/>
  <c r="BX201" i="1"/>
  <c r="E218" i="1"/>
  <c r="K178" i="1"/>
  <c r="K179" i="1" s="1"/>
  <c r="AW41" i="1"/>
  <c r="BE40" i="1"/>
  <c r="AT201" i="1"/>
  <c r="I218" i="1"/>
  <c r="AQ201" i="1"/>
  <c r="AT30" i="1"/>
  <c r="AP238" i="1"/>
  <c r="U218" i="1"/>
  <c r="AO46" i="1"/>
  <c r="BQ41" i="1"/>
  <c r="BQ47" i="1" s="1"/>
  <c r="E178" i="1"/>
  <c r="E179" i="1" s="1"/>
  <c r="U202" i="1"/>
  <c r="U203" i="1" s="1"/>
  <c r="AP40" i="1"/>
  <c r="BS25" i="1"/>
  <c r="BO41" i="1"/>
  <c r="BO245" i="1" s="1"/>
  <c r="BO246" i="1" s="1"/>
  <c r="H218" i="1"/>
  <c r="BE30" i="1"/>
  <c r="BR238" i="1"/>
  <c r="AM65" i="1"/>
  <c r="BO40" i="1"/>
  <c r="BV24" i="1"/>
  <c r="BE31" i="1"/>
  <c r="AT41" i="1"/>
  <c r="F211" i="1"/>
  <c r="F212" i="1" s="1"/>
  <c r="AY24" i="1"/>
  <c r="BL238" i="1"/>
  <c r="BE201" i="1"/>
  <c r="BJ201" i="1"/>
  <c r="C82" i="1"/>
  <c r="C100" i="1" s="1"/>
  <c r="AU25" i="1"/>
  <c r="D211" i="1"/>
  <c r="D212" i="1" s="1"/>
  <c r="D226" i="1" s="1"/>
  <c r="C218" i="1"/>
  <c r="C124" i="1"/>
  <c r="C127" i="1" s="1"/>
  <c r="BK40" i="1"/>
  <c r="BK25" i="1"/>
  <c r="BT25" i="1"/>
  <c r="AS238" i="1"/>
  <c r="BI201" i="1"/>
  <c r="BP201" i="1"/>
  <c r="BW24" i="1"/>
  <c r="BS40" i="1"/>
  <c r="AU29" i="1"/>
  <c r="AU32" i="1" s="1"/>
  <c r="BK29" i="1"/>
  <c r="BK30" i="1" s="1"/>
  <c r="BI24" i="1"/>
  <c r="BP25" i="1"/>
  <c r="R199" i="1"/>
  <c r="S202" i="1" s="1"/>
  <c r="S203" i="1" s="1"/>
  <c r="BE24" i="1"/>
  <c r="E211" i="1"/>
  <c r="E212" i="1" s="1"/>
  <c r="BE25" i="1"/>
  <c r="BK238" i="1"/>
  <c r="BM24" i="1"/>
  <c r="BF25" i="1"/>
  <c r="AW238" i="1"/>
  <c r="BT238" i="1"/>
  <c r="BA40" i="1"/>
  <c r="BA25" i="1"/>
  <c r="BG238" i="1"/>
  <c r="BR40" i="1"/>
  <c r="AZ40" i="1"/>
  <c r="BA24" i="1"/>
  <c r="BD30" i="1"/>
  <c r="BK24" i="1"/>
  <c r="BH24" i="1"/>
  <c r="E259" i="1"/>
  <c r="BF29" i="1"/>
  <c r="AU238" i="1"/>
  <c r="BQ201" i="1"/>
  <c r="BD46" i="1"/>
  <c r="AY201" i="1"/>
  <c r="BV40" i="1"/>
  <c r="AW24" i="1"/>
  <c r="BV29" i="1"/>
  <c r="BD41" i="1"/>
  <c r="BL201" i="1"/>
  <c r="BH201" i="1"/>
  <c r="BQ25" i="1"/>
  <c r="AT25" i="1"/>
  <c r="BV201" i="1"/>
  <c r="AS25" i="1"/>
  <c r="BF40" i="1"/>
  <c r="BR29" i="1"/>
  <c r="BG215" i="1"/>
  <c r="AX238" i="1"/>
  <c r="BF238" i="1"/>
  <c r="AT46" i="1"/>
  <c r="AV201" i="1"/>
  <c r="BF201" i="1"/>
  <c r="V211" i="1"/>
  <c r="V212" i="1" s="1"/>
  <c r="BS24" i="1"/>
  <c r="BR25" i="1"/>
  <c r="BT201" i="1"/>
  <c r="AY25" i="1"/>
  <c r="BI238" i="1"/>
  <c r="BG25" i="1"/>
  <c r="T218" i="1"/>
  <c r="BP40" i="1"/>
  <c r="AR40" i="1"/>
  <c r="I199" i="1"/>
  <c r="R211" i="1"/>
  <c r="R212" i="1" s="1"/>
  <c r="BZ24" i="1"/>
  <c r="BZ201" i="1"/>
  <c r="S216" i="1"/>
  <c r="S214" i="1" s="1"/>
  <c r="S257" i="1"/>
  <c r="I211" i="1"/>
  <c r="I212" i="1" s="1"/>
  <c r="N211" i="1"/>
  <c r="N212" i="1" s="1"/>
  <c r="P211" i="1"/>
  <c r="P212" i="1" s="1"/>
  <c r="P226" i="1" s="1"/>
  <c r="BK201" i="1"/>
  <c r="BH238" i="1"/>
  <c r="AR238" i="1"/>
  <c r="AV238" i="1"/>
  <c r="AS40" i="1"/>
  <c r="AS32" i="1"/>
  <c r="AS201" i="1"/>
  <c r="AN40" i="1"/>
  <c r="T179" i="1"/>
  <c r="BP41" i="1"/>
  <c r="BP47" i="1" s="1"/>
  <c r="BP51" i="1" s="1"/>
  <c r="BP31" i="1"/>
  <c r="BP30" i="1"/>
  <c r="BQ32" i="1"/>
  <c r="BI31" i="1"/>
  <c r="BI30" i="1"/>
  <c r="BI41" i="1"/>
  <c r="BJ263" i="1" s="1"/>
  <c r="BJ32" i="1"/>
  <c r="BE32" i="1"/>
  <c r="T216" i="1"/>
  <c r="T214" i="1" s="1"/>
  <c r="BV238" i="1"/>
  <c r="AP25" i="1"/>
  <c r="K216" i="1"/>
  <c r="K214" i="1" s="1"/>
  <c r="BA238" i="1"/>
  <c r="AZ201" i="1"/>
  <c r="AU24" i="1"/>
  <c r="AY238" i="1"/>
  <c r="AU201" i="1"/>
  <c r="BP24" i="1"/>
  <c r="BJ25" i="1"/>
  <c r="BT40" i="1"/>
  <c r="BI40" i="1"/>
  <c r="AX40" i="1"/>
  <c r="BP32" i="1"/>
  <c r="S178" i="1"/>
  <c r="S179" i="1" s="1"/>
  <c r="AQ238" i="1"/>
  <c r="BM201" i="1"/>
  <c r="BB25" i="1"/>
  <c r="BB201" i="1"/>
  <c r="BD238" i="1"/>
  <c r="BB29" i="1"/>
  <c r="BN24" i="1"/>
  <c r="BN201" i="1"/>
  <c r="BN29" i="1"/>
  <c r="V72" i="1" s="1"/>
  <c r="BN25" i="1"/>
  <c r="BR24" i="1"/>
  <c r="BR201" i="1"/>
  <c r="AR41" i="1"/>
  <c r="AR42" i="1" s="1"/>
  <c r="C211" i="1"/>
  <c r="C212" i="1" s="1"/>
  <c r="BE238" i="1"/>
  <c r="BQ238" i="1"/>
  <c r="BO25" i="1"/>
  <c r="AP201" i="1"/>
  <c r="T211" i="1"/>
  <c r="T212" i="1" s="1"/>
  <c r="BN262" i="1"/>
  <c r="BN219" i="1"/>
  <c r="BB40" i="1"/>
  <c r="BX24" i="1"/>
  <c r="BU25" i="1"/>
  <c r="BT29" i="1"/>
  <c r="BT32" i="1" s="1"/>
  <c r="BY201" i="1"/>
  <c r="BW238" i="1"/>
  <c r="AX201" i="1"/>
  <c r="AX25" i="1"/>
  <c r="AX29" i="1"/>
  <c r="BB24" i="1"/>
  <c r="AZ238" i="1"/>
  <c r="BB219" i="1"/>
  <c r="AT238" i="1"/>
  <c r="AQ29" i="1"/>
  <c r="AQ24" i="1"/>
  <c r="AR25" i="1"/>
  <c r="AX24" i="1"/>
  <c r="AR201" i="1"/>
  <c r="AP215" i="1"/>
  <c r="AO215" i="1"/>
  <c r="BC25" i="1"/>
  <c r="BP238" i="1"/>
  <c r="M211" i="1"/>
  <c r="M212" i="1" s="1"/>
  <c r="BC238" i="1"/>
  <c r="BO238" i="1"/>
  <c r="BO219" i="1"/>
  <c r="BO262" i="1"/>
  <c r="AO24" i="1"/>
  <c r="AS24" i="1"/>
  <c r="AO201" i="1"/>
  <c r="AO29" i="1"/>
  <c r="AO40" i="1"/>
  <c r="CA201" i="1"/>
  <c r="CB201" i="1"/>
  <c r="BW29" i="1"/>
  <c r="BW31" i="1" s="1"/>
  <c r="CA24" i="1"/>
  <c r="BW25" i="1"/>
  <c r="BY238" i="1"/>
  <c r="BZ238" i="1"/>
  <c r="BX25" i="1"/>
  <c r="BX238" i="1"/>
  <c r="AV40" i="1"/>
  <c r="AW201" i="1"/>
  <c r="AV29" i="1"/>
  <c r="AW25" i="1"/>
  <c r="BA201" i="1"/>
  <c r="AZ24" i="1"/>
  <c r="AN24" i="1"/>
  <c r="AO238" i="1"/>
  <c r="AN29" i="1"/>
  <c r="AN25" i="1"/>
  <c r="AN238" i="1"/>
  <c r="AO25" i="1"/>
  <c r="AR24" i="1"/>
  <c r="BH29" i="1"/>
  <c r="BL24" i="1"/>
  <c r="BI25" i="1"/>
  <c r="BT24" i="1"/>
  <c r="AV25" i="1"/>
  <c r="BN40" i="1"/>
  <c r="BC201" i="1"/>
  <c r="BB238" i="1"/>
  <c r="BO201" i="1"/>
  <c r="BN238" i="1"/>
  <c r="BG201" i="1"/>
  <c r="BG40" i="1"/>
  <c r="BJ238" i="1"/>
  <c r="BH25" i="1"/>
  <c r="BG29" i="1"/>
  <c r="BW201" i="1"/>
  <c r="BF24" i="1"/>
  <c r="BW40" i="1"/>
  <c r="BO215" i="1"/>
  <c r="BP215" i="1"/>
  <c r="BD25" i="1"/>
  <c r="BG24" i="1"/>
  <c r="AN201" i="1"/>
  <c r="AV24" i="1"/>
  <c r="AQ40" i="1"/>
  <c r="G257" i="1"/>
  <c r="G259" i="1"/>
  <c r="G178" i="1"/>
  <c r="G179" i="1" s="1"/>
  <c r="Q211" i="1"/>
  <c r="Q212" i="1" s="1"/>
  <c r="S218" i="1"/>
  <c r="J199" i="1"/>
  <c r="H199" i="1"/>
  <c r="BS31" i="1"/>
  <c r="BO30" i="1"/>
  <c r="Q178" i="1"/>
  <c r="Q179" i="1" s="1"/>
  <c r="K257" i="1"/>
  <c r="K259" i="1"/>
  <c r="Q202" i="1"/>
  <c r="Q203" i="1" s="1"/>
  <c r="N202" i="1"/>
  <c r="N203" i="1" s="1"/>
  <c r="L218" i="1"/>
  <c r="K68" i="1"/>
  <c r="H216" i="1"/>
  <c r="H214" i="1" s="1"/>
  <c r="H259" i="1"/>
  <c r="H257" i="1"/>
  <c r="R216" i="1"/>
  <c r="R214" i="1" s="1"/>
  <c r="B194" i="1"/>
  <c r="B199" i="1"/>
  <c r="C202" i="1" s="1"/>
  <c r="C203" i="1" s="1"/>
  <c r="BH46" i="1"/>
  <c r="C102" i="1"/>
  <c r="D100" i="1"/>
  <c r="D99" i="1"/>
  <c r="D98" i="1"/>
  <c r="V68" i="1"/>
  <c r="BJ42" i="1"/>
  <c r="BJ47" i="1"/>
  <c r="BJ51" i="1" s="1"/>
  <c r="BJ245" i="1"/>
  <c r="BJ246" i="1" s="1"/>
  <c r="AY30" i="1"/>
  <c r="AY41" i="1"/>
  <c r="T202" i="1"/>
  <c r="T203" i="1" s="1"/>
  <c r="BS41" i="1"/>
  <c r="BS30" i="1"/>
  <c r="H178" i="1"/>
  <c r="H179" i="1" s="1"/>
  <c r="Q259" i="1"/>
  <c r="Q257" i="1"/>
  <c r="K197" i="1"/>
  <c r="K199" i="1"/>
  <c r="L202" i="1" s="1"/>
  <c r="L203" i="1" s="1"/>
  <c r="F197" i="1"/>
  <c r="F199" i="1"/>
  <c r="Q216" i="1"/>
  <c r="Q214" i="1" s="1"/>
  <c r="C257" i="1"/>
  <c r="C179" i="1"/>
  <c r="P202" i="1"/>
  <c r="P203" i="1" s="1"/>
  <c r="O202" i="1"/>
  <c r="O203" i="1" s="1"/>
  <c r="D202" i="1"/>
  <c r="D203" i="1" s="1"/>
  <c r="E202" i="1"/>
  <c r="E203" i="1" s="1"/>
  <c r="M202" i="1"/>
  <c r="M203" i="1" s="1"/>
  <c r="O179" i="1"/>
  <c r="I179" i="1"/>
  <c r="F179" i="1"/>
  <c r="AB141" i="1"/>
  <c r="AB262" i="1" s="1"/>
  <c r="BO181" i="1" l="1"/>
  <c r="BX151" i="1"/>
  <c r="BY216" i="1" s="1"/>
  <c r="BY214" i="1" s="1"/>
  <c r="BY46" i="1"/>
  <c r="BM142" i="1"/>
  <c r="AS181" i="1"/>
  <c r="AU194" i="1"/>
  <c r="AV194" i="1" s="1"/>
  <c r="AR262" i="1"/>
  <c r="AO219" i="1"/>
  <c r="AS262" i="1"/>
  <c r="AS219" i="1"/>
  <c r="AZ46" i="1"/>
  <c r="BU199" i="1"/>
  <c r="CU40" i="1"/>
  <c r="BW151" i="1"/>
  <c r="AW262" i="1"/>
  <c r="BC199" i="1"/>
  <c r="AU151" i="1"/>
  <c r="AV147" i="1"/>
  <c r="AR147" i="1"/>
  <c r="AR151" i="1" s="1"/>
  <c r="AS216" i="1" s="1"/>
  <c r="AS214" i="1" s="1"/>
  <c r="AY151" i="1"/>
  <c r="BU197" i="1"/>
  <c r="BV197" i="1" s="1"/>
  <c r="BV198" i="1" s="1"/>
  <c r="AT215" i="1"/>
  <c r="BS151" i="1"/>
  <c r="AR219" i="1"/>
  <c r="BT147" i="1"/>
  <c r="BT151" i="1" s="1"/>
  <c r="BU216" i="1" s="1"/>
  <c r="BU214" i="1" s="1"/>
  <c r="BQ181" i="1"/>
  <c r="AQ142" i="1"/>
  <c r="BI199" i="1"/>
  <c r="BG181" i="1"/>
  <c r="AS170" i="1"/>
  <c r="AS178" i="1" s="1"/>
  <c r="AS179" i="1" s="1"/>
  <c r="AO142" i="1"/>
  <c r="BI219" i="1"/>
  <c r="AO181" i="1"/>
  <c r="BU170" i="1"/>
  <c r="BU178" i="1" s="1"/>
  <c r="BT219" i="1"/>
  <c r="BU219" i="1"/>
  <c r="V226" i="1"/>
  <c r="B98" i="1"/>
  <c r="B99" i="1"/>
  <c r="B100" i="1"/>
  <c r="BC262" i="1"/>
  <c r="BC219" i="1"/>
  <c r="AP147" i="1"/>
  <c r="AO151" i="1"/>
  <c r="AP46" i="1"/>
  <c r="BI151" i="1"/>
  <c r="BJ147" i="1"/>
  <c r="BH262" i="1"/>
  <c r="BH219" i="1"/>
  <c r="BE181" i="1"/>
  <c r="BE262" i="1"/>
  <c r="BE142" i="1"/>
  <c r="BE219" i="1"/>
  <c r="BD262" i="1"/>
  <c r="BD219" i="1"/>
  <c r="AX219" i="1"/>
  <c r="AX262" i="1"/>
  <c r="BP219" i="1"/>
  <c r="BP262" i="1"/>
  <c r="BG219" i="1"/>
  <c r="BF219" i="1"/>
  <c r="BG262" i="1"/>
  <c r="BF262" i="1"/>
  <c r="AP262" i="1"/>
  <c r="AP219" i="1"/>
  <c r="BR219" i="1"/>
  <c r="BR262" i="1"/>
  <c r="BU41" i="1"/>
  <c r="BU31" i="1"/>
  <c r="BS181" i="1"/>
  <c r="AW170" i="1"/>
  <c r="AW178" i="1" s="1"/>
  <c r="AO199" i="1"/>
  <c r="BG199" i="1"/>
  <c r="BP147" i="1"/>
  <c r="BO151" i="1"/>
  <c r="BO216" i="1" s="1"/>
  <c r="BO214" i="1" s="1"/>
  <c r="BA198" i="1"/>
  <c r="BA199" i="1" s="1"/>
  <c r="BA170" i="1"/>
  <c r="BA178" i="1" s="1"/>
  <c r="BA179" i="1" s="1"/>
  <c r="BM262" i="1"/>
  <c r="BL262" i="1"/>
  <c r="BL219" i="1"/>
  <c r="BM219" i="1"/>
  <c r="BL142" i="1"/>
  <c r="BK142" i="1"/>
  <c r="BK181" i="1"/>
  <c r="BC181" i="1"/>
  <c r="BC142" i="1"/>
  <c r="AW142" i="1"/>
  <c r="AW181" i="1"/>
  <c r="BW199" i="1"/>
  <c r="BW197" i="1"/>
  <c r="BX197" i="1" s="1"/>
  <c r="BX198" i="1" s="1"/>
  <c r="BW219" i="1"/>
  <c r="BW181" i="1"/>
  <c r="BK262" i="1"/>
  <c r="BJ262" i="1"/>
  <c r="BJ264" i="1" s="1"/>
  <c r="BO195" i="1"/>
  <c r="BO170" i="1"/>
  <c r="BI142" i="1"/>
  <c r="BI181" i="1"/>
  <c r="BB196" i="1"/>
  <c r="AU219" i="1"/>
  <c r="AU181" i="1"/>
  <c r="AU142" i="1"/>
  <c r="BA219" i="1"/>
  <c r="BA262" i="1"/>
  <c r="BS219" i="1"/>
  <c r="BS142" i="1"/>
  <c r="BS262" i="1"/>
  <c r="AU170" i="1"/>
  <c r="BW262" i="1"/>
  <c r="AV262" i="1"/>
  <c r="AQ262" i="1"/>
  <c r="BW170" i="1"/>
  <c r="AQ219" i="1"/>
  <c r="AY219" i="1"/>
  <c r="AQ170" i="1"/>
  <c r="AQ178" i="1" s="1"/>
  <c r="AW219" i="1"/>
  <c r="AV219" i="1"/>
  <c r="BW142" i="1"/>
  <c r="AW195" i="1"/>
  <c r="AW199" i="1" s="1"/>
  <c r="AQ197" i="1"/>
  <c r="AR197" i="1" s="1"/>
  <c r="AS195" i="1"/>
  <c r="BQ219" i="1"/>
  <c r="AQ199" i="1"/>
  <c r="BQ262" i="1"/>
  <c r="BC194" i="1"/>
  <c r="BD194" i="1" s="1"/>
  <c r="BD195" i="1" s="1"/>
  <c r="BC170" i="1"/>
  <c r="BC178" i="1" s="1"/>
  <c r="BT262" i="1"/>
  <c r="AO194" i="1"/>
  <c r="AP194" i="1" s="1"/>
  <c r="AP195" i="1" s="1"/>
  <c r="BK219" i="1"/>
  <c r="BI170" i="1"/>
  <c r="AY199" i="1"/>
  <c r="BU262" i="1"/>
  <c r="BX262" i="1"/>
  <c r="BE199" i="1"/>
  <c r="AY170" i="1"/>
  <c r="AY262" i="1"/>
  <c r="AY142" i="1"/>
  <c r="AZ219" i="1"/>
  <c r="BX219" i="1"/>
  <c r="BW46" i="1"/>
  <c r="BX169" i="1"/>
  <c r="AZ262" i="1"/>
  <c r="AR196" i="1"/>
  <c r="AR166" i="1" s="1"/>
  <c r="AR169" i="1" s="1"/>
  <c r="BE170" i="1"/>
  <c r="BE178" i="1" s="1"/>
  <c r="BY262" i="1"/>
  <c r="BY264" i="1" s="1"/>
  <c r="BK170" i="1"/>
  <c r="BK178" i="1" s="1"/>
  <c r="BJ219" i="1"/>
  <c r="BS199" i="1"/>
  <c r="BM199" i="1"/>
  <c r="BE46" i="1"/>
  <c r="BS170" i="1"/>
  <c r="AU199" i="1"/>
  <c r="BK195" i="1"/>
  <c r="BK199" i="1" s="1"/>
  <c r="BY31" i="1"/>
  <c r="N223" i="1"/>
  <c r="N224" i="1" s="1"/>
  <c r="BI262" i="1"/>
  <c r="AY181" i="1"/>
  <c r="BU30" i="1"/>
  <c r="G226" i="1"/>
  <c r="BM197" i="1"/>
  <c r="BN197" i="1" s="1"/>
  <c r="BN198" i="1" s="1"/>
  <c r="BU142" i="1"/>
  <c r="BV219" i="1"/>
  <c r="BV262" i="1"/>
  <c r="BU181" i="1"/>
  <c r="BI197" i="1"/>
  <c r="BJ197" i="1" s="1"/>
  <c r="BJ198" i="1" s="1"/>
  <c r="BX142" i="1"/>
  <c r="BG170" i="1"/>
  <c r="BG178" i="1" s="1"/>
  <c r="BG179" i="1" s="1"/>
  <c r="AO170" i="1"/>
  <c r="BN216" i="1"/>
  <c r="BN214" i="1" s="1"/>
  <c r="BM170" i="1"/>
  <c r="BM178" i="1" s="1"/>
  <c r="AP32" i="1"/>
  <c r="BN161" i="1"/>
  <c r="AR161" i="1"/>
  <c r="AT198" i="1"/>
  <c r="S72" i="1"/>
  <c r="AZ198" i="1"/>
  <c r="BH151" i="1"/>
  <c r="BH216" i="1" s="1"/>
  <c r="BH214" i="1" s="1"/>
  <c r="BI46" i="1"/>
  <c r="L226" i="1"/>
  <c r="U226" i="1"/>
  <c r="AW43" i="1"/>
  <c r="AS245" i="1"/>
  <c r="AS246" i="1" s="1"/>
  <c r="AS47" i="1"/>
  <c r="AS51" i="1" s="1"/>
  <c r="AS42" i="1"/>
  <c r="D257" i="1"/>
  <c r="D179" i="1"/>
  <c r="BQ31" i="1"/>
  <c r="BM32" i="1"/>
  <c r="BD198" i="1"/>
  <c r="AT44" i="1"/>
  <c r="E223" i="1"/>
  <c r="E224" i="1" s="1"/>
  <c r="M226" i="1"/>
  <c r="AI41" i="1"/>
  <c r="N72" i="1"/>
  <c r="AJ32" i="1"/>
  <c r="AI30" i="1"/>
  <c r="AM31" i="1"/>
  <c r="BE47" i="1"/>
  <c r="BE51" i="1" s="1"/>
  <c r="BE42" i="1"/>
  <c r="BE245" i="1"/>
  <c r="BE246" i="1" s="1"/>
  <c r="BM30" i="1"/>
  <c r="BM41" i="1"/>
  <c r="BM47" i="1" s="1"/>
  <c r="BM51" i="1" s="1"/>
  <c r="B257" i="1"/>
  <c r="B179" i="1"/>
  <c r="AT31" i="1"/>
  <c r="AP30" i="1"/>
  <c r="AP41" i="1"/>
  <c r="AP43" i="1" s="1"/>
  <c r="F226" i="1"/>
  <c r="BQ194" i="1"/>
  <c r="BR194" i="1" s="1"/>
  <c r="BR195" i="1" s="1"/>
  <c r="BQ199" i="1"/>
  <c r="BD42" i="1"/>
  <c r="BE263" i="1"/>
  <c r="R72" i="1"/>
  <c r="AP198" i="1"/>
  <c r="CH98" i="1"/>
  <c r="CH100" i="1"/>
  <c r="CH99" i="1"/>
  <c r="CG99" i="1"/>
  <c r="CG100" i="1"/>
  <c r="CG98" i="1"/>
  <c r="S226" i="1"/>
  <c r="BF198" i="1"/>
  <c r="AQ194" i="1"/>
  <c r="AR194" i="1" s="1"/>
  <c r="AR195" i="1" s="1"/>
  <c r="BQ170" i="1"/>
  <c r="BQ178" i="1" s="1"/>
  <c r="BQ179" i="1" s="1"/>
  <c r="AV198" i="1"/>
  <c r="AU46" i="1"/>
  <c r="BG194" i="1"/>
  <c r="BH194" i="1" s="1"/>
  <c r="BH195" i="1" s="1"/>
  <c r="BH198" i="1"/>
  <c r="L223" i="1"/>
  <c r="L224" i="1" s="1"/>
  <c r="AC153" i="1"/>
  <c r="CT153" i="1"/>
  <c r="CR141" i="1"/>
  <c r="CS137" i="1"/>
  <c r="CS192" i="1"/>
  <c r="CC108" i="1"/>
  <c r="CC107" i="1"/>
  <c r="CC109" i="1"/>
  <c r="CB112" i="1"/>
  <c r="CB120" i="1"/>
  <c r="CB121" i="1"/>
  <c r="CB79" i="1"/>
  <c r="CE82" i="1" s="1"/>
  <c r="CH122" i="1"/>
  <c r="CI50" i="1"/>
  <c r="CQ194" i="1"/>
  <c r="CP195" i="1"/>
  <c r="CP199" i="1" s="1"/>
  <c r="CT76" i="1"/>
  <c r="CS78" i="1"/>
  <c r="CB107" i="1"/>
  <c r="CB108" i="1"/>
  <c r="CB109" i="1"/>
  <c r="CC115" i="1"/>
  <c r="CC117" i="1"/>
  <c r="CC116" i="1"/>
  <c r="CR198" i="1"/>
  <c r="CS196" i="1"/>
  <c r="BZ76" i="1"/>
  <c r="CA78" i="1"/>
  <c r="CF108" i="1"/>
  <c r="CF107" i="1"/>
  <c r="CF109" i="1"/>
  <c r="CS215" i="1"/>
  <c r="CF100" i="1"/>
  <c r="CF99" i="1"/>
  <c r="CJ83" i="1"/>
  <c r="CF98" i="1"/>
  <c r="CQ262" i="1"/>
  <c r="CQ219" i="1"/>
  <c r="BA46" i="1"/>
  <c r="BP198" i="1"/>
  <c r="AT166" i="1"/>
  <c r="AT169" i="1" s="1"/>
  <c r="BJ166" i="1"/>
  <c r="BJ169" i="1" s="1"/>
  <c r="BR157" i="1"/>
  <c r="BR161" i="1" s="1"/>
  <c r="BL198" i="1"/>
  <c r="BL151" i="1"/>
  <c r="BM216" i="1" s="1"/>
  <c r="BM214" i="1" s="1"/>
  <c r="BM46" i="1"/>
  <c r="U72" i="1"/>
  <c r="W72" i="1"/>
  <c r="BB151" i="1"/>
  <c r="BC216" i="1" s="1"/>
  <c r="BC214" i="1" s="1"/>
  <c r="BC46" i="1"/>
  <c r="D223" i="1"/>
  <c r="D224" i="1" s="1"/>
  <c r="BY218" i="1"/>
  <c r="BR151" i="1"/>
  <c r="BS46" i="1"/>
  <c r="AY46" i="1"/>
  <c r="AX151" i="1"/>
  <c r="X72" i="1"/>
  <c r="T72" i="1"/>
  <c r="BH161" i="1"/>
  <c r="AX161" i="1"/>
  <c r="AX170" i="1" s="1"/>
  <c r="AJ195" i="1"/>
  <c r="BE44" i="1"/>
  <c r="BP166" i="1"/>
  <c r="BP169" i="1" s="1"/>
  <c r="AV166" i="1"/>
  <c r="AV169" i="1" s="1"/>
  <c r="BF166" i="1"/>
  <c r="BF169" i="1" s="1"/>
  <c r="BV166" i="1"/>
  <c r="BV169" i="1" s="1"/>
  <c r="AV195" i="1"/>
  <c r="AZ166" i="1"/>
  <c r="AZ169" i="1" s="1"/>
  <c r="AJ157" i="1"/>
  <c r="AJ161" i="1" s="1"/>
  <c r="BD166" i="1"/>
  <c r="BD169" i="1" s="1"/>
  <c r="BT195" i="1"/>
  <c r="BB195" i="1"/>
  <c r="BX161" i="1"/>
  <c r="AX198" i="1"/>
  <c r="G223" i="1"/>
  <c r="G224" i="1" s="1"/>
  <c r="AN161" i="1"/>
  <c r="AN170" i="1" s="1"/>
  <c r="AP157" i="1"/>
  <c r="AP161" i="1" s="1"/>
  <c r="AV157" i="1"/>
  <c r="AV161" i="1" s="1"/>
  <c r="AP166" i="1"/>
  <c r="AP169" i="1" s="1"/>
  <c r="BJ195" i="1"/>
  <c r="AJ198" i="1"/>
  <c r="BV195" i="1"/>
  <c r="BT157" i="1"/>
  <c r="BT161" i="1" s="1"/>
  <c r="BB157" i="1"/>
  <c r="BB161" i="1" s="1"/>
  <c r="BL166" i="1"/>
  <c r="BL169" i="1" s="1"/>
  <c r="AZ195" i="1"/>
  <c r="BR198" i="1"/>
  <c r="BT198" i="1"/>
  <c r="BF161" i="1"/>
  <c r="BD47" i="1"/>
  <c r="BD51" i="1" s="1"/>
  <c r="BD245" i="1"/>
  <c r="BD246" i="1" s="1"/>
  <c r="BD161" i="1"/>
  <c r="BX195" i="1"/>
  <c r="BL161" i="1"/>
  <c r="BJ157" i="1"/>
  <c r="BJ161" i="1" s="1"/>
  <c r="AJ166" i="1"/>
  <c r="AJ169" i="1" s="1"/>
  <c r="AJ210" i="1" s="1"/>
  <c r="BV157" i="1"/>
  <c r="BV161" i="1" s="1"/>
  <c r="BP157" i="1"/>
  <c r="BP161" i="1" s="1"/>
  <c r="BH166" i="1"/>
  <c r="BH169" i="1" s="1"/>
  <c r="BF195" i="1"/>
  <c r="BN195" i="1"/>
  <c r="AZ157" i="1"/>
  <c r="AZ161" i="1" s="1"/>
  <c r="AT157" i="1"/>
  <c r="AT161" i="1" s="1"/>
  <c r="BR166" i="1"/>
  <c r="BR169" i="1" s="1"/>
  <c r="BT166" i="1"/>
  <c r="BT169" i="1" s="1"/>
  <c r="BN166" i="1"/>
  <c r="BN169" i="1" s="1"/>
  <c r="BO42" i="1"/>
  <c r="BC32" i="1"/>
  <c r="BC30" i="1"/>
  <c r="BP44" i="1"/>
  <c r="BC41" i="1"/>
  <c r="AU41" i="1"/>
  <c r="AU44" i="1" s="1"/>
  <c r="F223" i="1"/>
  <c r="F224" i="1" s="1"/>
  <c r="I223" i="1"/>
  <c r="I224" i="1" s="1"/>
  <c r="BS43" i="1"/>
  <c r="M223" i="1"/>
  <c r="M224" i="1" s="1"/>
  <c r="BD32" i="1"/>
  <c r="BP263" i="1"/>
  <c r="O223" i="1"/>
  <c r="O224" i="1" s="1"/>
  <c r="BO47" i="1"/>
  <c r="BO51" i="1" s="1"/>
  <c r="AY31" i="1"/>
  <c r="AU30" i="1"/>
  <c r="AU31" i="1"/>
  <c r="BE216" i="1"/>
  <c r="BE214" i="1" s="1"/>
  <c r="AN216" i="1"/>
  <c r="AN214" i="1" s="1"/>
  <c r="BD31" i="1"/>
  <c r="BA245" i="1"/>
  <c r="BA246" i="1" s="1"/>
  <c r="AZ32" i="1"/>
  <c r="AM68" i="1"/>
  <c r="AZ30" i="1"/>
  <c r="BA32" i="1"/>
  <c r="I226" i="1"/>
  <c r="BE43" i="1"/>
  <c r="BA47" i="1"/>
  <c r="BA51" i="1" s="1"/>
  <c r="AT42" i="1"/>
  <c r="C223" i="1"/>
  <c r="C224" i="1" s="1"/>
  <c r="AT47" i="1"/>
  <c r="AT51" i="1" s="1"/>
  <c r="BA263" i="1"/>
  <c r="BV31" i="1"/>
  <c r="U223" i="1"/>
  <c r="U224" i="1" s="1"/>
  <c r="J223" i="1"/>
  <c r="J224" i="1" s="1"/>
  <c r="BK41" i="1"/>
  <c r="BL239" i="1" s="1"/>
  <c r="BP43" i="1"/>
  <c r="AV32" i="1"/>
  <c r="I202" i="1"/>
  <c r="I203" i="1" s="1"/>
  <c r="BQ44" i="1"/>
  <c r="BP42" i="1"/>
  <c r="AW42" i="1"/>
  <c r="BP245" i="1"/>
  <c r="BP246" i="1" s="1"/>
  <c r="J202" i="1"/>
  <c r="J203" i="1" s="1"/>
  <c r="K223" i="1"/>
  <c r="K224" i="1" s="1"/>
  <c r="S223" i="1"/>
  <c r="S224" i="1" s="1"/>
  <c r="V223" i="1"/>
  <c r="V224" i="1" s="1"/>
  <c r="BA44" i="1"/>
  <c r="BA43" i="1"/>
  <c r="BQ245" i="1"/>
  <c r="BQ246" i="1" s="1"/>
  <c r="BL32" i="1"/>
  <c r="E226" i="1"/>
  <c r="AT245" i="1"/>
  <c r="AT246" i="1" s="1"/>
  <c r="AW245" i="1"/>
  <c r="AW246" i="1" s="1"/>
  <c r="AW47" i="1"/>
  <c r="AW51" i="1" s="1"/>
  <c r="BQ42" i="1"/>
  <c r="AT263" i="1"/>
  <c r="AT264" i="1" s="1"/>
  <c r="BI42" i="1"/>
  <c r="BK32" i="1"/>
  <c r="AM67" i="1"/>
  <c r="C226" i="1"/>
  <c r="B102" i="1"/>
  <c r="BS32" i="1"/>
  <c r="BV41" i="1"/>
  <c r="BV32" i="1"/>
  <c r="BI245" i="1"/>
  <c r="BI246" i="1" s="1"/>
  <c r="BO31" i="1"/>
  <c r="P223" i="1"/>
  <c r="P224" i="1" s="1"/>
  <c r="BI43" i="1"/>
  <c r="C99" i="1"/>
  <c r="C83" i="1"/>
  <c r="D83" i="1"/>
  <c r="AS263" i="1"/>
  <c r="BQ263" i="1"/>
  <c r="C98" i="1"/>
  <c r="BD43" i="1"/>
  <c r="BI47" i="1"/>
  <c r="BI51" i="1" s="1"/>
  <c r="BJ44" i="1"/>
  <c r="R202" i="1"/>
  <c r="R203" i="1" s="1"/>
  <c r="AS44" i="1"/>
  <c r="T226" i="1"/>
  <c r="BV30" i="1"/>
  <c r="BZ31" i="1"/>
  <c r="BF41" i="1"/>
  <c r="BF32" i="1"/>
  <c r="BJ31" i="1"/>
  <c r="BF30" i="1"/>
  <c r="AX46" i="1"/>
  <c r="H202" i="1"/>
  <c r="H203" i="1" s="1"/>
  <c r="BR41" i="1"/>
  <c r="BR32" i="1"/>
  <c r="BR30" i="1"/>
  <c r="AZ42" i="1"/>
  <c r="AZ245" i="1"/>
  <c r="AZ246" i="1" s="1"/>
  <c r="AZ47" i="1"/>
  <c r="AZ51" i="1" s="1"/>
  <c r="K226" i="1"/>
  <c r="R223" i="1"/>
  <c r="R224" i="1" s="1"/>
  <c r="N226" i="1"/>
  <c r="T223" i="1"/>
  <c r="T224" i="1" s="1"/>
  <c r="AQ32" i="1"/>
  <c r="AR46" i="1"/>
  <c r="K202" i="1"/>
  <c r="K203" i="1" s="1"/>
  <c r="BH41" i="1"/>
  <c r="BH30" i="1"/>
  <c r="BL31" i="1"/>
  <c r="BH31" i="1"/>
  <c r="BR46" i="1"/>
  <c r="BB31" i="1"/>
  <c r="AX32" i="1"/>
  <c r="AX30" i="1"/>
  <c r="AX31" i="1"/>
  <c r="AX41" i="1"/>
  <c r="BB46" i="1"/>
  <c r="BN31" i="1"/>
  <c r="BR31" i="1"/>
  <c r="BN41" i="1"/>
  <c r="V73" i="1" s="1"/>
  <c r="BN30" i="1"/>
  <c r="BN32" i="1"/>
  <c r="AR245" i="1"/>
  <c r="AR246" i="1" s="1"/>
  <c r="BO32" i="1"/>
  <c r="BG32" i="1"/>
  <c r="BG31" i="1"/>
  <c r="BG30" i="1"/>
  <c r="BH32" i="1"/>
  <c r="BK31" i="1"/>
  <c r="BG41" i="1"/>
  <c r="AN41" i="1"/>
  <c r="AO32" i="1"/>
  <c r="AN31" i="1"/>
  <c r="AR31" i="1"/>
  <c r="AN32" i="1"/>
  <c r="AN30" i="1"/>
  <c r="AV41" i="1"/>
  <c r="AV30" i="1"/>
  <c r="AW32" i="1"/>
  <c r="AV31" i="1"/>
  <c r="AZ31" i="1"/>
  <c r="BW32" i="1"/>
  <c r="BW30" i="1"/>
  <c r="CA31" i="1"/>
  <c r="BX32" i="1"/>
  <c r="BW41" i="1"/>
  <c r="BU32" i="1"/>
  <c r="BT41" i="1"/>
  <c r="BT263" i="1" s="1"/>
  <c r="BX31" i="1"/>
  <c r="BT30" i="1"/>
  <c r="BT31" i="1"/>
  <c r="AT216" i="1"/>
  <c r="BX46" i="1"/>
  <c r="AR47" i="1"/>
  <c r="AR51" i="1" s="1"/>
  <c r="Q226" i="1"/>
  <c r="AY32" i="1"/>
  <c r="BI32" i="1"/>
  <c r="AO31" i="1"/>
  <c r="AO41" i="1"/>
  <c r="AO30" i="1"/>
  <c r="AS31" i="1"/>
  <c r="AV46" i="1"/>
  <c r="BV216" i="1"/>
  <c r="BV214" i="1" s="1"/>
  <c r="AQ41" i="1"/>
  <c r="AQ31" i="1"/>
  <c r="AQ30" i="1"/>
  <c r="AR32" i="1"/>
  <c r="BJ46" i="1"/>
  <c r="BB30" i="1"/>
  <c r="BB41" i="1"/>
  <c r="BF31" i="1"/>
  <c r="BB32" i="1"/>
  <c r="BS42" i="1"/>
  <c r="BS245" i="1"/>
  <c r="BS246" i="1" s="1"/>
  <c r="BS47" i="1"/>
  <c r="BJ54" i="1"/>
  <c r="BJ53" i="1"/>
  <c r="Q223" i="1"/>
  <c r="Q224" i="1" s="1"/>
  <c r="F202" i="1"/>
  <c r="F203" i="1" s="1"/>
  <c r="G202" i="1"/>
  <c r="G203" i="1" s="1"/>
  <c r="AY42" i="1"/>
  <c r="AY245" i="1"/>
  <c r="AY246" i="1" s="1"/>
  <c r="AY47" i="1"/>
  <c r="AY51" i="1" s="1"/>
  <c r="AZ263" i="1"/>
  <c r="AZ44" i="1"/>
  <c r="BG216" i="1"/>
  <c r="BG214" i="1" s="1"/>
  <c r="R226" i="1"/>
  <c r="H226" i="1"/>
  <c r="H223" i="1"/>
  <c r="H224" i="1" s="1"/>
  <c r="BF216" i="1"/>
  <c r="BF214" i="1" s="1"/>
  <c r="BP54" i="1"/>
  <c r="BP53" i="1"/>
  <c r="BQ51" i="1"/>
  <c r="AB219" i="1"/>
  <c r="BM179" i="1" l="1"/>
  <c r="AV151" i="1"/>
  <c r="AW46" i="1"/>
  <c r="BA197" i="1"/>
  <c r="BB197" i="1" s="1"/>
  <c r="AS264" i="1"/>
  <c r="AY178" i="1"/>
  <c r="BS178" i="1"/>
  <c r="CV40" i="1"/>
  <c r="CW40" i="1"/>
  <c r="AU178" i="1"/>
  <c r="BW178" i="1"/>
  <c r="BS216" i="1"/>
  <c r="BS214" i="1" s="1"/>
  <c r="AY216" i="1"/>
  <c r="AY214" i="1" s="1"/>
  <c r="AT214" i="1"/>
  <c r="BX216" i="1"/>
  <c r="BX214" i="1" s="1"/>
  <c r="AZ216" i="1"/>
  <c r="AZ214" i="1" s="1"/>
  <c r="BT216" i="1"/>
  <c r="BT214" i="1" s="1"/>
  <c r="BU46" i="1"/>
  <c r="AQ179" i="1"/>
  <c r="AS46" i="1"/>
  <c r="BC179" i="1"/>
  <c r="BI178" i="1"/>
  <c r="BI179" i="1" s="1"/>
  <c r="AU179" i="1"/>
  <c r="BO178" i="1"/>
  <c r="BO179" i="1" s="1"/>
  <c r="AR198" i="1"/>
  <c r="AR199" i="1" s="1"/>
  <c r="AR202" i="1" s="1"/>
  <c r="AW179" i="1"/>
  <c r="BK179" i="1"/>
  <c r="BS179" i="1"/>
  <c r="BE264" i="1"/>
  <c r="BP264" i="1"/>
  <c r="BQ264" i="1"/>
  <c r="BE179" i="1"/>
  <c r="BA264" i="1"/>
  <c r="AP151" i="1"/>
  <c r="AQ46" i="1"/>
  <c r="AO216" i="1"/>
  <c r="AO214" i="1" s="1"/>
  <c r="AO178" i="1"/>
  <c r="AO179" i="1" s="1"/>
  <c r="BJ151" i="1"/>
  <c r="BK216" i="1" s="1"/>
  <c r="BK214" i="1" s="1"/>
  <c r="BK46" i="1"/>
  <c r="BU43" i="1"/>
  <c r="BU42" i="1"/>
  <c r="BU245" i="1"/>
  <c r="BU246" i="1" s="1"/>
  <c r="BY43" i="1"/>
  <c r="BU47" i="1"/>
  <c r="BU51" i="1" s="1"/>
  <c r="BU54" i="1" s="1"/>
  <c r="BP151" i="1"/>
  <c r="BQ46" i="1"/>
  <c r="BB198" i="1"/>
  <c r="BB199" i="1" s="1"/>
  <c r="BB166" i="1"/>
  <c r="BB169" i="1" s="1"/>
  <c r="BB170" i="1" s="1"/>
  <c r="AS199" i="1"/>
  <c r="AS194" i="1"/>
  <c r="AT194" i="1" s="1"/>
  <c r="AT195" i="1" s="1"/>
  <c r="AT199" i="1" s="1"/>
  <c r="CX40" i="1"/>
  <c r="CY40" i="1" s="1"/>
  <c r="CZ40" i="1" s="1"/>
  <c r="DA40" i="1" s="1"/>
  <c r="BO194" i="1"/>
  <c r="BP194" i="1" s="1"/>
  <c r="BP195" i="1" s="1"/>
  <c r="BP199" i="1" s="1"/>
  <c r="BO199" i="1"/>
  <c r="BW179" i="1"/>
  <c r="AW194" i="1"/>
  <c r="AX194" i="1" s="1"/>
  <c r="AX195" i="1" s="1"/>
  <c r="AX199" i="1" s="1"/>
  <c r="BK194" i="1"/>
  <c r="BL194" i="1" s="1"/>
  <c r="BL195" i="1" s="1"/>
  <c r="BL199" i="1" s="1"/>
  <c r="BT264" i="1"/>
  <c r="AZ264" i="1"/>
  <c r="BX170" i="1"/>
  <c r="BU179" i="1"/>
  <c r="AT43" i="1"/>
  <c r="CJ103" i="1"/>
  <c r="AP44" i="1"/>
  <c r="AS125" i="1"/>
  <c r="S73" i="1"/>
  <c r="BM44" i="1"/>
  <c r="BM43" i="1"/>
  <c r="CI103" i="1"/>
  <c r="AZ199" i="1"/>
  <c r="AR170" i="1"/>
  <c r="AP199" i="1"/>
  <c r="AP202" i="1" s="1"/>
  <c r="AV199" i="1"/>
  <c r="BD199" i="1"/>
  <c r="BN170" i="1"/>
  <c r="AS53" i="1"/>
  <c r="AS54" i="1"/>
  <c r="BE54" i="1"/>
  <c r="BE55" i="1" s="1"/>
  <c r="BE258" i="1" s="1"/>
  <c r="BE53" i="1"/>
  <c r="BL170" i="1"/>
  <c r="BN199" i="1"/>
  <c r="BM42" i="1"/>
  <c r="BM245" i="1"/>
  <c r="BM246" i="1" s="1"/>
  <c r="BH199" i="1"/>
  <c r="BD170" i="1"/>
  <c r="AI42" i="1"/>
  <c r="AM43" i="1"/>
  <c r="AI47" i="1"/>
  <c r="N73" i="1"/>
  <c r="AL239" i="1"/>
  <c r="AI245" i="1"/>
  <c r="AI246" i="1" s="1"/>
  <c r="AJ44" i="1"/>
  <c r="AL125" i="1"/>
  <c r="BM263" i="1"/>
  <c r="BM264" i="1" s="1"/>
  <c r="BQ43" i="1"/>
  <c r="AP42" i="1"/>
  <c r="AP245" i="1"/>
  <c r="AP246" i="1" s="1"/>
  <c r="AP47" i="1"/>
  <c r="AP51" i="1" s="1"/>
  <c r="BC43" i="1"/>
  <c r="BC245" i="1"/>
  <c r="BC246" i="1" s="1"/>
  <c r="BJ199" i="1"/>
  <c r="BR199" i="1"/>
  <c r="BJ170" i="1"/>
  <c r="BF199" i="1"/>
  <c r="AT170" i="1"/>
  <c r="AV170" i="1"/>
  <c r="BL216" i="1"/>
  <c r="BL214" i="1" s="1"/>
  <c r="BV199" i="1"/>
  <c r="BZ202" i="1" s="1"/>
  <c r="BY76" i="1"/>
  <c r="BZ78" i="1"/>
  <c r="CH123" i="1"/>
  <c r="CH126" i="1" s="1"/>
  <c r="CH124" i="1"/>
  <c r="CH127" i="1" s="1"/>
  <c r="CU153" i="1"/>
  <c r="CV153" i="1" s="1"/>
  <c r="CT196" i="1"/>
  <c r="CS198" i="1"/>
  <c r="CT78" i="1"/>
  <c r="CU76" i="1"/>
  <c r="CB115" i="1"/>
  <c r="CB116" i="1"/>
  <c r="CB117" i="1"/>
  <c r="AC137" i="1"/>
  <c r="CT137" i="1"/>
  <c r="CS141" i="1"/>
  <c r="AC215" i="1"/>
  <c r="CR194" i="1"/>
  <c r="CQ195" i="1"/>
  <c r="CQ199" i="1" s="1"/>
  <c r="CI83" i="1"/>
  <c r="CE98" i="1"/>
  <c r="CE100" i="1"/>
  <c r="CE99" i="1"/>
  <c r="CH103" i="1" s="1"/>
  <c r="CT192" i="1"/>
  <c r="CR262" i="1"/>
  <c r="CR219" i="1"/>
  <c r="CA120" i="1"/>
  <c r="CA121" i="1"/>
  <c r="CA112" i="1"/>
  <c r="CA105" i="1"/>
  <c r="CA79" i="1"/>
  <c r="CD82" i="1" s="1"/>
  <c r="CT215" i="1"/>
  <c r="BR170" i="1"/>
  <c r="BF170" i="1"/>
  <c r="BX199" i="1"/>
  <c r="CB202" i="1" s="1"/>
  <c r="BT199" i="1"/>
  <c r="AP170" i="1"/>
  <c r="BA239" i="1"/>
  <c r="R73" i="1"/>
  <c r="T73" i="1"/>
  <c r="BD44" i="1"/>
  <c r="BK44" i="1"/>
  <c r="U73" i="1"/>
  <c r="BV170" i="1"/>
  <c r="BS239" i="1"/>
  <c r="W73" i="1"/>
  <c r="BV263" i="1"/>
  <c r="BV264" i="1" s="1"/>
  <c r="X73" i="1"/>
  <c r="AJ199" i="1"/>
  <c r="BT170" i="1"/>
  <c r="BH170" i="1"/>
  <c r="BK125" i="1"/>
  <c r="AZ170" i="1"/>
  <c r="BP170" i="1"/>
  <c r="AJ170" i="1"/>
  <c r="AJ209" i="1"/>
  <c r="AJ211" i="1" s="1"/>
  <c r="AJ212" i="1" s="1"/>
  <c r="AU125" i="1"/>
  <c r="AU239" i="1"/>
  <c r="AU42" i="1"/>
  <c r="BK47" i="1"/>
  <c r="BK51" i="1" s="1"/>
  <c r="AU245" i="1"/>
  <c r="AU246" i="1" s="1"/>
  <c r="BT239" i="1"/>
  <c r="BK245" i="1"/>
  <c r="BK246" i="1" s="1"/>
  <c r="BV44" i="1"/>
  <c r="AY43" i="1"/>
  <c r="AU263" i="1"/>
  <c r="AU264" i="1" s="1"/>
  <c r="BD216" i="1"/>
  <c r="BD214" i="1" s="1"/>
  <c r="BV42" i="1"/>
  <c r="BC47" i="1"/>
  <c r="BC51" i="1" s="1"/>
  <c r="BC53" i="1" s="1"/>
  <c r="AU47" i="1"/>
  <c r="AU51" i="1" s="1"/>
  <c r="AU54" i="1" s="1"/>
  <c r="AV239" i="1"/>
  <c r="AW239" i="1"/>
  <c r="BC42" i="1"/>
  <c r="BC44" i="1"/>
  <c r="BG43" i="1"/>
  <c r="BD263" i="1"/>
  <c r="BD264" i="1" s="1"/>
  <c r="BW216" i="1"/>
  <c r="BW214" i="1" s="1"/>
  <c r="BF239" i="1"/>
  <c r="AU43" i="1"/>
  <c r="BL263" i="1"/>
  <c r="BL264" i="1" s="1"/>
  <c r="BL44" i="1"/>
  <c r="AQ263" i="1"/>
  <c r="AQ264" i="1" s="1"/>
  <c r="BO43" i="1"/>
  <c r="BM125" i="1"/>
  <c r="BV47" i="1"/>
  <c r="BV51" i="1" s="1"/>
  <c r="BV54" i="1" s="1"/>
  <c r="BX239" i="1"/>
  <c r="BV43" i="1"/>
  <c r="BK263" i="1"/>
  <c r="BK264" i="1" s="1"/>
  <c r="BK42" i="1"/>
  <c r="BS263" i="1"/>
  <c r="BS264" i="1" s="1"/>
  <c r="BL125" i="1"/>
  <c r="BM239" i="1"/>
  <c r="AQ44" i="1"/>
  <c r="BK43" i="1"/>
  <c r="AV44" i="1"/>
  <c r="BZ43" i="1"/>
  <c r="BV245" i="1"/>
  <c r="BV246" i="1" s="1"/>
  <c r="BS125" i="1"/>
  <c r="BF125" i="1"/>
  <c r="AW125" i="1"/>
  <c r="AV263" i="1"/>
  <c r="AV264" i="1" s="1"/>
  <c r="AS239" i="1"/>
  <c r="AX216" i="1"/>
  <c r="AX214" i="1" s="1"/>
  <c r="BF42" i="1"/>
  <c r="BF44" i="1"/>
  <c r="BF263" i="1"/>
  <c r="BF264" i="1" s="1"/>
  <c r="BF245" i="1"/>
  <c r="BF246" i="1" s="1"/>
  <c r="BJ43" i="1"/>
  <c r="BF47" i="1"/>
  <c r="BF51" i="1" s="1"/>
  <c r="AX239" i="1"/>
  <c r="AQ239" i="1"/>
  <c r="AZ54" i="1"/>
  <c r="AZ53" i="1"/>
  <c r="BV239" i="1"/>
  <c r="BR263" i="1"/>
  <c r="BR264" i="1" s="1"/>
  <c r="BR42" i="1"/>
  <c r="BR44" i="1"/>
  <c r="BS44" i="1"/>
  <c r="BR239" i="1"/>
  <c r="BR245" i="1"/>
  <c r="BR246" i="1" s="1"/>
  <c r="BR125" i="1"/>
  <c r="BR47" i="1"/>
  <c r="BN125" i="1"/>
  <c r="BN239" i="1"/>
  <c r="BA125" i="1"/>
  <c r="AX125" i="1"/>
  <c r="AY125" i="1"/>
  <c r="AY239" i="1"/>
  <c r="AY44" i="1"/>
  <c r="AY263" i="1"/>
  <c r="AY264" i="1" s="1"/>
  <c r="AZ125" i="1"/>
  <c r="BV125" i="1"/>
  <c r="AQ125" i="1"/>
  <c r="BT125" i="1"/>
  <c r="BT44" i="1"/>
  <c r="AR239" i="1"/>
  <c r="AP239" i="1"/>
  <c r="AP263" i="1"/>
  <c r="AP264" i="1" s="1"/>
  <c r="AP125" i="1"/>
  <c r="BK239" i="1"/>
  <c r="BX125" i="1"/>
  <c r="AR216" i="1"/>
  <c r="AR214" i="1" s="1"/>
  <c r="AV125" i="1"/>
  <c r="BI216" i="1"/>
  <c r="BI214" i="1" s="1"/>
  <c r="BB216" i="1"/>
  <c r="BB214" i="1" s="1"/>
  <c r="BA216" i="1"/>
  <c r="BA214" i="1" s="1"/>
  <c r="BR216" i="1"/>
  <c r="BR214" i="1" s="1"/>
  <c r="BD239" i="1"/>
  <c r="BC125" i="1"/>
  <c r="BC239" i="1"/>
  <c r="BB239" i="1"/>
  <c r="AV47" i="1"/>
  <c r="AZ43" i="1"/>
  <c r="AV42" i="1"/>
  <c r="AV245" i="1"/>
  <c r="AV246" i="1" s="1"/>
  <c r="AW263" i="1"/>
  <c r="AW264" i="1" s="1"/>
  <c r="AW44" i="1"/>
  <c r="BG42" i="1"/>
  <c r="BH239" i="1"/>
  <c r="BG125" i="1"/>
  <c r="BJ125" i="1"/>
  <c r="BG263" i="1"/>
  <c r="BG264" i="1" s="1"/>
  <c r="BI239" i="1"/>
  <c r="BG47" i="1"/>
  <c r="BI125" i="1"/>
  <c r="BG245" i="1"/>
  <c r="BG246" i="1" s="1"/>
  <c r="BH125" i="1"/>
  <c r="BJ239" i="1"/>
  <c r="BH44" i="1"/>
  <c r="BG239" i="1"/>
  <c r="BG44" i="1"/>
  <c r="BL43" i="1"/>
  <c r="BH42" i="1"/>
  <c r="BH47" i="1"/>
  <c r="BH51" i="1" s="1"/>
  <c r="BH245" i="1"/>
  <c r="BH246" i="1" s="1"/>
  <c r="BH263" i="1"/>
  <c r="BH264" i="1" s="1"/>
  <c r="BH43" i="1"/>
  <c r="BI263" i="1"/>
  <c r="BI264" i="1" s="1"/>
  <c r="BI44" i="1"/>
  <c r="AU216" i="1"/>
  <c r="AU214" i="1" s="1"/>
  <c r="BW43" i="1"/>
  <c r="AN263" i="1"/>
  <c r="AN264" i="1" s="1"/>
  <c r="AN47" i="1"/>
  <c r="AO239" i="1"/>
  <c r="AN44" i="1"/>
  <c r="AN42" i="1"/>
  <c r="AN245" i="1"/>
  <c r="AN246" i="1" s="1"/>
  <c r="AN239" i="1"/>
  <c r="AR43" i="1"/>
  <c r="AO125" i="1"/>
  <c r="AN125" i="1"/>
  <c r="AO44" i="1"/>
  <c r="AN43" i="1"/>
  <c r="BW44" i="1"/>
  <c r="BN47" i="1"/>
  <c r="BP239" i="1"/>
  <c r="BO239" i="1"/>
  <c r="BR43" i="1"/>
  <c r="BQ125" i="1"/>
  <c r="BN42" i="1"/>
  <c r="BO44" i="1"/>
  <c r="BN44" i="1"/>
  <c r="BN245" i="1"/>
  <c r="BN246" i="1" s="1"/>
  <c r="BO263" i="1"/>
  <c r="BO264" i="1" s="1"/>
  <c r="BN263" i="1"/>
  <c r="BN264" i="1" s="1"/>
  <c r="BN43" i="1"/>
  <c r="BP125" i="1"/>
  <c r="BQ239" i="1"/>
  <c r="BO125" i="1"/>
  <c r="AX263" i="1"/>
  <c r="AX264" i="1" s="1"/>
  <c r="AX245" i="1"/>
  <c r="AX246" i="1" s="1"/>
  <c r="AX43" i="1"/>
  <c r="BB43" i="1"/>
  <c r="AZ239" i="1"/>
  <c r="AX47" i="1"/>
  <c r="AX44" i="1"/>
  <c r="AX42" i="1"/>
  <c r="BB47" i="1"/>
  <c r="BF43" i="1"/>
  <c r="BB245" i="1"/>
  <c r="BB246" i="1" s="1"/>
  <c r="BB125" i="1"/>
  <c r="BD125" i="1"/>
  <c r="BB42" i="1"/>
  <c r="BB263" i="1"/>
  <c r="BB264" i="1" s="1"/>
  <c r="BB44" i="1"/>
  <c r="BW239" i="1"/>
  <c r="BW245" i="1"/>
  <c r="BW246" i="1" s="1"/>
  <c r="BX44" i="1"/>
  <c r="BW42" i="1"/>
  <c r="BZ125" i="1"/>
  <c r="BZ239" i="1"/>
  <c r="BW263" i="1"/>
  <c r="BW264" i="1" s="1"/>
  <c r="BW47" i="1"/>
  <c r="BY125" i="1"/>
  <c r="CA43" i="1"/>
  <c r="BX263" i="1"/>
  <c r="BX264" i="1" s="1"/>
  <c r="BY239" i="1"/>
  <c r="BC263" i="1"/>
  <c r="BC264" i="1" s="1"/>
  <c r="BE239" i="1"/>
  <c r="BE125" i="1"/>
  <c r="AQ42" i="1"/>
  <c r="AT239" i="1"/>
  <c r="AQ245" i="1"/>
  <c r="AQ246" i="1" s="1"/>
  <c r="AQ47" i="1"/>
  <c r="AQ43" i="1"/>
  <c r="AR44" i="1"/>
  <c r="AR263" i="1"/>
  <c r="AR264" i="1" s="1"/>
  <c r="AT125" i="1"/>
  <c r="AO245" i="1"/>
  <c r="AO246" i="1" s="1"/>
  <c r="AO47" i="1"/>
  <c r="AO51" i="1" s="1"/>
  <c r="AO53" i="1" s="1"/>
  <c r="AR125" i="1"/>
  <c r="AO263" i="1"/>
  <c r="AO264" i="1" s="1"/>
  <c r="AO43" i="1"/>
  <c r="AS43" i="1"/>
  <c r="AO42" i="1"/>
  <c r="AR54" i="1"/>
  <c r="AR53" i="1"/>
  <c r="BT47" i="1"/>
  <c r="BU263" i="1"/>
  <c r="BU264" i="1" s="1"/>
  <c r="BT42" i="1"/>
  <c r="BX43" i="1"/>
  <c r="BU44" i="1"/>
  <c r="BT245" i="1"/>
  <c r="BT246" i="1" s="1"/>
  <c r="BT43" i="1"/>
  <c r="BW125" i="1"/>
  <c r="BU125" i="1"/>
  <c r="AV43" i="1"/>
  <c r="AY53" i="1"/>
  <c r="AY54" i="1"/>
  <c r="BJ247" i="1"/>
  <c r="BJ55" i="1"/>
  <c r="BJ258" i="1" s="1"/>
  <c r="BJ61" i="1"/>
  <c r="BJ132" i="1" s="1"/>
  <c r="BJ133" i="1" s="1"/>
  <c r="BS51" i="1"/>
  <c r="BI53" i="1"/>
  <c r="BI54" i="1"/>
  <c r="BP55" i="1"/>
  <c r="BP258" i="1" s="1"/>
  <c r="BP247" i="1"/>
  <c r="BP56" i="1"/>
  <c r="BP61" i="1"/>
  <c r="BP132" i="1" s="1"/>
  <c r="BP133" i="1" s="1"/>
  <c r="BQ53" i="1"/>
  <c r="BQ54" i="1"/>
  <c r="BA54" i="1"/>
  <c r="BA53" i="1"/>
  <c r="AW53" i="1"/>
  <c r="AW54" i="1"/>
  <c r="BD53" i="1"/>
  <c r="BD54" i="1"/>
  <c r="BM53" i="1"/>
  <c r="BM54" i="1"/>
  <c r="AT54" i="1"/>
  <c r="AT53" i="1"/>
  <c r="BO54" i="1"/>
  <c r="BO53" i="1"/>
  <c r="AY179" i="1" l="1"/>
  <c r="AW216" i="1"/>
  <c r="AW214" i="1" s="1"/>
  <c r="AV216" i="1"/>
  <c r="AV214" i="1" s="1"/>
  <c r="BU53" i="1"/>
  <c r="BJ216" i="1"/>
  <c r="BJ214" i="1" s="1"/>
  <c r="AQ216" i="1"/>
  <c r="AQ214" i="1" s="1"/>
  <c r="AP216" i="1"/>
  <c r="AP214" i="1" s="1"/>
  <c r="BP216" i="1"/>
  <c r="BP214" i="1" s="1"/>
  <c r="BQ216" i="1"/>
  <c r="BQ214" i="1" s="1"/>
  <c r="BE247" i="1"/>
  <c r="BE61" i="1"/>
  <c r="BE206" i="1" s="1"/>
  <c r="BE208" i="1" s="1"/>
  <c r="AX202" i="1"/>
  <c r="AT202" i="1"/>
  <c r="BD202" i="1"/>
  <c r="AV202" i="1"/>
  <c r="AZ202" i="1"/>
  <c r="BR202" i="1"/>
  <c r="AS61" i="1"/>
  <c r="AS55" i="1"/>
  <c r="AS258" i="1" s="1"/>
  <c r="AS247" i="1"/>
  <c r="BB202" i="1"/>
  <c r="BF202" i="1"/>
  <c r="BP202" i="1"/>
  <c r="BT202" i="1"/>
  <c r="BL202" i="1"/>
  <c r="BH202" i="1"/>
  <c r="AI51" i="1"/>
  <c r="AL68" i="1"/>
  <c r="AP53" i="1"/>
  <c r="AP54" i="1"/>
  <c r="AP56" i="1" s="1"/>
  <c r="BN202" i="1"/>
  <c r="BJ202" i="1"/>
  <c r="BK54" i="1"/>
  <c r="BK53" i="1"/>
  <c r="BV202" i="1"/>
  <c r="CV76" i="1"/>
  <c r="CU78" i="1"/>
  <c r="CV215" i="1"/>
  <c r="CW153" i="1"/>
  <c r="CD98" i="1"/>
  <c r="CD100" i="1"/>
  <c r="CD99" i="1"/>
  <c r="CG103" i="1" s="1"/>
  <c r="CH83" i="1"/>
  <c r="BZ102" i="1"/>
  <c r="CS194" i="1"/>
  <c r="CR195" i="1"/>
  <c r="CR199" i="1" s="1"/>
  <c r="CU215" i="1"/>
  <c r="CA107" i="1"/>
  <c r="CA108" i="1"/>
  <c r="CA109" i="1"/>
  <c r="CS262" i="1"/>
  <c r="CS219" i="1"/>
  <c r="BZ120" i="1"/>
  <c r="BZ121" i="1"/>
  <c r="BZ79" i="1"/>
  <c r="CC82" i="1" s="1"/>
  <c r="BZ105" i="1"/>
  <c r="BZ112" i="1"/>
  <c r="CA117" i="1"/>
  <c r="CA115" i="1"/>
  <c r="CA116" i="1"/>
  <c r="CU192" i="1"/>
  <c r="CT141" i="1"/>
  <c r="CU137" i="1"/>
  <c r="CT198" i="1"/>
  <c r="CU196" i="1"/>
  <c r="BX76" i="1"/>
  <c r="BY78" i="1"/>
  <c r="BC54" i="1"/>
  <c r="BC56" i="1" s="1"/>
  <c r="BL68" i="1"/>
  <c r="BX202" i="1"/>
  <c r="BP142" i="1"/>
  <c r="BP68" i="1" s="1"/>
  <c r="BJ142" i="1"/>
  <c r="BJ68" i="1" s="1"/>
  <c r="AJ226" i="1"/>
  <c r="AJ223" i="1"/>
  <c r="AU53" i="1"/>
  <c r="BV53" i="1"/>
  <c r="BF53" i="1"/>
  <c r="BF54" i="1"/>
  <c r="AZ247" i="1"/>
  <c r="AZ61" i="1"/>
  <c r="AZ132" i="1" s="1"/>
  <c r="AZ133" i="1" s="1"/>
  <c r="AZ55" i="1"/>
  <c r="AZ258" i="1" s="1"/>
  <c r="BR51" i="1"/>
  <c r="AO54" i="1"/>
  <c r="BU55" i="1"/>
  <c r="BU258" i="1" s="1"/>
  <c r="BU247" i="1"/>
  <c r="BU61" i="1"/>
  <c r="BY56" i="1"/>
  <c r="AS57" i="1"/>
  <c r="AR55" i="1"/>
  <c r="AR258" i="1" s="1"/>
  <c r="AR61" i="1"/>
  <c r="AR132" i="1" s="1"/>
  <c r="AR133" i="1" s="1"/>
  <c r="AR247" i="1"/>
  <c r="AX51" i="1"/>
  <c r="BN51" i="1"/>
  <c r="BV57" i="1"/>
  <c r="BV55" i="1"/>
  <c r="BV258" i="1" s="1"/>
  <c r="BV61" i="1"/>
  <c r="BV132" i="1" s="1"/>
  <c r="BV133" i="1" s="1"/>
  <c r="BV247" i="1"/>
  <c r="BZ56" i="1"/>
  <c r="BH54" i="1"/>
  <c r="BI57" i="1" s="1"/>
  <c r="BH53" i="1"/>
  <c r="AQ51" i="1"/>
  <c r="BX68" i="1"/>
  <c r="BZ68" i="1"/>
  <c r="BW51" i="1"/>
  <c r="BB51" i="1"/>
  <c r="AN51" i="1"/>
  <c r="AV51" i="1"/>
  <c r="BT51" i="1"/>
  <c r="BY68" i="1"/>
  <c r="BG51" i="1"/>
  <c r="BS53" i="1"/>
  <c r="BS54" i="1"/>
  <c r="BS56" i="1" s="1"/>
  <c r="AU55" i="1"/>
  <c r="AU258" i="1" s="1"/>
  <c r="AU247" i="1"/>
  <c r="AY56" i="1"/>
  <c r="AU61" i="1"/>
  <c r="AZ57" i="1"/>
  <c r="AY61" i="1"/>
  <c r="AY247" i="1"/>
  <c r="AY55" i="1"/>
  <c r="AY258" i="1" s="1"/>
  <c r="BJ65" i="1"/>
  <c r="BJ206" i="1"/>
  <c r="BJ208" i="1" s="1"/>
  <c r="BI55" i="1"/>
  <c r="BI258" i="1" s="1"/>
  <c r="BJ57" i="1"/>
  <c r="BI247" i="1"/>
  <c r="BI61" i="1"/>
  <c r="BI56" i="1"/>
  <c r="BP206" i="1"/>
  <c r="BP208" i="1" s="1"/>
  <c r="BP65" i="1"/>
  <c r="BU56" i="1"/>
  <c r="BQ57" i="1"/>
  <c r="BQ55" i="1"/>
  <c r="BQ258" i="1" s="1"/>
  <c r="BQ61" i="1"/>
  <c r="BQ247" i="1"/>
  <c r="BO247" i="1"/>
  <c r="BO55" i="1"/>
  <c r="BO258" i="1" s="1"/>
  <c r="BO61" i="1"/>
  <c r="BP57" i="1"/>
  <c r="BD61" i="1"/>
  <c r="BD132" i="1" s="1"/>
  <c r="BD133" i="1" s="1"/>
  <c r="BD247" i="1"/>
  <c r="BD55" i="1"/>
  <c r="BD258" i="1" s="1"/>
  <c r="BD56" i="1"/>
  <c r="BE57" i="1"/>
  <c r="AT61" i="1"/>
  <c r="AT247" i="1"/>
  <c r="AT55" i="1"/>
  <c r="AT258" i="1" s="1"/>
  <c r="AT57" i="1"/>
  <c r="AU240" i="1"/>
  <c r="AU57" i="1"/>
  <c r="BM61" i="1"/>
  <c r="BM56" i="1"/>
  <c r="BM57" i="1"/>
  <c r="BM247" i="1"/>
  <c r="BQ56" i="1"/>
  <c r="BM55" i="1"/>
  <c r="BM258" i="1" s="1"/>
  <c r="BA247" i="1"/>
  <c r="BA55" i="1"/>
  <c r="BA258" i="1" s="1"/>
  <c r="BA57" i="1"/>
  <c r="BA61" i="1"/>
  <c r="BE56" i="1"/>
  <c r="AW61" i="1"/>
  <c r="AW247" i="1"/>
  <c r="AW55" i="1"/>
  <c r="AW258" i="1" s="1"/>
  <c r="BA56" i="1"/>
  <c r="AW56" i="1"/>
  <c r="BE68" i="1"/>
  <c r="AS68" i="1"/>
  <c r="BE220" i="1" l="1"/>
  <c r="BE218" i="1" s="1"/>
  <c r="AP57" i="1"/>
  <c r="BE65" i="1"/>
  <c r="AS65" i="1"/>
  <c r="AS206" i="1"/>
  <c r="AS208" i="1" s="1"/>
  <c r="BM240" i="1"/>
  <c r="U74" i="1"/>
  <c r="BL240" i="1"/>
  <c r="AI54" i="1"/>
  <c r="AL240" i="1" s="1"/>
  <c r="AI53" i="1"/>
  <c r="AP247" i="1"/>
  <c r="AP61" i="1"/>
  <c r="AP55" i="1"/>
  <c r="AP258" i="1" s="1"/>
  <c r="AT56" i="1"/>
  <c r="BK57" i="1"/>
  <c r="BK61" i="1"/>
  <c r="BL67" i="1" s="1"/>
  <c r="BK55" i="1"/>
  <c r="BK258" i="1" s="1"/>
  <c r="BL57" i="1"/>
  <c r="BK247" i="1"/>
  <c r="BO56" i="1"/>
  <c r="BC55" i="1"/>
  <c r="BC258" i="1" s="1"/>
  <c r="BC247" i="1"/>
  <c r="BC61" i="1"/>
  <c r="BD57" i="1"/>
  <c r="CV137" i="1"/>
  <c r="CU141" i="1"/>
  <c r="CT262" i="1"/>
  <c r="CT219" i="1"/>
  <c r="BZ116" i="1"/>
  <c r="BZ115" i="1"/>
  <c r="BZ117" i="1"/>
  <c r="AD153" i="1"/>
  <c r="AD215" i="1" s="1"/>
  <c r="CX153" i="1"/>
  <c r="CV78" i="1"/>
  <c r="CW76" i="1"/>
  <c r="BY79" i="1"/>
  <c r="CB82" i="1" s="1"/>
  <c r="BY105" i="1"/>
  <c r="BY121" i="1"/>
  <c r="BY120" i="1"/>
  <c r="BY112" i="1"/>
  <c r="CU198" i="1"/>
  <c r="CV196" i="1"/>
  <c r="BZ108" i="1"/>
  <c r="BZ107" i="1"/>
  <c r="BZ109" i="1"/>
  <c r="CW215" i="1"/>
  <c r="BW76" i="1"/>
  <c r="BX78" i="1"/>
  <c r="CV192" i="1"/>
  <c r="CC99" i="1"/>
  <c r="CF103" i="1" s="1"/>
  <c r="CC98" i="1"/>
  <c r="CG83" i="1"/>
  <c r="BY102" i="1"/>
  <c r="CC100" i="1"/>
  <c r="CT194" i="1"/>
  <c r="CS195" i="1"/>
  <c r="CS199" i="1" s="1"/>
  <c r="BF240" i="1"/>
  <c r="AR142" i="1"/>
  <c r="AR68" i="1" s="1"/>
  <c r="AZ142" i="1"/>
  <c r="AZ68" i="1" s="1"/>
  <c r="BD142" i="1"/>
  <c r="BD68" i="1" s="1"/>
  <c r="AJ173" i="1"/>
  <c r="AJ174" i="1" s="1"/>
  <c r="AJ224" i="1" s="1"/>
  <c r="AT132" i="1"/>
  <c r="AT133" i="1" s="1"/>
  <c r="AT220" i="1" s="1"/>
  <c r="AT218" i="1" s="1"/>
  <c r="BV142" i="1"/>
  <c r="BV68" i="1" s="1"/>
  <c r="AS220" i="1"/>
  <c r="AS218" i="1" s="1"/>
  <c r="AO61" i="1"/>
  <c r="AO206" i="1" s="1"/>
  <c r="AO208" i="1" s="1"/>
  <c r="BK240" i="1"/>
  <c r="BF61" i="1"/>
  <c r="BF132" i="1" s="1"/>
  <c r="BF133" i="1" s="1"/>
  <c r="BF247" i="1"/>
  <c r="BF57" i="1"/>
  <c r="BF55" i="1"/>
  <c r="BF258" i="1" s="1"/>
  <c r="BJ56" i="1"/>
  <c r="AZ65" i="1"/>
  <c r="AZ206" i="1"/>
  <c r="AZ208" i="1" s="1"/>
  <c r="BR54" i="1"/>
  <c r="BR53" i="1"/>
  <c r="AO56" i="1"/>
  <c r="BH56" i="1"/>
  <c r="AO247" i="1"/>
  <c r="AS56" i="1"/>
  <c r="AO55" i="1"/>
  <c r="AO258" i="1" s="1"/>
  <c r="BU206" i="1"/>
  <c r="BU208" i="1" s="1"/>
  <c r="BU65" i="1"/>
  <c r="BV220" i="1"/>
  <c r="BV218" i="1" s="1"/>
  <c r="BW54" i="1"/>
  <c r="X74" i="1" s="1"/>
  <c r="BW53" i="1"/>
  <c r="BN54" i="1"/>
  <c r="V74" i="1" s="1"/>
  <c r="BN53" i="1"/>
  <c r="AQ54" i="1"/>
  <c r="AQ53" i="1"/>
  <c r="AR65" i="1"/>
  <c r="AR206" i="1"/>
  <c r="AR208" i="1" s="1"/>
  <c r="BT54" i="1"/>
  <c r="BT53" i="1"/>
  <c r="AV53" i="1"/>
  <c r="AV54" i="1"/>
  <c r="AN54" i="1"/>
  <c r="AN53" i="1"/>
  <c r="BH61" i="1"/>
  <c r="BH132" i="1" s="1"/>
  <c r="BH133" i="1" s="1"/>
  <c r="BL56" i="1"/>
  <c r="BH247" i="1"/>
  <c r="BH55" i="1"/>
  <c r="BH258" i="1" s="1"/>
  <c r="AX54" i="1"/>
  <c r="R74" i="1" s="1"/>
  <c r="AX53" i="1"/>
  <c r="BV206" i="1"/>
  <c r="BV208" i="1" s="1"/>
  <c r="BV65" i="1"/>
  <c r="BG53" i="1"/>
  <c r="BG54" i="1"/>
  <c r="T74" i="1" s="1"/>
  <c r="BB54" i="1"/>
  <c r="S74" i="1" s="1"/>
  <c r="BB53" i="1"/>
  <c r="AY206" i="1"/>
  <c r="AY208" i="1" s="1"/>
  <c r="AY65" i="1"/>
  <c r="AU65" i="1"/>
  <c r="AU206" i="1"/>
  <c r="AU208" i="1" s="1"/>
  <c r="BD220" i="1"/>
  <c r="BD218" i="1" s="1"/>
  <c r="BS247" i="1"/>
  <c r="BS55" i="1"/>
  <c r="BS258" i="1" s="1"/>
  <c r="BS61" i="1"/>
  <c r="BI206" i="1"/>
  <c r="BI208" i="1" s="1"/>
  <c r="BI65" i="1"/>
  <c r="BQ206" i="1"/>
  <c r="BQ208" i="1" s="1"/>
  <c r="BQ65" i="1"/>
  <c r="BM206" i="1"/>
  <c r="BM208" i="1" s="1"/>
  <c r="BM65" i="1"/>
  <c r="AT206" i="1"/>
  <c r="AT208" i="1" s="1"/>
  <c r="AT65" i="1"/>
  <c r="AW206" i="1"/>
  <c r="AW208" i="1" s="1"/>
  <c r="AW65" i="1"/>
  <c r="BA65" i="1"/>
  <c r="BA206" i="1"/>
  <c r="BA208" i="1" s="1"/>
  <c r="BO65" i="1"/>
  <c r="BO206" i="1"/>
  <c r="BO208" i="1" s="1"/>
  <c r="BD65" i="1"/>
  <c r="BD206" i="1"/>
  <c r="BD208" i="1" s="1"/>
  <c r="AC141" i="1"/>
  <c r="AC262" i="1" s="1"/>
  <c r="BF67" i="1" l="1"/>
  <c r="AI55" i="1"/>
  <c r="AM56" i="1"/>
  <c r="AJ57" i="1"/>
  <c r="AI247" i="1"/>
  <c r="AI61" i="1"/>
  <c r="BC65" i="1"/>
  <c r="BC206" i="1"/>
  <c r="BC208" i="1" s="1"/>
  <c r="AP132" i="1"/>
  <c r="AP133" i="1" s="1"/>
  <c r="AP206" i="1"/>
  <c r="AP208" i="1" s="1"/>
  <c r="AP65" i="1"/>
  <c r="BK65" i="1"/>
  <c r="BK206" i="1"/>
  <c r="BK208" i="1" s="1"/>
  <c r="BY117" i="1"/>
  <c r="BY115" i="1"/>
  <c r="BY116" i="1"/>
  <c r="CB98" i="1"/>
  <c r="BX102" i="1"/>
  <c r="CB99" i="1"/>
  <c r="CE103" i="1" s="1"/>
  <c r="CF83" i="1"/>
  <c r="CB100" i="1"/>
  <c r="CY153" i="1"/>
  <c r="CY215" i="1" s="1"/>
  <c r="CW192" i="1"/>
  <c r="CW78" i="1"/>
  <c r="CX76" i="1"/>
  <c r="CU262" i="1"/>
  <c r="CU219" i="1"/>
  <c r="CU194" i="1"/>
  <c r="CT195" i="1"/>
  <c r="CT199" i="1" s="1"/>
  <c r="BX121" i="1"/>
  <c r="BX120" i="1"/>
  <c r="BX79" i="1"/>
  <c r="CA82" i="1" s="1"/>
  <c r="BX112" i="1"/>
  <c r="BX105" i="1"/>
  <c r="CW196" i="1"/>
  <c r="CV198" i="1"/>
  <c r="CW137" i="1"/>
  <c r="CV141" i="1"/>
  <c r="BV76" i="1"/>
  <c r="BW78" i="1"/>
  <c r="BY107" i="1"/>
  <c r="BY108" i="1"/>
  <c r="BY109" i="1"/>
  <c r="CX215" i="1"/>
  <c r="BW56" i="1"/>
  <c r="BS240" i="1"/>
  <c r="W74" i="1"/>
  <c r="AO65" i="1"/>
  <c r="AJ181" i="1"/>
  <c r="AK50" i="1" s="1"/>
  <c r="AJ178" i="1"/>
  <c r="AJ179" i="1" s="1"/>
  <c r="AK222" i="1"/>
  <c r="BH142" i="1"/>
  <c r="BH68" i="1" s="1"/>
  <c r="BF142" i="1"/>
  <c r="BF68" i="1" s="1"/>
  <c r="BS57" i="1"/>
  <c r="AT142" i="1"/>
  <c r="AT68" i="1" s="1"/>
  <c r="BF206" i="1"/>
  <c r="BF208" i="1" s="1"/>
  <c r="BF65" i="1"/>
  <c r="BF220" i="1"/>
  <c r="BF218" i="1" s="1"/>
  <c r="BR55" i="1"/>
  <c r="BR258" i="1" s="1"/>
  <c r="BR247" i="1"/>
  <c r="BR61" i="1"/>
  <c r="BR132" i="1" s="1"/>
  <c r="BR133" i="1" s="1"/>
  <c r="BR220" i="1" s="1"/>
  <c r="BR218" i="1" s="1"/>
  <c r="BV56" i="1"/>
  <c r="BR57" i="1"/>
  <c r="BR240" i="1"/>
  <c r="BU68" i="1"/>
  <c r="AN55" i="1"/>
  <c r="AN258" i="1" s="1"/>
  <c r="AQ240" i="1"/>
  <c r="AO57" i="1"/>
  <c r="AN240" i="1"/>
  <c r="AN56" i="1"/>
  <c r="AP240" i="1"/>
  <c r="AR56" i="1"/>
  <c r="AO240" i="1"/>
  <c r="AN61" i="1"/>
  <c r="AN57" i="1"/>
  <c r="AN247" i="1"/>
  <c r="BX56" i="1"/>
  <c r="BT55" i="1"/>
  <c r="BT258" i="1" s="1"/>
  <c r="BT247" i="1"/>
  <c r="BT61" i="1"/>
  <c r="BT132" i="1" s="1"/>
  <c r="BT133" i="1" s="1"/>
  <c r="BU57" i="1"/>
  <c r="BT56" i="1"/>
  <c r="BW240" i="1"/>
  <c r="BV240" i="1"/>
  <c r="AZ56" i="1"/>
  <c r="AV55" i="1"/>
  <c r="AV258" i="1" s="1"/>
  <c r="AV247" i="1"/>
  <c r="AV61" i="1"/>
  <c r="AY240" i="1"/>
  <c r="AW240" i="1"/>
  <c r="AW57" i="1"/>
  <c r="AV56" i="1"/>
  <c r="AV57" i="1"/>
  <c r="AX240" i="1"/>
  <c r="AV240" i="1"/>
  <c r="AR57" i="1"/>
  <c r="AQ56" i="1"/>
  <c r="AQ247" i="1"/>
  <c r="AQ61" i="1"/>
  <c r="AQ55" i="1"/>
  <c r="AQ258" i="1" s="1"/>
  <c r="AQ57" i="1"/>
  <c r="AU56" i="1"/>
  <c r="AT240" i="1"/>
  <c r="AS240" i="1"/>
  <c r="AR240" i="1"/>
  <c r="BN247" i="1"/>
  <c r="BR56" i="1"/>
  <c r="BN61" i="1"/>
  <c r="BN56" i="1"/>
  <c r="BN55" i="1"/>
  <c r="BN258" i="1" s="1"/>
  <c r="BO57" i="1"/>
  <c r="BN240" i="1"/>
  <c r="BQ240" i="1"/>
  <c r="BN57" i="1"/>
  <c r="BO240" i="1"/>
  <c r="BP240" i="1"/>
  <c r="BB55" i="1"/>
  <c r="BB258" i="1" s="1"/>
  <c r="BF56" i="1"/>
  <c r="BB247" i="1"/>
  <c r="BB61" i="1"/>
  <c r="BC57" i="1"/>
  <c r="BD240" i="1"/>
  <c r="BB240" i="1"/>
  <c r="BB57" i="1"/>
  <c r="BC240" i="1"/>
  <c r="BE240" i="1"/>
  <c r="BB56" i="1"/>
  <c r="AX61" i="1"/>
  <c r="AX247" i="1"/>
  <c r="AX55" i="1"/>
  <c r="AX258" i="1" s="1"/>
  <c r="AZ240" i="1"/>
  <c r="AX57" i="1"/>
  <c r="AY57" i="1"/>
  <c r="AX56" i="1"/>
  <c r="BA240" i="1"/>
  <c r="BH65" i="1"/>
  <c r="BH206" i="1"/>
  <c r="BH208" i="1" s="1"/>
  <c r="BT240" i="1"/>
  <c r="BT57" i="1"/>
  <c r="BK56" i="1"/>
  <c r="BG61" i="1"/>
  <c r="BI67" i="1" s="1"/>
  <c r="BH240" i="1"/>
  <c r="BG56" i="1"/>
  <c r="BG55" i="1"/>
  <c r="BG258" i="1" s="1"/>
  <c r="BH57" i="1"/>
  <c r="BG240" i="1"/>
  <c r="BG247" i="1"/>
  <c r="BJ240" i="1"/>
  <c r="BG57" i="1"/>
  <c r="BI240" i="1"/>
  <c r="BX240" i="1"/>
  <c r="BW247" i="1"/>
  <c r="BW57" i="1"/>
  <c r="BX57" i="1"/>
  <c r="BW61" i="1"/>
  <c r="BY240" i="1"/>
  <c r="CA56" i="1"/>
  <c r="BW55" i="1"/>
  <c r="BW258" i="1" s="1"/>
  <c r="BZ240" i="1"/>
  <c r="BK68" i="1"/>
  <c r="BK220" i="1"/>
  <c r="BK218" i="1" s="1"/>
  <c r="BL220" i="1"/>
  <c r="BL218" i="1" s="1"/>
  <c r="BS206" i="1"/>
  <c r="BS208" i="1" s="1"/>
  <c r="BS65" i="1"/>
  <c r="AY68" i="1"/>
  <c r="AZ220" i="1"/>
  <c r="AZ218" i="1" s="1"/>
  <c r="AU220" i="1"/>
  <c r="AU218" i="1" s="1"/>
  <c r="AU68" i="1"/>
  <c r="BK67" i="1"/>
  <c r="BC68" i="1"/>
  <c r="AU67" i="1"/>
  <c r="BI220" i="1"/>
  <c r="BI218" i="1" s="1"/>
  <c r="BJ220" i="1"/>
  <c r="BJ218" i="1" s="1"/>
  <c r="BI68" i="1"/>
  <c r="AO68" i="1"/>
  <c r="BQ220" i="1"/>
  <c r="BQ218" i="1" s="1"/>
  <c r="BQ68" i="1"/>
  <c r="BM67" i="1"/>
  <c r="BM220" i="1"/>
  <c r="BM218" i="1" s="1"/>
  <c r="BM68" i="1"/>
  <c r="AW68" i="1"/>
  <c r="BA220" i="1"/>
  <c r="BA218" i="1" s="1"/>
  <c r="BA68" i="1"/>
  <c r="BO68" i="1"/>
  <c r="BP220" i="1"/>
  <c r="BP218" i="1" s="1"/>
  <c r="AC219" i="1"/>
  <c r="CA239" i="1"/>
  <c r="CB239" i="1"/>
  <c r="BU239" i="1"/>
  <c r="AI65" i="1" l="1"/>
  <c r="AL67" i="1"/>
  <c r="N74" i="1"/>
  <c r="AI220" i="1"/>
  <c r="AI218" i="1" s="1"/>
  <c r="AI206" i="1"/>
  <c r="AI208" i="1" s="1"/>
  <c r="AI212" i="1" s="1"/>
  <c r="AI226" i="1" s="1"/>
  <c r="AP220" i="1"/>
  <c r="AP218" i="1" s="1"/>
  <c r="AP142" i="1"/>
  <c r="AP68" i="1" s="1"/>
  <c r="BX108" i="1"/>
  <c r="BX109" i="1"/>
  <c r="BX107" i="1"/>
  <c r="BW121" i="1"/>
  <c r="BW112" i="1"/>
  <c r="BW120" i="1"/>
  <c r="BX116" i="1"/>
  <c r="BX117" i="1"/>
  <c r="BX115" i="1"/>
  <c r="CX192" i="1"/>
  <c r="BU76" i="1"/>
  <c r="BV78" i="1"/>
  <c r="CV262" i="1"/>
  <c r="CV219" i="1"/>
  <c r="CA99" i="1"/>
  <c r="CD103" i="1" s="1"/>
  <c r="CA100" i="1"/>
  <c r="CA98" i="1"/>
  <c r="BW102" i="1"/>
  <c r="CE83" i="1"/>
  <c r="CV194" i="1"/>
  <c r="CU195" i="1"/>
  <c r="CU199" i="1" s="1"/>
  <c r="CY76" i="1"/>
  <c r="CX78" i="1"/>
  <c r="AD137" i="1"/>
  <c r="CW141" i="1"/>
  <c r="CX137" i="1"/>
  <c r="CW198" i="1"/>
  <c r="CX196" i="1"/>
  <c r="CZ153" i="1"/>
  <c r="CZ215" i="1" s="1"/>
  <c r="AY67" i="1"/>
  <c r="BA67" i="1"/>
  <c r="AX132" i="1"/>
  <c r="AX133" i="1" s="1"/>
  <c r="AX67" i="1" s="1"/>
  <c r="BC67" i="1"/>
  <c r="BB132" i="1"/>
  <c r="BB133" i="1" s="1"/>
  <c r="BQ67" i="1"/>
  <c r="BN132" i="1"/>
  <c r="BN133" i="1" s="1"/>
  <c r="BN220" i="1" s="1"/>
  <c r="BN218" i="1" s="1"/>
  <c r="AV132" i="1"/>
  <c r="AV133" i="1" s="1"/>
  <c r="AV220" i="1" s="1"/>
  <c r="AV218" i="1" s="1"/>
  <c r="BT142" i="1"/>
  <c r="BT68" i="1" s="1"/>
  <c r="AO67" i="1"/>
  <c r="AN132" i="1"/>
  <c r="AN133" i="1" s="1"/>
  <c r="AN220" i="1" s="1"/>
  <c r="AN218" i="1" s="1"/>
  <c r="BU220" i="1"/>
  <c r="BU218" i="1" s="1"/>
  <c r="BR142" i="1"/>
  <c r="BR68" i="1" s="1"/>
  <c r="BT67" i="1"/>
  <c r="BR65" i="1"/>
  <c r="BR206" i="1"/>
  <c r="BR208" i="1" s="1"/>
  <c r="BR67" i="1"/>
  <c r="AW67" i="1"/>
  <c r="BV67" i="1"/>
  <c r="BO67" i="1"/>
  <c r="BU67" i="1"/>
  <c r="BX67" i="1"/>
  <c r="BY67" i="1"/>
  <c r="BW206" i="1"/>
  <c r="BW208" i="1" s="1"/>
  <c r="BW65" i="1"/>
  <c r="BZ67" i="1"/>
  <c r="BW79" i="1"/>
  <c r="BN65" i="1"/>
  <c r="BN206" i="1"/>
  <c r="BN208" i="1" s="1"/>
  <c r="BP67" i="1"/>
  <c r="AV206" i="1"/>
  <c r="AV208" i="1" s="1"/>
  <c r="AV65" i="1"/>
  <c r="BT206" i="1"/>
  <c r="BT208" i="1" s="1"/>
  <c r="BT65" i="1"/>
  <c r="AX65" i="1"/>
  <c r="AX206" i="1"/>
  <c r="AX208" i="1" s="1"/>
  <c r="AZ67" i="1"/>
  <c r="BB65" i="1"/>
  <c r="BB206" i="1"/>
  <c r="BB208" i="1" s="1"/>
  <c r="BD67" i="1"/>
  <c r="BE67" i="1"/>
  <c r="AQ206" i="1"/>
  <c r="AQ208" i="1" s="1"/>
  <c r="AQ65" i="1"/>
  <c r="AS67" i="1"/>
  <c r="AR67" i="1"/>
  <c r="AT67" i="1"/>
  <c r="BG65" i="1"/>
  <c r="BJ67" i="1"/>
  <c r="BH67" i="1"/>
  <c r="BG206" i="1"/>
  <c r="BG208" i="1" s="1"/>
  <c r="AN65" i="1"/>
  <c r="AP67" i="1"/>
  <c r="AN206" i="1"/>
  <c r="AN208" i="1" s="1"/>
  <c r="BT220" i="1"/>
  <c r="BT218" i="1" s="1"/>
  <c r="BS68" i="1"/>
  <c r="BS220" i="1"/>
  <c r="BS218" i="1" s="1"/>
  <c r="BS67" i="1"/>
  <c r="AI223" i="1" l="1"/>
  <c r="AI224" i="1" s="1"/>
  <c r="AV67" i="1"/>
  <c r="CX141" i="1"/>
  <c r="CY137" i="1"/>
  <c r="CY78" i="1"/>
  <c r="CZ76" i="1"/>
  <c r="DA153" i="1"/>
  <c r="AE153" i="1" s="1"/>
  <c r="AE215" i="1" s="1"/>
  <c r="CW262" i="1"/>
  <c r="CW219" i="1"/>
  <c r="CY192" i="1"/>
  <c r="CX198" i="1"/>
  <c r="CY196" i="1"/>
  <c r="CW194" i="1"/>
  <c r="CV195" i="1"/>
  <c r="CV199" i="1" s="1"/>
  <c r="BV112" i="1"/>
  <c r="BV120" i="1"/>
  <c r="BV121" i="1"/>
  <c r="BV105" i="1"/>
  <c r="BV79" i="1"/>
  <c r="BY82" i="1" s="1"/>
  <c r="BW117" i="1"/>
  <c r="BW115" i="1"/>
  <c r="BW116" i="1"/>
  <c r="BT76" i="1"/>
  <c r="BU78" i="1"/>
  <c r="AX220" i="1"/>
  <c r="AX218" i="1" s="1"/>
  <c r="BN67" i="1"/>
  <c r="BB142" i="1"/>
  <c r="BB68" i="1" s="1"/>
  <c r="BC220" i="1"/>
  <c r="BC218" i="1" s="1"/>
  <c r="AN142" i="1"/>
  <c r="AN68" i="1" s="1"/>
  <c r="AO220" i="1"/>
  <c r="AO218" i="1" s="1"/>
  <c r="AN67" i="1"/>
  <c r="BN142" i="1"/>
  <c r="BN68" i="1" s="1"/>
  <c r="BO220" i="1"/>
  <c r="BO218" i="1" s="1"/>
  <c r="AX142" i="1"/>
  <c r="AX68" i="1" s="1"/>
  <c r="AY220" i="1"/>
  <c r="AY218" i="1" s="1"/>
  <c r="AV142" i="1"/>
  <c r="AV68" i="1" s="1"/>
  <c r="AW220" i="1"/>
  <c r="AW218" i="1" s="1"/>
  <c r="BB67" i="1"/>
  <c r="BB220" i="1"/>
  <c r="BB218" i="1" s="1"/>
  <c r="BZ82" i="1"/>
  <c r="BV102" i="1" s="1"/>
  <c r="BG220" i="1"/>
  <c r="BG218" i="1" s="1"/>
  <c r="BG68" i="1"/>
  <c r="BG67" i="1"/>
  <c r="BH220" i="1"/>
  <c r="BH218" i="1" s="1"/>
  <c r="AQ68" i="1"/>
  <c r="AQ220" i="1"/>
  <c r="AQ218" i="1" s="1"/>
  <c r="AR220" i="1"/>
  <c r="AR218" i="1" s="1"/>
  <c r="AQ67" i="1"/>
  <c r="BW220" i="1"/>
  <c r="BW218" i="1" s="1"/>
  <c r="BX220" i="1"/>
  <c r="BX218" i="1" s="1"/>
  <c r="BW68" i="1"/>
  <c r="BW67" i="1"/>
  <c r="BW105" i="1"/>
  <c r="DA215" i="1" l="1"/>
  <c r="BU121" i="1"/>
  <c r="BU120" i="1"/>
  <c r="BU112" i="1"/>
  <c r="BU79" i="1"/>
  <c r="BX82" i="1" s="1"/>
  <c r="BU105" i="1"/>
  <c r="CY198" i="1"/>
  <c r="CZ196" i="1"/>
  <c r="CZ78" i="1"/>
  <c r="DA76" i="1"/>
  <c r="DA78" i="1" s="1"/>
  <c r="BS76" i="1"/>
  <c r="BT78" i="1"/>
  <c r="BV117" i="1"/>
  <c r="BV115" i="1"/>
  <c r="BV116" i="1"/>
  <c r="BV107" i="1"/>
  <c r="BV109" i="1"/>
  <c r="BV108" i="1"/>
  <c r="CZ137" i="1"/>
  <c r="CY141" i="1"/>
  <c r="CX194" i="1"/>
  <c r="CW195" i="1"/>
  <c r="CW199" i="1" s="1"/>
  <c r="CZ192" i="1"/>
  <c r="CX219" i="1"/>
  <c r="CX262" i="1"/>
  <c r="CD83" i="1"/>
  <c r="BZ100" i="1"/>
  <c r="BZ99" i="1"/>
  <c r="CC103" i="1" s="1"/>
  <c r="BZ98" i="1"/>
  <c r="CC83" i="1"/>
  <c r="BY100" i="1"/>
  <c r="BU102" i="1"/>
  <c r="BY99" i="1"/>
  <c r="BY98" i="1"/>
  <c r="BW107" i="1"/>
  <c r="BW109" i="1"/>
  <c r="BW108" i="1"/>
  <c r="AD141" i="1"/>
  <c r="AD262" i="1" s="1"/>
  <c r="CB83" i="1" l="1"/>
  <c r="BX100" i="1"/>
  <c r="BX99" i="1"/>
  <c r="CA103" i="1" s="1"/>
  <c r="BX98" i="1"/>
  <c r="BT102" i="1"/>
  <c r="DA192" i="1"/>
  <c r="CY262" i="1"/>
  <c r="CY219" i="1"/>
  <c r="BT112" i="1"/>
  <c r="BT121" i="1"/>
  <c r="BT120" i="1"/>
  <c r="BT105" i="1"/>
  <c r="BT79" i="1"/>
  <c r="BW82" i="1" s="1"/>
  <c r="DA196" i="1"/>
  <c r="DA198" i="1" s="1"/>
  <c r="CZ198" i="1"/>
  <c r="BU117" i="1"/>
  <c r="BU115" i="1"/>
  <c r="BU116" i="1"/>
  <c r="CY194" i="1"/>
  <c r="CX195" i="1"/>
  <c r="CX199" i="1" s="1"/>
  <c r="CZ141" i="1"/>
  <c r="DA137" i="1"/>
  <c r="BR76" i="1"/>
  <c r="BS78" i="1"/>
  <c r="BU107" i="1"/>
  <c r="BU109" i="1"/>
  <c r="BU108" i="1"/>
  <c r="CB103" i="1"/>
  <c r="AD219" i="1"/>
  <c r="CA240" i="1"/>
  <c r="CB240" i="1"/>
  <c r="W206" i="1"/>
  <c r="W208" i="1" s="1"/>
  <c r="BU240" i="1"/>
  <c r="DA141" i="1" l="1"/>
  <c r="AE137" i="1"/>
  <c r="BT109" i="1"/>
  <c r="BT108" i="1"/>
  <c r="BT107" i="1"/>
  <c r="BS121" i="1"/>
  <c r="BS120" i="1"/>
  <c r="BS112" i="1"/>
  <c r="BS79" i="1"/>
  <c r="BV82" i="1" s="1"/>
  <c r="BS105" i="1"/>
  <c r="CZ219" i="1"/>
  <c r="CZ262" i="1"/>
  <c r="BQ76" i="1"/>
  <c r="BR78" i="1"/>
  <c r="CZ194" i="1"/>
  <c r="CY195" i="1"/>
  <c r="CY199" i="1" s="1"/>
  <c r="BW98" i="1"/>
  <c r="BW100" i="1"/>
  <c r="BW99" i="1"/>
  <c r="BZ103" i="1" s="1"/>
  <c r="CA83" i="1"/>
  <c r="BS102" i="1"/>
  <c r="BT116" i="1"/>
  <c r="BT115" i="1"/>
  <c r="BT117" i="1"/>
  <c r="CA102" i="1"/>
  <c r="BP76" i="1" l="1"/>
  <c r="BQ78" i="1"/>
  <c r="BR102" i="1"/>
  <c r="BV99" i="1"/>
  <c r="BY103" i="1" s="1"/>
  <c r="BV98" i="1"/>
  <c r="BV100" i="1"/>
  <c r="BZ83" i="1"/>
  <c r="BS116" i="1"/>
  <c r="BS115" i="1"/>
  <c r="BS117" i="1"/>
  <c r="DA194" i="1"/>
  <c r="DA195" i="1" s="1"/>
  <c r="DA199" i="1" s="1"/>
  <c r="CZ195" i="1"/>
  <c r="CZ199" i="1" s="1"/>
  <c r="BR120" i="1"/>
  <c r="BR121" i="1"/>
  <c r="BR112" i="1"/>
  <c r="BR105" i="1"/>
  <c r="BR79" i="1"/>
  <c r="BU82" i="1" s="1"/>
  <c r="BS107" i="1"/>
  <c r="BS108" i="1"/>
  <c r="BS109" i="1"/>
  <c r="DA262" i="1"/>
  <c r="DA219" i="1"/>
  <c r="CF102" i="1"/>
  <c r="BU99" i="1" l="1"/>
  <c r="BX103" i="1" s="1"/>
  <c r="BY83" i="1"/>
  <c r="BU100" i="1"/>
  <c r="BQ102" i="1"/>
  <c r="BU98" i="1"/>
  <c r="BR108" i="1"/>
  <c r="BR107" i="1"/>
  <c r="BR109" i="1"/>
  <c r="BR115" i="1"/>
  <c r="BR117" i="1"/>
  <c r="BR116" i="1"/>
  <c r="BQ105" i="1"/>
  <c r="BQ121" i="1"/>
  <c r="BQ120" i="1"/>
  <c r="BQ112" i="1"/>
  <c r="BQ79" i="1"/>
  <c r="BT82" i="1" s="1"/>
  <c r="BO76" i="1"/>
  <c r="BP78" i="1"/>
  <c r="AE141" i="1"/>
  <c r="AE262" i="1" s="1"/>
  <c r="BP112" i="1" l="1"/>
  <c r="BP79" i="1"/>
  <c r="BS82" i="1" s="1"/>
  <c r="BP120" i="1"/>
  <c r="BP105" i="1"/>
  <c r="BP121" i="1"/>
  <c r="BN76" i="1"/>
  <c r="BO78" i="1"/>
  <c r="BT99" i="1"/>
  <c r="BW103" i="1" s="1"/>
  <c r="BP102" i="1"/>
  <c r="BT98" i="1"/>
  <c r="BT100" i="1"/>
  <c r="BX83" i="1"/>
  <c r="BQ107" i="1"/>
  <c r="BQ108" i="1"/>
  <c r="BQ109" i="1"/>
  <c r="BQ116" i="1"/>
  <c r="BQ115" i="1"/>
  <c r="BQ117" i="1"/>
  <c r="AE219" i="1"/>
  <c r="W133" i="1"/>
  <c r="BO79" i="1" l="1"/>
  <c r="BR82" i="1" s="1"/>
  <c r="BO121" i="1"/>
  <c r="BO105" i="1"/>
  <c r="BO120" i="1"/>
  <c r="BO112" i="1"/>
  <c r="BP108" i="1"/>
  <c r="BP107" i="1"/>
  <c r="BP109" i="1"/>
  <c r="BM76" i="1"/>
  <c r="BN78" i="1"/>
  <c r="BS98" i="1"/>
  <c r="BS99" i="1"/>
  <c r="BV103" i="1" s="1"/>
  <c r="BS100" i="1"/>
  <c r="BW83" i="1"/>
  <c r="BO102" i="1"/>
  <c r="BP117" i="1"/>
  <c r="BP115" i="1"/>
  <c r="BP116" i="1"/>
  <c r="W67" i="1"/>
  <c r="X220" i="1"/>
  <c r="X218" i="1" s="1"/>
  <c r="W220" i="1"/>
  <c r="W218" i="1" s="1"/>
  <c r="W142" i="1"/>
  <c r="W68" i="1" s="1"/>
  <c r="W188" i="1"/>
  <c r="BL76" i="1" l="1"/>
  <c r="BM78" i="1"/>
  <c r="BO116" i="1"/>
  <c r="BO117" i="1"/>
  <c r="BO115" i="1"/>
  <c r="BN102" i="1"/>
  <c r="BV83" i="1"/>
  <c r="BR98" i="1"/>
  <c r="BR100" i="1"/>
  <c r="BR99" i="1"/>
  <c r="BU103" i="1" s="1"/>
  <c r="BO109" i="1"/>
  <c r="BO108" i="1"/>
  <c r="BO107" i="1"/>
  <c r="BN121" i="1"/>
  <c r="BN105" i="1"/>
  <c r="BN120" i="1"/>
  <c r="BN112" i="1"/>
  <c r="BN79" i="1"/>
  <c r="BQ82" i="1" s="1"/>
  <c r="BN108" i="1" l="1"/>
  <c r="BN109" i="1"/>
  <c r="BN107" i="1"/>
  <c r="BQ100" i="1"/>
  <c r="BQ99" i="1"/>
  <c r="BT103" i="1" s="1"/>
  <c r="BU83" i="1"/>
  <c r="BQ98" i="1"/>
  <c r="BM102" i="1"/>
  <c r="BM112" i="1"/>
  <c r="BM79" i="1"/>
  <c r="BP82" i="1" s="1"/>
  <c r="BM121" i="1"/>
  <c r="BM105" i="1"/>
  <c r="BM120" i="1"/>
  <c r="BN115" i="1"/>
  <c r="BN117" i="1"/>
  <c r="BN116" i="1"/>
  <c r="BK76" i="1"/>
  <c r="BL78" i="1"/>
  <c r="BL112" i="1" l="1"/>
  <c r="BL121" i="1"/>
  <c r="BL105" i="1"/>
  <c r="BL120" i="1"/>
  <c r="BL79" i="1"/>
  <c r="BO82" i="1" s="1"/>
  <c r="BT83" i="1"/>
  <c r="BP99" i="1"/>
  <c r="BS103" i="1" s="1"/>
  <c r="BP100" i="1"/>
  <c r="BP98" i="1"/>
  <c r="BL102" i="1"/>
  <c r="BJ76" i="1"/>
  <c r="BK78" i="1"/>
  <c r="BM117" i="1"/>
  <c r="BM115" i="1"/>
  <c r="BM116" i="1"/>
  <c r="BM109" i="1"/>
  <c r="BM107" i="1"/>
  <c r="BM108" i="1"/>
  <c r="BI76" i="1" l="1"/>
  <c r="BJ78" i="1"/>
  <c r="BL109" i="1"/>
  <c r="BL107" i="1"/>
  <c r="BL108" i="1"/>
  <c r="BK112" i="1"/>
  <c r="BK79" i="1"/>
  <c r="BN82" i="1" s="1"/>
  <c r="BK121" i="1"/>
  <c r="BK105" i="1"/>
  <c r="BK120" i="1"/>
  <c r="BS83" i="1"/>
  <c r="BO99" i="1"/>
  <c r="BR103" i="1" s="1"/>
  <c r="BK102" i="1"/>
  <c r="BO98" i="1"/>
  <c r="BO100" i="1"/>
  <c r="BL115" i="1"/>
  <c r="BL116" i="1"/>
  <c r="BL117" i="1"/>
  <c r="BR83" i="1" l="1"/>
  <c r="BN99" i="1"/>
  <c r="BQ103" i="1" s="1"/>
  <c r="BN98" i="1"/>
  <c r="BJ102" i="1"/>
  <c r="BN100" i="1"/>
  <c r="BK116" i="1"/>
  <c r="BK115" i="1"/>
  <c r="BK117" i="1"/>
  <c r="BJ112" i="1"/>
  <c r="BJ105" i="1"/>
  <c r="BJ121" i="1"/>
  <c r="BJ79" i="1"/>
  <c r="BM82" i="1" s="1"/>
  <c r="BJ120" i="1"/>
  <c r="BK107" i="1"/>
  <c r="BK108" i="1"/>
  <c r="BK109" i="1"/>
  <c r="BI78" i="1"/>
  <c r="BH76" i="1"/>
  <c r="BG76" i="1" l="1"/>
  <c r="BH78" i="1"/>
  <c r="BJ107" i="1"/>
  <c r="BJ109" i="1"/>
  <c r="BJ108" i="1"/>
  <c r="BI79" i="1"/>
  <c r="BL82" i="1" s="1"/>
  <c r="BI120" i="1"/>
  <c r="BI105" i="1"/>
  <c r="BI121" i="1"/>
  <c r="BI112" i="1"/>
  <c r="BJ115" i="1"/>
  <c r="BJ117" i="1"/>
  <c r="BJ116" i="1"/>
  <c r="BM98" i="1"/>
  <c r="BQ83" i="1"/>
  <c r="BM100" i="1"/>
  <c r="BM99" i="1"/>
  <c r="BP103" i="1" s="1"/>
  <c r="BI102" i="1"/>
  <c r="W193" i="1"/>
  <c r="BI107" i="1" l="1"/>
  <c r="BI109" i="1"/>
  <c r="BI108" i="1"/>
  <c r="BI116" i="1"/>
  <c r="BI115" i="1"/>
  <c r="BI117" i="1"/>
  <c r="BL100" i="1"/>
  <c r="BL99" i="1"/>
  <c r="BO103" i="1" s="1"/>
  <c r="BL98" i="1"/>
  <c r="BP83" i="1"/>
  <c r="BH102" i="1"/>
  <c r="BH121" i="1"/>
  <c r="BH79" i="1"/>
  <c r="BK82" i="1" s="1"/>
  <c r="BH120" i="1"/>
  <c r="BH105" i="1"/>
  <c r="BH112" i="1"/>
  <c r="BF76" i="1"/>
  <c r="BG78" i="1"/>
  <c r="W196" i="1"/>
  <c r="W169" i="1"/>
  <c r="X210" i="1" s="1"/>
  <c r="BH108" i="1" l="1"/>
  <c r="BH109" i="1"/>
  <c r="BH107" i="1"/>
  <c r="BH116" i="1"/>
  <c r="BH117" i="1"/>
  <c r="BH115" i="1"/>
  <c r="BG120" i="1"/>
  <c r="BG105" i="1"/>
  <c r="BG121" i="1"/>
  <c r="BG112" i="1"/>
  <c r="BG79" i="1"/>
  <c r="BJ82" i="1" s="1"/>
  <c r="BF78" i="1"/>
  <c r="BE76" i="1"/>
  <c r="BK98" i="1"/>
  <c r="BG102" i="1"/>
  <c r="BO83" i="1"/>
  <c r="BK99" i="1"/>
  <c r="BN103" i="1" s="1"/>
  <c r="BK100" i="1"/>
  <c r="W198" i="1"/>
  <c r="W197" i="1" s="1"/>
  <c r="W210" i="1"/>
  <c r="W161" i="1"/>
  <c r="X209" i="1" s="1"/>
  <c r="X211" i="1" s="1"/>
  <c r="X212" i="1" s="1"/>
  <c r="X226" i="1" s="1"/>
  <c r="W192" i="1"/>
  <c r="BF120" i="1" l="1"/>
  <c r="BF112" i="1"/>
  <c r="BF105" i="1"/>
  <c r="BF121" i="1"/>
  <c r="BF79" i="1"/>
  <c r="BI82" i="1" s="1"/>
  <c r="BG109" i="1"/>
  <c r="BG107" i="1"/>
  <c r="BG108" i="1"/>
  <c r="BJ99" i="1"/>
  <c r="BM103" i="1" s="1"/>
  <c r="BN83" i="1"/>
  <c r="BF102" i="1"/>
  <c r="BJ100" i="1"/>
  <c r="BJ98" i="1"/>
  <c r="BG115" i="1"/>
  <c r="BG116" i="1"/>
  <c r="BG117" i="1"/>
  <c r="BE78" i="1"/>
  <c r="BD76" i="1"/>
  <c r="W195" i="1"/>
  <c r="W170" i="1"/>
  <c r="W209" i="1"/>
  <c r="W211" i="1" s="1"/>
  <c r="W212" i="1" s="1"/>
  <c r="BF109" i="1" l="1"/>
  <c r="BF107" i="1"/>
  <c r="BF108" i="1"/>
  <c r="BC76" i="1"/>
  <c r="BD78" i="1"/>
  <c r="BF116" i="1"/>
  <c r="BF117" i="1"/>
  <c r="BF115" i="1"/>
  <c r="BE121" i="1"/>
  <c r="BE120" i="1"/>
  <c r="BE112" i="1"/>
  <c r="BE105" i="1"/>
  <c r="BE79" i="1"/>
  <c r="BH82" i="1" s="1"/>
  <c r="BM83" i="1"/>
  <c r="BI99" i="1"/>
  <c r="BL103" i="1" s="1"/>
  <c r="BI98" i="1"/>
  <c r="BE102" i="1"/>
  <c r="BI100" i="1"/>
  <c r="W194" i="1"/>
  <c r="W199" i="1"/>
  <c r="W223" i="1"/>
  <c r="W226" i="1"/>
  <c r="BE109" i="1" l="1"/>
  <c r="BE107" i="1"/>
  <c r="BE108" i="1"/>
  <c r="BB76" i="1"/>
  <c r="BC78" i="1"/>
  <c r="BE116" i="1"/>
  <c r="BE115" i="1"/>
  <c r="BE117" i="1"/>
  <c r="BH100" i="1"/>
  <c r="BL83" i="1"/>
  <c r="BH99" i="1"/>
  <c r="BK103" i="1" s="1"/>
  <c r="BH98" i="1"/>
  <c r="BD102" i="1"/>
  <c r="BD112" i="1"/>
  <c r="BD79" i="1"/>
  <c r="BG82" i="1" s="1"/>
  <c r="BD121" i="1"/>
  <c r="BD105" i="1"/>
  <c r="BD120" i="1"/>
  <c r="W202" i="1"/>
  <c r="W203" i="1" s="1"/>
  <c r="X202" i="1"/>
  <c r="X203" i="1" s="1"/>
  <c r="BG100" i="1" l="1"/>
  <c r="BC102" i="1"/>
  <c r="BK83" i="1"/>
  <c r="BG99" i="1"/>
  <c r="BJ103" i="1" s="1"/>
  <c r="BG98" i="1"/>
  <c r="BA76" i="1"/>
  <c r="BB78" i="1"/>
  <c r="BD115" i="1"/>
  <c r="BD117" i="1"/>
  <c r="BD116" i="1"/>
  <c r="BD107" i="1"/>
  <c r="BD108" i="1"/>
  <c r="BD109" i="1"/>
  <c r="BC120" i="1"/>
  <c r="BC105" i="1"/>
  <c r="BC121" i="1"/>
  <c r="BC112" i="1"/>
  <c r="BC79" i="1"/>
  <c r="BF82" i="1" s="1"/>
  <c r="W174" i="1"/>
  <c r="BC107" i="1" l="1"/>
  <c r="BC108" i="1"/>
  <c r="BC109" i="1"/>
  <c r="BB79" i="1"/>
  <c r="BE82" i="1" s="1"/>
  <c r="BB112" i="1"/>
  <c r="BB121" i="1"/>
  <c r="BB105" i="1"/>
  <c r="BB120" i="1"/>
  <c r="BF98" i="1"/>
  <c r="BF99" i="1"/>
  <c r="BI103" i="1" s="1"/>
  <c r="BB102" i="1"/>
  <c r="BF100" i="1"/>
  <c r="BJ83" i="1"/>
  <c r="BA78" i="1"/>
  <c r="AZ76" i="1"/>
  <c r="BC117" i="1"/>
  <c r="BC115" i="1"/>
  <c r="BC116" i="1"/>
  <c r="X222" i="1"/>
  <c r="X223" i="1" s="1"/>
  <c r="X224" i="1" s="1"/>
  <c r="W259" i="1"/>
  <c r="W261" i="1"/>
  <c r="W257" i="1"/>
  <c r="W181" i="1"/>
  <c r="W122" i="1" s="1"/>
  <c r="W178" i="1"/>
  <c r="W224" i="1"/>
  <c r="BI83" i="1" l="1"/>
  <c r="BE98" i="1"/>
  <c r="BE100" i="1"/>
  <c r="BE99" i="1"/>
  <c r="BH103" i="1" s="1"/>
  <c r="BA102" i="1"/>
  <c r="AY76" i="1"/>
  <c r="AZ78" i="1"/>
  <c r="BB109" i="1"/>
  <c r="BB108" i="1"/>
  <c r="BB107" i="1"/>
  <c r="BA112" i="1"/>
  <c r="BA79" i="1"/>
  <c r="BD82" i="1" s="1"/>
  <c r="BA121" i="1"/>
  <c r="BA105" i="1"/>
  <c r="BA120" i="1"/>
  <c r="BB116" i="1"/>
  <c r="BB115" i="1"/>
  <c r="BB117" i="1"/>
  <c r="W179" i="1"/>
  <c r="BD99" i="1" l="1"/>
  <c r="BG103" i="1" s="1"/>
  <c r="BD98" i="1"/>
  <c r="BD100" i="1"/>
  <c r="BH83" i="1"/>
  <c r="AZ102" i="1"/>
  <c r="BA116" i="1"/>
  <c r="BA117" i="1"/>
  <c r="BA115" i="1"/>
  <c r="AZ120" i="1"/>
  <c r="AZ105" i="1"/>
  <c r="AZ121" i="1"/>
  <c r="AZ112" i="1"/>
  <c r="AZ79" i="1"/>
  <c r="BC82" i="1" s="1"/>
  <c r="BA108" i="1"/>
  <c r="BA107" i="1"/>
  <c r="BA109" i="1"/>
  <c r="AY78" i="1"/>
  <c r="AX76" i="1"/>
  <c r="C113" i="2"/>
  <c r="C111" i="2"/>
  <c r="C112" i="2"/>
  <c r="AZ117" i="1" l="1"/>
  <c r="AZ115" i="1"/>
  <c r="AZ116" i="1"/>
  <c r="AW76" i="1"/>
  <c r="AX78" i="1"/>
  <c r="AZ109" i="1"/>
  <c r="AZ107" i="1"/>
  <c r="AZ108" i="1"/>
  <c r="AY120" i="1"/>
  <c r="AY105" i="1"/>
  <c r="AY121" i="1"/>
  <c r="AY112" i="1"/>
  <c r="AY79" i="1"/>
  <c r="BB82" i="1" s="1"/>
  <c r="BC100" i="1"/>
  <c r="AY102" i="1"/>
  <c r="BC98" i="1"/>
  <c r="BC99" i="1"/>
  <c r="BF103" i="1" s="1"/>
  <c r="BG83" i="1"/>
  <c r="B86" i="1"/>
  <c r="B87" i="1"/>
  <c r="AY117" i="1" l="1"/>
  <c r="AY115" i="1"/>
  <c r="AY116" i="1"/>
  <c r="AV76" i="1"/>
  <c r="AW78" i="1"/>
  <c r="AY107" i="1"/>
  <c r="AY108" i="1"/>
  <c r="AY109" i="1"/>
  <c r="BB100" i="1"/>
  <c r="BB98" i="1"/>
  <c r="BB99" i="1"/>
  <c r="BE103" i="1" s="1"/>
  <c r="AX102" i="1"/>
  <c r="BF83" i="1"/>
  <c r="AX79" i="1"/>
  <c r="BA82" i="1" s="1"/>
  <c r="AX120" i="1"/>
  <c r="AX105" i="1"/>
  <c r="AX121" i="1"/>
  <c r="AX112" i="1"/>
  <c r="AX107" i="1" l="1"/>
  <c r="AX108" i="1"/>
  <c r="AX109" i="1"/>
  <c r="AU76" i="1"/>
  <c r="AV78" i="1"/>
  <c r="AX116" i="1"/>
  <c r="AX115" i="1"/>
  <c r="AX117" i="1"/>
  <c r="BA98" i="1"/>
  <c r="AW102" i="1"/>
  <c r="BA99" i="1"/>
  <c r="BD103" i="1" s="1"/>
  <c r="BA100" i="1"/>
  <c r="BE83" i="1"/>
  <c r="AW121" i="1"/>
  <c r="AW105" i="1"/>
  <c r="AW120" i="1"/>
  <c r="AW79" i="1"/>
  <c r="AZ82" i="1" s="1"/>
  <c r="AW112" i="1"/>
  <c r="AL209" i="1"/>
  <c r="AK209" i="1"/>
  <c r="AT76" i="1" l="1"/>
  <c r="AU78" i="1"/>
  <c r="AW108" i="1"/>
  <c r="AW107" i="1"/>
  <c r="AW109" i="1"/>
  <c r="AW117" i="1"/>
  <c r="AW116" i="1"/>
  <c r="AW115" i="1"/>
  <c r="AZ100" i="1"/>
  <c r="AZ99" i="1"/>
  <c r="BC103" i="1" s="1"/>
  <c r="AV102" i="1"/>
  <c r="BD83" i="1"/>
  <c r="AZ98" i="1"/>
  <c r="AV112" i="1"/>
  <c r="AV79" i="1"/>
  <c r="AY82" i="1" s="1"/>
  <c r="AV121" i="1"/>
  <c r="AV105" i="1"/>
  <c r="AV120" i="1"/>
  <c r="AN209" i="1"/>
  <c r="AM209" i="1"/>
  <c r="AY99" i="1" l="1"/>
  <c r="BB103" i="1" s="1"/>
  <c r="AU102" i="1"/>
  <c r="AY98" i="1"/>
  <c r="BC83" i="1"/>
  <c r="AY100" i="1"/>
  <c r="AU121" i="1"/>
  <c r="AU105" i="1"/>
  <c r="AU112" i="1"/>
  <c r="AU79" i="1"/>
  <c r="AX82" i="1" s="1"/>
  <c r="AU120" i="1"/>
  <c r="AV116" i="1"/>
  <c r="AV117" i="1"/>
  <c r="AV115" i="1"/>
  <c r="AV107" i="1"/>
  <c r="AV109" i="1"/>
  <c r="AV108" i="1"/>
  <c r="AS76" i="1"/>
  <c r="AT78" i="1"/>
  <c r="AP209" i="1"/>
  <c r="AO209" i="1"/>
  <c r="AU115" i="1" l="1"/>
  <c r="AU117" i="1"/>
  <c r="AU116" i="1"/>
  <c r="AU109" i="1"/>
  <c r="AU108" i="1"/>
  <c r="AU107" i="1"/>
  <c r="AT112" i="1"/>
  <c r="AT79" i="1"/>
  <c r="AW82" i="1" s="1"/>
  <c r="AT120" i="1"/>
  <c r="AT121" i="1"/>
  <c r="AT105" i="1"/>
  <c r="AS78" i="1"/>
  <c r="AR76" i="1"/>
  <c r="AX98" i="1"/>
  <c r="AX100" i="1"/>
  <c r="AT102" i="1"/>
  <c r="BB83" i="1"/>
  <c r="AX99" i="1"/>
  <c r="BA103" i="1" s="1"/>
  <c r="AR209" i="1"/>
  <c r="AQ209" i="1"/>
  <c r="AS120" i="1" l="1"/>
  <c r="AS112" i="1"/>
  <c r="AS79" i="1"/>
  <c r="AV82" i="1" s="1"/>
  <c r="AS121" i="1"/>
  <c r="AS105" i="1"/>
  <c r="AW98" i="1"/>
  <c r="AW99" i="1"/>
  <c r="AZ103" i="1" s="1"/>
  <c r="AW100" i="1"/>
  <c r="AS102" i="1"/>
  <c r="BA83" i="1"/>
  <c r="AT108" i="1"/>
  <c r="AT109" i="1"/>
  <c r="AT107" i="1"/>
  <c r="AT115" i="1"/>
  <c r="AT116" i="1"/>
  <c r="AT117" i="1"/>
  <c r="AQ76" i="1"/>
  <c r="AR78" i="1"/>
  <c r="AT209" i="1"/>
  <c r="AS209" i="1"/>
  <c r="AR112" i="1" l="1"/>
  <c r="AR105" i="1"/>
  <c r="AR120" i="1"/>
  <c r="AR121" i="1"/>
  <c r="AR79" i="1"/>
  <c r="AU82" i="1" s="1"/>
  <c r="AV100" i="1"/>
  <c r="AV98" i="1"/>
  <c r="AR102" i="1"/>
  <c r="AV99" i="1"/>
  <c r="AY103" i="1" s="1"/>
  <c r="AZ83" i="1"/>
  <c r="AS117" i="1"/>
  <c r="AS116" i="1"/>
  <c r="AS115" i="1"/>
  <c r="AQ78" i="1"/>
  <c r="AP76" i="1"/>
  <c r="AS107" i="1"/>
  <c r="AS109" i="1"/>
  <c r="AS108" i="1"/>
  <c r="AV209" i="1"/>
  <c r="AU209" i="1"/>
  <c r="AP78" i="1" l="1"/>
  <c r="AO76" i="1"/>
  <c r="AQ120" i="1"/>
  <c r="AQ112" i="1"/>
  <c r="AQ79" i="1"/>
  <c r="AT82" i="1" s="1"/>
  <c r="AQ121" i="1"/>
  <c r="AQ105" i="1"/>
  <c r="AR107" i="1"/>
  <c r="AR109" i="1"/>
  <c r="AR108" i="1"/>
  <c r="AU99" i="1"/>
  <c r="AX103" i="1" s="1"/>
  <c r="AQ102" i="1"/>
  <c r="AU98" i="1"/>
  <c r="AU100" i="1"/>
  <c r="AY83" i="1"/>
  <c r="AR116" i="1"/>
  <c r="AR117" i="1"/>
  <c r="AR115" i="1"/>
  <c r="AX209" i="1"/>
  <c r="AW209" i="1"/>
  <c r="AQ117" i="1" l="1"/>
  <c r="AQ116" i="1"/>
  <c r="AQ115" i="1"/>
  <c r="AQ109" i="1"/>
  <c r="AQ107" i="1"/>
  <c r="AQ108" i="1"/>
  <c r="AO78" i="1"/>
  <c r="AN76" i="1"/>
  <c r="AT98" i="1"/>
  <c r="AT100" i="1"/>
  <c r="AX83" i="1"/>
  <c r="AP102" i="1"/>
  <c r="AT99" i="1"/>
  <c r="AW103" i="1" s="1"/>
  <c r="AP112" i="1"/>
  <c r="AP105" i="1"/>
  <c r="AP121" i="1"/>
  <c r="AP79" i="1"/>
  <c r="AS82" i="1" s="1"/>
  <c r="AP120" i="1"/>
  <c r="AZ209" i="1"/>
  <c r="AY209" i="1"/>
  <c r="AN78" i="1" l="1"/>
  <c r="AM76" i="1"/>
  <c r="AP107" i="1"/>
  <c r="AP109" i="1"/>
  <c r="AP108" i="1"/>
  <c r="AO121" i="1"/>
  <c r="AO105" i="1"/>
  <c r="AO120" i="1"/>
  <c r="AO112" i="1"/>
  <c r="AO79" i="1"/>
  <c r="AR82" i="1" s="1"/>
  <c r="AP115" i="1"/>
  <c r="AP117" i="1"/>
  <c r="AP116" i="1"/>
  <c r="AS98" i="1"/>
  <c r="AO102" i="1"/>
  <c r="AS99" i="1"/>
  <c r="AV103" i="1" s="1"/>
  <c r="AW83" i="1"/>
  <c r="AS100" i="1"/>
  <c r="BB209" i="1"/>
  <c r="BA209" i="1"/>
  <c r="AO107" i="1" l="1"/>
  <c r="AO108" i="1"/>
  <c r="AO109" i="1"/>
  <c r="AN102" i="1"/>
  <c r="AR98" i="1"/>
  <c r="AV83" i="1"/>
  <c r="AR100" i="1"/>
  <c r="AR99" i="1"/>
  <c r="AU103" i="1" s="1"/>
  <c r="AM78" i="1"/>
  <c r="AL76" i="1"/>
  <c r="AO115" i="1"/>
  <c r="AO117" i="1"/>
  <c r="AO116" i="1"/>
  <c r="AN79" i="1"/>
  <c r="AQ82" i="1" s="1"/>
  <c r="AN120" i="1"/>
  <c r="AN121" i="1"/>
  <c r="AN105" i="1"/>
  <c r="AN112" i="1"/>
  <c r="BD209" i="1"/>
  <c r="BC209" i="1"/>
  <c r="AQ98" i="1" l="1"/>
  <c r="AU83" i="1"/>
  <c r="AM102" i="1"/>
  <c r="AQ99" i="1"/>
  <c r="AT103" i="1" s="1"/>
  <c r="AQ100" i="1"/>
  <c r="AK76" i="1"/>
  <c r="AL78" i="1"/>
  <c r="AN115" i="1"/>
  <c r="AN116" i="1"/>
  <c r="AN117" i="1"/>
  <c r="AN108" i="1"/>
  <c r="AN109" i="1"/>
  <c r="AN107" i="1"/>
  <c r="AM121" i="1"/>
  <c r="AM120" i="1"/>
  <c r="AM79" i="1"/>
  <c r="AP82" i="1" s="1"/>
  <c r="AM112" i="1"/>
  <c r="AM105" i="1"/>
  <c r="BF209" i="1"/>
  <c r="BE209" i="1"/>
  <c r="AL120" i="1" l="1"/>
  <c r="AL79" i="1"/>
  <c r="AO82" i="1" s="1"/>
  <c r="AL105" i="1"/>
  <c r="AL121" i="1"/>
  <c r="AL112" i="1"/>
  <c r="AJ76" i="1"/>
  <c r="AK78" i="1"/>
  <c r="AK79" i="1" s="1"/>
  <c r="AM115" i="1"/>
  <c r="AM116" i="1"/>
  <c r="AM117" i="1"/>
  <c r="AM109" i="1"/>
  <c r="AM108" i="1"/>
  <c r="AM107" i="1"/>
  <c r="AL102" i="1"/>
  <c r="AP98" i="1"/>
  <c r="AT83" i="1"/>
  <c r="AP100" i="1"/>
  <c r="AP99" i="1"/>
  <c r="AS103" i="1" s="1"/>
  <c r="BH209" i="1"/>
  <c r="BG209" i="1"/>
  <c r="AN82" i="1" l="1"/>
  <c r="AN99" i="1" s="1"/>
  <c r="AL109" i="1"/>
  <c r="AL108" i="1"/>
  <c r="AL107" i="1"/>
  <c r="AO100" i="1"/>
  <c r="AO98" i="1"/>
  <c r="AS83" i="1"/>
  <c r="AO99" i="1"/>
  <c r="AR103" i="1" s="1"/>
  <c r="AI76" i="1"/>
  <c r="AI78" i="1" s="1"/>
  <c r="AI79" i="1" s="1"/>
  <c r="AJ78" i="1"/>
  <c r="AJ79" i="1" s="1"/>
  <c r="AM82" i="1" s="1"/>
  <c r="AL115" i="1"/>
  <c r="AL117" i="1"/>
  <c r="AL116" i="1"/>
  <c r="BJ209" i="1"/>
  <c r="BI209" i="1"/>
  <c r="AQ103" i="1" l="1"/>
  <c r="AR83" i="1"/>
  <c r="AN100" i="1"/>
  <c r="AN98" i="1"/>
  <c r="AL82" i="1"/>
  <c r="AL98" i="1" s="1"/>
  <c r="AM98" i="1"/>
  <c r="AQ83" i="1"/>
  <c r="AM100" i="1"/>
  <c r="AM99" i="1"/>
  <c r="AP103" i="1" s="1"/>
  <c r="BL209" i="1"/>
  <c r="BK209" i="1"/>
  <c r="AL99" i="1" l="1"/>
  <c r="AO103" i="1" s="1"/>
  <c r="AL100" i="1"/>
  <c r="AP83" i="1"/>
  <c r="BN209" i="1"/>
  <c r="BM209" i="1"/>
  <c r="BP209" i="1" l="1"/>
  <c r="BO209" i="1"/>
  <c r="BR209" i="1" l="1"/>
  <c r="BQ209" i="1"/>
  <c r="BT209" i="1" l="1"/>
  <c r="BS209" i="1"/>
  <c r="BV209" i="1" l="1"/>
  <c r="BU209" i="1"/>
  <c r="BX209" i="1" l="1"/>
  <c r="BW209" i="1"/>
  <c r="BZ209" i="1" l="1"/>
  <c r="BY209" i="1"/>
  <c r="AL210" i="1" l="1"/>
  <c r="AL211" i="1" s="1"/>
  <c r="AL212" i="1" s="1"/>
  <c r="AL226" i="1" s="1"/>
  <c r="AK210" i="1"/>
  <c r="AK211" i="1" s="1"/>
  <c r="AK212" i="1" s="1"/>
  <c r="AK226" i="1" l="1"/>
  <c r="AK223" i="1"/>
  <c r="AN210" i="1"/>
  <c r="AN211" i="1" s="1"/>
  <c r="AN212" i="1" s="1"/>
  <c r="AN226" i="1" s="1"/>
  <c r="AM210" i="1"/>
  <c r="AM211" i="1" s="1"/>
  <c r="AM212" i="1" s="1"/>
  <c r="AN202" i="1"/>
  <c r="AP210" i="1" l="1"/>
  <c r="AP211" i="1" s="1"/>
  <c r="AP212" i="1" s="1"/>
  <c r="AP226" i="1" s="1"/>
  <c r="AO210" i="1"/>
  <c r="AO211" i="1" s="1"/>
  <c r="AO212" i="1" s="1"/>
  <c r="AM226" i="1"/>
  <c r="AL222" i="1" l="1"/>
  <c r="AL223" i="1" s="1"/>
  <c r="AK224" i="1"/>
  <c r="AO202" i="1"/>
  <c r="AO226" i="1"/>
  <c r="AL50" i="1"/>
  <c r="AL173" i="1" l="1"/>
  <c r="AL174" i="1" s="1"/>
  <c r="AN222" i="1"/>
  <c r="AN223" i="1" s="1"/>
  <c r="AM261" i="1"/>
  <c r="AM259" i="1"/>
  <c r="AM257" i="1"/>
  <c r="AR210" i="1"/>
  <c r="AR211" i="1" s="1"/>
  <c r="AR212" i="1" s="1"/>
  <c r="AR226" i="1" s="1"/>
  <c r="AQ210" i="1"/>
  <c r="AQ211" i="1" s="1"/>
  <c r="AQ212" i="1" s="1"/>
  <c r="AL178" i="1" l="1"/>
  <c r="AL179" i="1" s="1"/>
  <c r="AL181" i="1"/>
  <c r="AM222" i="1"/>
  <c r="AM223" i="1" s="1"/>
  <c r="AM224" i="1" s="1"/>
  <c r="AL261" i="1"/>
  <c r="AL259" i="1"/>
  <c r="AL257" i="1"/>
  <c r="AL224" i="1"/>
  <c r="AN173" i="1"/>
  <c r="AN174" i="1" s="1"/>
  <c r="AO259" i="1"/>
  <c r="AO261" i="1"/>
  <c r="AO257" i="1"/>
  <c r="AM122" i="1"/>
  <c r="AM123" i="1" s="1"/>
  <c r="AM126" i="1" s="1"/>
  <c r="AN50" i="1"/>
  <c r="AQ202" i="1"/>
  <c r="AQ226" i="1"/>
  <c r="AP222" i="1"/>
  <c r="AP223" i="1" s="1"/>
  <c r="AM50" i="1" l="1"/>
  <c r="AL122" i="1"/>
  <c r="AP173" i="1"/>
  <c r="AP174" i="1" s="1"/>
  <c r="AN178" i="1"/>
  <c r="AN179" i="1" s="1"/>
  <c r="AN181" i="1"/>
  <c r="AO222" i="1"/>
  <c r="AO223" i="1" s="1"/>
  <c r="AO224" i="1" s="1"/>
  <c r="AN261" i="1"/>
  <c r="AN259" i="1"/>
  <c r="AN257" i="1"/>
  <c r="AN224" i="1"/>
  <c r="AM124" i="1"/>
  <c r="AM127" i="1" s="1"/>
  <c r="AO122" i="1"/>
  <c r="AO124" i="1" s="1"/>
  <c r="AO127" i="1" s="1"/>
  <c r="AP50" i="1"/>
  <c r="AT210" i="1"/>
  <c r="AT211" i="1" s="1"/>
  <c r="AT212" i="1" s="1"/>
  <c r="AT226" i="1" s="1"/>
  <c r="AS210" i="1"/>
  <c r="AS211" i="1" s="1"/>
  <c r="AS212" i="1" s="1"/>
  <c r="AL123" i="1" l="1"/>
  <c r="AL126" i="1" s="1"/>
  <c r="AL124" i="1"/>
  <c r="AL127" i="1" s="1"/>
  <c r="AP178" i="1"/>
  <c r="AP179" i="1" s="1"/>
  <c r="AP181" i="1"/>
  <c r="AQ222" i="1"/>
  <c r="AQ223" i="1" s="1"/>
  <c r="AQ224" i="1" s="1"/>
  <c r="AP259" i="1"/>
  <c r="AP261" i="1"/>
  <c r="AP257" i="1"/>
  <c r="AO50" i="1"/>
  <c r="AN122" i="1"/>
  <c r="AP224" i="1"/>
  <c r="AQ259" i="1"/>
  <c r="AQ261" i="1"/>
  <c r="AQ257" i="1"/>
  <c r="AO123" i="1"/>
  <c r="AO126" i="1" s="1"/>
  <c r="AS202" i="1"/>
  <c r="AS226" i="1"/>
  <c r="AR222" i="1"/>
  <c r="AR223" i="1" s="1"/>
  <c r="AP122" i="1" l="1"/>
  <c r="AQ50" i="1"/>
  <c r="AN123" i="1"/>
  <c r="AN126" i="1" s="1"/>
  <c r="AN124" i="1"/>
  <c r="AN127" i="1" s="1"/>
  <c r="AR173" i="1"/>
  <c r="AR174" i="1" s="1"/>
  <c r="AQ122" i="1"/>
  <c r="AQ123" i="1" s="1"/>
  <c r="AQ126" i="1" s="1"/>
  <c r="AR50" i="1"/>
  <c r="AV210" i="1"/>
  <c r="AV211" i="1" s="1"/>
  <c r="AV212" i="1" s="1"/>
  <c r="AV226" i="1" s="1"/>
  <c r="AU210" i="1"/>
  <c r="AU211" i="1" s="1"/>
  <c r="AU212" i="1" s="1"/>
  <c r="AP124" i="1" l="1"/>
  <c r="AP127" i="1" s="1"/>
  <c r="AP123" i="1"/>
  <c r="AP126" i="1" s="1"/>
  <c r="AR181" i="1"/>
  <c r="AR178" i="1"/>
  <c r="AR179" i="1" s="1"/>
  <c r="AS222" i="1"/>
  <c r="AS223" i="1" s="1"/>
  <c r="AS224" i="1" s="1"/>
  <c r="AR261" i="1"/>
  <c r="AR257" i="1"/>
  <c r="AR259" i="1"/>
  <c r="AR224" i="1"/>
  <c r="AS261" i="1"/>
  <c r="AS259" i="1"/>
  <c r="AS257" i="1"/>
  <c r="AQ124" i="1"/>
  <c r="AQ127" i="1" s="1"/>
  <c r="AU202" i="1"/>
  <c r="AU226" i="1"/>
  <c r="AT222" i="1"/>
  <c r="AT223" i="1" s="1"/>
  <c r="AT173" i="1" l="1"/>
  <c r="AT174" i="1" s="1"/>
  <c r="AS50" i="1"/>
  <c r="AR122" i="1"/>
  <c r="AS122" i="1"/>
  <c r="AS123" i="1" s="1"/>
  <c r="AS126" i="1" s="1"/>
  <c r="AT50" i="1"/>
  <c r="AW202" i="1"/>
  <c r="AX210" i="1"/>
  <c r="AX211" i="1" s="1"/>
  <c r="AX212" i="1" s="1"/>
  <c r="AX226" i="1" s="1"/>
  <c r="AW210" i="1"/>
  <c r="AW211" i="1" s="1"/>
  <c r="AW212" i="1" s="1"/>
  <c r="AR124" i="1" l="1"/>
  <c r="AR127" i="1" s="1"/>
  <c r="AR123" i="1"/>
  <c r="AR126" i="1" s="1"/>
  <c r="AT178" i="1"/>
  <c r="AT179" i="1" s="1"/>
  <c r="AT181" i="1"/>
  <c r="AU222" i="1"/>
  <c r="AU223" i="1" s="1"/>
  <c r="AU224" i="1" s="1"/>
  <c r="AT261" i="1"/>
  <c r="AT259" i="1"/>
  <c r="AT257" i="1"/>
  <c r="AT224" i="1"/>
  <c r="AU261" i="1"/>
  <c r="AU259" i="1"/>
  <c r="AU257" i="1"/>
  <c r="AS124" i="1"/>
  <c r="AS127" i="1" s="1"/>
  <c r="AW226" i="1"/>
  <c r="AV222" i="1"/>
  <c r="AV223" i="1" s="1"/>
  <c r="AU50" i="1" l="1"/>
  <c r="AT122" i="1"/>
  <c r="AV173" i="1"/>
  <c r="AV174" i="1" s="1"/>
  <c r="AU122" i="1"/>
  <c r="AU124" i="1" s="1"/>
  <c r="AU127" i="1" s="1"/>
  <c r="AV50" i="1"/>
  <c r="AZ210" i="1"/>
  <c r="AZ211" i="1" s="1"/>
  <c r="AZ212" i="1" s="1"/>
  <c r="AZ226" i="1" s="1"/>
  <c r="AY210" i="1"/>
  <c r="AY211" i="1" s="1"/>
  <c r="AY212" i="1" s="1"/>
  <c r="AT124" i="1" l="1"/>
  <c r="AT127" i="1" s="1"/>
  <c r="AT123" i="1"/>
  <c r="AT126" i="1" s="1"/>
  <c r="AV181" i="1"/>
  <c r="AV178" i="1"/>
  <c r="AV179" i="1" s="1"/>
  <c r="AW222" i="1"/>
  <c r="AW223" i="1" s="1"/>
  <c r="AW224" i="1" s="1"/>
  <c r="AV257" i="1"/>
  <c r="AV261" i="1"/>
  <c r="AV259" i="1"/>
  <c r="AV224" i="1"/>
  <c r="AW259" i="1"/>
  <c r="AW261" i="1"/>
  <c r="AW257" i="1"/>
  <c r="AU123" i="1"/>
  <c r="AU126" i="1" s="1"/>
  <c r="AY202" i="1"/>
  <c r="AY226" i="1"/>
  <c r="AX222" i="1"/>
  <c r="AX223" i="1" s="1"/>
  <c r="AX173" i="1" l="1"/>
  <c r="AX174" i="1" s="1"/>
  <c r="AV122" i="1"/>
  <c r="AW50" i="1"/>
  <c r="AW122" i="1"/>
  <c r="AW124" i="1" s="1"/>
  <c r="AW127" i="1" s="1"/>
  <c r="AX50" i="1"/>
  <c r="BB210" i="1"/>
  <c r="BB211" i="1" s="1"/>
  <c r="BB212" i="1" s="1"/>
  <c r="BB226" i="1" s="1"/>
  <c r="BA210" i="1"/>
  <c r="BA211" i="1" s="1"/>
  <c r="BA212" i="1" s="1"/>
  <c r="AX178" i="1" l="1"/>
  <c r="AX179" i="1" s="1"/>
  <c r="AX181" i="1"/>
  <c r="AY222" i="1"/>
  <c r="AY223" i="1" s="1"/>
  <c r="AY224" i="1" s="1"/>
  <c r="AX261" i="1"/>
  <c r="AX257" i="1"/>
  <c r="AX259" i="1"/>
  <c r="AV123" i="1"/>
  <c r="AV126" i="1" s="1"/>
  <c r="AV124" i="1"/>
  <c r="AV127" i="1" s="1"/>
  <c r="AX224" i="1"/>
  <c r="AY259" i="1"/>
  <c r="AY261" i="1"/>
  <c r="AY257" i="1"/>
  <c r="AW123" i="1"/>
  <c r="AW126" i="1" s="1"/>
  <c r="BA202" i="1"/>
  <c r="BA226" i="1"/>
  <c r="AZ222" i="1"/>
  <c r="AZ223" i="1" s="1"/>
  <c r="AY50" i="1" l="1"/>
  <c r="AX122" i="1"/>
  <c r="AZ173" i="1"/>
  <c r="AZ174" i="1" s="1"/>
  <c r="AY122" i="1"/>
  <c r="AY124" i="1" s="1"/>
  <c r="AY127" i="1" s="1"/>
  <c r="AZ50" i="1"/>
  <c r="BD210" i="1"/>
  <c r="BD211" i="1" s="1"/>
  <c r="BD212" i="1" s="1"/>
  <c r="BD226" i="1" s="1"/>
  <c r="BC210" i="1"/>
  <c r="BC211" i="1" s="1"/>
  <c r="BC212" i="1" s="1"/>
  <c r="AX124" i="1" l="1"/>
  <c r="AX127" i="1" s="1"/>
  <c r="AX123" i="1"/>
  <c r="AX126" i="1" s="1"/>
  <c r="AZ181" i="1"/>
  <c r="AZ178" i="1"/>
  <c r="AZ179" i="1" s="1"/>
  <c r="BA222" i="1"/>
  <c r="BA223" i="1" s="1"/>
  <c r="BA224" i="1" s="1"/>
  <c r="AZ257" i="1"/>
  <c r="AZ261" i="1"/>
  <c r="AZ259" i="1"/>
  <c r="AZ224" i="1"/>
  <c r="BA261" i="1"/>
  <c r="BA259" i="1"/>
  <c r="BA257" i="1"/>
  <c r="AY123" i="1"/>
  <c r="AY126" i="1" s="1"/>
  <c r="BC202" i="1"/>
  <c r="BC226" i="1"/>
  <c r="BB222" i="1"/>
  <c r="BB223" i="1" s="1"/>
  <c r="BB173" i="1" l="1"/>
  <c r="BB174" i="1" s="1"/>
  <c r="AZ122" i="1"/>
  <c r="BA50" i="1"/>
  <c r="BA122" i="1"/>
  <c r="BA123" i="1" s="1"/>
  <c r="BA126" i="1" s="1"/>
  <c r="BB50" i="1"/>
  <c r="BF210" i="1"/>
  <c r="BF211" i="1" s="1"/>
  <c r="BF212" i="1" s="1"/>
  <c r="BF226" i="1" s="1"/>
  <c r="BE210" i="1"/>
  <c r="BE211" i="1" s="1"/>
  <c r="BE212" i="1" s="1"/>
  <c r="BB178" i="1" l="1"/>
  <c r="BB179" i="1" s="1"/>
  <c r="BB181" i="1"/>
  <c r="BC222" i="1"/>
  <c r="BC223" i="1" s="1"/>
  <c r="BC224" i="1" s="1"/>
  <c r="BB257" i="1"/>
  <c r="BB261" i="1"/>
  <c r="BB259" i="1"/>
  <c r="AZ123" i="1"/>
  <c r="AZ126" i="1" s="1"/>
  <c r="AZ124" i="1"/>
  <c r="AZ127" i="1" s="1"/>
  <c r="BB224" i="1"/>
  <c r="BC261" i="1"/>
  <c r="BC259" i="1"/>
  <c r="BC257" i="1"/>
  <c r="BA124" i="1"/>
  <c r="BA127" i="1" s="1"/>
  <c r="BE202" i="1"/>
  <c r="BE226" i="1"/>
  <c r="BD222" i="1"/>
  <c r="BD223" i="1" s="1"/>
  <c r="BB122" i="1" l="1"/>
  <c r="BC50" i="1"/>
  <c r="BD173" i="1"/>
  <c r="BD174" i="1" s="1"/>
  <c r="BC122" i="1"/>
  <c r="BC123" i="1" s="1"/>
  <c r="BC126" i="1" s="1"/>
  <c r="BD50" i="1"/>
  <c r="BG202" i="1"/>
  <c r="BH210" i="1"/>
  <c r="BH211" i="1" s="1"/>
  <c r="BH212" i="1" s="1"/>
  <c r="BH226" i="1" s="1"/>
  <c r="BG210" i="1"/>
  <c r="BG211" i="1" s="1"/>
  <c r="BG212" i="1" s="1"/>
  <c r="BB124" i="1" l="1"/>
  <c r="BB127" i="1" s="1"/>
  <c r="BB123" i="1"/>
  <c r="BB126" i="1" s="1"/>
  <c r="BD181" i="1"/>
  <c r="BD178" i="1"/>
  <c r="BD179" i="1" s="1"/>
  <c r="BE222" i="1"/>
  <c r="BE223" i="1" s="1"/>
  <c r="BE224" i="1" s="1"/>
  <c r="BD261" i="1"/>
  <c r="BD259" i="1"/>
  <c r="BD257" i="1"/>
  <c r="BD224" i="1"/>
  <c r="BE259" i="1"/>
  <c r="BE261" i="1"/>
  <c r="BE257" i="1"/>
  <c r="BC124" i="1"/>
  <c r="BC127" i="1" s="1"/>
  <c r="BG226" i="1"/>
  <c r="BF222" i="1"/>
  <c r="BF223" i="1" s="1"/>
  <c r="BF173" i="1" l="1"/>
  <c r="BF174" i="1" s="1"/>
  <c r="BD122" i="1"/>
  <c r="BE50" i="1"/>
  <c r="BE122" i="1"/>
  <c r="BE123" i="1" s="1"/>
  <c r="BE126" i="1" s="1"/>
  <c r="BF50" i="1"/>
  <c r="BJ210" i="1"/>
  <c r="BJ211" i="1" s="1"/>
  <c r="BJ212" i="1" s="1"/>
  <c r="BJ226" i="1" s="1"/>
  <c r="BI210" i="1"/>
  <c r="BI211" i="1" s="1"/>
  <c r="BI212" i="1" s="1"/>
  <c r="BD124" i="1" l="1"/>
  <c r="BD127" i="1" s="1"/>
  <c r="BD123" i="1"/>
  <c r="BD126" i="1" s="1"/>
  <c r="BF178" i="1"/>
  <c r="BF179" i="1" s="1"/>
  <c r="BF181" i="1"/>
  <c r="BG222" i="1"/>
  <c r="BG223" i="1" s="1"/>
  <c r="BG224" i="1" s="1"/>
  <c r="BF261" i="1"/>
  <c r="BF259" i="1"/>
  <c r="BF257" i="1"/>
  <c r="BF224" i="1"/>
  <c r="BG259" i="1"/>
  <c r="BG261" i="1"/>
  <c r="BG257" i="1"/>
  <c r="BE124" i="1"/>
  <c r="BE127" i="1" s="1"/>
  <c r="BI202" i="1"/>
  <c r="BI226" i="1"/>
  <c r="BH222" i="1"/>
  <c r="BH223" i="1" s="1"/>
  <c r="BG50" i="1" l="1"/>
  <c r="BF122" i="1"/>
  <c r="BH173" i="1"/>
  <c r="BH174" i="1" s="1"/>
  <c r="BG122" i="1"/>
  <c r="BG123" i="1" s="1"/>
  <c r="BG126" i="1" s="1"/>
  <c r="BH50" i="1"/>
  <c r="BL210" i="1"/>
  <c r="BL211" i="1" s="1"/>
  <c r="BL212" i="1" s="1"/>
  <c r="BL226" i="1" s="1"/>
  <c r="BK210" i="1"/>
  <c r="BK211" i="1" s="1"/>
  <c r="BK212" i="1" s="1"/>
  <c r="BF123" i="1" l="1"/>
  <c r="BF126" i="1" s="1"/>
  <c r="BF124" i="1"/>
  <c r="BF127" i="1" s="1"/>
  <c r="BH181" i="1"/>
  <c r="BH178" i="1"/>
  <c r="BH179" i="1" s="1"/>
  <c r="BH261" i="1"/>
  <c r="BI222" i="1"/>
  <c r="BI223" i="1" s="1"/>
  <c r="BI224" i="1" s="1"/>
  <c r="BH259" i="1"/>
  <c r="BH257" i="1"/>
  <c r="BH224" i="1"/>
  <c r="BI261" i="1"/>
  <c r="BI259" i="1"/>
  <c r="BI257" i="1"/>
  <c r="BG124" i="1"/>
  <c r="BG127" i="1" s="1"/>
  <c r="BK202" i="1"/>
  <c r="BK226" i="1"/>
  <c r="BJ222" i="1"/>
  <c r="BJ223" i="1" s="1"/>
  <c r="BJ173" i="1" l="1"/>
  <c r="BJ174" i="1" s="1"/>
  <c r="BH122" i="1"/>
  <c r="BI50" i="1"/>
  <c r="BI122" i="1"/>
  <c r="BI124" i="1" s="1"/>
  <c r="BI127" i="1" s="1"/>
  <c r="BJ50" i="1"/>
  <c r="BN210" i="1"/>
  <c r="BN211" i="1" s="1"/>
  <c r="BN212" i="1" s="1"/>
  <c r="BN226" i="1" s="1"/>
  <c r="BM210" i="1"/>
  <c r="BM211" i="1" s="1"/>
  <c r="BM212" i="1" s="1"/>
  <c r="BH123" i="1" l="1"/>
  <c r="BH126" i="1" s="1"/>
  <c r="BH124" i="1"/>
  <c r="BH127" i="1" s="1"/>
  <c r="BJ178" i="1"/>
  <c r="BJ179" i="1" s="1"/>
  <c r="BJ181" i="1"/>
  <c r="BK222" i="1"/>
  <c r="BK223" i="1" s="1"/>
  <c r="BK224" i="1" s="1"/>
  <c r="BJ259" i="1"/>
  <c r="BJ261" i="1"/>
  <c r="BJ257" i="1"/>
  <c r="BJ224" i="1"/>
  <c r="BK261" i="1"/>
  <c r="BK259" i="1"/>
  <c r="BK257" i="1"/>
  <c r="BI123" i="1"/>
  <c r="BI126" i="1" s="1"/>
  <c r="BM202" i="1"/>
  <c r="BM226" i="1"/>
  <c r="BL222" i="1"/>
  <c r="BL223" i="1" s="1"/>
  <c r="BJ122" i="1" l="1"/>
  <c r="BK50" i="1"/>
  <c r="BL173" i="1"/>
  <c r="BL174" i="1" s="1"/>
  <c r="BK122" i="1"/>
  <c r="BK124" i="1" s="1"/>
  <c r="BK127" i="1" s="1"/>
  <c r="BL50" i="1"/>
  <c r="BP210" i="1"/>
  <c r="BP211" i="1" s="1"/>
  <c r="BP212" i="1" s="1"/>
  <c r="BP226" i="1" s="1"/>
  <c r="BO210" i="1"/>
  <c r="BO211" i="1" s="1"/>
  <c r="BO212" i="1" s="1"/>
  <c r="BJ124" i="1" l="1"/>
  <c r="BJ127" i="1" s="1"/>
  <c r="BJ123" i="1"/>
  <c r="BJ126" i="1" s="1"/>
  <c r="BL181" i="1"/>
  <c r="BL178" i="1"/>
  <c r="BL179" i="1" s="1"/>
  <c r="BM222" i="1"/>
  <c r="BM223" i="1" s="1"/>
  <c r="BM224" i="1" s="1"/>
  <c r="BL259" i="1"/>
  <c r="BL261" i="1"/>
  <c r="BL257" i="1"/>
  <c r="BL224" i="1"/>
  <c r="BM259" i="1"/>
  <c r="BM261" i="1"/>
  <c r="BM257" i="1"/>
  <c r="BK123" i="1"/>
  <c r="BK126" i="1" s="1"/>
  <c r="BO202" i="1"/>
  <c r="BO226" i="1"/>
  <c r="BN222" i="1"/>
  <c r="BN223" i="1" s="1"/>
  <c r="BN173" i="1" l="1"/>
  <c r="BN174" i="1" s="1"/>
  <c r="BL122" i="1"/>
  <c r="BM50" i="1"/>
  <c r="BM122" i="1"/>
  <c r="BM123" i="1" s="1"/>
  <c r="BM126" i="1" s="1"/>
  <c r="BN50" i="1"/>
  <c r="BR210" i="1"/>
  <c r="BR211" i="1" s="1"/>
  <c r="BR212" i="1" s="1"/>
  <c r="BR226" i="1" s="1"/>
  <c r="BQ210" i="1"/>
  <c r="BQ211" i="1" s="1"/>
  <c r="BQ212" i="1" s="1"/>
  <c r="BN178" i="1" l="1"/>
  <c r="BN179" i="1" s="1"/>
  <c r="BN181" i="1"/>
  <c r="BO222" i="1"/>
  <c r="BO223" i="1" s="1"/>
  <c r="BO224" i="1" s="1"/>
  <c r="BN257" i="1"/>
  <c r="BN261" i="1"/>
  <c r="BN259" i="1"/>
  <c r="BL123" i="1"/>
  <c r="BL126" i="1" s="1"/>
  <c r="BL124" i="1"/>
  <c r="BL127" i="1" s="1"/>
  <c r="BN224" i="1"/>
  <c r="BO259" i="1"/>
  <c r="BO261" i="1"/>
  <c r="BO257" i="1"/>
  <c r="BM124" i="1"/>
  <c r="BM127" i="1" s="1"/>
  <c r="BQ202" i="1"/>
  <c r="BQ226" i="1"/>
  <c r="BP222" i="1"/>
  <c r="BP223" i="1" s="1"/>
  <c r="BN122" i="1" l="1"/>
  <c r="BO50" i="1"/>
  <c r="BP173" i="1"/>
  <c r="BP174" i="1" s="1"/>
  <c r="BO122" i="1"/>
  <c r="BO123" i="1" s="1"/>
  <c r="BO126" i="1" s="1"/>
  <c r="BP50" i="1"/>
  <c r="BT210" i="1"/>
  <c r="BT211" i="1" s="1"/>
  <c r="BT212" i="1" s="1"/>
  <c r="BT226" i="1" s="1"/>
  <c r="BS210" i="1"/>
  <c r="BS211" i="1" s="1"/>
  <c r="BS212" i="1" s="1"/>
  <c r="BN124" i="1" l="1"/>
  <c r="BN127" i="1" s="1"/>
  <c r="BN123" i="1"/>
  <c r="BN126" i="1" s="1"/>
  <c r="BP178" i="1"/>
  <c r="BP179" i="1" s="1"/>
  <c r="BP181" i="1"/>
  <c r="BQ222" i="1"/>
  <c r="BQ223" i="1" s="1"/>
  <c r="BQ224" i="1" s="1"/>
  <c r="BP261" i="1"/>
  <c r="BP259" i="1"/>
  <c r="BP257" i="1"/>
  <c r="BP224" i="1"/>
  <c r="BQ261" i="1"/>
  <c r="BQ259" i="1"/>
  <c r="BQ257" i="1"/>
  <c r="BO124" i="1"/>
  <c r="BO127" i="1" s="1"/>
  <c r="BS202" i="1"/>
  <c r="BS226" i="1"/>
  <c r="BR222" i="1"/>
  <c r="BR223" i="1" s="1"/>
  <c r="BR173" i="1" l="1"/>
  <c r="BR174" i="1" s="1"/>
  <c r="BP122" i="1"/>
  <c r="BQ50" i="1"/>
  <c r="BQ122" i="1"/>
  <c r="BQ123" i="1" s="1"/>
  <c r="BQ126" i="1" s="1"/>
  <c r="BR50" i="1"/>
  <c r="BV210" i="1"/>
  <c r="BV211" i="1" s="1"/>
  <c r="BV212" i="1" s="1"/>
  <c r="BV226" i="1" s="1"/>
  <c r="BU210" i="1"/>
  <c r="BU211" i="1" s="1"/>
  <c r="BU212" i="1" s="1"/>
  <c r="BR178" i="1" l="1"/>
  <c r="BR179" i="1" s="1"/>
  <c r="BR181" i="1"/>
  <c r="BS222" i="1"/>
  <c r="BS223" i="1" s="1"/>
  <c r="BS224" i="1" s="1"/>
  <c r="BR257" i="1"/>
  <c r="BR259" i="1"/>
  <c r="BR261" i="1"/>
  <c r="BP124" i="1"/>
  <c r="BP127" i="1" s="1"/>
  <c r="BP123" i="1"/>
  <c r="BP126" i="1" s="1"/>
  <c r="BR224" i="1"/>
  <c r="BS261" i="1"/>
  <c r="BS259" i="1"/>
  <c r="BS257" i="1"/>
  <c r="BQ124" i="1"/>
  <c r="BQ127" i="1" s="1"/>
  <c r="BU202" i="1"/>
  <c r="BU226" i="1"/>
  <c r="BT222" i="1"/>
  <c r="BT223" i="1" s="1"/>
  <c r="BS50" i="1" l="1"/>
  <c r="BR122" i="1"/>
  <c r="BT173" i="1"/>
  <c r="BT174" i="1" s="1"/>
  <c r="BS122" i="1"/>
  <c r="BS124" i="1" s="1"/>
  <c r="BS127" i="1" s="1"/>
  <c r="BT50" i="1"/>
  <c r="BX210" i="1"/>
  <c r="BX211" i="1" s="1"/>
  <c r="BX212" i="1" s="1"/>
  <c r="BX226" i="1" s="1"/>
  <c r="BW210" i="1"/>
  <c r="BW211" i="1" s="1"/>
  <c r="BW212" i="1" s="1"/>
  <c r="BR124" i="1" l="1"/>
  <c r="BR127" i="1" s="1"/>
  <c r="BR123" i="1"/>
  <c r="BR126" i="1" s="1"/>
  <c r="BT178" i="1"/>
  <c r="BT179" i="1" s="1"/>
  <c r="BT181" i="1"/>
  <c r="BU222" i="1"/>
  <c r="BU223" i="1" s="1"/>
  <c r="BU224" i="1" s="1"/>
  <c r="BT259" i="1"/>
  <c r="BT261" i="1"/>
  <c r="BT257" i="1"/>
  <c r="BT224" i="1"/>
  <c r="BU259" i="1"/>
  <c r="BU261" i="1"/>
  <c r="BU257" i="1"/>
  <c r="BS123" i="1"/>
  <c r="BS126" i="1" s="1"/>
  <c r="BW202" i="1"/>
  <c r="BW226" i="1"/>
  <c r="BV222" i="1"/>
  <c r="BV223" i="1" s="1"/>
  <c r="BV173" i="1" l="1"/>
  <c r="BV174" i="1" s="1"/>
  <c r="BU50" i="1"/>
  <c r="BT122" i="1"/>
  <c r="BU122" i="1"/>
  <c r="BU124" i="1" s="1"/>
  <c r="BU127" i="1" s="1"/>
  <c r="BV50" i="1"/>
  <c r="BZ210" i="1"/>
  <c r="BZ211" i="1" s="1"/>
  <c r="BZ212" i="1" s="1"/>
  <c r="BZ226" i="1" s="1"/>
  <c r="BY210" i="1"/>
  <c r="BY211" i="1" s="1"/>
  <c r="BY212" i="1" s="1"/>
  <c r="BT123" i="1" l="1"/>
  <c r="BT126" i="1" s="1"/>
  <c r="BT124" i="1"/>
  <c r="BT127" i="1" s="1"/>
  <c r="BV178" i="1"/>
  <c r="BV179" i="1" s="1"/>
  <c r="BV181" i="1"/>
  <c r="BW222" i="1"/>
  <c r="BW223" i="1" s="1"/>
  <c r="BW224" i="1" s="1"/>
  <c r="BV261" i="1"/>
  <c r="BV257" i="1"/>
  <c r="BV259" i="1"/>
  <c r="BV224" i="1"/>
  <c r="BW259" i="1"/>
  <c r="BW261" i="1"/>
  <c r="BW257" i="1"/>
  <c r="BU123" i="1"/>
  <c r="BU126" i="1" s="1"/>
  <c r="BY202" i="1"/>
  <c r="BY226" i="1"/>
  <c r="BX222" i="1"/>
  <c r="BX223" i="1" s="1"/>
  <c r="BV122" i="1" l="1"/>
  <c r="BW50" i="1"/>
  <c r="BX173" i="1"/>
  <c r="BX174" i="1" s="1"/>
  <c r="BW122" i="1"/>
  <c r="BW124" i="1" s="1"/>
  <c r="BW127" i="1" s="1"/>
  <c r="BX50" i="1"/>
  <c r="BV123" i="1" l="1"/>
  <c r="BV126" i="1" s="1"/>
  <c r="BV124" i="1"/>
  <c r="BV127" i="1" s="1"/>
  <c r="BX178" i="1"/>
  <c r="BX179" i="1" s="1"/>
  <c r="BX181" i="1"/>
  <c r="BY222" i="1"/>
  <c r="BY223" i="1" s="1"/>
  <c r="BY224" i="1" s="1"/>
  <c r="BX259" i="1"/>
  <c r="BX261" i="1"/>
  <c r="BX257" i="1"/>
  <c r="BX224" i="1"/>
  <c r="BY261" i="1"/>
  <c r="BY259" i="1"/>
  <c r="BY257" i="1"/>
  <c r="BW123" i="1"/>
  <c r="BW126" i="1" s="1"/>
  <c r="BZ222" i="1"/>
  <c r="BZ223" i="1" s="1"/>
  <c r="BY50" i="1" l="1"/>
  <c r="BX122" i="1"/>
  <c r="BZ173" i="1"/>
  <c r="BZ174" i="1" s="1"/>
  <c r="BZ224" i="1" s="1"/>
  <c r="BY122" i="1"/>
  <c r="BY123" i="1" s="1"/>
  <c r="BY126" i="1" s="1"/>
  <c r="BZ50" i="1"/>
  <c r="BX123" i="1" l="1"/>
  <c r="BX126" i="1" s="1"/>
  <c r="BX124" i="1"/>
  <c r="BX127" i="1" s="1"/>
  <c r="BZ181" i="1"/>
  <c r="BZ178" i="1"/>
  <c r="BZ179" i="1" s="1"/>
  <c r="BZ261" i="1"/>
  <c r="CA222" i="1"/>
  <c r="BZ259" i="1"/>
  <c r="BZ257" i="1"/>
  <c r="BY124" i="1"/>
  <c r="BY127" i="1" s="1"/>
  <c r="CB210" i="1"/>
  <c r="CA210" i="1"/>
  <c r="BZ122" i="1" l="1"/>
  <c r="CA50" i="1"/>
  <c r="CA209" i="1"/>
  <c r="CA211" i="1" s="1"/>
  <c r="CA212" i="1" s="1"/>
  <c r="CA226" i="1" s="1"/>
  <c r="CB209" i="1"/>
  <c r="CB211" i="1" s="1"/>
  <c r="CB212" i="1" s="1"/>
  <c r="CB226" i="1" s="1"/>
  <c r="BZ124" i="1" l="1"/>
  <c r="BZ127" i="1" s="1"/>
  <c r="BZ123" i="1"/>
  <c r="BZ126" i="1" s="1"/>
  <c r="CA202" i="1"/>
  <c r="CA223" i="1"/>
  <c r="CA261" i="1" l="1"/>
  <c r="CA259" i="1"/>
  <c r="CA257" i="1"/>
  <c r="CB222" i="1"/>
  <c r="CB223" i="1" s="1"/>
  <c r="CA224" i="1"/>
  <c r="CB173" i="1" l="1"/>
  <c r="CB174" i="1" s="1"/>
  <c r="CA122" i="1"/>
  <c r="CA123" i="1" s="1"/>
  <c r="CA126" i="1" s="1"/>
  <c r="CB50" i="1"/>
  <c r="CB181" i="1" l="1"/>
  <c r="CB178" i="1"/>
  <c r="CB179" i="1" s="1"/>
  <c r="CC222" i="1"/>
  <c r="CB261" i="1"/>
  <c r="CB259" i="1"/>
  <c r="CB257" i="1"/>
  <c r="CB224" i="1"/>
  <c r="CA124" i="1"/>
  <c r="CA127" i="1" s="1"/>
  <c r="CB122" i="1" l="1"/>
  <c r="CC50" i="1"/>
  <c r="CE102" i="1"/>
  <c r="CD102" i="1"/>
  <c r="CC102" i="1"/>
  <c r="CB102" i="1"/>
  <c r="CB123" i="1" l="1"/>
  <c r="CB126" i="1" s="1"/>
  <c r="CB124" i="1"/>
  <c r="CB127" i="1" s="1"/>
  <c r="CJ210" i="1" l="1"/>
  <c r="CI210" i="1"/>
  <c r="CJ209" i="1" l="1"/>
  <c r="CJ211" i="1" s="1"/>
  <c r="CJ212" i="1" s="1"/>
  <c r="CI209" i="1"/>
  <c r="CI211" i="1" s="1"/>
  <c r="CI212" i="1" s="1"/>
  <c r="CI226" i="1" s="1"/>
  <c r="CI223" i="1" l="1"/>
  <c r="CI261" i="1" l="1"/>
  <c r="CI259" i="1"/>
  <c r="CI257" i="1"/>
  <c r="CI224" i="1"/>
  <c r="CJ222" i="1"/>
  <c r="CI122" i="1" l="1"/>
  <c r="CI124" i="1" s="1"/>
  <c r="CI127" i="1" s="1"/>
  <c r="CI123" i="1" l="1"/>
  <c r="CI126" i="1" s="1"/>
  <c r="CK244" i="1" l="1"/>
  <c r="CN23" i="1"/>
  <c r="CM23" i="1"/>
  <c r="CM25" i="1" s="1"/>
  <c r="CK29" i="1"/>
  <c r="CN244" i="1"/>
  <c r="CM244" i="1"/>
  <c r="CM111" i="1"/>
  <c r="CM112" i="1" s="1"/>
  <c r="CM115" i="1" s="1"/>
  <c r="CN111" i="1"/>
  <c r="CN112" i="1" s="1"/>
  <c r="CN115" i="1" s="1"/>
  <c r="CK41" i="1" l="1"/>
  <c r="CL32" i="1"/>
  <c r="CK42" i="1"/>
  <c r="CK125" i="1"/>
  <c r="CK30" i="1"/>
  <c r="CK32" i="1"/>
  <c r="CK31" i="1"/>
  <c r="CK24" i="1"/>
  <c r="CM159" i="1"/>
  <c r="CN25" i="1"/>
  <c r="CM24" i="1"/>
  <c r="CN39" i="1"/>
  <c r="CN35" i="1" s="1"/>
  <c r="CN24" i="1"/>
  <c r="CN158" i="1"/>
  <c r="CN157" i="1"/>
  <c r="CN166" i="1"/>
  <c r="CM39" i="1"/>
  <c r="CM35" i="1" s="1"/>
  <c r="CM166" i="1"/>
  <c r="CN165" i="1"/>
  <c r="CN159" i="1"/>
  <c r="CM158" i="1"/>
  <c r="CM165" i="1"/>
  <c r="CM157" i="1"/>
  <c r="CM238" i="1"/>
  <c r="CK238" i="1"/>
  <c r="CN238" i="1"/>
  <c r="CL239" i="1" l="1"/>
  <c r="CL125" i="1"/>
  <c r="CL263" i="1"/>
  <c r="CL264" i="1" s="1"/>
  <c r="CL44" i="1"/>
  <c r="CL165" i="1"/>
  <c r="CL169" i="1" s="1"/>
  <c r="CL159" i="1"/>
  <c r="CL161" i="1" s="1"/>
  <c r="CM30" i="1"/>
  <c r="CM169" i="1"/>
  <c r="AA10" i="1"/>
  <c r="CO23" i="1"/>
  <c r="AB21" i="1"/>
  <c r="CK210" i="1"/>
  <c r="CN161" i="1"/>
  <c r="CM161" i="1"/>
  <c r="CN169" i="1"/>
  <c r="CR23" i="1"/>
  <c r="CR244" i="1"/>
  <c r="CQ23" i="1"/>
  <c r="CQ244" i="1"/>
  <c r="CR111" i="1"/>
  <c r="CR112" i="1" s="1"/>
  <c r="CR115" i="1" s="1"/>
  <c r="CO111" i="1"/>
  <c r="CO112" i="1" s="1"/>
  <c r="CO115" i="1" s="1"/>
  <c r="CO244" i="1"/>
  <c r="CP244" i="1"/>
  <c r="CP23" i="1"/>
  <c r="CQ111" i="1"/>
  <c r="CQ112" i="1" s="1"/>
  <c r="CQ115" i="1" s="1"/>
  <c r="CP111" i="1"/>
  <c r="CP112" i="1" s="1"/>
  <c r="CP115" i="1" s="1"/>
  <c r="CL170" i="1" l="1"/>
  <c r="CL210" i="1"/>
  <c r="CK209" i="1"/>
  <c r="CL209" i="1"/>
  <c r="CM170" i="1"/>
  <c r="CN30" i="1"/>
  <c r="CM29" i="1"/>
  <c r="CR158" i="1"/>
  <c r="CR24" i="1"/>
  <c r="CO157" i="1"/>
  <c r="AB157" i="1" s="1"/>
  <c r="CP25" i="1"/>
  <c r="CO24" i="1"/>
  <c r="CO25" i="1"/>
  <c r="CQ25" i="1"/>
  <c r="CP24" i="1"/>
  <c r="CR25" i="1"/>
  <c r="CQ24" i="1"/>
  <c r="CO238" i="1"/>
  <c r="CO165" i="1"/>
  <c r="CO166" i="1"/>
  <c r="AB166" i="1" s="1"/>
  <c r="CO39" i="1"/>
  <c r="CO35" i="1" s="1"/>
  <c r="AB35" i="1" s="1"/>
  <c r="CO158" i="1"/>
  <c r="CO159" i="1"/>
  <c r="AB159" i="1" s="1"/>
  <c r="CN170" i="1"/>
  <c r="CN210" i="1"/>
  <c r="CN209" i="1"/>
  <c r="CR39" i="1"/>
  <c r="CR35" i="1" s="1"/>
  <c r="CR157" i="1"/>
  <c r="CR159" i="1"/>
  <c r="CR166" i="1"/>
  <c r="CR165" i="1"/>
  <c r="CQ39" i="1"/>
  <c r="CQ35" i="1" s="1"/>
  <c r="CQ159" i="1"/>
  <c r="CQ158" i="1"/>
  <c r="CQ165" i="1"/>
  <c r="CQ166" i="1"/>
  <c r="CQ157" i="1"/>
  <c r="CK263" i="1"/>
  <c r="CK264" i="1" s="1"/>
  <c r="CS111" i="1"/>
  <c r="CS112" i="1" s="1"/>
  <c r="CS115" i="1" s="1"/>
  <c r="CK245" i="1"/>
  <c r="CK246" i="1" s="1"/>
  <c r="CK44" i="1"/>
  <c r="CK239" i="1"/>
  <c r="CK43" i="1"/>
  <c r="CR238" i="1"/>
  <c r="CP238" i="1"/>
  <c r="AB23" i="1"/>
  <c r="CM210" i="1"/>
  <c r="CP158" i="1"/>
  <c r="CP157" i="1"/>
  <c r="CP165" i="1"/>
  <c r="CP166" i="1"/>
  <c r="CP159" i="1"/>
  <c r="CP39" i="1"/>
  <c r="CP35" i="1" s="1"/>
  <c r="CU23" i="1"/>
  <c r="CU24" i="1" s="1"/>
  <c r="CU244" i="1"/>
  <c r="CM209" i="1"/>
  <c r="CQ238" i="1"/>
  <c r="CK211" i="1" l="1"/>
  <c r="CL211" i="1"/>
  <c r="CL212" i="1" s="1"/>
  <c r="AB71" i="1"/>
  <c r="AB10" i="1"/>
  <c r="CM28" i="1"/>
  <c r="CM31" i="1"/>
  <c r="CM41" i="1"/>
  <c r="CM32" i="1"/>
  <c r="CO30" i="1"/>
  <c r="CN29" i="1"/>
  <c r="CN211" i="1"/>
  <c r="AB158" i="1"/>
  <c r="AB193" i="1" s="1"/>
  <c r="CO161" i="1"/>
  <c r="AB196" i="1"/>
  <c r="AB165" i="1"/>
  <c r="AB169" i="1" s="1"/>
  <c r="CO169" i="1"/>
  <c r="CO210" i="1" s="1"/>
  <c r="AC21" i="1"/>
  <c r="CS23" i="1"/>
  <c r="CS244" i="1"/>
  <c r="CR169" i="1"/>
  <c r="CR161" i="1"/>
  <c r="CV23" i="1"/>
  <c r="CV244" i="1"/>
  <c r="CQ169" i="1"/>
  <c r="CQ161" i="1"/>
  <c r="AB111" i="1"/>
  <c r="AB201" i="1"/>
  <c r="CM211" i="1"/>
  <c r="CV111" i="1"/>
  <c r="CV112" i="1" s="1"/>
  <c r="CV115" i="1" s="1"/>
  <c r="AB24" i="1"/>
  <c r="CP161" i="1"/>
  <c r="AB39" i="1"/>
  <c r="AB40" i="1" s="1"/>
  <c r="CT111" i="1"/>
  <c r="CT112" i="1" s="1"/>
  <c r="CT115" i="1" s="1"/>
  <c r="CU39" i="1"/>
  <c r="CU35" i="1" s="1"/>
  <c r="CU157" i="1"/>
  <c r="CU165" i="1"/>
  <c r="CU158" i="1"/>
  <c r="CU166" i="1"/>
  <c r="CU159" i="1"/>
  <c r="CT244" i="1"/>
  <c r="CT23" i="1"/>
  <c r="CP169" i="1"/>
  <c r="CU111" i="1"/>
  <c r="CU112" i="1" s="1"/>
  <c r="CU115" i="1" s="1"/>
  <c r="CM43" i="1" l="1"/>
  <c r="CM245" i="1"/>
  <c r="CM246" i="1" s="1"/>
  <c r="CM42" i="1"/>
  <c r="CM263" i="1"/>
  <c r="CM264" i="1" s="1"/>
  <c r="CM44" i="1"/>
  <c r="CM125" i="1"/>
  <c r="CM239" i="1"/>
  <c r="CN28" i="1"/>
  <c r="CN31" i="1"/>
  <c r="CN32" i="1"/>
  <c r="CN41" i="1"/>
  <c r="CN125" i="1" s="1"/>
  <c r="CP30" i="1"/>
  <c r="CO29" i="1"/>
  <c r="CS165" i="1"/>
  <c r="AC165" i="1" s="1"/>
  <c r="CT25" i="1"/>
  <c r="CS25" i="1"/>
  <c r="CS24" i="1"/>
  <c r="CU25" i="1"/>
  <c r="CT24" i="1"/>
  <c r="CV24" i="1"/>
  <c r="CV25" i="1"/>
  <c r="CS159" i="1"/>
  <c r="AC159" i="1" s="1"/>
  <c r="CS166" i="1"/>
  <c r="AC166" i="1" s="1"/>
  <c r="CS158" i="1"/>
  <c r="AC158" i="1" s="1"/>
  <c r="AD21" i="1"/>
  <c r="CS157" i="1"/>
  <c r="AC157" i="1" s="1"/>
  <c r="CO170" i="1"/>
  <c r="CO209" i="1"/>
  <c r="CO211" i="1" s="1"/>
  <c r="CS39" i="1"/>
  <c r="CS35" i="1" s="1"/>
  <c r="AC35" i="1" s="1"/>
  <c r="CS238" i="1"/>
  <c r="CV159" i="1"/>
  <c r="CR210" i="1"/>
  <c r="CR209" i="1"/>
  <c r="CV166" i="1"/>
  <c r="CV157" i="1"/>
  <c r="CR170" i="1"/>
  <c r="CQ210" i="1"/>
  <c r="CQ170" i="1"/>
  <c r="CV39" i="1"/>
  <c r="CV35" i="1" s="1"/>
  <c r="CV165" i="1"/>
  <c r="CV158" i="1"/>
  <c r="CV238" i="1"/>
  <c r="CP210" i="1"/>
  <c r="CT238" i="1"/>
  <c r="CU238" i="1"/>
  <c r="AC23" i="1"/>
  <c r="CU169" i="1"/>
  <c r="CT157" i="1"/>
  <c r="CT166" i="1"/>
  <c r="CT158" i="1"/>
  <c r="CT165" i="1"/>
  <c r="CT39" i="1"/>
  <c r="CT35" i="1" s="1"/>
  <c r="CT159" i="1"/>
  <c r="CU161" i="1"/>
  <c r="CQ209" i="1"/>
  <c r="CP170" i="1"/>
  <c r="CP209" i="1"/>
  <c r="CY23" i="1"/>
  <c r="CY244" i="1"/>
  <c r="AB198" i="1"/>
  <c r="AB197" i="1" s="1"/>
  <c r="AB210" i="1"/>
  <c r="AB161" i="1"/>
  <c r="AB192" i="1"/>
  <c r="AC71" i="1" l="1"/>
  <c r="AC10" i="1"/>
  <c r="CQ30" i="1"/>
  <c r="CQ29" i="1" s="1"/>
  <c r="CP29" i="1"/>
  <c r="CO41" i="1"/>
  <c r="CO31" i="1"/>
  <c r="CO32" i="1"/>
  <c r="CO28" i="1"/>
  <c r="AB28" i="1" s="1"/>
  <c r="AB29" i="1" s="1"/>
  <c r="CN43" i="1"/>
  <c r="CN263" i="1"/>
  <c r="CN264" i="1" s="1"/>
  <c r="CN44" i="1"/>
  <c r="CN42" i="1"/>
  <c r="CN245" i="1"/>
  <c r="CN246" i="1" s="1"/>
  <c r="CN239" i="1"/>
  <c r="CY24" i="1"/>
  <c r="CS169" i="1"/>
  <c r="CS210" i="1" s="1"/>
  <c r="CS161" i="1"/>
  <c r="CS209" i="1" s="1"/>
  <c r="CW111" i="1"/>
  <c r="CW112" i="1" s="1"/>
  <c r="CW115" i="1" s="1"/>
  <c r="AC193" i="1"/>
  <c r="CR211" i="1"/>
  <c r="AC196" i="1"/>
  <c r="CW23" i="1"/>
  <c r="CW244" i="1"/>
  <c r="CZ244" i="1"/>
  <c r="CZ23" i="1"/>
  <c r="CV161" i="1"/>
  <c r="CQ211" i="1"/>
  <c r="CV169" i="1"/>
  <c r="CV210" i="1" s="1"/>
  <c r="CX111" i="1"/>
  <c r="CX112" i="1" s="1"/>
  <c r="CX115" i="1" s="1"/>
  <c r="CP211" i="1"/>
  <c r="AC111" i="1"/>
  <c r="AC201" i="1"/>
  <c r="CT161" i="1"/>
  <c r="CY111" i="1"/>
  <c r="CY112" i="1" s="1"/>
  <c r="CY115" i="1" s="1"/>
  <c r="AC39" i="1"/>
  <c r="AC40" i="1" s="1"/>
  <c r="AB170" i="1"/>
  <c r="AB195" i="1"/>
  <c r="AB209" i="1"/>
  <c r="AB211" i="1" s="1"/>
  <c r="CT169" i="1"/>
  <c r="AC169" i="1"/>
  <c r="AC24" i="1"/>
  <c r="CX244" i="1"/>
  <c r="CX23" i="1"/>
  <c r="CZ111" i="1"/>
  <c r="CZ112" i="1" s="1"/>
  <c r="CZ115" i="1" s="1"/>
  <c r="CY158" i="1"/>
  <c r="CY166" i="1"/>
  <c r="CY159" i="1"/>
  <c r="CY165" i="1"/>
  <c r="CY39" i="1"/>
  <c r="CY35" i="1" s="1"/>
  <c r="CY157" i="1"/>
  <c r="CU170" i="1"/>
  <c r="CR30" i="1" l="1"/>
  <c r="CS211" i="1"/>
  <c r="CT209" i="1"/>
  <c r="CS170" i="1"/>
  <c r="AB72" i="1"/>
  <c r="AB31" i="1"/>
  <c r="AB30" i="1"/>
  <c r="AB41" i="1"/>
  <c r="CO125" i="1"/>
  <c r="CO263" i="1"/>
  <c r="CO264" i="1" s="1"/>
  <c r="CO43" i="1"/>
  <c r="CO245" i="1"/>
  <c r="CO246" i="1" s="1"/>
  <c r="CO44" i="1"/>
  <c r="CO42" i="1"/>
  <c r="CP28" i="1"/>
  <c r="CP32" i="1"/>
  <c r="CP31" i="1"/>
  <c r="CP41" i="1"/>
  <c r="CQ28" i="1"/>
  <c r="CQ41" i="1"/>
  <c r="CQ31" i="1"/>
  <c r="CQ32" i="1"/>
  <c r="CO239" i="1"/>
  <c r="CZ24" i="1"/>
  <c r="CY25" i="1"/>
  <c r="CX24" i="1"/>
  <c r="CW238" i="1"/>
  <c r="CX25" i="1"/>
  <c r="CW25" i="1"/>
  <c r="CW24" i="1"/>
  <c r="CZ25" i="1"/>
  <c r="CW165" i="1"/>
  <c r="AD165" i="1" s="1"/>
  <c r="CW39" i="1"/>
  <c r="CW35" i="1" s="1"/>
  <c r="AD35" i="1" s="1"/>
  <c r="AE21" i="1"/>
  <c r="CW166" i="1"/>
  <c r="AD166" i="1" s="1"/>
  <c r="CW158" i="1"/>
  <c r="AD158" i="1" s="1"/>
  <c r="CW157" i="1"/>
  <c r="AD157" i="1" s="1"/>
  <c r="CW159" i="1"/>
  <c r="AD159" i="1" s="1"/>
  <c r="CZ238" i="1"/>
  <c r="CZ159" i="1"/>
  <c r="CZ165" i="1"/>
  <c r="CZ158" i="1"/>
  <c r="CV209" i="1"/>
  <c r="CV211" i="1" s="1"/>
  <c r="CV170" i="1"/>
  <c r="CZ166" i="1"/>
  <c r="CZ157" i="1"/>
  <c r="CZ39" i="1"/>
  <c r="CX238" i="1"/>
  <c r="CY238" i="1"/>
  <c r="CU210" i="1"/>
  <c r="CT210" i="1"/>
  <c r="AC192" i="1"/>
  <c r="AC161" i="1"/>
  <c r="CT170" i="1"/>
  <c r="CU209" i="1"/>
  <c r="CY161" i="1"/>
  <c r="CY169" i="1"/>
  <c r="CX157" i="1"/>
  <c r="CX158" i="1"/>
  <c r="CX166" i="1"/>
  <c r="CX165" i="1"/>
  <c r="CX39" i="1"/>
  <c r="CX35" i="1" s="1"/>
  <c r="CX159" i="1"/>
  <c r="AD23" i="1"/>
  <c r="AC198" i="1"/>
  <c r="AC197" i="1" s="1"/>
  <c r="AC210" i="1"/>
  <c r="AB194" i="1"/>
  <c r="AB199" i="1"/>
  <c r="AB202" i="1" s="1"/>
  <c r="AB203" i="1" s="1"/>
  <c r="CS30" i="1" l="1"/>
  <c r="CR29" i="1"/>
  <c r="CT211" i="1"/>
  <c r="AD71" i="1"/>
  <c r="AD10" i="1"/>
  <c r="CQ125" i="1"/>
  <c r="CR31" i="1"/>
  <c r="CR32" i="1"/>
  <c r="CR28" i="1"/>
  <c r="CR41" i="1"/>
  <c r="CR125" i="1" s="1"/>
  <c r="CP239" i="1"/>
  <c r="CQ42" i="1"/>
  <c r="CQ44" i="1"/>
  <c r="CQ245" i="1"/>
  <c r="CQ246" i="1" s="1"/>
  <c r="CQ263" i="1"/>
  <c r="CQ264" i="1" s="1"/>
  <c r="CQ43" i="1"/>
  <c r="CT30" i="1"/>
  <c r="CS29" i="1"/>
  <c r="AB125" i="1"/>
  <c r="AB42" i="1"/>
  <c r="AB263" i="1"/>
  <c r="AB264" i="1" s="1"/>
  <c r="AB73" i="1"/>
  <c r="AB43" i="1"/>
  <c r="CP245" i="1"/>
  <c r="CP246" i="1" s="1"/>
  <c r="CP43" i="1"/>
  <c r="CP44" i="1"/>
  <c r="CP42" i="1"/>
  <c r="CP263" i="1"/>
  <c r="CP264" i="1" s="1"/>
  <c r="CQ239" i="1"/>
  <c r="CP125" i="1"/>
  <c r="CW169" i="1"/>
  <c r="CW210" i="1" s="1"/>
  <c r="AD193" i="1"/>
  <c r="DA244" i="1"/>
  <c r="AD196" i="1"/>
  <c r="DA23" i="1"/>
  <c r="DA165" i="1" s="1"/>
  <c r="AE165" i="1" s="1"/>
  <c r="DA111" i="1"/>
  <c r="DA112" i="1" s="1"/>
  <c r="DA115" i="1" s="1"/>
  <c r="CW161" i="1"/>
  <c r="CZ161" i="1"/>
  <c r="CZ209" i="1" s="1"/>
  <c r="CZ169" i="1"/>
  <c r="CZ210" i="1" s="1"/>
  <c r="CZ35" i="1"/>
  <c r="AD111" i="1"/>
  <c r="AD201" i="1"/>
  <c r="CU211" i="1"/>
  <c r="AD39" i="1"/>
  <c r="AD40" i="1" s="1"/>
  <c r="AD169" i="1"/>
  <c r="CX169" i="1"/>
  <c r="CY170" i="1"/>
  <c r="AC195" i="1"/>
  <c r="AC170" i="1"/>
  <c r="AC209" i="1"/>
  <c r="AC211" i="1" s="1"/>
  <c r="CX161" i="1"/>
  <c r="AD24" i="1"/>
  <c r="CW170" i="1" l="1"/>
  <c r="CS41" i="1"/>
  <c r="CS28" i="1"/>
  <c r="AC28" i="1" s="1"/>
  <c r="AC29" i="1" s="1"/>
  <c r="CS31" i="1"/>
  <c r="CS32" i="1"/>
  <c r="CR245" i="1"/>
  <c r="CR246" i="1" s="1"/>
  <c r="CR43" i="1"/>
  <c r="CR263" i="1"/>
  <c r="CR264" i="1" s="1"/>
  <c r="CR44" i="1"/>
  <c r="CR42" i="1"/>
  <c r="CR239" i="1"/>
  <c r="CU30" i="1"/>
  <c r="CU29" i="1" s="1"/>
  <c r="CT29" i="1"/>
  <c r="DA166" i="1"/>
  <c r="AE166" i="1" s="1"/>
  <c r="AE196" i="1" s="1"/>
  <c r="DA238" i="1"/>
  <c r="DA25" i="1"/>
  <c r="DA24" i="1"/>
  <c r="DA157" i="1"/>
  <c r="AE157" i="1" s="1"/>
  <c r="DA158" i="1"/>
  <c r="AE158" i="1" s="1"/>
  <c r="AE193" i="1" s="1"/>
  <c r="DA159" i="1"/>
  <c r="AE159" i="1" s="1"/>
  <c r="DA39" i="1"/>
  <c r="DA35" i="1" s="1"/>
  <c r="AE35" i="1" s="1"/>
  <c r="CW209" i="1"/>
  <c r="CW211" i="1" s="1"/>
  <c r="CZ170" i="1"/>
  <c r="CZ211" i="1"/>
  <c r="CY209" i="1"/>
  <c r="CX170" i="1"/>
  <c r="CY210" i="1"/>
  <c r="CX210" i="1"/>
  <c r="AD198" i="1"/>
  <c r="AD197" i="1" s="1"/>
  <c r="AD210" i="1"/>
  <c r="CX209" i="1"/>
  <c r="AD192" i="1"/>
  <c r="AD161" i="1"/>
  <c r="AC194" i="1"/>
  <c r="AC199" i="1"/>
  <c r="AC202" i="1" s="1"/>
  <c r="AC203" i="1" s="1"/>
  <c r="AE23" i="1"/>
  <c r="CS239" i="1" l="1"/>
  <c r="CV30" i="1"/>
  <c r="AE71" i="1"/>
  <c r="AE10" i="1"/>
  <c r="DA169" i="1"/>
  <c r="DA210" i="1" s="1"/>
  <c r="CW30" i="1"/>
  <c r="CU28" i="1"/>
  <c r="CU31" i="1"/>
  <c r="CU41" i="1"/>
  <c r="CU32" i="1"/>
  <c r="CT28" i="1"/>
  <c r="CT32" i="1"/>
  <c r="CT31" i="1"/>
  <c r="CT41" i="1"/>
  <c r="CT125" i="1" s="1"/>
  <c r="AC72" i="1"/>
  <c r="AC31" i="1"/>
  <c r="AC41" i="1"/>
  <c r="AC30" i="1"/>
  <c r="CS125" i="1"/>
  <c r="CS44" i="1"/>
  <c r="CS42" i="1"/>
  <c r="CS245" i="1"/>
  <c r="CS246" i="1" s="1"/>
  <c r="CS43" i="1"/>
  <c r="CS263" i="1"/>
  <c r="CS264" i="1" s="1"/>
  <c r="DA161" i="1"/>
  <c r="DA209" i="1" s="1"/>
  <c r="AE111" i="1"/>
  <c r="AE201" i="1"/>
  <c r="AE39" i="1"/>
  <c r="AE40" i="1" s="1"/>
  <c r="CX211" i="1"/>
  <c r="CY211" i="1"/>
  <c r="AD170" i="1"/>
  <c r="AD195" i="1"/>
  <c r="AD209" i="1"/>
  <c r="AD211" i="1" s="1"/>
  <c r="AE24" i="1"/>
  <c r="AE169" i="1"/>
  <c r="CV29" i="1" l="1"/>
  <c r="CX30" i="1"/>
  <c r="AC43" i="1"/>
  <c r="AC263" i="1"/>
  <c r="AC264" i="1" s="1"/>
  <c r="AC42" i="1"/>
  <c r="AC73" i="1"/>
  <c r="AC125" i="1"/>
  <c r="CU42" i="1"/>
  <c r="CU43" i="1"/>
  <c r="CU245" i="1"/>
  <c r="CU246" i="1" s="1"/>
  <c r="CU44" i="1"/>
  <c r="CU263" i="1"/>
  <c r="CU264" i="1" s="1"/>
  <c r="CT43" i="1"/>
  <c r="CT245" i="1"/>
  <c r="CT246" i="1" s="1"/>
  <c r="CT263" i="1"/>
  <c r="CT264" i="1" s="1"/>
  <c r="CT42" i="1"/>
  <c r="CT44" i="1"/>
  <c r="CU239" i="1"/>
  <c r="CT239" i="1"/>
  <c r="CU125" i="1"/>
  <c r="CW29" i="1"/>
  <c r="DA211" i="1"/>
  <c r="DA170" i="1"/>
  <c r="AD199" i="1"/>
  <c r="AD202" i="1" s="1"/>
  <c r="AD203" i="1" s="1"/>
  <c r="AD194" i="1"/>
  <c r="AE161" i="1"/>
  <c r="AE192" i="1"/>
  <c r="AE198" i="1"/>
  <c r="AE197" i="1" s="1"/>
  <c r="AE210" i="1"/>
  <c r="CX29" i="1" l="1"/>
  <c r="CV32" i="1"/>
  <c r="CV41" i="1"/>
  <c r="CV125" i="1" s="1"/>
  <c r="CY30" i="1"/>
  <c r="CV28" i="1"/>
  <c r="CV31" i="1"/>
  <c r="CW28" i="1"/>
  <c r="CW31" i="1"/>
  <c r="CW32" i="1"/>
  <c r="CW41" i="1"/>
  <c r="AE170" i="1"/>
  <c r="AE195" i="1"/>
  <c r="AE209" i="1"/>
  <c r="AE211" i="1" s="1"/>
  <c r="CX32" i="1" l="1"/>
  <c r="CX41" i="1"/>
  <c r="CX31" i="1"/>
  <c r="CV239" i="1"/>
  <c r="CX28" i="1"/>
  <c r="AD28" i="1"/>
  <c r="AD29" i="1" s="1"/>
  <c r="CZ30" i="1"/>
  <c r="CW125" i="1"/>
  <c r="CV44" i="1"/>
  <c r="CV43" i="1"/>
  <c r="CV263" i="1"/>
  <c r="CV264" i="1" s="1"/>
  <c r="CV245" i="1"/>
  <c r="CV246" i="1" s="1"/>
  <c r="CV42" i="1"/>
  <c r="CY29" i="1"/>
  <c r="CY32" i="1" s="1"/>
  <c r="CW42" i="1"/>
  <c r="CW44" i="1"/>
  <c r="CW263" i="1"/>
  <c r="CW264" i="1" s="1"/>
  <c r="CW245" i="1"/>
  <c r="CW246" i="1" s="1"/>
  <c r="CW43" i="1"/>
  <c r="CW239" i="1"/>
  <c r="AE199" i="1"/>
  <c r="AE202" i="1" s="1"/>
  <c r="AE203" i="1" s="1"/>
  <c r="AE194" i="1"/>
  <c r="CX42" i="1" l="1"/>
  <c r="CX263" i="1"/>
  <c r="CX264" i="1" s="1"/>
  <c r="CX245" i="1"/>
  <c r="CX246" i="1" s="1"/>
  <c r="CX44" i="1"/>
  <c r="CX43" i="1"/>
  <c r="CX239" i="1"/>
  <c r="CX125" i="1"/>
  <c r="AD31" i="1"/>
  <c r="AD41" i="1"/>
  <c r="AD30" i="1"/>
  <c r="AD72" i="1"/>
  <c r="CZ29" i="1"/>
  <c r="DA30" i="1"/>
  <c r="DA29" i="1" s="1"/>
  <c r="CY28" i="1"/>
  <c r="CY31" i="1"/>
  <c r="CY41" i="1"/>
  <c r="CY125" i="1" s="1"/>
  <c r="CG261" i="1"/>
  <c r="CE210" i="1"/>
  <c r="CF50" i="1"/>
  <c r="CE122" i="1"/>
  <c r="CE123" i="1" s="1"/>
  <c r="CE126" i="1" s="1"/>
  <c r="CE196" i="1"/>
  <c r="CE198" i="1"/>
  <c r="CE257" i="1"/>
  <c r="CE261" i="1"/>
  <c r="CE259" i="1"/>
  <c r="CE195" i="1"/>
  <c r="CE193" i="1"/>
  <c r="CE192" i="1"/>
  <c r="CE209" i="1"/>
  <c r="CF222" i="1"/>
  <c r="DA31" i="1" l="1"/>
  <c r="CZ32" i="1"/>
  <c r="CZ31" i="1"/>
  <c r="AD43" i="1"/>
  <c r="AD263" i="1"/>
  <c r="AD264" i="1" s="1"/>
  <c r="AD73" i="1"/>
  <c r="AD42" i="1"/>
  <c r="CZ41" i="1"/>
  <c r="AD125" i="1"/>
  <c r="DA32" i="1"/>
  <c r="DA41" i="1"/>
  <c r="CZ28" i="1"/>
  <c r="CY42" i="1"/>
  <c r="CY245" i="1"/>
  <c r="CY246" i="1" s="1"/>
  <c r="CY43" i="1"/>
  <c r="CY44" i="1"/>
  <c r="DA28" i="1"/>
  <c r="CY239" i="1"/>
  <c r="CY263" i="1"/>
  <c r="CY264" i="1" s="1"/>
  <c r="CE199" i="1"/>
  <c r="CE197" i="1"/>
  <c r="CF197" i="1" s="1"/>
  <c r="CF193" i="1"/>
  <c r="CF158" i="1" s="1"/>
  <c r="CE211" i="1"/>
  <c r="CE212" i="1" s="1"/>
  <c r="CE226" i="1" s="1"/>
  <c r="CF196" i="1"/>
  <c r="CF192" i="1"/>
  <c r="CE124" i="1"/>
  <c r="CE127" i="1" s="1"/>
  <c r="CE194" i="1"/>
  <c r="CF194" i="1" s="1"/>
  <c r="DA245" i="1" l="1"/>
  <c r="DA246" i="1" s="1"/>
  <c r="DA43" i="1"/>
  <c r="DA42" i="1"/>
  <c r="AE28" i="1"/>
  <c r="AE29" i="1" s="1"/>
  <c r="CZ42" i="1"/>
  <c r="CZ44" i="1"/>
  <c r="CZ43" i="1"/>
  <c r="CZ239" i="1"/>
  <c r="DA263" i="1"/>
  <c r="DA264" i="1" s="1"/>
  <c r="CZ245" i="1"/>
  <c r="CZ246" i="1" s="1"/>
  <c r="CZ263" i="1"/>
  <c r="CZ264" i="1" s="1"/>
  <c r="DA239" i="1"/>
  <c r="CZ125" i="1"/>
  <c r="DA44" i="1"/>
  <c r="DA125" i="1"/>
  <c r="CI202" i="1"/>
  <c r="CE202" i="1"/>
  <c r="CF198" i="1"/>
  <c r="CF166" i="1"/>
  <c r="CF169" i="1" s="1"/>
  <c r="CF195" i="1"/>
  <c r="CF157" i="1"/>
  <c r="CF161" i="1" s="1"/>
  <c r="AE72" i="1" l="1"/>
  <c r="AE31" i="1"/>
  <c r="AE41" i="1"/>
  <c r="AE30" i="1"/>
  <c r="AE73" i="1"/>
  <c r="CF199" i="1"/>
  <c r="CJ202" i="1" s="1"/>
  <c r="CF210" i="1"/>
  <c r="CG210" i="1"/>
  <c r="CF209" i="1"/>
  <c r="CF170" i="1"/>
  <c r="CG209" i="1"/>
  <c r="AE263" i="1" l="1"/>
  <c r="AE264" i="1" s="1"/>
  <c r="AE42" i="1"/>
  <c r="AE125" i="1"/>
  <c r="AE43" i="1"/>
  <c r="CF211" i="1"/>
  <c r="CF212" i="1" s="1"/>
  <c r="CF202" i="1"/>
  <c r="CG211" i="1"/>
  <c r="CG212" i="1" s="1"/>
  <c r="CG226" i="1" s="1"/>
  <c r="CF226" i="1" l="1"/>
  <c r="CF223" i="1"/>
  <c r="CF173" i="1" l="1"/>
  <c r="CF174" i="1" s="1"/>
  <c r="CF224" i="1" l="1"/>
  <c r="CF181" i="1"/>
  <c r="CF257" i="1"/>
  <c r="CG222" i="1"/>
  <c r="CG223" i="1" s="1"/>
  <c r="CG224" i="1" s="1"/>
  <c r="CF261" i="1"/>
  <c r="CF259" i="1"/>
  <c r="CF178" i="1"/>
  <c r="CF179" i="1" s="1"/>
  <c r="CF122" i="1" l="1"/>
  <c r="CG50" i="1"/>
  <c r="CD50" i="1"/>
  <c r="CD222" i="1"/>
  <c r="CC202" i="1"/>
  <c r="CG202" i="1"/>
  <c r="CD209" i="1"/>
  <c r="CD210" i="1"/>
  <c r="CC210" i="1"/>
  <c r="CC122" i="1"/>
  <c r="CC123" i="1" s="1"/>
  <c r="CC126" i="1" s="1"/>
  <c r="CC261" i="1"/>
  <c r="CC257" i="1"/>
  <c r="CC209" i="1"/>
  <c r="CC259" i="1"/>
  <c r="CF124" i="1" l="1"/>
  <c r="CF127" i="1" s="1"/>
  <c r="CF123" i="1"/>
  <c r="CF126" i="1" s="1"/>
  <c r="CC211" i="1"/>
  <c r="CC212" i="1" s="1"/>
  <c r="CC226" i="1" s="1"/>
  <c r="CD211" i="1"/>
  <c r="CD212" i="1" s="1"/>
  <c r="CC124" i="1"/>
  <c r="CC127" i="1" s="1"/>
  <c r="CC223" i="1" l="1"/>
  <c r="CC224" i="1" s="1"/>
  <c r="CD223" i="1"/>
  <c r="CD173" i="1" s="1"/>
  <c r="CD174" i="1" s="1"/>
  <c r="CD224" i="1" s="1"/>
  <c r="CD226" i="1"/>
  <c r="CD178" i="1" l="1"/>
  <c r="CD179" i="1" s="1"/>
  <c r="CD181" i="1"/>
  <c r="CE222" i="1"/>
  <c r="CE223" i="1" s="1"/>
  <c r="CE224" i="1" s="1"/>
  <c r="CD257" i="1"/>
  <c r="CD261" i="1"/>
  <c r="CD259" i="1"/>
  <c r="CD122" i="1" l="1"/>
  <c r="CE50" i="1"/>
  <c r="CD123" i="1" l="1"/>
  <c r="CD126" i="1" s="1"/>
  <c r="CD124" i="1"/>
  <c r="CD127" i="1" s="1"/>
  <c r="CJ151" i="1" l="1"/>
  <c r="CJ216" i="1" l="1"/>
  <c r="CJ214" i="1" s="1"/>
  <c r="CK47" i="1"/>
  <c r="CK51" i="1" s="1"/>
  <c r="CK53" i="1" s="1"/>
  <c r="CK207" i="1"/>
  <c r="CK266" i="1"/>
  <c r="CM53" i="1" l="1"/>
  <c r="CL145" i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CJ223" i="1"/>
  <c r="CJ226" i="1"/>
  <c r="CN53" i="1" l="1"/>
  <c r="CJ173" i="1"/>
  <c r="CJ174" i="1" s="1"/>
  <c r="CO53" i="1" l="1"/>
  <c r="CJ178" i="1"/>
  <c r="CJ179" i="1" s="1"/>
  <c r="CJ261" i="1"/>
  <c r="CJ181" i="1"/>
  <c r="CK50" i="1" s="1"/>
  <c r="CJ257" i="1"/>
  <c r="CK222" i="1"/>
  <c r="CJ259" i="1"/>
  <c r="CJ224" i="1"/>
  <c r="CP53" i="1" l="1"/>
  <c r="CJ122" i="1"/>
  <c r="CQ53" i="1" l="1"/>
  <c r="CR53" i="1"/>
  <c r="CJ123" i="1"/>
  <c r="CJ126" i="1" s="1"/>
  <c r="CJ124" i="1"/>
  <c r="CJ127" i="1" s="1"/>
  <c r="CK265" i="1"/>
  <c r="CS53" i="1" l="1"/>
  <c r="CK54" i="1"/>
  <c r="CT53" i="1" l="1"/>
  <c r="CL57" i="1"/>
  <c r="CL240" i="1"/>
  <c r="CK57" i="1"/>
  <c r="CK55" i="1"/>
  <c r="CK258" i="1" s="1"/>
  <c r="CK61" i="1"/>
  <c r="CK65" i="1" s="1"/>
  <c r="CK247" i="1"/>
  <c r="CK240" i="1"/>
  <c r="CK56" i="1"/>
  <c r="CU53" i="1" l="1"/>
  <c r="CK79" i="1"/>
  <c r="CK206" i="1"/>
  <c r="CK208" i="1" s="1"/>
  <c r="CK212" i="1" s="1"/>
  <c r="CL132" i="1"/>
  <c r="CL133" i="1" s="1"/>
  <c r="CV53" i="1" l="1"/>
  <c r="CW53" i="1" s="1"/>
  <c r="CK82" i="1"/>
  <c r="CL82" i="1"/>
  <c r="CL67" i="1"/>
  <c r="CL142" i="1"/>
  <c r="CL68" i="1" s="1"/>
  <c r="CL105" i="1"/>
  <c r="CX53" i="1" l="1"/>
  <c r="CY53" i="1"/>
  <c r="CG102" i="1"/>
  <c r="CK100" i="1"/>
  <c r="CK83" i="1"/>
  <c r="CK98" i="1"/>
  <c r="CK99" i="1"/>
  <c r="CL83" i="1"/>
  <c r="CL100" i="1"/>
  <c r="CL98" i="1"/>
  <c r="CL99" i="1"/>
  <c r="CK105" i="1"/>
  <c r="CK107" i="1" s="1"/>
  <c r="CL220" i="1"/>
  <c r="CL218" i="1" s="1"/>
  <c r="CL109" i="1"/>
  <c r="CL107" i="1"/>
  <c r="CL108" i="1"/>
  <c r="CK220" i="1"/>
  <c r="CK218" i="1" s="1"/>
  <c r="CK68" i="1"/>
  <c r="CK67" i="1"/>
  <c r="CZ151" i="1"/>
  <c r="CY151" i="1"/>
  <c r="DA45" i="1"/>
  <c r="DA47" i="1" s="1"/>
  <c r="CX151" i="1"/>
  <c r="CZ45" i="1"/>
  <c r="CZ47" i="1" s="1"/>
  <c r="CW151" i="1"/>
  <c r="CY45" i="1"/>
  <c r="CY47" i="1" s="1"/>
  <c r="CX45" i="1"/>
  <c r="CV151" i="1"/>
  <c r="CU151" i="1"/>
  <c r="CW45" i="1"/>
  <c r="CW47" i="1" s="1"/>
  <c r="CT151" i="1"/>
  <c r="CV45" i="1"/>
  <c r="CV47" i="1" s="1"/>
  <c r="CS151" i="1"/>
  <c r="CU45" i="1"/>
  <c r="CU47" i="1" s="1"/>
  <c r="CR151" i="1"/>
  <c r="CT45" i="1"/>
  <c r="CQ151" i="1"/>
  <c r="CS45" i="1"/>
  <c r="CS47" i="1" s="1"/>
  <c r="CP151" i="1"/>
  <c r="CR45" i="1"/>
  <c r="CR207" i="1" s="1"/>
  <c r="DA151" i="1"/>
  <c r="CO151" i="1"/>
  <c r="CQ45" i="1"/>
  <c r="CQ47" i="1" s="1"/>
  <c r="CN151" i="1"/>
  <c r="CP45" i="1"/>
  <c r="CM151" i="1"/>
  <c r="CO45" i="1"/>
  <c r="CO47" i="1" s="1"/>
  <c r="CN45" i="1"/>
  <c r="CN47" i="1" s="1"/>
  <c r="CM45" i="1"/>
  <c r="CM207" i="1" s="1"/>
  <c r="CZ53" i="1" l="1"/>
  <c r="DA53" i="1" s="1"/>
  <c r="CK109" i="1"/>
  <c r="CK108" i="1"/>
  <c r="CK103" i="1"/>
  <c r="CL103" i="1"/>
  <c r="CK216" i="1"/>
  <c r="CK214" i="1" s="1"/>
  <c r="CL216" i="1"/>
  <c r="CL214" i="1" s="1"/>
  <c r="CL226" i="1" s="1"/>
  <c r="CU216" i="1"/>
  <c r="CU214" i="1" s="1"/>
  <c r="CZ207" i="1"/>
  <c r="AC45" i="1"/>
  <c r="CZ216" i="1"/>
  <c r="CZ214" i="1" s="1"/>
  <c r="CQ266" i="1"/>
  <c r="CM216" i="1"/>
  <c r="CM214" i="1" s="1"/>
  <c r="CT47" i="1"/>
  <c r="AD45" i="1"/>
  <c r="CM266" i="1"/>
  <c r="CN266" i="1"/>
  <c r="CX47" i="1"/>
  <c r="AE45" i="1"/>
  <c r="AB45" i="1"/>
  <c r="CQ207" i="1"/>
  <c r="CT207" i="1"/>
  <c r="CT216" i="1"/>
  <c r="CT214" i="1" s="1"/>
  <c r="CS216" i="1"/>
  <c r="CS214" i="1" s="1"/>
  <c r="CN216" i="1"/>
  <c r="CN214" i="1" s="1"/>
  <c r="CR266" i="1"/>
  <c r="CR216" i="1"/>
  <c r="CR214" i="1" s="1"/>
  <c r="CV266" i="1"/>
  <c r="CV216" i="1"/>
  <c r="CV214" i="1" s="1"/>
  <c r="DA216" i="1"/>
  <c r="DA214" i="1" s="1"/>
  <c r="CW216" i="1"/>
  <c r="CW214" i="1" s="1"/>
  <c r="CY266" i="1"/>
  <c r="CY216" i="1"/>
  <c r="CY214" i="1" s="1"/>
  <c r="CO207" i="1"/>
  <c r="CP216" i="1"/>
  <c r="CP214" i="1" s="1"/>
  <c r="CQ216" i="1"/>
  <c r="CQ214" i="1" s="1"/>
  <c r="CV207" i="1"/>
  <c r="CW207" i="1"/>
  <c r="CX266" i="1"/>
  <c r="CX216" i="1"/>
  <c r="CX214" i="1" s="1"/>
  <c r="CO266" i="1"/>
  <c r="CP207" i="1"/>
  <c r="CP47" i="1"/>
  <c r="CP266" i="1"/>
  <c r="CO216" i="1"/>
  <c r="CO214" i="1" s="1"/>
  <c r="CM145" i="1"/>
  <c r="CM47" i="1"/>
  <c r="CN207" i="1"/>
  <c r="CS207" i="1"/>
  <c r="CT266" i="1"/>
  <c r="CY207" i="1"/>
  <c r="DA266" i="1"/>
  <c r="CS266" i="1"/>
  <c r="CU266" i="1"/>
  <c r="CW266" i="1"/>
  <c r="CX207" i="1"/>
  <c r="CZ266" i="1"/>
  <c r="DA207" i="1"/>
  <c r="CR47" i="1"/>
  <c r="CU207" i="1"/>
  <c r="CK226" i="1" l="1"/>
  <c r="CK223" i="1"/>
  <c r="CN145" i="1"/>
  <c r="AB47" i="1"/>
  <c r="AB266" i="1"/>
  <c r="AB207" i="1"/>
  <c r="AD47" i="1"/>
  <c r="AD266" i="1"/>
  <c r="AD207" i="1"/>
  <c r="AE47" i="1"/>
  <c r="AE207" i="1"/>
  <c r="AE266" i="1"/>
  <c r="AC47" i="1"/>
  <c r="AC207" i="1"/>
  <c r="AC266" i="1"/>
  <c r="CL222" i="1" l="1"/>
  <c r="CL223" i="1" s="1"/>
  <c r="CL173" i="1" s="1"/>
  <c r="CL174" i="1" s="1"/>
  <c r="CO145" i="1"/>
  <c r="AB145" i="1" s="1"/>
  <c r="CL224" i="1" l="1"/>
  <c r="CL259" i="1"/>
  <c r="CL261" i="1"/>
  <c r="CL178" i="1"/>
  <c r="CL179" i="1" s="1"/>
  <c r="CL181" i="1"/>
  <c r="CL122" i="1" s="1"/>
  <c r="CL257" i="1"/>
  <c r="CK224" i="1"/>
  <c r="CK261" i="1"/>
  <c r="CK257" i="1"/>
  <c r="CK259" i="1"/>
  <c r="AB144" i="1"/>
  <c r="CP145" i="1"/>
  <c r="CL123" i="1" l="1"/>
  <c r="CL126" i="1" s="1"/>
  <c r="CL124" i="1"/>
  <c r="CL127" i="1" s="1"/>
  <c r="CK122" i="1"/>
  <c r="CL50" i="1"/>
  <c r="CM50" i="1" s="1"/>
  <c r="CN50" i="1" s="1"/>
  <c r="CO50" i="1" s="1"/>
  <c r="CP50" i="1" s="1"/>
  <c r="CQ50" i="1" s="1"/>
  <c r="CR50" i="1" s="1"/>
  <c r="CS50" i="1" s="1"/>
  <c r="CU50" i="1" s="1"/>
  <c r="CV50" i="1" s="1"/>
  <c r="CW50" i="1" s="1"/>
  <c r="CX50" i="1" s="1"/>
  <c r="CY50" i="1" s="1"/>
  <c r="CZ50" i="1" s="1"/>
  <c r="DA50" i="1" s="1"/>
  <c r="CQ145" i="1"/>
  <c r="CK124" i="1" l="1"/>
  <c r="CK127" i="1" s="1"/>
  <c r="CK123" i="1"/>
  <c r="CK126" i="1" s="1"/>
  <c r="CR145" i="1"/>
  <c r="AB147" i="1"/>
  <c r="AB151" i="1" l="1"/>
  <c r="AB46" i="1"/>
  <c r="CS145" i="1"/>
  <c r="AC145" i="1" s="1"/>
  <c r="AB216" i="1" l="1"/>
  <c r="AB214" i="1" s="1"/>
  <c r="AC144" i="1"/>
  <c r="CT145" i="1"/>
  <c r="AC147" i="1" l="1"/>
  <c r="CU145" i="1"/>
  <c r="CM108" i="1" l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CV145" i="1"/>
  <c r="CH102" i="1"/>
  <c r="AC151" i="1"/>
  <c r="AC46" i="1"/>
  <c r="CM99" i="1" l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CW145" i="1"/>
  <c r="AD145" i="1" s="1"/>
  <c r="AC216" i="1"/>
  <c r="AC214" i="1" s="1"/>
  <c r="AD144" i="1" l="1"/>
  <c r="CX145" i="1"/>
  <c r="AB222" i="1" l="1"/>
  <c r="CY145" i="1"/>
  <c r="CM222" i="1"/>
  <c r="CM49" i="1" l="1"/>
  <c r="CZ145" i="1"/>
  <c r="AD147" i="1"/>
  <c r="CM265" i="1" l="1"/>
  <c r="CM51" i="1"/>
  <c r="AD151" i="1"/>
  <c r="AD46" i="1"/>
  <c r="DA145" i="1"/>
  <c r="AE145" i="1" s="1"/>
  <c r="AD216" i="1" l="1"/>
  <c r="AD214" i="1" s="1"/>
  <c r="CM52" i="1"/>
  <c r="AE144" i="1"/>
  <c r="CM54" i="1" l="1"/>
  <c r="CM240" i="1" s="1"/>
  <c r="CM61" i="1" l="1"/>
  <c r="CM56" i="1"/>
  <c r="CM55" i="1"/>
  <c r="CM258" i="1" s="1"/>
  <c r="CM57" i="1"/>
  <c r="CM247" i="1"/>
  <c r="AE147" i="1"/>
  <c r="CM206" i="1" l="1"/>
  <c r="CM208" i="1" s="1"/>
  <c r="CM212" i="1" s="1"/>
  <c r="CM226" i="1" s="1"/>
  <c r="CM132" i="1"/>
  <c r="CM133" i="1" s="1"/>
  <c r="CM79" i="1"/>
  <c r="CM82" i="1" s="1"/>
  <c r="AE151" i="1"/>
  <c r="AE216" i="1" s="1"/>
  <c r="AE214" i="1" s="1"/>
  <c r="AE46" i="1"/>
  <c r="CM92" i="1" l="1"/>
  <c r="CI102" i="1"/>
  <c r="CM91" i="1"/>
  <c r="CM83" i="1"/>
  <c r="CM98" i="1"/>
  <c r="CM105" i="1"/>
  <c r="CM107" i="1" s="1"/>
  <c r="CM220" i="1"/>
  <c r="CM218" i="1" s="1"/>
  <c r="CM223" i="1" s="1"/>
  <c r="CM142" i="1"/>
  <c r="CM68" i="1" s="1"/>
  <c r="CM67" i="1"/>
  <c r="CM173" i="1" l="1"/>
  <c r="CM174" i="1" s="1"/>
  <c r="CM224" i="1" s="1"/>
  <c r="CM120" i="1"/>
  <c r="CM94" i="1"/>
  <c r="CM121" i="1"/>
  <c r="CM95" i="1"/>
  <c r="CM259" i="1" l="1"/>
  <c r="CM178" i="1"/>
  <c r="CM179" i="1" s="1"/>
  <c r="CN222" i="1"/>
  <c r="CM181" i="1"/>
  <c r="CM257" i="1"/>
  <c r="CM261" i="1"/>
  <c r="CM122" i="1" l="1"/>
  <c r="CN49" i="1"/>
  <c r="CN265" i="1" l="1"/>
  <c r="CN51" i="1"/>
  <c r="CM123" i="1"/>
  <c r="CM126" i="1" s="1"/>
  <c r="CM124" i="1"/>
  <c r="CM127" i="1" s="1"/>
  <c r="CN52" i="1" l="1"/>
  <c r="CN54" i="1" l="1"/>
  <c r="CN57" i="1" s="1"/>
  <c r="CN240" i="1" l="1"/>
  <c r="CN247" i="1"/>
  <c r="CN56" i="1"/>
  <c r="CN61" i="1"/>
  <c r="CN79" i="1" s="1"/>
  <c r="CN55" i="1"/>
  <c r="CN258" i="1" s="1"/>
  <c r="CN132" i="1" l="1"/>
  <c r="CN133" i="1" s="1"/>
  <c r="CN206" i="1"/>
  <c r="CN208" i="1" s="1"/>
  <c r="CN212" i="1" s="1"/>
  <c r="CN226" i="1" s="1"/>
  <c r="CN82" i="1"/>
  <c r="CN98" i="1" l="1"/>
  <c r="CN91" i="1"/>
  <c r="CJ102" i="1"/>
  <c r="CN92" i="1"/>
  <c r="CN83" i="1"/>
  <c r="CN105" i="1"/>
  <c r="CN107" i="1" s="1"/>
  <c r="CN220" i="1"/>
  <c r="CN218" i="1" s="1"/>
  <c r="CN223" i="1" s="1"/>
  <c r="CN142" i="1"/>
  <c r="CN68" i="1" s="1"/>
  <c r="CN67" i="1"/>
  <c r="CN173" i="1" l="1"/>
  <c r="CN174" i="1" s="1"/>
  <c r="CN120" i="1"/>
  <c r="CN94" i="1"/>
  <c r="CN121" i="1"/>
  <c r="CN95" i="1"/>
  <c r="CN257" i="1" l="1"/>
  <c r="CN261" i="1"/>
  <c r="CN181" i="1"/>
  <c r="CN259" i="1"/>
  <c r="CO222" i="1"/>
  <c r="CN178" i="1"/>
  <c r="CN179" i="1" s="1"/>
  <c r="CN224" i="1"/>
  <c r="CO49" i="1" l="1"/>
  <c r="AB49" i="1" s="1"/>
  <c r="CN122" i="1"/>
  <c r="CN123" i="1" l="1"/>
  <c r="CN126" i="1" s="1"/>
  <c r="CN124" i="1"/>
  <c r="CN127" i="1" s="1"/>
  <c r="CO265" i="1"/>
  <c r="CO51" i="1"/>
  <c r="CO52" i="1" l="1"/>
  <c r="AB52" i="1" s="1"/>
  <c r="CO54" i="1" l="1"/>
  <c r="CO56" i="1" l="1"/>
  <c r="CO61" i="1"/>
  <c r="CO55" i="1"/>
  <c r="CO258" i="1" s="1"/>
  <c r="CO57" i="1"/>
  <c r="CO247" i="1"/>
  <c r="CO240" i="1"/>
  <c r="CO79" i="1" l="1"/>
  <c r="CO206" i="1"/>
  <c r="CO208" i="1" s="1"/>
  <c r="CO212" i="1" s="1"/>
  <c r="CO226" i="1" s="1"/>
  <c r="CO132" i="1"/>
  <c r="AB132" i="1" s="1"/>
  <c r="CO133" i="1" l="1"/>
  <c r="CO82" i="1"/>
  <c r="CO85" i="1" l="1"/>
  <c r="CK102" i="1"/>
  <c r="CO92" i="1"/>
  <c r="AB92" i="1" s="1"/>
  <c r="CO98" i="1"/>
  <c r="CO91" i="1"/>
  <c r="AB91" i="1" s="1"/>
  <c r="CO83" i="1"/>
  <c r="CO220" i="1"/>
  <c r="CO218" i="1" s="1"/>
  <c r="CO223" i="1" s="1"/>
  <c r="CO142" i="1"/>
  <c r="CO68" i="1" s="1"/>
  <c r="CO105" i="1"/>
  <c r="CO107" i="1" s="1"/>
  <c r="CO67" i="1"/>
  <c r="CO120" i="1" l="1"/>
  <c r="CO94" i="1"/>
  <c r="CO173" i="1"/>
  <c r="CO95" i="1"/>
  <c r="CO121" i="1"/>
  <c r="CO174" i="1" l="1"/>
  <c r="CO178" i="1" s="1"/>
  <c r="CO179" i="1" s="1"/>
  <c r="AB173" i="1"/>
  <c r="CO224" i="1" l="1"/>
  <c r="CO259" i="1"/>
  <c r="CO257" i="1"/>
  <c r="CO181" i="1"/>
  <c r="CP222" i="1"/>
  <c r="CO261" i="1"/>
  <c r="CP49" i="1" l="1"/>
  <c r="CO122" i="1"/>
  <c r="CP265" i="1" l="1"/>
  <c r="CP51" i="1"/>
  <c r="CP52" i="1" s="1"/>
  <c r="CO124" i="1"/>
  <c r="CO127" i="1" s="1"/>
  <c r="CO123" i="1"/>
  <c r="CO126" i="1" s="1"/>
  <c r="AB50" i="1"/>
  <c r="AB265" i="1"/>
  <c r="AB51" i="1"/>
  <c r="AB54" i="1" s="1"/>
  <c r="AB74" i="1" s="1"/>
  <c r="CP54" i="1" l="1"/>
  <c r="CP240" i="1" s="1"/>
  <c r="AB61" i="1"/>
  <c r="AB55" i="1"/>
  <c r="AB258" i="1" s="1"/>
  <c r="AB56" i="1"/>
  <c r="AB53" i="1"/>
  <c r="CP57" i="1" l="1"/>
  <c r="CP247" i="1"/>
  <c r="CP56" i="1"/>
  <c r="CP61" i="1"/>
  <c r="CP55" i="1"/>
  <c r="CP258" i="1" s="1"/>
  <c r="AB64" i="1"/>
  <c r="AB65" i="1" s="1"/>
  <c r="AB206" i="1"/>
  <c r="AB208" i="1" s="1"/>
  <c r="AB212" i="1" s="1"/>
  <c r="AB226" i="1" s="1"/>
  <c r="CP79" i="1" l="1"/>
  <c r="CP82" i="1" s="1"/>
  <c r="CL102" i="1" s="1"/>
  <c r="CP206" i="1"/>
  <c r="CP208" i="1" s="1"/>
  <c r="CP212" i="1" s="1"/>
  <c r="CP226" i="1" s="1"/>
  <c r="CP132" i="1"/>
  <c r="CP133" i="1" s="1"/>
  <c r="AB133" i="1"/>
  <c r="CP98" i="1" l="1"/>
  <c r="CP92" i="1"/>
  <c r="CP91" i="1"/>
  <c r="CP83" i="1"/>
  <c r="CP105" i="1"/>
  <c r="CP107" i="1" s="1"/>
  <c r="CP142" i="1"/>
  <c r="CP68" i="1" s="1"/>
  <c r="CP220" i="1"/>
  <c r="CP218" i="1" s="1"/>
  <c r="CP223" i="1" s="1"/>
  <c r="CP67" i="1"/>
  <c r="AB188" i="1"/>
  <c r="AB142" i="1"/>
  <c r="AB68" i="1" s="1"/>
  <c r="AB220" i="1"/>
  <c r="AB218" i="1" s="1"/>
  <c r="AB223" i="1" s="1"/>
  <c r="AB67" i="1"/>
  <c r="CP173" i="1" l="1"/>
  <c r="CP94" i="1"/>
  <c r="CP120" i="1"/>
  <c r="CP121" i="1"/>
  <c r="CP95" i="1"/>
  <c r="AB94" i="1" l="1"/>
  <c r="CP174" i="1"/>
  <c r="AB174" i="1"/>
  <c r="AB95" i="1"/>
  <c r="AB259" i="1" l="1"/>
  <c r="AC222" i="1"/>
  <c r="AB178" i="1"/>
  <c r="AB179" i="1" s="1"/>
  <c r="AB261" i="1"/>
  <c r="AB181" i="1"/>
  <c r="AB122" i="1" s="1"/>
  <c r="AB257" i="1"/>
  <c r="AB224" i="1"/>
  <c r="CP181" i="1"/>
  <c r="CP261" i="1"/>
  <c r="CP257" i="1"/>
  <c r="CP178" i="1"/>
  <c r="CP179" i="1" s="1"/>
  <c r="CQ222" i="1"/>
  <c r="CP259" i="1"/>
  <c r="CP224" i="1"/>
  <c r="CQ49" i="1" l="1"/>
  <c r="CP122" i="1"/>
  <c r="CP124" i="1" l="1"/>
  <c r="CP127" i="1" s="1"/>
  <c r="CP123" i="1"/>
  <c r="CP126" i="1" s="1"/>
  <c r="CQ265" i="1"/>
  <c r="CQ51" i="1"/>
  <c r="CQ52" i="1" l="1"/>
  <c r="CQ54" i="1" l="1"/>
  <c r="CQ240" i="1" s="1"/>
  <c r="CQ247" i="1" l="1"/>
  <c r="CQ56" i="1"/>
  <c r="CQ55" i="1"/>
  <c r="CQ258" i="1" s="1"/>
  <c r="CQ57" i="1"/>
  <c r="CQ61" i="1"/>
  <c r="CQ79" i="1" l="1"/>
  <c r="CQ82" i="1" s="1"/>
  <c r="CQ206" i="1"/>
  <c r="CQ208" i="1" s="1"/>
  <c r="CQ212" i="1" s="1"/>
  <c r="CQ226" i="1" s="1"/>
  <c r="CQ132" i="1"/>
  <c r="CQ133" i="1" s="1"/>
  <c r="CQ91" i="1" l="1"/>
  <c r="CQ98" i="1"/>
  <c r="CQ92" i="1"/>
  <c r="CQ83" i="1"/>
  <c r="CQ220" i="1"/>
  <c r="CQ218" i="1" s="1"/>
  <c r="CQ223" i="1" s="1"/>
  <c r="CQ105" i="1"/>
  <c r="CQ107" i="1" s="1"/>
  <c r="CQ142" i="1"/>
  <c r="CQ68" i="1" s="1"/>
  <c r="CQ67" i="1"/>
  <c r="CQ121" i="1" l="1"/>
  <c r="CQ95" i="1"/>
  <c r="CQ173" i="1"/>
  <c r="CQ174" i="1" s="1"/>
  <c r="CQ224" i="1" s="1"/>
  <c r="CQ94" i="1"/>
  <c r="CQ120" i="1"/>
  <c r="CQ181" i="1" l="1"/>
  <c r="CQ178" i="1"/>
  <c r="CQ179" i="1" s="1"/>
  <c r="CQ259" i="1"/>
  <c r="CR222" i="1"/>
  <c r="CQ261" i="1"/>
  <c r="CQ257" i="1"/>
  <c r="CR49" i="1" l="1"/>
  <c r="CQ122" i="1"/>
  <c r="CQ123" i="1" l="1"/>
  <c r="CQ126" i="1" s="1"/>
  <c r="CQ124" i="1"/>
  <c r="CQ127" i="1" s="1"/>
  <c r="CR265" i="1"/>
  <c r="CR51" i="1"/>
  <c r="CR52" i="1" l="1"/>
  <c r="CR54" i="1" l="1"/>
  <c r="CR57" i="1" l="1"/>
  <c r="CR56" i="1"/>
  <c r="CR61" i="1"/>
  <c r="CR55" i="1"/>
  <c r="CR258" i="1" s="1"/>
  <c r="CR247" i="1"/>
  <c r="CR240" i="1"/>
  <c r="CR79" i="1" l="1"/>
  <c r="CR206" i="1"/>
  <c r="CR208" i="1" s="1"/>
  <c r="CR212" i="1" s="1"/>
  <c r="CR226" i="1" s="1"/>
  <c r="CR132" i="1"/>
  <c r="CR133" i="1" l="1"/>
  <c r="CR82" i="1"/>
  <c r="CR98" i="1" l="1"/>
  <c r="CR92" i="1"/>
  <c r="CR91" i="1"/>
  <c r="CR83" i="1"/>
  <c r="CR142" i="1"/>
  <c r="CR68" i="1" s="1"/>
  <c r="CR220" i="1"/>
  <c r="CR218" i="1" s="1"/>
  <c r="CR223" i="1" s="1"/>
  <c r="CR105" i="1"/>
  <c r="CR107" i="1" s="1"/>
  <c r="CR67" i="1"/>
  <c r="CR94" i="1" l="1"/>
  <c r="CR120" i="1"/>
  <c r="CR121" i="1"/>
  <c r="CR95" i="1"/>
  <c r="CR173" i="1"/>
  <c r="CR174" i="1" s="1"/>
  <c r="CR261" i="1" l="1"/>
  <c r="CR181" i="1"/>
  <c r="CR259" i="1"/>
  <c r="CS222" i="1"/>
  <c r="CR178" i="1"/>
  <c r="CR179" i="1" s="1"/>
  <c r="CR257" i="1"/>
  <c r="CR224" i="1"/>
  <c r="CS49" i="1" l="1"/>
  <c r="CR122" i="1"/>
  <c r="AC49" i="1" l="1"/>
  <c r="CS51" i="1"/>
  <c r="CR124" i="1"/>
  <c r="CR127" i="1" s="1"/>
  <c r="CR123" i="1"/>
  <c r="CR126" i="1" s="1"/>
  <c r="CS265" i="1"/>
  <c r="CS52" i="1" l="1"/>
  <c r="AC52" i="1" s="1"/>
  <c r="CS54" i="1" l="1"/>
  <c r="CS247" i="1" l="1"/>
  <c r="CS56" i="1"/>
  <c r="CS57" i="1"/>
  <c r="CS61" i="1"/>
  <c r="CS55" i="1"/>
  <c r="CS258" i="1" s="1"/>
  <c r="CS240" i="1"/>
  <c r="CS79" i="1" l="1"/>
  <c r="CS206" i="1"/>
  <c r="CS208" i="1" s="1"/>
  <c r="CS212" i="1" s="1"/>
  <c r="CS226" i="1" s="1"/>
  <c r="CS132" i="1"/>
  <c r="AC132" i="1" s="1"/>
  <c r="CS133" i="1" l="1"/>
  <c r="CS82" i="1"/>
  <c r="CS85" i="1" s="1"/>
  <c r="CS98" i="1" l="1"/>
  <c r="CS92" i="1"/>
  <c r="AC92" i="1" s="1"/>
  <c r="CS91" i="1"/>
  <c r="AC91" i="1" s="1"/>
  <c r="CS83" i="1"/>
  <c r="CS142" i="1"/>
  <c r="CS68" i="1" s="1"/>
  <c r="CS220" i="1"/>
  <c r="CS218" i="1" s="1"/>
  <c r="CS223" i="1" s="1"/>
  <c r="CS105" i="1"/>
  <c r="CS107" i="1" s="1"/>
  <c r="CS67" i="1"/>
  <c r="CS173" i="1" l="1"/>
  <c r="CS121" i="1"/>
  <c r="CS95" i="1"/>
  <c r="CS94" i="1"/>
  <c r="CS120" i="1"/>
  <c r="CS174" i="1" l="1"/>
  <c r="AC173" i="1"/>
  <c r="CS178" i="1" l="1"/>
  <c r="CS179" i="1" s="1"/>
  <c r="CT222" i="1"/>
  <c r="CS224" i="1"/>
  <c r="CS261" i="1"/>
  <c r="CS257" i="1"/>
  <c r="CS259" i="1"/>
  <c r="CS181" i="1"/>
  <c r="CT49" i="1" s="1"/>
  <c r="CT51" i="1" s="1"/>
  <c r="CS122" i="1" l="1"/>
  <c r="CT265" i="1"/>
  <c r="CS124" i="1" l="1"/>
  <c r="CS127" i="1" s="1"/>
  <c r="CS123" i="1"/>
  <c r="CS126" i="1" s="1"/>
  <c r="CT52" i="1"/>
  <c r="CT54" i="1" s="1"/>
  <c r="CT61" i="1" s="1"/>
  <c r="AC265" i="1"/>
  <c r="AC50" i="1"/>
  <c r="AC51" i="1"/>
  <c r="AC54" i="1" s="1"/>
  <c r="AC74" i="1" s="1"/>
  <c r="CT56" i="1" l="1"/>
  <c r="CT55" i="1"/>
  <c r="CT258" i="1" s="1"/>
  <c r="CT57" i="1"/>
  <c r="CT247" i="1"/>
  <c r="CT240" i="1"/>
  <c r="AC61" i="1"/>
  <c r="AC55" i="1"/>
  <c r="AC258" i="1" s="1"/>
  <c r="AC56" i="1"/>
  <c r="AC53" i="1"/>
  <c r="CT79" i="1" l="1"/>
  <c r="CT206" i="1"/>
  <c r="CT208" i="1" s="1"/>
  <c r="CT212" i="1" s="1"/>
  <c r="CT226" i="1" s="1"/>
  <c r="CT132" i="1"/>
  <c r="AC64" i="1"/>
  <c r="AC65" i="1" s="1"/>
  <c r="AC206" i="1"/>
  <c r="AC208" i="1" s="1"/>
  <c r="AC212" i="1" s="1"/>
  <c r="AC226" i="1" s="1"/>
  <c r="CT133" i="1" l="1"/>
  <c r="AC133" i="1"/>
  <c r="CT82" i="1"/>
  <c r="AC142" i="1" l="1"/>
  <c r="AC68" i="1" s="1"/>
  <c r="AC188" i="1"/>
  <c r="AC220" i="1"/>
  <c r="AC218" i="1" s="1"/>
  <c r="AC223" i="1" s="1"/>
  <c r="AC67" i="1"/>
  <c r="CT142" i="1"/>
  <c r="CT68" i="1" s="1"/>
  <c r="CT220" i="1"/>
  <c r="CT218" i="1" s="1"/>
  <c r="CT223" i="1" s="1"/>
  <c r="CT105" i="1"/>
  <c r="CT107" i="1" s="1"/>
  <c r="CT67" i="1"/>
  <c r="CT91" i="1"/>
  <c r="CT98" i="1"/>
  <c r="CT92" i="1"/>
  <c r="CT83" i="1"/>
  <c r="CT121" i="1" l="1"/>
  <c r="CT95" i="1"/>
  <c r="CT173" i="1"/>
  <c r="CT120" i="1"/>
  <c r="CT94" i="1"/>
  <c r="AC95" i="1" l="1"/>
  <c r="AC94" i="1"/>
  <c r="CT174" i="1"/>
  <c r="AC174" i="1"/>
  <c r="AD222" i="1" l="1"/>
  <c r="AC259" i="1"/>
  <c r="AC257" i="1"/>
  <c r="AC181" i="1"/>
  <c r="AC122" i="1" s="1"/>
  <c r="AC261" i="1"/>
  <c r="AC178" i="1"/>
  <c r="AC179" i="1" s="1"/>
  <c r="AC224" i="1"/>
  <c r="CU222" i="1"/>
  <c r="CT181" i="1"/>
  <c r="CT259" i="1"/>
  <c r="CT178" i="1"/>
  <c r="CT179" i="1" s="1"/>
  <c r="CT261" i="1"/>
  <c r="CT257" i="1"/>
  <c r="CT224" i="1"/>
  <c r="CU49" i="1" l="1"/>
  <c r="CT122" i="1"/>
  <c r="CT123" i="1" l="1"/>
  <c r="CT126" i="1" s="1"/>
  <c r="CT124" i="1"/>
  <c r="CT127" i="1" s="1"/>
  <c r="CU265" i="1"/>
  <c r="CU51" i="1"/>
  <c r="CU52" i="1" l="1"/>
  <c r="CU54" i="1" l="1"/>
  <c r="CU61" i="1" s="1"/>
  <c r="CU247" i="1" l="1"/>
  <c r="CU56" i="1"/>
  <c r="CU57" i="1"/>
  <c r="CU55" i="1"/>
  <c r="CU258" i="1" s="1"/>
  <c r="CU240" i="1"/>
  <c r="CU79" i="1" l="1"/>
  <c r="CU206" i="1"/>
  <c r="CU208" i="1" s="1"/>
  <c r="CU212" i="1" s="1"/>
  <c r="CU226" i="1" s="1"/>
  <c r="CU132" i="1"/>
  <c r="CU133" i="1" l="1"/>
  <c r="CU82" i="1"/>
  <c r="CU92" i="1" l="1"/>
  <c r="CU98" i="1"/>
  <c r="CU91" i="1"/>
  <c r="CU83" i="1"/>
  <c r="CU220" i="1"/>
  <c r="CU218" i="1" s="1"/>
  <c r="CU223" i="1" s="1"/>
  <c r="CU142" i="1"/>
  <c r="CU68" i="1" s="1"/>
  <c r="CU105" i="1"/>
  <c r="CU107" i="1" s="1"/>
  <c r="CU67" i="1"/>
  <c r="CU94" i="1" l="1"/>
  <c r="CU120" i="1"/>
  <c r="CU173" i="1"/>
  <c r="CU174" i="1" s="1"/>
  <c r="CU121" i="1"/>
  <c r="CU95" i="1"/>
  <c r="CV222" i="1" l="1"/>
  <c r="CU261" i="1"/>
  <c r="CU259" i="1"/>
  <c r="CU181" i="1"/>
  <c r="CU178" i="1"/>
  <c r="CU179" i="1" s="1"/>
  <c r="CU257" i="1"/>
  <c r="CU224" i="1"/>
  <c r="CU122" i="1" l="1"/>
  <c r="CV49" i="1"/>
  <c r="CV265" i="1" l="1"/>
  <c r="CV51" i="1"/>
  <c r="CU124" i="1"/>
  <c r="CU127" i="1" s="1"/>
  <c r="CU123" i="1"/>
  <c r="CU126" i="1" s="1"/>
  <c r="CV52" i="1" l="1"/>
  <c r="CV54" i="1" l="1"/>
  <c r="CV61" i="1" s="1"/>
  <c r="CV55" i="1" l="1"/>
  <c r="CV258" i="1" s="1"/>
  <c r="CV57" i="1"/>
  <c r="CV56" i="1"/>
  <c r="CV247" i="1"/>
  <c r="CV240" i="1"/>
  <c r="CV79" i="1" l="1"/>
  <c r="CV206" i="1"/>
  <c r="CV208" i="1" s="1"/>
  <c r="CV212" i="1" s="1"/>
  <c r="CV226" i="1" s="1"/>
  <c r="CV132" i="1"/>
  <c r="CV133" i="1" l="1"/>
  <c r="CV82" i="1"/>
  <c r="CV220" i="1" l="1"/>
  <c r="CV218" i="1" s="1"/>
  <c r="CV223" i="1" s="1"/>
  <c r="CV142" i="1"/>
  <c r="CV68" i="1" s="1"/>
  <c r="CV105" i="1"/>
  <c r="CV107" i="1" s="1"/>
  <c r="CV67" i="1"/>
  <c r="CV92" i="1"/>
  <c r="CV91" i="1"/>
  <c r="CV98" i="1"/>
  <c r="CV83" i="1"/>
  <c r="CV120" i="1" l="1"/>
  <c r="CV94" i="1"/>
  <c r="CV121" i="1"/>
  <c r="CV95" i="1"/>
  <c r="CV173" i="1"/>
  <c r="CV174" i="1" s="1"/>
  <c r="CV224" i="1" s="1"/>
  <c r="CW222" i="1" l="1"/>
  <c r="CV261" i="1"/>
  <c r="CV257" i="1"/>
  <c r="CV181" i="1"/>
  <c r="CV178" i="1"/>
  <c r="CV179" i="1" s="1"/>
  <c r="CV259" i="1"/>
  <c r="CV122" i="1" l="1"/>
  <c r="CW49" i="1"/>
  <c r="AD49" i="1" s="1"/>
  <c r="CW265" i="1" l="1"/>
  <c r="CW51" i="1"/>
  <c r="CV124" i="1"/>
  <c r="CV127" i="1" s="1"/>
  <c r="CV123" i="1"/>
  <c r="CV126" i="1" s="1"/>
  <c r="CW52" i="1" l="1"/>
  <c r="AD52" i="1" s="1"/>
  <c r="CW54" i="1" l="1"/>
  <c r="CW61" i="1" s="1"/>
  <c r="CW55" i="1" l="1"/>
  <c r="CW258" i="1" s="1"/>
  <c r="CW247" i="1"/>
  <c r="CW56" i="1"/>
  <c r="CW57" i="1"/>
  <c r="CW240" i="1"/>
  <c r="CW79" i="1" l="1"/>
  <c r="CW206" i="1"/>
  <c r="CW208" i="1" s="1"/>
  <c r="CW212" i="1" s="1"/>
  <c r="CW226" i="1" s="1"/>
  <c r="CW132" i="1"/>
  <c r="AD132" i="1" s="1"/>
  <c r="CW133" i="1" l="1"/>
  <c r="CW82" i="1"/>
  <c r="CW85" i="1" s="1"/>
  <c r="CW91" i="1" l="1"/>
  <c r="AD91" i="1" s="1"/>
  <c r="CW98" i="1"/>
  <c r="CW92" i="1"/>
  <c r="AD92" i="1" s="1"/>
  <c r="CW83" i="1"/>
  <c r="CW105" i="1"/>
  <c r="CW107" i="1" s="1"/>
  <c r="CW142" i="1"/>
  <c r="CW68" i="1" s="1"/>
  <c r="CW220" i="1"/>
  <c r="CW218" i="1" s="1"/>
  <c r="CW223" i="1" s="1"/>
  <c r="CW67" i="1"/>
  <c r="CW173" i="1" l="1"/>
  <c r="CW121" i="1"/>
  <c r="CW95" i="1"/>
  <c r="CW120" i="1"/>
  <c r="CW94" i="1"/>
  <c r="CW174" i="1" l="1"/>
  <c r="CW259" i="1" s="1"/>
  <c r="AD173" i="1"/>
  <c r="CW224" i="1" l="1"/>
  <c r="CX222" i="1"/>
  <c r="CW181" i="1"/>
  <c r="CW178" i="1"/>
  <c r="CW179" i="1" s="1"/>
  <c r="CW261" i="1"/>
  <c r="CW257" i="1"/>
  <c r="CW122" i="1" l="1"/>
  <c r="CX49" i="1"/>
  <c r="CX265" i="1" l="1"/>
  <c r="CX51" i="1"/>
  <c r="CX52" i="1" s="1"/>
  <c r="CX54" i="1" s="1"/>
  <c r="CW124" i="1"/>
  <c r="CW127" i="1" s="1"/>
  <c r="CW123" i="1"/>
  <c r="CW126" i="1" s="1"/>
  <c r="AD265" i="1"/>
  <c r="AD50" i="1"/>
  <c r="AD51" i="1"/>
  <c r="AD54" i="1" s="1"/>
  <c r="AD74" i="1" s="1"/>
  <c r="AD61" i="1" l="1"/>
  <c r="AD55" i="1"/>
  <c r="AD258" i="1" s="1"/>
  <c r="AD56" i="1"/>
  <c r="CX55" i="1"/>
  <c r="CX258" i="1" s="1"/>
  <c r="CX57" i="1"/>
  <c r="CX247" i="1"/>
  <c r="CX61" i="1"/>
  <c r="CX56" i="1"/>
  <c r="CX240" i="1"/>
  <c r="AD53" i="1"/>
  <c r="AD206" i="1" l="1"/>
  <c r="AD208" i="1" s="1"/>
  <c r="AD212" i="1" s="1"/>
  <c r="AD226" i="1" s="1"/>
  <c r="AD64" i="1"/>
  <c r="AD65" i="1" s="1"/>
  <c r="CX79" i="1"/>
  <c r="CX206" i="1"/>
  <c r="CX208" i="1" s="1"/>
  <c r="CX212" i="1" s="1"/>
  <c r="CX226" i="1" s="1"/>
  <c r="CX132" i="1"/>
  <c r="AD133" i="1" l="1"/>
  <c r="CX133" i="1"/>
  <c r="CX82" i="1"/>
  <c r="CX105" i="1" l="1"/>
  <c r="CX107" i="1" s="1"/>
  <c r="CX142" i="1"/>
  <c r="CX68" i="1" s="1"/>
  <c r="CX220" i="1"/>
  <c r="CX218" i="1" s="1"/>
  <c r="CX223" i="1" s="1"/>
  <c r="CX67" i="1"/>
  <c r="AD220" i="1"/>
  <c r="AD218" i="1" s="1"/>
  <c r="AD223" i="1" s="1"/>
  <c r="AD188" i="1"/>
  <c r="AD142" i="1"/>
  <c r="AD68" i="1" s="1"/>
  <c r="AD67" i="1"/>
  <c r="CX92" i="1"/>
  <c r="CX91" i="1"/>
  <c r="CX98" i="1"/>
  <c r="CX83" i="1"/>
  <c r="CX173" i="1" l="1"/>
  <c r="CX120" i="1"/>
  <c r="CX94" i="1"/>
  <c r="CX121" i="1"/>
  <c r="CX95" i="1"/>
  <c r="AD95" i="1" l="1"/>
  <c r="AD94" i="1"/>
  <c r="CX174" i="1"/>
  <c r="AD174" i="1"/>
  <c r="AE222" i="1" l="1"/>
  <c r="AD259" i="1"/>
  <c r="AD261" i="1"/>
  <c r="AD257" i="1"/>
  <c r="AD178" i="1"/>
  <c r="AD179" i="1" s="1"/>
  <c r="AD181" i="1"/>
  <c r="AD122" i="1" s="1"/>
  <c r="AD224" i="1"/>
  <c r="CX178" i="1"/>
  <c r="CX179" i="1" s="1"/>
  <c r="CX261" i="1"/>
  <c r="CY222" i="1"/>
  <c r="CX257" i="1"/>
  <c r="CX181" i="1"/>
  <c r="CX259" i="1"/>
  <c r="CX224" i="1"/>
  <c r="CX122" i="1" l="1"/>
  <c r="CY49" i="1"/>
  <c r="CY265" i="1" l="1"/>
  <c r="CY51" i="1"/>
  <c r="CX124" i="1"/>
  <c r="CX127" i="1" s="1"/>
  <c r="CX123" i="1"/>
  <c r="CX126" i="1" s="1"/>
  <c r="CY52" i="1" l="1"/>
  <c r="CY54" i="1" s="1"/>
  <c r="CY61" i="1" l="1"/>
  <c r="CY55" i="1"/>
  <c r="CY258" i="1" s="1"/>
  <c r="CY247" i="1"/>
  <c r="CY57" i="1"/>
  <c r="CY56" i="1"/>
  <c r="CY240" i="1"/>
  <c r="CY79" i="1" l="1"/>
  <c r="CY206" i="1"/>
  <c r="CY208" i="1" s="1"/>
  <c r="CY212" i="1" s="1"/>
  <c r="CY226" i="1" s="1"/>
  <c r="CY132" i="1"/>
  <c r="CY133" i="1" l="1"/>
  <c r="CY82" i="1"/>
  <c r="CY92" i="1" l="1"/>
  <c r="CY91" i="1"/>
  <c r="CY98" i="1"/>
  <c r="CY83" i="1"/>
  <c r="CY105" i="1"/>
  <c r="CY107" i="1" s="1"/>
  <c r="CY220" i="1"/>
  <c r="CY218" i="1" s="1"/>
  <c r="CY223" i="1" s="1"/>
  <c r="CY142" i="1"/>
  <c r="CY68" i="1" s="1"/>
  <c r="CY67" i="1"/>
  <c r="CY173" i="1" l="1"/>
  <c r="CY174" i="1" s="1"/>
  <c r="CY94" i="1"/>
  <c r="CY120" i="1"/>
  <c r="CY121" i="1"/>
  <c r="CY95" i="1"/>
  <c r="CZ222" i="1" l="1"/>
  <c r="CY181" i="1"/>
  <c r="CY178" i="1"/>
  <c r="CY179" i="1" s="1"/>
  <c r="CY259" i="1"/>
  <c r="CY257" i="1"/>
  <c r="CY261" i="1"/>
  <c r="CY224" i="1"/>
  <c r="CZ49" i="1" l="1"/>
  <c r="CY122" i="1"/>
  <c r="CY124" i="1" l="1"/>
  <c r="CY127" i="1" s="1"/>
  <c r="CY123" i="1"/>
  <c r="CY126" i="1" s="1"/>
  <c r="CZ265" i="1"/>
  <c r="CZ51" i="1"/>
  <c r="CZ52" i="1" l="1"/>
  <c r="CZ54" i="1" l="1"/>
  <c r="CZ61" i="1" l="1"/>
  <c r="CZ55" i="1"/>
  <c r="CZ258" i="1" s="1"/>
  <c r="CZ247" i="1"/>
  <c r="CZ56" i="1"/>
  <c r="CZ57" i="1"/>
  <c r="CZ240" i="1"/>
  <c r="CZ206" i="1" l="1"/>
  <c r="CZ208" i="1" s="1"/>
  <c r="CZ212" i="1" s="1"/>
  <c r="CZ226" i="1" s="1"/>
  <c r="CZ79" i="1"/>
  <c r="CZ132" i="1"/>
  <c r="CZ82" i="1" l="1"/>
  <c r="CZ133" i="1"/>
  <c r="CZ220" i="1" l="1"/>
  <c r="CZ218" i="1" s="1"/>
  <c r="CZ223" i="1" s="1"/>
  <c r="CZ105" i="1"/>
  <c r="CZ107" i="1" s="1"/>
  <c r="CZ142" i="1"/>
  <c r="CZ68" i="1" s="1"/>
  <c r="CZ67" i="1"/>
  <c r="CZ91" i="1"/>
  <c r="CZ98" i="1"/>
  <c r="CZ92" i="1"/>
  <c r="CZ83" i="1"/>
  <c r="CZ121" i="1" l="1"/>
  <c r="CZ95" i="1"/>
  <c r="CZ120" i="1"/>
  <c r="CZ94" i="1"/>
  <c r="CZ173" i="1"/>
  <c r="CZ174" i="1" s="1"/>
  <c r="CZ224" i="1" s="1"/>
  <c r="CZ257" i="1" l="1"/>
  <c r="CZ259" i="1"/>
  <c r="DA222" i="1"/>
  <c r="CZ181" i="1"/>
  <c r="CZ178" i="1"/>
  <c r="CZ179" i="1" s="1"/>
  <c r="CZ261" i="1"/>
  <c r="CZ122" i="1" l="1"/>
  <c r="DA49" i="1"/>
  <c r="AE49" i="1" s="1"/>
  <c r="DA265" i="1" l="1"/>
  <c r="DA51" i="1"/>
  <c r="CZ123" i="1"/>
  <c r="CZ126" i="1" s="1"/>
  <c r="CZ124" i="1"/>
  <c r="CZ127" i="1" s="1"/>
  <c r="AE265" i="1" l="1"/>
  <c r="AE50" i="1"/>
  <c r="AE51" i="1"/>
  <c r="BQ9" i="1" l="1"/>
  <c r="BQ10" i="1" s="1"/>
  <c r="DA52" i="1"/>
  <c r="AE52" i="1" s="1"/>
  <c r="DA54" i="1" l="1"/>
  <c r="DA57" i="1" s="1"/>
  <c r="AE53" i="1"/>
  <c r="AE54" i="1"/>
  <c r="DA240" i="1" l="1"/>
  <c r="DA247" i="1"/>
  <c r="DA61" i="1"/>
  <c r="DA79" i="1" s="1"/>
  <c r="DA82" i="1" s="1"/>
  <c r="DA55" i="1"/>
  <c r="DA258" i="1" s="1"/>
  <c r="DA56" i="1"/>
  <c r="AE61" i="1"/>
  <c r="AE56" i="1"/>
  <c r="AE55" i="1"/>
  <c r="AE258" i="1" s="1"/>
  <c r="AE74" i="1"/>
  <c r="DA206" i="1" l="1"/>
  <c r="DA208" i="1" s="1"/>
  <c r="DA212" i="1" s="1"/>
  <c r="DA226" i="1" s="1"/>
  <c r="DA132" i="1"/>
  <c r="DA133" i="1" s="1"/>
  <c r="AE64" i="1"/>
  <c r="AE65" i="1" s="1"/>
  <c r="AE206" i="1"/>
  <c r="AE208" i="1" s="1"/>
  <c r="AE212" i="1" s="1"/>
  <c r="AE226" i="1" s="1"/>
  <c r="DA91" i="1"/>
  <c r="DA92" i="1"/>
  <c r="DA98" i="1"/>
  <c r="DA83" i="1"/>
  <c r="AE132" i="1" l="1"/>
  <c r="AE133" i="1" s="1"/>
  <c r="DA121" i="1"/>
  <c r="DA95" i="1"/>
  <c r="AE92" i="1"/>
  <c r="DA94" i="1"/>
  <c r="DA120" i="1"/>
  <c r="AE91" i="1"/>
  <c r="DA142" i="1"/>
  <c r="DA68" i="1" s="1"/>
  <c r="DA220" i="1"/>
  <c r="DA218" i="1" s="1"/>
  <c r="DA223" i="1" s="1"/>
  <c r="DA105" i="1"/>
  <c r="DA107" i="1" s="1"/>
  <c r="DA67" i="1"/>
  <c r="AE67" i="1" l="1"/>
  <c r="AE142" i="1"/>
  <c r="AE68" i="1" s="1"/>
  <c r="AE188" i="1"/>
  <c r="AE220" i="1"/>
  <c r="AE218" i="1" s="1"/>
  <c r="AE223" i="1" s="1"/>
  <c r="DA173" i="1"/>
  <c r="AE94" i="1"/>
  <c r="AE95" i="1"/>
  <c r="AE173" i="1" l="1"/>
  <c r="AE174" i="1" s="1"/>
  <c r="DA174" i="1"/>
  <c r="DA261" i="1" l="1"/>
  <c r="DA259" i="1"/>
  <c r="DA257" i="1"/>
  <c r="DA178" i="1"/>
  <c r="DA179" i="1" s="1"/>
  <c r="DA181" i="1"/>
  <c r="DA122" i="1" s="1"/>
  <c r="DA224" i="1"/>
  <c r="AE178" i="1"/>
  <c r="AE179" i="1" s="1"/>
  <c r="AE181" i="1"/>
  <c r="AE122" i="1" s="1"/>
  <c r="AE261" i="1"/>
  <c r="AE257" i="1"/>
  <c r="AE259" i="1"/>
  <c r="AE224" i="1"/>
  <c r="DA124" i="1" l="1"/>
  <c r="DA127" i="1" s="1"/>
  <c r="DA123" i="1"/>
  <c r="DA126" i="1" s="1"/>
  <c r="AB76" i="1" l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N78" i="1"/>
  <c r="N79" i="1"/>
  <c r="N82" i="1"/>
  <c r="M102" i="1"/>
  <c r="S78" i="1"/>
  <c r="S121" i="1"/>
  <c r="S124" i="1"/>
  <c r="S127" i="1"/>
  <c r="M76" i="1"/>
  <c r="L76" i="1"/>
  <c r="K76" i="1"/>
  <c r="J76" i="1"/>
  <c r="I76" i="1"/>
  <c r="H76" i="1"/>
  <c r="G76" i="1"/>
  <c r="G78" i="1"/>
  <c r="G120" i="1"/>
  <c r="G123" i="1"/>
  <c r="W78" i="1"/>
  <c r="W79" i="1"/>
  <c r="W81" i="1"/>
  <c r="N100" i="1"/>
  <c r="K78" i="1"/>
  <c r="K121" i="1"/>
  <c r="K124" i="1"/>
  <c r="K127" i="1"/>
  <c r="J78" i="1"/>
  <c r="J105" i="1"/>
  <c r="J109" i="1"/>
  <c r="AC76" i="1"/>
  <c r="AD76" i="1"/>
  <c r="AD78" i="1"/>
  <c r="AD120" i="1"/>
  <c r="AD123" i="1"/>
  <c r="L78" i="1"/>
  <c r="L112" i="1"/>
  <c r="L116" i="1"/>
  <c r="V78" i="1"/>
  <c r="V120" i="1"/>
  <c r="V123" i="1"/>
  <c r="V121" i="1"/>
  <c r="V124" i="1"/>
  <c r="V127" i="1"/>
  <c r="L79" i="1"/>
  <c r="L82" i="1"/>
  <c r="L100" i="1"/>
  <c r="AB78" i="1"/>
  <c r="AB120" i="1"/>
  <c r="AB123" i="1"/>
  <c r="L115" i="1"/>
  <c r="J121" i="1"/>
  <c r="J124" i="1"/>
  <c r="J127" i="1"/>
  <c r="J79" i="1"/>
  <c r="J81" i="1"/>
  <c r="X78" i="1"/>
  <c r="X79" i="1"/>
  <c r="X81" i="1"/>
  <c r="P78" i="1"/>
  <c r="P79" i="1"/>
  <c r="P82" i="1"/>
  <c r="P98" i="1"/>
  <c r="R78" i="1"/>
  <c r="R112" i="1"/>
  <c r="R120" i="1"/>
  <c r="R123" i="1"/>
  <c r="R121" i="1"/>
  <c r="R105" i="1"/>
  <c r="AC78" i="1"/>
  <c r="AC112" i="1"/>
  <c r="AC117" i="1"/>
  <c r="Q78" i="1"/>
  <c r="Q120" i="1"/>
  <c r="Q121" i="1"/>
  <c r="Q124" i="1"/>
  <c r="Q127" i="1"/>
  <c r="R115" i="1"/>
  <c r="P120" i="1"/>
  <c r="P123" i="1"/>
  <c r="P126" i="1"/>
  <c r="N112" i="1"/>
  <c r="N115" i="1"/>
  <c r="V105" i="1"/>
  <c r="V108" i="1"/>
  <c r="AE76" i="1"/>
  <c r="AE78" i="1"/>
  <c r="AE105" i="1"/>
  <c r="AE107" i="1"/>
  <c r="G126" i="1"/>
  <c r="L121" i="1"/>
  <c r="L124" i="1"/>
  <c r="L127" i="1"/>
  <c r="AD126" i="1"/>
  <c r="V126" i="1"/>
  <c r="Y78" i="1"/>
  <c r="Y120" i="1"/>
  <c r="Y123" i="1"/>
  <c r="Z78" i="1"/>
  <c r="Z120" i="1"/>
  <c r="Z123" i="1"/>
  <c r="J107" i="1"/>
  <c r="Y79" i="1"/>
  <c r="N121" i="1"/>
  <c r="O78" i="1"/>
  <c r="O105" i="1"/>
  <c r="O107" i="1"/>
  <c r="AA78" i="1"/>
  <c r="AA77" i="1"/>
  <c r="AB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W120" i="1"/>
  <c r="Q79" i="1"/>
  <c r="AC120" i="1"/>
  <c r="AE108" i="1"/>
  <c r="P100" i="1"/>
  <c r="X82" i="1"/>
  <c r="G79" i="1"/>
  <c r="X105" i="1"/>
  <c r="AB112" i="1"/>
  <c r="N117" i="1"/>
  <c r="AB117" i="1"/>
  <c r="AD105" i="1"/>
  <c r="R116" i="1"/>
  <c r="P121" i="1"/>
  <c r="Q81" i="1"/>
  <c r="F76" i="1"/>
  <c r="E76" i="1"/>
  <c r="E78" i="1"/>
  <c r="E112" i="1"/>
  <c r="AB121" i="1"/>
  <c r="AB124" i="1"/>
  <c r="AB127" i="1"/>
  <c r="E120" i="1"/>
  <c r="X120" i="1"/>
  <c r="X123" i="1"/>
  <c r="X126" i="1"/>
  <c r="N99" i="1"/>
  <c r="AC79" i="1"/>
  <c r="AC82" i="1"/>
  <c r="AC99" i="1"/>
  <c r="AA79" i="1"/>
  <c r="T78" i="1"/>
  <c r="T120" i="1"/>
  <c r="T123" i="1"/>
  <c r="L81" i="1"/>
  <c r="R79" i="1"/>
  <c r="R82" i="1"/>
  <c r="R98" i="1"/>
  <c r="G81" i="1"/>
  <c r="G112" i="1"/>
  <c r="E79" i="1"/>
  <c r="I78" i="1"/>
  <c r="I105" i="1"/>
  <c r="I109" i="1"/>
  <c r="W82" i="1"/>
  <c r="G105" i="1"/>
  <c r="X107" i="1"/>
  <c r="T79" i="1"/>
  <c r="T81" i="1"/>
  <c r="I121" i="1"/>
  <c r="I124" i="1"/>
  <c r="I127" i="1"/>
  <c r="I79" i="1"/>
  <c r="I81" i="1"/>
  <c r="AC100" i="1"/>
  <c r="AC98" i="1"/>
  <c r="S112" i="1"/>
  <c r="AA105" i="1"/>
  <c r="AA121" i="1"/>
  <c r="W123" i="1"/>
  <c r="O79" i="1"/>
  <c r="O82" i="1"/>
  <c r="N102" i="1"/>
  <c r="N124" i="1"/>
  <c r="N127" i="1"/>
  <c r="E81" i="1"/>
  <c r="X99" i="1"/>
  <c r="V102" i="1"/>
  <c r="W99" i="1"/>
  <c r="J120" i="1"/>
  <c r="J123" i="1"/>
  <c r="J126" i="1"/>
  <c r="S117" i="1"/>
  <c r="I107" i="1"/>
  <c r="O98" i="1"/>
  <c r="AB79" i="1"/>
  <c r="AB82" i="1"/>
  <c r="AB98" i="1"/>
  <c r="M78" i="1"/>
  <c r="M112" i="1"/>
  <c r="M116" i="1"/>
  <c r="AC105" i="1"/>
  <c r="T112" i="1"/>
  <c r="T115" i="1"/>
  <c r="M105" i="1"/>
  <c r="M108" i="1"/>
  <c r="R83" i="1"/>
  <c r="O109" i="1"/>
  <c r="AC109" i="1"/>
  <c r="AC108" i="1"/>
  <c r="X98" i="1"/>
  <c r="Z105" i="1"/>
  <c r="Z108" i="1"/>
  <c r="AB115" i="1"/>
  <c r="Z107" i="1"/>
  <c r="Z109" i="1"/>
  <c r="T116" i="1"/>
  <c r="AC121" i="1"/>
  <c r="AC124" i="1"/>
  <c r="AC127" i="1"/>
  <c r="AA82" i="1"/>
  <c r="AA98" i="1"/>
  <c r="O83" i="1"/>
  <c r="AB116" i="1"/>
  <c r="U78" i="1"/>
  <c r="U105" i="1"/>
  <c r="U109" i="1"/>
  <c r="W83" i="1"/>
  <c r="I112" i="1"/>
  <c r="I117" i="1"/>
  <c r="AD107" i="1"/>
  <c r="E116" i="1"/>
  <c r="I116" i="1"/>
  <c r="G117" i="1"/>
  <c r="AD109" i="1"/>
  <c r="AA109" i="1"/>
  <c r="Z102" i="1"/>
  <c r="P99" i="1"/>
  <c r="P83" i="1"/>
  <c r="K102" i="1"/>
  <c r="J108" i="1"/>
  <c r="J82" i="1"/>
  <c r="AC115" i="1"/>
  <c r="P105" i="1"/>
  <c r="Y112" i="1"/>
  <c r="AD112" i="1"/>
  <c r="V107" i="1"/>
  <c r="V112" i="1"/>
  <c r="AB126" i="1"/>
  <c r="N98" i="1"/>
  <c r="N83" i="1"/>
  <c r="AE112" i="1"/>
  <c r="L120" i="1"/>
  <c r="M79" i="1"/>
  <c r="M82" i="1"/>
  <c r="M98" i="1"/>
  <c r="S79" i="1"/>
  <c r="S82" i="1"/>
  <c r="R102" i="1"/>
  <c r="AE79" i="1"/>
  <c r="M99" i="1"/>
  <c r="W121" i="1"/>
  <c r="W124" i="1"/>
  <c r="W127" i="1"/>
  <c r="AE117" i="1"/>
  <c r="M83" i="1"/>
  <c r="K79" i="1"/>
  <c r="K82" i="1"/>
  <c r="J102" i="1"/>
  <c r="L99" i="1"/>
  <c r="L98" i="1"/>
  <c r="S105" i="1"/>
  <c r="R126" i="1"/>
  <c r="S108" i="1"/>
  <c r="R108" i="1"/>
  <c r="R107" i="1"/>
  <c r="N120" i="1"/>
  <c r="S120" i="1"/>
  <c r="S123" i="1"/>
  <c r="X112" i="1"/>
  <c r="W105" i="1"/>
  <c r="K105" i="1"/>
  <c r="Q112" i="1"/>
  <c r="Q123" i="1"/>
  <c r="Q105" i="1"/>
  <c r="R109" i="1"/>
  <c r="X115" i="1"/>
  <c r="Y126" i="1"/>
  <c r="K112" i="1"/>
  <c r="K117" i="1"/>
  <c r="Z79" i="1"/>
  <c r="Z82" i="1"/>
  <c r="Z98" i="1"/>
  <c r="H78" i="1"/>
  <c r="H105" i="1"/>
  <c r="H108" i="1"/>
  <c r="X121" i="1"/>
  <c r="X124" i="1"/>
  <c r="X127" i="1"/>
  <c r="G121" i="1"/>
  <c r="L83" i="1"/>
  <c r="R117" i="1"/>
  <c r="V79" i="1"/>
  <c r="V82" i="1"/>
  <c r="V100" i="1"/>
  <c r="T105" i="1"/>
  <c r="AE120" i="1"/>
  <c r="AE123" i="1"/>
  <c r="AE126" i="1"/>
  <c r="N81" i="1"/>
  <c r="AE121" i="1"/>
  <c r="AE124" i="1"/>
  <c r="AE127" i="1"/>
  <c r="F78" i="1"/>
  <c r="F79" i="1"/>
  <c r="F82" i="1"/>
  <c r="H121" i="1"/>
  <c r="H124" i="1"/>
  <c r="AD79" i="1"/>
  <c r="AD82" i="1"/>
  <c r="F83" i="1"/>
  <c r="G124" i="1"/>
  <c r="G127" i="1"/>
  <c r="Z126" i="1"/>
  <c r="N105" i="1"/>
  <c r="Z100" i="1"/>
  <c r="U79" i="1"/>
  <c r="P107" i="1"/>
  <c r="M81" i="1"/>
  <c r="T108" i="1"/>
  <c r="U120" i="1"/>
  <c r="M109" i="1"/>
  <c r="H112" i="1"/>
  <c r="AA112" i="1"/>
  <c r="J77" i="1"/>
  <c r="I77" i="1"/>
  <c r="H77" i="1"/>
  <c r="G77" i="1"/>
  <c r="F77" i="1"/>
  <c r="M115" i="1"/>
  <c r="N116" i="1"/>
  <c r="O121" i="1"/>
  <c r="Q82" i="1"/>
  <c r="P102" i="1"/>
  <c r="AD99" i="1"/>
  <c r="E121" i="1"/>
  <c r="E124" i="1"/>
  <c r="E127" i="1"/>
  <c r="H120" i="1"/>
  <c r="AD117" i="1"/>
  <c r="J98" i="1"/>
  <c r="S107" i="1"/>
  <c r="R124" i="1"/>
  <c r="U112" i="1"/>
  <c r="U117" i="1"/>
  <c r="K120" i="1"/>
  <c r="G82" i="1"/>
  <c r="T121" i="1"/>
  <c r="F98" i="1"/>
  <c r="S98" i="1"/>
  <c r="J112" i="1"/>
  <c r="X117" i="1"/>
  <c r="J117" i="1"/>
  <c r="F112" i="1"/>
  <c r="Q108" i="1"/>
  <c r="AD81" i="1"/>
  <c r="Y105" i="1"/>
  <c r="P112" i="1"/>
  <c r="P124" i="1"/>
  <c r="R100" i="1"/>
  <c r="AC77" i="1"/>
  <c r="J83" i="1"/>
  <c r="H79" i="1"/>
  <c r="H82" i="1"/>
  <c r="O112" i="1"/>
  <c r="O117" i="1"/>
  <c r="S99" i="1"/>
  <c r="L123" i="1"/>
  <c r="L126" i="1"/>
  <c r="L102" i="1"/>
  <c r="O120" i="1"/>
  <c r="O123" i="1"/>
  <c r="X109" i="1"/>
  <c r="U108" i="1"/>
  <c r="U107" i="1"/>
  <c r="R127" i="1"/>
  <c r="N123" i="1"/>
  <c r="P109" i="1"/>
  <c r="AE82" i="1"/>
  <c r="Y109" i="1"/>
  <c r="S83" i="1"/>
  <c r="H116" i="1"/>
  <c r="P81" i="1"/>
  <c r="O115" i="1"/>
  <c r="M120" i="1"/>
  <c r="X83" i="1"/>
  <c r="AA102" i="1"/>
  <c r="AB102" i="1"/>
  <c r="Z121" i="1"/>
  <c r="Z124" i="1"/>
  <c r="AA120" i="1"/>
  <c r="AA123" i="1"/>
  <c r="AA126" i="1"/>
  <c r="AA81" i="1"/>
  <c r="T126" i="1"/>
  <c r="K81" i="1"/>
  <c r="G98" i="1"/>
  <c r="L117" i="1"/>
  <c r="I82" i="1"/>
  <c r="AC123" i="1"/>
  <c r="R81" i="1"/>
  <c r="U102" i="1"/>
  <c r="F100" i="1"/>
  <c r="I120" i="1"/>
  <c r="L105" i="1"/>
  <c r="W112" i="1"/>
  <c r="U121" i="1"/>
  <c r="U124" i="1"/>
  <c r="U127" i="1"/>
  <c r="AD121" i="1"/>
  <c r="AD124" i="1"/>
  <c r="AD127" i="1"/>
  <c r="I123" i="1"/>
  <c r="I126" i="1"/>
  <c r="F120" i="1"/>
  <c r="F123" i="1"/>
  <c r="Z112" i="1"/>
  <c r="O102" i="1"/>
  <c r="Q117" i="1"/>
  <c r="T82" i="1"/>
  <c r="F105" i="1"/>
  <c r="V116" i="1"/>
  <c r="I102" i="1"/>
  <c r="E82" i="1"/>
  <c r="D102" i="1"/>
  <c r="F108" i="1"/>
  <c r="X100" i="1"/>
  <c r="W98" i="1"/>
  <c r="G108" i="1"/>
  <c r="O99" i="1"/>
  <c r="X108" i="1"/>
  <c r="H81" i="1"/>
  <c r="T100" i="1"/>
  <c r="AC116" i="1"/>
  <c r="E123" i="1"/>
  <c r="T124" i="1"/>
  <c r="AE99" i="1"/>
  <c r="AB105" i="1"/>
  <c r="K108" i="1"/>
  <c r="G115" i="1"/>
  <c r="U82" i="1"/>
  <c r="U83" i="1"/>
  <c r="Y82" i="1"/>
  <c r="J99" i="1"/>
  <c r="P115" i="1"/>
  <c r="Q109" i="1"/>
  <c r="I115" i="1"/>
  <c r="E105" i="1"/>
  <c r="U81" i="1"/>
  <c r="AA124" i="1"/>
  <c r="U100" i="1"/>
  <c r="Q99" i="1"/>
  <c r="AB100" i="1"/>
  <c r="W126" i="1"/>
  <c r="W116" i="1"/>
  <c r="U115" i="1"/>
  <c r="S102" i="1"/>
  <c r="Y99" i="1"/>
  <c r="AC126" i="1"/>
  <c r="AC102" i="1"/>
  <c r="H102" i="1"/>
  <c r="AD102" i="1"/>
  <c r="AA108" i="1"/>
  <c r="AB107" i="1"/>
  <c r="P108" i="1"/>
  <c r="S115" i="1"/>
  <c r="H98" i="1"/>
  <c r="H100" i="1"/>
  <c r="AD77" i="1"/>
  <c r="AE77" i="1"/>
  <c r="Y121" i="1"/>
  <c r="Y124" i="1"/>
  <c r="Y127" i="1"/>
  <c r="J116" i="1"/>
  <c r="I100" i="1"/>
  <c r="Y83" i="1"/>
  <c r="U99" i="1"/>
  <c r="W100" i="1"/>
  <c r="O81" i="1"/>
  <c r="M123" i="1"/>
  <c r="I98" i="1"/>
  <c r="F121" i="1"/>
  <c r="F124" i="1"/>
  <c r="AA107" i="1"/>
  <c r="K123" i="1"/>
  <c r="I108" i="1"/>
  <c r="Z127" i="1"/>
  <c r="U98" i="1"/>
  <c r="S116" i="1"/>
  <c r="M121" i="1"/>
  <c r="M124" i="1"/>
  <c r="E102" i="1"/>
  <c r="AE109" i="1"/>
  <c r="AD116" i="1"/>
  <c r="Y102" i="1"/>
  <c r="M107" i="1"/>
  <c r="S81" i="1"/>
  <c r="K109" i="1"/>
  <c r="R99" i="1"/>
  <c r="W107" i="1"/>
  <c r="W102" i="1"/>
  <c r="P116" i="1"/>
  <c r="F115" i="1"/>
  <c r="U123" i="1"/>
  <c r="U126" i="1"/>
  <c r="T102" i="1"/>
  <c r="AC107" i="1"/>
  <c r="V115" i="1"/>
  <c r="AC83" i="1"/>
  <c r="H109" i="1"/>
  <c r="Y81" i="1"/>
  <c r="E77" i="1"/>
  <c r="W109" i="1"/>
  <c r="O100" i="1"/>
  <c r="E99" i="1"/>
  <c r="J100" i="1"/>
  <c r="O108" i="1"/>
  <c r="M117" i="1"/>
  <c r="V109" i="1"/>
  <c r="G109" i="1"/>
  <c r="N109" i="1"/>
  <c r="O124" i="1"/>
  <c r="H127" i="1"/>
  <c r="H123" i="1"/>
  <c r="H126" i="1"/>
  <c r="AA99" i="1"/>
  <c r="AE83" i="1"/>
  <c r="AE115" i="1"/>
  <c r="H107" i="1"/>
  <c r="Z83" i="1"/>
  <c r="F109" i="1"/>
  <c r="E117" i="1"/>
  <c r="AB99" i="1"/>
  <c r="G100" i="1"/>
  <c r="O116" i="1"/>
  <c r="T117" i="1"/>
  <c r="AD83" i="1"/>
  <c r="E108" i="1"/>
  <c r="G107" i="1"/>
  <c r="G116" i="1"/>
  <c r="I99" i="1"/>
  <c r="N126" i="1"/>
  <c r="W115" i="1"/>
  <c r="E100" i="1"/>
  <c r="Q102" i="1"/>
  <c r="AD108" i="1"/>
  <c r="AA100" i="1"/>
  <c r="Y100" i="1"/>
  <c r="E115" i="1"/>
  <c r="AB83" i="1"/>
  <c r="E83" i="1"/>
  <c r="L107" i="1"/>
  <c r="AA83" i="1"/>
  <c r="AD100" i="1"/>
  <c r="N108" i="1"/>
  <c r="H115" i="1"/>
  <c r="AA117" i="1"/>
  <c r="Q107" i="1"/>
  <c r="Q83" i="1"/>
  <c r="Q100" i="1"/>
  <c r="Y115" i="1"/>
  <c r="AD98" i="1"/>
  <c r="AE116" i="1"/>
  <c r="AE81" i="1"/>
  <c r="X116" i="1"/>
  <c r="K98" i="1"/>
  <c r="T109" i="1"/>
  <c r="F117" i="1"/>
  <c r="Q116" i="1"/>
  <c r="P117" i="1"/>
  <c r="H83" i="1"/>
  <c r="G99" i="1"/>
  <c r="H99" i="1"/>
  <c r="AB81" i="1"/>
  <c r="G83" i="1"/>
  <c r="Y116" i="1"/>
  <c r="AE98" i="1"/>
  <c r="Y108" i="1"/>
  <c r="S109" i="1"/>
  <c r="Y107" i="1"/>
  <c r="T107" i="1"/>
  <c r="S126" i="1"/>
  <c r="AC81" i="1"/>
  <c r="F102" i="1"/>
  <c r="V98" i="1"/>
  <c r="F99" i="1"/>
  <c r="L108" i="1"/>
  <c r="K115" i="1"/>
  <c r="F126" i="1"/>
  <c r="Z117" i="1"/>
  <c r="Q126" i="1"/>
  <c r="Q115" i="1"/>
  <c r="K100" i="1"/>
  <c r="V117" i="1"/>
  <c r="Y117" i="1"/>
  <c r="AD115" i="1"/>
  <c r="L109" i="1"/>
  <c r="P127" i="1"/>
  <c r="Q98" i="1"/>
  <c r="K99" i="1"/>
  <c r="E126" i="1"/>
  <c r="F107" i="1"/>
  <c r="AA116" i="1"/>
  <c r="W108" i="1"/>
  <c r="AA127" i="1"/>
  <c r="T83" i="1"/>
  <c r="J115" i="1"/>
  <c r="N107" i="1"/>
  <c r="T127" i="1"/>
  <c r="E107" i="1"/>
  <c r="E109" i="1"/>
  <c r="U116" i="1"/>
  <c r="K107" i="1"/>
  <c r="Y98" i="1"/>
  <c r="I83" i="1"/>
  <c r="G102" i="1"/>
  <c r="AE100" i="1"/>
  <c r="M126" i="1"/>
  <c r="F127" i="1"/>
  <c r="AB109" i="1"/>
  <c r="K126" i="1"/>
  <c r="V83" i="1"/>
  <c r="F116" i="1"/>
  <c r="Z99" i="1"/>
  <c r="V99" i="1"/>
  <c r="F81" i="1"/>
  <c r="M127" i="1"/>
  <c r="H117" i="1"/>
  <c r="Z81" i="1"/>
  <c r="K116" i="1"/>
  <c r="S100" i="1"/>
  <c r="W117" i="1"/>
  <c r="V81" i="1"/>
  <c r="O126" i="1"/>
  <c r="AA115" i="1"/>
  <c r="O127" i="1"/>
  <c r="X102" i="1"/>
  <c r="M100" i="1"/>
  <c r="K83" i="1"/>
  <c r="T99" i="1"/>
  <c r="Z115" i="1"/>
  <c r="E98" i="1"/>
  <c r="T98" i="1"/>
  <c r="Z116" i="1"/>
  <c r="AB1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<sst xmlns="http://schemas.openxmlformats.org/spreadsheetml/2006/main" count="674" uniqueCount="535">
  <si>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</si>
  <si>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</si>
  <si>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</si>
  <si>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</si>
  <si>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</si>
  <si>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</si>
  <si>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</si>
  <si>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</si>
  <si>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</si>
  <si>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</si>
  <si>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</si>
  <si>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</si>
  <si>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</si>
  <si>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</si>
  <si>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</si>
  <si>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</si>
  <si>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</si>
  <si>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</si>
  <si>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</si>
  <si>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</si>
  <si>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</si>
  <si>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</si>
  <si>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</si>
  <si>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</si>
  <si>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</si>
  <si>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</si>
  <si>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</si>
  <si>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</si>
  <si>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</si>
  <si>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</si>
  <si>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</si>
  <si>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</si>
  <si>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</si>
  <si>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</si>
  <si>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</si>
  <si>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</si>
  <si>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</si>
  <si>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</si>
  <si>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</si>
  <si>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</si>
  <si>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</si>
  <si>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</si>
  <si>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</si>
  <si>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</si>
  <si>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</si>
  <si>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</si>
  <si>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</si>
  <si>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</si>
  <si>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</si>
  <si>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</si>
  <si>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</si>
  <si>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</si>
  <si>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</si>
  <si>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</si>
  <si>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</si>
  <si>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</si>
  <si>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</si>
  <si>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</si>
  <si>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</si>
  <si>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</si>
  <si>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</si>
  <si>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</si>
  <si>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</si>
  <si>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</si>
  <si>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</si>
  <si>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</si>
  <si>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</si>
  <si>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</si>
  <si>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</si>
  <si>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</si>
  <si>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</si>
  <si>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</si>
  <si>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</si>
  <si>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</si>
  <si>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</si>
  <si>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</si>
  <si>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</si>
  <si>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</si>
  <si>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</si>
  <si>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</si>
  <si>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</si>
  <si>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</si>
  <si>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</si>
  <si>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</si>
  <si>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</si>
  <si>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</si>
  <si>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</si>
  <si>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</si>
  <si>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</si>
  <si>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</si>
  <si>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</si>
  <si>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</si>
  <si>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</si>
  <si>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</si>
  <si>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</si>
  <si>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</si>
  <si>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</si>
  <si>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</si>
  <si>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</si>
  <si>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</si>
  <si>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</si>
  <si>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</si>
  <si>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</si>
  <si>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</si>
  <si>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</si>
  <si>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</si>
  <si>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</si>
  <si>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</si>
  <si>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</si>
  <si>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</si>
  <si>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</si>
  <si>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</si>
  <si>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</si>
  <si>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</si>
  <si>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</si>
  <si>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</si>
  <si>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</si>
  <si>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</si>
  <si>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</si>
  <si>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</si>
  <si>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</si>
  <si>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</si>
  <si>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</si>
  <si>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</si>
  <si>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</si>
  <si>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</si>
  <si>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</si>
  <si>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</si>
  <si>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</si>
  <si>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</si>
  <si>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</si>
  <si>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</si>
  <si>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</si>
  <si>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</si>
  <si>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</si>
  <si>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</si>
  <si>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</si>
  <si>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</si>
  <si>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</si>
  <si>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</si>
  <si>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</si>
  <si>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</si>
  <si>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</si>
  <si>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</si>
  <si>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</si>
  <si>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</si>
  <si>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</si>
  <si>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</si>
  <si>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</si>
  <si>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</si>
  <si>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</si>
  <si>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</si>
  <si>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</si>
  <si>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</si>
  <si>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</si>
  <si>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</si>
  <si>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</si>
  <si>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</si>
  <si>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</si>
  <si>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</si>
  <si>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</si>
  <si>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</si>
  <si>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</si>
  <si>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</si>
  <si>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</si>
  <si>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</si>
  <si>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</si>
  <si>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</si>
  <si>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</si>
  <si>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</si>
  <si>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</si>
  <si>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</si>
  <si>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</si>
  <si>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</si>
  <si>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</si>
  <si>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</si>
  <si>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</si>
  <si>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</si>
  <si>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</si>
  <si>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</si>
  <si>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</si>
  <si>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</si>
  <si>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</si>
  <si>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</si>
  <si>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</si>
  <si>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</si>
  <si>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</si>
  <si>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</si>
  <si>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</si>
  <si>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</si>
  <si>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</si>
  <si>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</si>
  <si>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</si>
  <si>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</si>
  <si>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</si>
  <si>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</si>
  <si>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</si>
  <si>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</si>
  <si>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</si>
  <si>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</si>
  <si>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</si>
  <si>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</si>
  <si>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</si>
  <si>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</si>
  <si>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</si>
  <si>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</si>
  <si>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</si>
  <si>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</si>
  <si>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</si>
  <si>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</si>
  <si>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</si>
  <si>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</si>
  <si>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</si>
  <si>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</si>
  <si>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</si>
  <si>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</si>
  <si>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</si>
  <si>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</si>
  <si>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</si>
  <si>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</si>
  <si>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</si>
  <si>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</si>
  <si>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</si>
  <si>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</si>
  <si>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</si>
  <si>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</si>
  <si>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</si>
  <si>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</si>
  <si>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</si>
  <si>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</si>
  <si>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</si>
  <si>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</si>
  <si>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</si>
  <si>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</si>
  <si>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</si>
  <si>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</si>
  <si>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</si>
  <si>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</si>
  <si>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</si>
  <si>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</si>
  <si>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</si>
  <si>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</si>
  <si>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</si>
  <si>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</si>
  <si>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</si>
  <si>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</si>
  <si>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</si>
  <si>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</si>
  <si>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</si>
  <si>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</si>
  <si>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</si>
  <si>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</si>
  <si>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</si>
  <si>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</si>
  <si>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</si>
  <si>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</si>
  <si>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</si>
  <si>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</si>
  <si>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</si>
  <si>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</si>
  <si>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</si>
  <si>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</si>
  <si>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</si>
  <si>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</si>
  <si>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</si>
  <si>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</si>
  <si>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</si>
  <si>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</si>
  <si>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</si>
  <si>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</si>
  <si>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</si>
  <si>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</si>
  <si>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</si>
  <si>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</si>
  <si>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</si>
  <si>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</si>
  <si>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</si>
  <si>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</si>
  <si>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</si>
  <si>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</si>
  <si>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</si>
  <si>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</si>
  <si>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</si>
  <si>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</si>
  <si>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</si>
  <si>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</si>
  <si>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</si>
  <si>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</si>
  <si>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</si>
  <si>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</si>
  <si>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</si>
  <si>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</si>
  <si>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</si>
  <si>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</si>
  <si>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</si>
  <si>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</si>
  <si>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</si>
  <si>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</si>
  <si>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</si>
  <si>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</si>
  <si>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</si>
  <si>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</si>
  <si>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</si>
  <si>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</si>
  <si>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</si>
  <si>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</si>
  <si>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</si>
  <si>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</si>
  <si>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</si>
  <si>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</si>
  <si>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</si>
  <si>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</si>
  <si>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</si>
  <si>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</si>
  <si>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</si>
  <si>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</si>
  <si>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</si>
  <si>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</si>
  <si>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</si>
  <si>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</si>
  <si>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</si>
  <si>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</si>
  <si>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</si>
  <si>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</si>
  <si>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</si>
  <si>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</si>
  <si>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</si>
  <si>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</si>
  <si>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</si>
  <si>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</si>
  <si>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</si>
  <si>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</si>
  <si>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</si>
  <si>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</si>
  <si>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</si>
  <si>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</si>
  <si>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</si>
  <si>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</si>
  <si>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</si>
  <si>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</si>
  <si>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</si>
  <si>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</si>
  <si>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</si>
  <si>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</si>
  <si>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</si>
  <si>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</si>
  <si>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</si>
  <si>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</si>
  <si>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</si>
  <si>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</si>
  <si>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</si>
  <si>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</si>
  <si>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</si>
  <si>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</si>
  <si>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</si>
  <si>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</si>
  <si>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</si>
  <si>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</si>
  <si>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</si>
  <si>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</si>
  <si>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</si>
  <si>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</si>
  <si>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</si>
  <si>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</si>
  <si>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</si>
  <si>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</si>
  <si>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</si>
  <si>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</si>
  <si>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</si>
  <si>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</si>
  <si>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</si>
  <si>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</si>
  <si>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</si>
  <si>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</si>
  <si>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</si>
  <si>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</si>
  <si>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</si>
  <si>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</si>
  <si>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</si>
  <si>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</si>
  <si>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</si>
  <si>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</si>
  <si>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</si>
  <si>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</si>
  <si>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</si>
  <si>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</si>
  <si>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</si>
  <si>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</si>
  <si>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</si>
  <si>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</si>
  <si>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</si>
  <si>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</si>
  <si>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</si>
  <si>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</si>
  <si>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</si>
  <si>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</si>
  <si>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</si>
  <si>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</si>
  <si>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</si>
  <si>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</si>
  <si>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</si>
  <si>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</si>
  <si>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</si>
  <si>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</si>
  <si>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</si>
  <si>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</si>
  <si>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</si>
  <si>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</si>
  <si>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</si>
  <si>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</si>
  <si>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</si>
  <si>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</si>
  <si>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</si>
  <si>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</si>
  <si>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</si>
  <si>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</si>
  <si>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</si>
  <si>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</si>
  <si>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</si>
  <si>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</si>
  <si>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</si>
  <si>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</si>
  <si>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</si>
  <si>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</si>
  <si>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</si>
  <si>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</si>
  <si>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</si>
  <si>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</si>
  <si>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</si>
  <si>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</si>
  <si>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</si>
  <si>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</si>
  <si>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</si>
  <si>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</si>
  <si>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</si>
  <si>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</si>
  <si>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</si>
  <si>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</si>
  <si>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</si>
  <si>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</si>
  <si>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</si>
  <si>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</si>
  <si>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</si>
  <si>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</si>
  <si>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</si>
  <si>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</si>
  <si>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</si>
  <si>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</si>
  <si>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</si>
  <si>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</si>
  <si>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</si>
  <si>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</si>
  <si>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</si>
  <si>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</si>
  <si>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</si>
  <si>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</si>
  <si>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</si>
  <si>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</si>
  <si>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</si>
  <si>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</si>
  <si>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</si>
  <si>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</si>
  <si>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</si>
  <si>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</si>
  <si>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</si>
  <si>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</si>
  <si>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</si>
  <si>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</si>
  <si>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</si>
  <si>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</si>
  <si>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</si>
  <si>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</si>
  <si>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</si>
  <si>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</si>
  <si>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</si>
  <si>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</si>
  <si>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</si>
  <si>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</si>
  <si>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</si>
  <si>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</si>
  <si>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</si>
  <si>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</si>
  <si>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</si>
  <si>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</si>
  <si>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</si>
  <si>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</si>
  <si>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</si>
  <si>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</si>
  <si>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</si>
  <si>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</si>
  <si>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</si>
  <si>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</si>
  <si>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</si>
  <si>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</si>
  <si>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</si>
  <si>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</si>
  <si>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</si>
  <si>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</si>
  <si>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</si>
  <si>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</si>
  <si>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</si>
  <si>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</si>
  <si>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</si>
  <si>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</si>
  <si>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</si>
  <si>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</si>
  <si>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</si>
  <si>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</si>
  <si>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</si>
  <si>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</si>
  <si>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</si>
  <si>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</si>
  <si>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</si>
  <si>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</si>
  <si>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</si>
  <si>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</si>
  <si>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</si>
  <si>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</si>
  <si>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</si>
  <si>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</si>
  <si>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</si>
  <si>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</si>
  <si>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Revenue From Operations</t>
  </si>
  <si>
    <t>Revenue Growth %</t>
  </si>
  <si>
    <t>Revenue- Automotive Technologies</t>
  </si>
  <si>
    <t xml:space="preserve">Revenue- Vehicle Lifetime Solutions </t>
  </si>
  <si>
    <t xml:space="preserve">Revenue- Bearings &amp; Industrial Solutions </t>
  </si>
  <si>
    <t>Revenue- Intercompany Exports &amp; Others</t>
  </si>
  <si>
    <t>Total Revenue</t>
  </si>
  <si>
    <t>Revenue- Checksum</t>
  </si>
  <si>
    <t xml:space="preserve">Automotive Technologies- Growth% </t>
  </si>
  <si>
    <t xml:space="preserve">Vehicle Lifetime Solutions- Growth% </t>
  </si>
  <si>
    <t xml:space="preserve">Bearings &amp; Industrial Solutions- Growth% </t>
  </si>
  <si>
    <t xml:space="preserve">Intercompany Exports &amp; Others- Growth% </t>
  </si>
  <si>
    <t>Schaeffler India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</si>
</sst>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4" fontId="20" fillId="2" borderId="0" xfId="2" applyNumberFormat="1" applyFont="1" applyFill="1" applyAlignment="1">
      <alignment horizontal="left"/>
    </xf>
    <xf numFmtId="2" fontId="18" fillId="2" borderId="1" xfId="2" applyNumberFormat="1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/>
    <xf numFmtId="9" fontId="9" fillId="7" borderId="0" xfId="1" applyFont="1" applyFill="1" applyAlignment="1">
      <alignment horizontal="right"/>
    </xf>
    <xf numFmtId="0" fontId="7" fillId="0" borderId="0" xfId="1" applyNumberFormat="1" applyFon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67"/>
  <sheetViews>
    <sheetView tabSelected="1" zoomScaleNormal="100" workbookViewId="0">
      <pane xSplit="1" ySplit="1" topLeftCell="CP2" activePane="bottomRight" state="frozen"/>
      <selection pane="topRight" activeCell="B1" sqref="B1"/>
      <selection pane="bottomLeft" activeCell="A2" sqref="A2"/>
      <selection pane="bottomRight" activeCell="DE20" sqref="DE20:DE26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34" width="11.140625" style="2"/>
    <col min="35" max="65" width="0" style="2" hidden="1" customWidth="1"/>
    <col min="66" max="89" width="11.140625" style="2"/>
    <col min="90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Schaeffler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" si="12">EOMONTH(CJ1,3)</f>
        <v>46022</v>
      </c>
      <c r="CL1" s="78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444</v>
      </c>
      <c r="DE1" s="193">
        <v>46022</v>
      </c>
    </row>
    <row r="2" spans="1:109" s="108" customFormat="1" x14ac:dyDescent="0.2">
      <c r="A2" s="150" t="s">
        <v>499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0" customFormat="1" x14ac:dyDescent="0.2">
      <c r="A4" s="150" t="s">
        <v>522</v>
      </c>
    </row>
    <row r="5" spans="1:109" s="157" customFormat="1" x14ac:dyDescent="0.2">
      <c r="A5" s="183" t="s">
        <v>524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>
        <f>SUM(BR5:BU5)</f>
        <v>2186.0500000000002</v>
      </c>
      <c r="X5" s="155">
        <f>SUM(BV5:BY5)</f>
        <v>2706.5</v>
      </c>
      <c r="Y5" s="155">
        <f>SUM(BZ5:CC5)</f>
        <v>3025.18</v>
      </c>
      <c r="Z5" s="155">
        <f>SUM(CD5:CG5)</f>
        <v>2733.32</v>
      </c>
      <c r="AA5" s="155">
        <f>SUM(CH5:CK5)</f>
        <v>3137.27</v>
      </c>
      <c r="AB5" s="156">
        <f>SUM(CL5:CO5)</f>
        <v>3945.4038717432668</v>
      </c>
      <c r="AC5" s="156">
        <f>SUM(CP5:CS5)</f>
        <v>4916.0352510758621</v>
      </c>
      <c r="AD5" s="156">
        <f>SUM(CT5:CW5)</f>
        <v>5950.2807196987114</v>
      </c>
      <c r="AE5" s="156">
        <f>SUM(CX5:DA5)</f>
        <v>7190.0935647449533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>
        <f>BQ$21*47%</f>
        <v>598.67189999999994</v>
      </c>
      <c r="BR5" s="155">
        <v>574.29999999999995</v>
      </c>
      <c r="BS5" s="155">
        <v>484.52</v>
      </c>
      <c r="BT5" s="155">
        <v>560</v>
      </c>
      <c r="BU5" s="155">
        <v>567.23</v>
      </c>
      <c r="BV5" s="155">
        <v>609.41999999999996</v>
      </c>
      <c r="BW5" s="155">
        <v>679.49</v>
      </c>
      <c r="BX5" s="155">
        <v>717.05</v>
      </c>
      <c r="BY5" s="155">
        <v>700.54</v>
      </c>
      <c r="BZ5" s="155">
        <v>737.71</v>
      </c>
      <c r="CA5" s="155">
        <v>749.15</v>
      </c>
      <c r="CB5" s="155">
        <v>772.66</v>
      </c>
      <c r="CC5" s="155">
        <v>765.66</v>
      </c>
      <c r="CD5" s="155">
        <v>652.41</v>
      </c>
      <c r="CE5" s="155">
        <v>683.72</v>
      </c>
      <c r="CF5" s="155">
        <v>688.9</v>
      </c>
      <c r="CG5" s="155">
        <v>708.29</v>
      </c>
      <c r="CH5" s="155">
        <v>694.17</v>
      </c>
      <c r="CI5" s="155">
        <v>705.43</v>
      </c>
      <c r="CJ5" s="155">
        <v>817.71</v>
      </c>
      <c r="CK5" s="155">
        <v>919.96</v>
      </c>
      <c r="CL5" s="155">
        <v>907.84</v>
      </c>
      <c r="CM5" s="156">
        <f t="shared" ref="CM5:DA5" si="29">CI5*(1+CM13)</f>
        <v>850.99282972970605</v>
      </c>
      <c r="CN5" s="156">
        <f t="shared" si="29"/>
        <v>1022.1330940519293</v>
      </c>
      <c r="CO5" s="156">
        <f t="shared" si="29"/>
        <v>1164.4379479616316</v>
      </c>
      <c r="CP5" s="156">
        <f t="shared" si="29"/>
        <v>1136.9102374156903</v>
      </c>
      <c r="CQ5" s="156">
        <f t="shared" si="29"/>
        <v>1054.1515165270307</v>
      </c>
      <c r="CR5" s="156">
        <f t="shared" si="29"/>
        <v>1274.258300080392</v>
      </c>
      <c r="CS5" s="156">
        <f t="shared" si="29"/>
        <v>1450.7151970527491</v>
      </c>
      <c r="CT5" s="156">
        <f t="shared" si="29"/>
        <v>1388.5126071892157</v>
      </c>
      <c r="CU5" s="156">
        <f t="shared" si="29"/>
        <v>1280.0814346576312</v>
      </c>
      <c r="CV5" s="156">
        <f t="shared" si="29"/>
        <v>1540.3645677157981</v>
      </c>
      <c r="CW5" s="156">
        <f t="shared" si="29"/>
        <v>1741.3221101360659</v>
      </c>
      <c r="CX5" s="156">
        <f t="shared" si="29"/>
        <v>1681.7593967025305</v>
      </c>
      <c r="CY5" s="156">
        <f t="shared" si="29"/>
        <v>1547.193113353632</v>
      </c>
      <c r="CZ5" s="156">
        <f t="shared" si="29"/>
        <v>1859.61077200355</v>
      </c>
      <c r="DA5" s="156">
        <f t="shared" si="29"/>
        <v>2101.5302826852412</v>
      </c>
      <c r="DD5" s="158"/>
      <c r="DE5" s="157">
        <v>795.10012321373813</v>
      </c>
    </row>
    <row r="6" spans="1:109" s="157" customFormat="1" x14ac:dyDescent="0.2">
      <c r="A6" s="183" t="s">
        <v>525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>
        <f t="shared" ref="W6:W8" si="30">SUM(BR6:BU6)</f>
        <v>501.87000000000006</v>
      </c>
      <c r="X6" s="155">
        <f t="shared" ref="X6:X8" si="31">SUM(BV6:BY6)</f>
        <v>593.57999999999993</v>
      </c>
      <c r="Y6" s="155">
        <f t="shared" ref="Y6:Y8" si="32">SUM(BZ6:CC6)</f>
        <v>708.80000000000007</v>
      </c>
      <c r="Z6" s="155">
        <f t="shared" ref="Z6:Z8" si="33">SUM(CD6:CG6)</f>
        <v>857.76</v>
      </c>
      <c r="AA6" s="155">
        <f t="shared" ref="AA6:AA8" si="34">SUM(CH6:CK6)</f>
        <v>1430.32</v>
      </c>
      <c r="AB6" s="156">
        <f t="shared" ref="AB6:AB8" si="35">SUM(CL6:CO6)</f>
        <v>1601.9480000000001</v>
      </c>
      <c r="AC6" s="156">
        <f t="shared" ref="AC6:AC8" si="36">SUM(CP6:CS6)</f>
        <v>1762.1428000000001</v>
      </c>
      <c r="AD6" s="156">
        <f t="shared" ref="AD6:AD8" si="37">SUM(CT6:CW6)</f>
        <v>1938.3570800000002</v>
      </c>
      <c r="AE6" s="156">
        <f t="shared" ref="AE6:AE8" si="38">SUM(CX6:DA6)</f>
        <v>2132.1927880000003</v>
      </c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>
        <v>0</v>
      </c>
      <c r="BR6" s="155">
        <v>107.92</v>
      </c>
      <c r="BS6" s="155">
        <v>96.68</v>
      </c>
      <c r="BT6" s="155">
        <v>145.08000000000001</v>
      </c>
      <c r="BU6" s="155">
        <v>152.19</v>
      </c>
      <c r="BV6" s="155">
        <v>124.67</v>
      </c>
      <c r="BW6" s="155">
        <v>149.25</v>
      </c>
      <c r="BX6" s="155">
        <v>150.59</v>
      </c>
      <c r="BY6" s="155">
        <v>169.07</v>
      </c>
      <c r="BZ6" s="155">
        <v>146.41999999999999</v>
      </c>
      <c r="CA6" s="155">
        <v>184.8</v>
      </c>
      <c r="CB6" s="155">
        <v>173.06</v>
      </c>
      <c r="CC6" s="155">
        <v>204.52</v>
      </c>
      <c r="CD6" s="155">
        <v>184.5</v>
      </c>
      <c r="CE6" s="155">
        <v>218.61</v>
      </c>
      <c r="CF6" s="155">
        <v>222.9</v>
      </c>
      <c r="CG6" s="155">
        <v>231.75</v>
      </c>
      <c r="CH6" s="155">
        <v>319.14</v>
      </c>
      <c r="CI6" s="155">
        <v>374.03</v>
      </c>
      <c r="CJ6" s="155">
        <v>353.32</v>
      </c>
      <c r="CK6" s="155">
        <v>383.83</v>
      </c>
      <c r="CL6" s="155">
        <v>379.65</v>
      </c>
      <c r="CM6" s="156">
        <f t="shared" ref="CM6:DA6" si="39">CI6*(1+CM14)</f>
        <v>411.43299999999999</v>
      </c>
      <c r="CN6" s="156">
        <f t="shared" si="39"/>
        <v>388.65200000000004</v>
      </c>
      <c r="CO6" s="156">
        <f t="shared" si="39"/>
        <v>422.21300000000002</v>
      </c>
      <c r="CP6" s="156">
        <f t="shared" si="39"/>
        <v>417.61500000000001</v>
      </c>
      <c r="CQ6" s="156">
        <f t="shared" si="39"/>
        <v>452.5763</v>
      </c>
      <c r="CR6" s="156">
        <f t="shared" si="39"/>
        <v>427.51720000000006</v>
      </c>
      <c r="CS6" s="156">
        <f t="shared" si="39"/>
        <v>464.43430000000006</v>
      </c>
      <c r="CT6" s="156">
        <f t="shared" si="39"/>
        <v>459.37650000000002</v>
      </c>
      <c r="CU6" s="156">
        <f t="shared" si="39"/>
        <v>497.83393000000007</v>
      </c>
      <c r="CV6" s="156">
        <f t="shared" si="39"/>
        <v>470.26892000000009</v>
      </c>
      <c r="CW6" s="156">
        <f t="shared" si="39"/>
        <v>510.8777300000001</v>
      </c>
      <c r="CX6" s="156">
        <f t="shared" si="39"/>
        <v>505.31415000000004</v>
      </c>
      <c r="CY6" s="156">
        <f t="shared" si="39"/>
        <v>547.61732300000017</v>
      </c>
      <c r="CZ6" s="156">
        <f t="shared" si="39"/>
        <v>517.29581200000018</v>
      </c>
      <c r="DA6" s="156">
        <f t="shared" si="39"/>
        <v>561.96550300000013</v>
      </c>
      <c r="DD6" s="158"/>
      <c r="DE6" s="157">
        <v>351.05400000000003</v>
      </c>
    </row>
    <row r="7" spans="1:109" s="157" customFormat="1" x14ac:dyDescent="0.2">
      <c r="A7" s="183" t="s">
        <v>526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>
        <f t="shared" si="30"/>
        <v>2156.62</v>
      </c>
      <c r="X7" s="155">
        <f t="shared" si="31"/>
        <v>2424.66</v>
      </c>
      <c r="Y7" s="155">
        <f t="shared" si="32"/>
        <v>2538.9</v>
      </c>
      <c r="Z7" s="155">
        <f t="shared" si="33"/>
        <v>3561.71</v>
      </c>
      <c r="AA7" s="155">
        <f t="shared" si="34"/>
        <v>3686.53</v>
      </c>
      <c r="AB7" s="156">
        <f t="shared" si="35"/>
        <v>3828.499535095425</v>
      </c>
      <c r="AC7" s="156">
        <f t="shared" si="36"/>
        <v>3974.6314139075776</v>
      </c>
      <c r="AD7" s="156">
        <f t="shared" si="37"/>
        <v>4127.6339773715081</v>
      </c>
      <c r="AE7" s="156">
        <f t="shared" si="38"/>
        <v>4286.9034598836624</v>
      </c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5"/>
      <c r="BO7" s="155"/>
      <c r="BP7" s="155"/>
      <c r="BQ7" s="155">
        <f>BQ$21*43%</f>
        <v>547.72109999999998</v>
      </c>
      <c r="BR7" s="155">
        <v>481.18</v>
      </c>
      <c r="BS7" s="155">
        <v>479.02</v>
      </c>
      <c r="BT7" s="155">
        <v>606.76</v>
      </c>
      <c r="BU7" s="155">
        <v>589.66</v>
      </c>
      <c r="BV7" s="155">
        <v>585.66999999999996</v>
      </c>
      <c r="BW7" s="155">
        <v>640.62</v>
      </c>
      <c r="BX7" s="155">
        <v>605.86</v>
      </c>
      <c r="BY7" s="155">
        <v>592.51</v>
      </c>
      <c r="BZ7" s="155">
        <v>535.86</v>
      </c>
      <c r="CA7" s="155">
        <v>625.58000000000004</v>
      </c>
      <c r="CB7" s="155">
        <v>684.53</v>
      </c>
      <c r="CC7" s="155">
        <v>692.93</v>
      </c>
      <c r="CD7" s="155">
        <v>783.28</v>
      </c>
      <c r="CE7" s="155">
        <v>898.79</v>
      </c>
      <c r="CF7" s="155">
        <v>943.32</v>
      </c>
      <c r="CG7" s="155">
        <v>936.32</v>
      </c>
      <c r="CH7" s="155">
        <v>849.36</v>
      </c>
      <c r="CI7" s="155">
        <v>897.82</v>
      </c>
      <c r="CJ7" s="155">
        <v>905.35</v>
      </c>
      <c r="CK7" s="155">
        <v>1034</v>
      </c>
      <c r="CL7" s="155">
        <v>884.85</v>
      </c>
      <c r="CM7" s="156">
        <f t="shared" ref="CM7:DA7" si="40">CI7*(1+CM15)</f>
        <v>921.33772817572981</v>
      </c>
      <c r="CN7" s="156">
        <f t="shared" si="40"/>
        <v>935.23798360254193</v>
      </c>
      <c r="CO7" s="156">
        <f t="shared" si="40"/>
        <v>1087.0738233171533</v>
      </c>
      <c r="CP7" s="156">
        <f t="shared" si="40"/>
        <v>917.8711727869445</v>
      </c>
      <c r="CQ7" s="156">
        <f t="shared" si="40"/>
        <v>954.71245997334938</v>
      </c>
      <c r="CR7" s="156">
        <f t="shared" si="40"/>
        <v>971.41443748971847</v>
      </c>
      <c r="CS7" s="156">
        <f t="shared" si="40"/>
        <v>1130.6333436575653</v>
      </c>
      <c r="CT7" s="156">
        <f t="shared" si="40"/>
        <v>952.81787367652396</v>
      </c>
      <c r="CU7" s="156">
        <f t="shared" si="40"/>
        <v>991.24210694466763</v>
      </c>
      <c r="CV7" s="156">
        <f t="shared" si="40"/>
        <v>1009.0781393656229</v>
      </c>
      <c r="CW7" s="156">
        <f t="shared" si="40"/>
        <v>1174.4958573846934</v>
      </c>
      <c r="CX7" s="156">
        <f t="shared" si="40"/>
        <v>989.47820033914468</v>
      </c>
      <c r="CY7" s="156">
        <f t="shared" si="40"/>
        <v>1029.4804640181055</v>
      </c>
      <c r="CZ7" s="156">
        <f t="shared" si="40"/>
        <v>1048.0836908278891</v>
      </c>
      <c r="DA7" s="156">
        <f t="shared" si="40"/>
        <v>1219.8611046985236</v>
      </c>
      <c r="DD7" s="158"/>
      <c r="DE7" s="157">
        <v>880.64953437241661</v>
      </c>
    </row>
    <row r="8" spans="1:109" s="157" customFormat="1" x14ac:dyDescent="0.2">
      <c r="A8" s="183" t="s">
        <v>527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>
        <f t="shared" si="30"/>
        <v>715.97</v>
      </c>
      <c r="X8" s="155">
        <f t="shared" si="31"/>
        <v>1142.68</v>
      </c>
      <c r="Y8" s="155">
        <f t="shared" si="32"/>
        <v>977.82999999999993</v>
      </c>
      <c r="Z8" s="155">
        <f t="shared" si="33"/>
        <v>1079.5900000000001</v>
      </c>
      <c r="AA8" s="155">
        <f t="shared" si="34"/>
        <v>1431.73</v>
      </c>
      <c r="AB8" s="156">
        <f t="shared" si="35"/>
        <v>1898.1651664848914</v>
      </c>
      <c r="AC8" s="156">
        <f t="shared" si="36"/>
        <v>2516.5575906467111</v>
      </c>
      <c r="AD8" s="156">
        <f t="shared" si="37"/>
        <v>2818.5445015243163</v>
      </c>
      <c r="AE8" s="156">
        <f t="shared" si="38"/>
        <v>3156.7698417072343</v>
      </c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>
        <f>BQ$21*10%</f>
        <v>127.37700000000001</v>
      </c>
      <c r="BR8" s="155">
        <v>153.41999999999999</v>
      </c>
      <c r="BS8" s="155">
        <v>172.67</v>
      </c>
      <c r="BT8" s="155">
        <v>175.74</v>
      </c>
      <c r="BU8" s="155">
        <v>214.14</v>
      </c>
      <c r="BV8" s="155">
        <v>247.75</v>
      </c>
      <c r="BW8" s="155">
        <v>279.47000000000003</v>
      </c>
      <c r="BX8" s="155">
        <v>282.93</v>
      </c>
      <c r="BY8" s="155">
        <v>332.53</v>
      </c>
      <c r="BZ8" s="155">
        <v>273.63</v>
      </c>
      <c r="CA8" s="155">
        <v>269.61</v>
      </c>
      <c r="CB8" s="155">
        <v>223.15</v>
      </c>
      <c r="CC8" s="155">
        <v>211.44</v>
      </c>
      <c r="CD8" s="155">
        <v>252.94</v>
      </c>
      <c r="CE8" s="155">
        <v>305.72000000000003</v>
      </c>
      <c r="CF8" s="155">
        <v>261.23</v>
      </c>
      <c r="CG8" s="155">
        <v>259.7</v>
      </c>
      <c r="CH8" s="155">
        <v>311.74</v>
      </c>
      <c r="CI8" s="155">
        <v>375.31</v>
      </c>
      <c r="CJ8" s="155">
        <v>358.27</v>
      </c>
      <c r="CK8" s="155">
        <v>386.41</v>
      </c>
      <c r="CL8" s="155">
        <v>413.3</v>
      </c>
      <c r="CM8" s="156">
        <f t="shared" ref="CM8:DA8" si="41">CI8*(1+CM16)</f>
        <v>497.58010842368645</v>
      </c>
      <c r="CN8" s="156">
        <f t="shared" si="41"/>
        <v>474.98874382498235</v>
      </c>
      <c r="CO8" s="156">
        <f t="shared" si="41"/>
        <v>512.29631423622254</v>
      </c>
      <c r="CP8" s="156">
        <f t="shared" si="41"/>
        <v>547.94665426316806</v>
      </c>
      <c r="CQ8" s="156">
        <f t="shared" si="41"/>
        <v>659.68389944026956</v>
      </c>
      <c r="CR8" s="156">
        <f t="shared" si="41"/>
        <v>629.73262277174956</v>
      </c>
      <c r="CS8" s="156">
        <f t="shared" si="41"/>
        <v>679.1944141715237</v>
      </c>
      <c r="CT8" s="156">
        <f t="shared" si="41"/>
        <v>613.70025277474826</v>
      </c>
      <c r="CU8" s="156">
        <f t="shared" si="41"/>
        <v>738.84596737310198</v>
      </c>
      <c r="CV8" s="156">
        <f t="shared" si="41"/>
        <v>705.30053750435957</v>
      </c>
      <c r="CW8" s="156">
        <f t="shared" si="41"/>
        <v>760.69774387210657</v>
      </c>
      <c r="CX8" s="156">
        <f t="shared" si="41"/>
        <v>687.34428310771807</v>
      </c>
      <c r="CY8" s="156">
        <f t="shared" si="41"/>
        <v>827.50748345787429</v>
      </c>
      <c r="CZ8" s="156">
        <f t="shared" si="41"/>
        <v>789.93660200488284</v>
      </c>
      <c r="DA8" s="156">
        <f t="shared" si="41"/>
        <v>851.9814731367594</v>
      </c>
      <c r="DD8" s="158"/>
      <c r="DE8" s="157">
        <v>358.50099999999998</v>
      </c>
    </row>
    <row r="9" spans="1:109" s="187" customFormat="1" x14ac:dyDescent="0.2">
      <c r="A9" s="184" t="s">
        <v>528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>
        <f>SUM(W5:W8)</f>
        <v>5560.51</v>
      </c>
      <c r="X9" s="185">
        <f t="shared" ref="X9:Z9" si="42">SUM(X5:X8)</f>
        <v>6867.42</v>
      </c>
      <c r="Y9" s="185">
        <f t="shared" si="42"/>
        <v>7250.71</v>
      </c>
      <c r="Z9" s="185">
        <f t="shared" si="42"/>
        <v>8232.380000000001</v>
      </c>
      <c r="AA9" s="185">
        <f>SUM(AA5:AA8)</f>
        <v>9685.85</v>
      </c>
      <c r="AB9" s="186">
        <f t="shared" ref="AB9:AE9" si="43">SUM(AB5:AB8)</f>
        <v>11274.016573323584</v>
      </c>
      <c r="AC9" s="186">
        <f t="shared" si="43"/>
        <v>13169.367055630149</v>
      </c>
      <c r="AD9" s="186">
        <f t="shared" si="43"/>
        <v>14834.816278594537</v>
      </c>
      <c r="AE9" s="186">
        <f t="shared" si="43"/>
        <v>16765.959654335849</v>
      </c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>
        <f t="shared" ref="BN9" si="44">SUM(BN5:BN8)</f>
        <v>0</v>
      </c>
      <c r="BO9" s="185">
        <f t="shared" ref="BO9" si="45">SUM(BO5:BO8)</f>
        <v>0</v>
      </c>
      <c r="BP9" s="185">
        <f t="shared" ref="BP9" si="46">SUM(BP5:BP8)</f>
        <v>0</v>
      </c>
      <c r="BQ9" s="185">
        <f t="shared" ref="BQ9" si="47">SUM(BQ5:BQ8)</f>
        <v>1273.77</v>
      </c>
      <c r="BR9" s="185">
        <f t="shared" ref="BR9" si="48">SUM(BR5:BR8)</f>
        <v>1316.82</v>
      </c>
      <c r="BS9" s="185">
        <f t="shared" ref="BS9:CI9" si="49">SUM(BS5:BS8)</f>
        <v>1232.8900000000001</v>
      </c>
      <c r="BT9" s="185">
        <f t="shared" si="49"/>
        <v>1487.5800000000002</v>
      </c>
      <c r="BU9" s="185">
        <f t="shared" si="49"/>
        <v>1523.2199999999998</v>
      </c>
      <c r="BV9" s="185">
        <f t="shared" si="49"/>
        <v>1567.5099999999998</v>
      </c>
      <c r="BW9" s="185">
        <f t="shared" si="49"/>
        <v>1748.8300000000002</v>
      </c>
      <c r="BX9" s="185">
        <f t="shared" si="49"/>
        <v>1756.43</v>
      </c>
      <c r="BY9" s="185">
        <f t="shared" si="49"/>
        <v>1794.6499999999999</v>
      </c>
      <c r="BZ9" s="185">
        <f t="shared" si="49"/>
        <v>1693.62</v>
      </c>
      <c r="CA9" s="185">
        <f t="shared" si="49"/>
        <v>1829.1400000000003</v>
      </c>
      <c r="CB9" s="185">
        <f t="shared" si="49"/>
        <v>1853.4</v>
      </c>
      <c r="CC9" s="185">
        <f t="shared" si="49"/>
        <v>1874.55</v>
      </c>
      <c r="CD9" s="185">
        <f t="shared" si="49"/>
        <v>1873.13</v>
      </c>
      <c r="CE9" s="185">
        <f t="shared" si="49"/>
        <v>2106.84</v>
      </c>
      <c r="CF9" s="185">
        <f t="shared" si="49"/>
        <v>2116.35</v>
      </c>
      <c r="CG9" s="185">
        <f t="shared" si="49"/>
        <v>2136.06</v>
      </c>
      <c r="CH9" s="185">
        <f t="shared" si="49"/>
        <v>2174.41</v>
      </c>
      <c r="CI9" s="185">
        <f t="shared" si="49"/>
        <v>2352.59</v>
      </c>
      <c r="CJ9" s="185">
        <f>SUM(CJ5:CJ8)</f>
        <v>2434.65</v>
      </c>
      <c r="CK9" s="185">
        <f>SUM(CK5:CK8)</f>
        <v>2724.2</v>
      </c>
      <c r="CL9" s="185">
        <f t="shared" ref="CL9:DA9" si="50">SUM(CL5:CL8)</f>
        <v>2585.6400000000003</v>
      </c>
      <c r="CM9" s="186">
        <f t="shared" si="50"/>
        <v>2681.3436663291222</v>
      </c>
      <c r="CN9" s="186">
        <f t="shared" si="50"/>
        <v>2821.0118214794538</v>
      </c>
      <c r="CO9" s="186">
        <f t="shared" si="50"/>
        <v>3186.0210855150071</v>
      </c>
      <c r="CP9" s="186">
        <f t="shared" si="50"/>
        <v>3020.3430644658029</v>
      </c>
      <c r="CQ9" s="186">
        <f t="shared" si="50"/>
        <v>3121.1241759406498</v>
      </c>
      <c r="CR9" s="186">
        <f t="shared" si="50"/>
        <v>3302.9225603418599</v>
      </c>
      <c r="CS9" s="186">
        <f t="shared" si="50"/>
        <v>3724.9772548818382</v>
      </c>
      <c r="CT9" s="186">
        <f t="shared" si="50"/>
        <v>3414.4072336404879</v>
      </c>
      <c r="CU9" s="186">
        <f t="shared" si="50"/>
        <v>3508.003438975401</v>
      </c>
      <c r="CV9" s="186">
        <f t="shared" si="50"/>
        <v>3725.0121645857807</v>
      </c>
      <c r="CW9" s="186">
        <f t="shared" si="50"/>
        <v>4187.3934413928664</v>
      </c>
      <c r="CX9" s="186">
        <f t="shared" si="50"/>
        <v>3863.8960301493935</v>
      </c>
      <c r="CY9" s="186">
        <f t="shared" si="50"/>
        <v>3951.7983838296122</v>
      </c>
      <c r="CZ9" s="186">
        <f t="shared" si="50"/>
        <v>4214.9268768363218</v>
      </c>
      <c r="DA9" s="186">
        <f t="shared" si="50"/>
        <v>4735.3383635205246</v>
      </c>
      <c r="DD9" s="188"/>
      <c r="DE9" s="187">
        <v>2385.3046575861545</v>
      </c>
    </row>
    <row r="10" spans="1:109" s="157" customFormat="1" x14ac:dyDescent="0.2">
      <c r="A10" s="154" t="s">
        <v>529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>
        <f>W23-W9</f>
        <v>0</v>
      </c>
      <c r="X10" s="155">
        <f t="shared" ref="X10:AA10" si="51">X23-X9</f>
        <v>0</v>
      </c>
      <c r="Y10" s="155">
        <f>Y23-Y9</f>
        <v>0.1999999999998181</v>
      </c>
      <c r="Z10" s="155">
        <f t="shared" si="51"/>
        <v>0</v>
      </c>
      <c r="AA10" s="155">
        <f t="shared" si="51"/>
        <v>0</v>
      </c>
      <c r="AB10" s="156">
        <f t="shared" ref="AB10:AE10" si="52">AB23-AB9</f>
        <v>0</v>
      </c>
      <c r="AC10" s="156">
        <f t="shared" si="52"/>
        <v>0</v>
      </c>
      <c r="AD10" s="156">
        <f t="shared" si="52"/>
        <v>0</v>
      </c>
      <c r="AE10" s="156">
        <f t="shared" si="52"/>
        <v>0</v>
      </c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>
        <f t="shared" ref="BN10:CJ10" si="53">BN21-BN9</f>
        <v>928.54</v>
      </c>
      <c r="BO10" s="155">
        <f t="shared" si="53"/>
        <v>438.88</v>
      </c>
      <c r="BP10" s="155">
        <f t="shared" si="53"/>
        <v>1120.6500000000001</v>
      </c>
      <c r="BQ10" s="155">
        <f t="shared" si="53"/>
        <v>0</v>
      </c>
      <c r="BR10" s="155">
        <f t="shared" si="53"/>
        <v>0</v>
      </c>
      <c r="BS10" s="155">
        <f t="shared" si="53"/>
        <v>0</v>
      </c>
      <c r="BT10" s="155">
        <f t="shared" si="53"/>
        <v>0</v>
      </c>
      <c r="BU10" s="155">
        <f t="shared" si="53"/>
        <v>0</v>
      </c>
      <c r="BV10" s="155">
        <f t="shared" si="53"/>
        <v>0</v>
      </c>
      <c r="BW10" s="155">
        <f t="shared" si="53"/>
        <v>0</v>
      </c>
      <c r="BX10" s="155">
        <f t="shared" si="53"/>
        <v>0</v>
      </c>
      <c r="BY10" s="155">
        <f t="shared" si="53"/>
        <v>0</v>
      </c>
      <c r="BZ10" s="155">
        <f t="shared" si="53"/>
        <v>0</v>
      </c>
      <c r="CA10" s="155">
        <f t="shared" si="53"/>
        <v>0</v>
      </c>
      <c r="CB10" s="155">
        <f t="shared" si="53"/>
        <v>0.1999999999998181</v>
      </c>
      <c r="CC10" s="155">
        <f t="shared" si="53"/>
        <v>0</v>
      </c>
      <c r="CD10" s="155">
        <f t="shared" si="53"/>
        <v>0</v>
      </c>
      <c r="CE10" s="155">
        <f t="shared" si="53"/>
        <v>0</v>
      </c>
      <c r="CF10" s="155">
        <f t="shared" si="53"/>
        <v>0</v>
      </c>
      <c r="CG10" s="155">
        <f t="shared" si="53"/>
        <v>0</v>
      </c>
      <c r="CH10" s="155">
        <f t="shared" si="53"/>
        <v>0</v>
      </c>
      <c r="CI10" s="155">
        <f t="shared" si="53"/>
        <v>0</v>
      </c>
      <c r="CJ10" s="155">
        <f t="shared" si="53"/>
        <v>0</v>
      </c>
      <c r="CK10" s="155">
        <f>CK21-CK9</f>
        <v>0</v>
      </c>
      <c r="CL10" s="155">
        <f>CL21-CL9</f>
        <v>0</v>
      </c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D10" s="158"/>
    </row>
    <row r="11" spans="1:109" s="157" customFormat="1" x14ac:dyDescent="0.2">
      <c r="A11" s="154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6"/>
      <c r="AC11" s="156"/>
      <c r="AD11" s="156"/>
      <c r="AE11" s="156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D11" s="158"/>
    </row>
    <row r="12" spans="1:109" s="150" customFormat="1" x14ac:dyDescent="0.2">
      <c r="A12" s="150" t="s">
        <v>523</v>
      </c>
    </row>
    <row r="13" spans="1:109" s="157" customFormat="1" x14ac:dyDescent="0.2">
      <c r="A13" s="183" t="s">
        <v>530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89">
        <f>X5/W5-1</f>
        <v>0.23807781157796004</v>
      </c>
      <c r="Y13" s="189">
        <f t="shared" ref="Y13:AE13" si="54">Y5/X5-1</f>
        <v>0.11774616663587656</v>
      </c>
      <c r="Z13" s="189">
        <f t="shared" si="54"/>
        <v>-9.6476903853654927E-2</v>
      </c>
      <c r="AA13" s="189">
        <f t="shared" si="54"/>
        <v>0.14778730627954273</v>
      </c>
      <c r="AB13" s="191">
        <f t="shared" si="54"/>
        <v>0.25759143195939993</v>
      </c>
      <c r="AC13" s="191">
        <f t="shared" si="54"/>
        <v>0.24601572130148597</v>
      </c>
      <c r="AD13" s="191">
        <f t="shared" si="54"/>
        <v>0.21038202856590726</v>
      </c>
      <c r="AE13" s="191">
        <f t="shared" si="54"/>
        <v>0.20836207625327274</v>
      </c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89">
        <f t="shared" ref="BU13:CI16" si="55">BU5/BQ5-1</f>
        <v>-5.2519418399293416E-2</v>
      </c>
      <c r="BV13" s="189">
        <f t="shared" si="55"/>
        <v>6.1152707644088533E-2</v>
      </c>
      <c r="BW13" s="189">
        <f t="shared" si="55"/>
        <v>0.40239824981424932</v>
      </c>
      <c r="BX13" s="189">
        <f t="shared" si="55"/>
        <v>0.28044642857142854</v>
      </c>
      <c r="BY13" s="189">
        <f t="shared" si="55"/>
        <v>0.23501930433862794</v>
      </c>
      <c r="BZ13" s="189">
        <f t="shared" si="55"/>
        <v>0.21051163401266781</v>
      </c>
      <c r="CA13" s="189">
        <f t="shared" si="55"/>
        <v>0.10251806501935268</v>
      </c>
      <c r="CB13" s="189">
        <f t="shared" si="55"/>
        <v>7.7553866536503646E-2</v>
      </c>
      <c r="CC13" s="189">
        <f t="shared" si="55"/>
        <v>9.2956861849430528E-2</v>
      </c>
      <c r="CD13" s="189">
        <f t="shared" si="55"/>
        <v>-0.11562809233980842</v>
      </c>
      <c r="CE13" s="189">
        <f t="shared" si="55"/>
        <v>-8.7338984182072976E-2</v>
      </c>
      <c r="CF13" s="189">
        <f t="shared" si="55"/>
        <v>-0.10840473170605436</v>
      </c>
      <c r="CG13" s="189">
        <f t="shared" si="55"/>
        <v>-7.4928819580492689E-2</v>
      </c>
      <c r="CH13" s="189">
        <f t="shared" si="55"/>
        <v>6.400882880397285E-2</v>
      </c>
      <c r="CI13" s="189">
        <f t="shared" si="55"/>
        <v>3.1752764289475044E-2</v>
      </c>
      <c r="CJ13" s="189">
        <f>CJ5/CF5-1</f>
        <v>0.18697924227028606</v>
      </c>
      <c r="CK13" s="189">
        <f>CK5/CG5-1</f>
        <v>0.29884651766931647</v>
      </c>
      <c r="CL13" s="189">
        <f>CL5/CH5-1</f>
        <v>0.30780644510710653</v>
      </c>
      <c r="CM13" s="190">
        <f t="shared" ref="CM13:CO13" si="56">AVERAGE(CI13:CL13)</f>
        <v>0.20634624233404603</v>
      </c>
      <c r="CN13" s="190">
        <f t="shared" si="56"/>
        <v>0.24999461184518879</v>
      </c>
      <c r="CO13" s="190">
        <f t="shared" si="56"/>
        <v>0.26574845423891447</v>
      </c>
      <c r="CP13" s="190">
        <f>AVERAGE(CL13:CO13)*0.98</f>
        <v>0.25232445961368766</v>
      </c>
      <c r="CQ13" s="190">
        <f t="shared" ref="CQ13:CS13" si="57">AVERAGE(CM13:CP13)*0.98</f>
        <v>0.23873137316780002</v>
      </c>
      <c r="CR13" s="190">
        <f t="shared" si="57"/>
        <v>0.24666573022206978</v>
      </c>
      <c r="CS13" s="190">
        <f t="shared" si="57"/>
        <v>0.24585015422440562</v>
      </c>
      <c r="CT13" s="190">
        <f>AVERAGE(CP13:CS13)*0.9</f>
        <v>0.22130363637629169</v>
      </c>
      <c r="CU13" s="190">
        <f t="shared" ref="CU13:CW13" si="58">AVERAGE(CQ13:CT13)*0.9</f>
        <v>0.21432395114787761</v>
      </c>
      <c r="CV13" s="190">
        <f t="shared" si="58"/>
        <v>0.20883228119339506</v>
      </c>
      <c r="CW13" s="190">
        <f t="shared" si="58"/>
        <v>0.20031975516194322</v>
      </c>
      <c r="CX13" s="190">
        <f t="shared" ref="CX13" si="59">AVERAGE(CT13:CW13)</f>
        <v>0.21119490596987689</v>
      </c>
      <c r="CY13" s="190">
        <f t="shared" ref="CY13" si="60">AVERAGE(CU13:CX13)</f>
        <v>0.20866772336827319</v>
      </c>
      <c r="CZ13" s="190">
        <f t="shared" ref="CZ13" si="61">AVERAGE(CV13:CY13)</f>
        <v>0.20725366642337209</v>
      </c>
      <c r="DA13" s="190">
        <f t="shared" ref="DA13" si="62">AVERAGE(CW13:CZ13)</f>
        <v>0.20685901273086635</v>
      </c>
      <c r="DD13" s="158"/>
      <c r="DE13" s="157">
        <v>0.14539683825826261</v>
      </c>
    </row>
    <row r="14" spans="1:109" s="157" customFormat="1" x14ac:dyDescent="0.2">
      <c r="A14" s="183" t="s">
        <v>531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89">
        <f t="shared" ref="X14:AE14" si="63">X6/W6-1</f>
        <v>0.18273656524597981</v>
      </c>
      <c r="Y14" s="189">
        <f t="shared" si="63"/>
        <v>0.19411031368981457</v>
      </c>
      <c r="Z14" s="189">
        <f t="shared" si="63"/>
        <v>0.21015801354401797</v>
      </c>
      <c r="AA14" s="189">
        <f t="shared" si="63"/>
        <v>0.6675060623018092</v>
      </c>
      <c r="AB14" s="191">
        <f t="shared" si="63"/>
        <v>0.11999272889982682</v>
      </c>
      <c r="AC14" s="191">
        <f t="shared" si="63"/>
        <v>0.10000000000000009</v>
      </c>
      <c r="AD14" s="191">
        <f t="shared" si="63"/>
        <v>0.10000000000000009</v>
      </c>
      <c r="AE14" s="191">
        <f t="shared" si="63"/>
        <v>0.10000000000000009</v>
      </c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89" t="e">
        <f t="shared" si="55"/>
        <v>#DIV/0!</v>
      </c>
      <c r="BV14" s="189">
        <f t="shared" si="55"/>
        <v>0.1552075611564121</v>
      </c>
      <c r="BW14" s="189">
        <f t="shared" si="55"/>
        <v>0.54375258585022745</v>
      </c>
      <c r="BX14" s="189">
        <f t="shared" si="55"/>
        <v>3.7979046043562059E-2</v>
      </c>
      <c r="BY14" s="189">
        <f t="shared" si="55"/>
        <v>0.11091398909258166</v>
      </c>
      <c r="BZ14" s="189">
        <f t="shared" si="55"/>
        <v>0.17446057592042985</v>
      </c>
      <c r="CA14" s="189">
        <f t="shared" si="55"/>
        <v>0.23819095477386942</v>
      </c>
      <c r="CB14" s="189">
        <f t="shared" si="55"/>
        <v>0.14921309515904113</v>
      </c>
      <c r="CC14" s="189">
        <f t="shared" si="55"/>
        <v>0.20967646536937368</v>
      </c>
      <c r="CD14" s="189">
        <f t="shared" si="55"/>
        <v>0.26007376041524388</v>
      </c>
      <c r="CE14" s="189">
        <f t="shared" si="55"/>
        <v>0.18295454545454537</v>
      </c>
      <c r="CF14" s="189">
        <f t="shared" si="55"/>
        <v>0.28799260372125279</v>
      </c>
      <c r="CG14" s="189">
        <f t="shared" si="55"/>
        <v>0.13314101310385285</v>
      </c>
      <c r="CH14" s="189">
        <f t="shared" si="55"/>
        <v>0.72975609756097559</v>
      </c>
      <c r="CI14" s="189">
        <f t="shared" si="55"/>
        <v>0.71094643428937343</v>
      </c>
      <c r="CJ14" s="189">
        <f t="shared" ref="CJ14:CL16" si="64">CJ6/CF6-1</f>
        <v>0.58510542844324798</v>
      </c>
      <c r="CK14" s="189">
        <f t="shared" si="64"/>
        <v>0.6562243797195253</v>
      </c>
      <c r="CL14" s="189">
        <f t="shared" si="64"/>
        <v>0.18960330889264898</v>
      </c>
      <c r="CM14" s="190">
        <v>0.1</v>
      </c>
      <c r="CN14" s="190">
        <v>0.1</v>
      </c>
      <c r="CO14" s="190">
        <v>0.1</v>
      </c>
      <c r="CP14" s="190">
        <v>0.1</v>
      </c>
      <c r="CQ14" s="190">
        <v>0.1</v>
      </c>
      <c r="CR14" s="190">
        <v>0.1</v>
      </c>
      <c r="CS14" s="190">
        <v>0.1</v>
      </c>
      <c r="CT14" s="190">
        <v>0.1</v>
      </c>
      <c r="CU14" s="190">
        <v>0.1</v>
      </c>
      <c r="CV14" s="190">
        <v>0.1</v>
      </c>
      <c r="CW14" s="190">
        <v>0.1</v>
      </c>
      <c r="CX14" s="190">
        <v>0.1</v>
      </c>
      <c r="CY14" s="190">
        <v>0.1</v>
      </c>
      <c r="CZ14" s="190">
        <v>0.1</v>
      </c>
      <c r="DA14" s="190">
        <v>0.1</v>
      </c>
      <c r="DD14" s="158"/>
      <c r="DE14" s="157">
        <v>0.1</v>
      </c>
    </row>
    <row r="15" spans="1:109" s="157" customFormat="1" x14ac:dyDescent="0.2">
      <c r="A15" s="183" t="s">
        <v>532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89">
        <f t="shared" ref="X15:AE15" si="65">X7/W7-1</f>
        <v>0.12428707885487467</v>
      </c>
      <c r="Y15" s="189">
        <f t="shared" si="65"/>
        <v>4.7115884288931431E-2</v>
      </c>
      <c r="Z15" s="189">
        <f t="shared" si="65"/>
        <v>0.40285556737169648</v>
      </c>
      <c r="AA15" s="189">
        <f t="shared" si="65"/>
        <v>3.5044964357008324E-2</v>
      </c>
      <c r="AB15" s="191">
        <f t="shared" si="65"/>
        <v>3.8510343085618404E-2</v>
      </c>
      <c r="AC15" s="191">
        <f t="shared" si="65"/>
        <v>3.8169491068910322E-2</v>
      </c>
      <c r="AD15" s="191">
        <f t="shared" si="65"/>
        <v>3.8494780403677487E-2</v>
      </c>
      <c r="AE15" s="191">
        <f t="shared" si="65"/>
        <v>3.8586144843583581E-2</v>
      </c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89">
        <f t="shared" si="55"/>
        <v>7.6569808977598353E-2</v>
      </c>
      <c r="BV15" s="189">
        <f t="shared" si="55"/>
        <v>0.21715366390955548</v>
      </c>
      <c r="BW15" s="189">
        <f t="shared" si="55"/>
        <v>0.33735543401110601</v>
      </c>
      <c r="BX15" s="189">
        <f t="shared" si="55"/>
        <v>-1.4832882853187401E-3</v>
      </c>
      <c r="BY15" s="189">
        <f t="shared" si="55"/>
        <v>4.8332937625072958E-3</v>
      </c>
      <c r="BZ15" s="189">
        <f t="shared" si="55"/>
        <v>-8.5047893865145774E-2</v>
      </c>
      <c r="CA15" s="189">
        <f t="shared" si="55"/>
        <v>-2.3477256407854807E-2</v>
      </c>
      <c r="CB15" s="189">
        <f t="shared" si="55"/>
        <v>0.12984847984682912</v>
      </c>
      <c r="CC15" s="189">
        <f t="shared" si="55"/>
        <v>0.16948237160554247</v>
      </c>
      <c r="CD15" s="189">
        <f t="shared" si="55"/>
        <v>0.46172507744560143</v>
      </c>
      <c r="CE15" s="189">
        <f t="shared" si="55"/>
        <v>0.43673071389750295</v>
      </c>
      <c r="CF15" s="189">
        <f t="shared" si="55"/>
        <v>0.37805501585029155</v>
      </c>
      <c r="CG15" s="189">
        <f t="shared" si="55"/>
        <v>0.35124760076775452</v>
      </c>
      <c r="CH15" s="189">
        <f t="shared" si="55"/>
        <v>8.4363190685323275E-2</v>
      </c>
      <c r="CI15" s="189">
        <f t="shared" si="55"/>
        <v>-1.0792287408626366E-3</v>
      </c>
      <c r="CJ15" s="189">
        <f t="shared" si="64"/>
        <v>-4.025145231734728E-2</v>
      </c>
      <c r="CK15" s="189">
        <f t="shared" si="64"/>
        <v>0.10432330827067671</v>
      </c>
      <c r="CL15" s="189">
        <f t="shared" si="64"/>
        <v>4.1784402373551854E-2</v>
      </c>
      <c r="CM15" s="190">
        <f t="shared" ref="CM15" si="66">AVERAGE(CI15:CL15)</f>
        <v>2.6194257396504661E-2</v>
      </c>
      <c r="CN15" s="190">
        <f t="shared" ref="CN15" si="67">AVERAGE(CJ15:CM15)</f>
        <v>3.3012628930846485E-2</v>
      </c>
      <c r="CO15" s="190">
        <f t="shared" ref="CO15" si="68">AVERAGE(CK15:CN15)</f>
        <v>5.132864924289493E-2</v>
      </c>
      <c r="CP15" s="190">
        <f>AVERAGE(CL15:CO15)*0.98</f>
        <v>3.7318384796230494E-2</v>
      </c>
      <c r="CQ15" s="190">
        <f t="shared" ref="CQ15:CS15" si="69">AVERAGE(CM15:CP15)*0.98</f>
        <v>3.622421048978676E-2</v>
      </c>
      <c r="CR15" s="190">
        <f t="shared" si="69"/>
        <v>3.8681548997640876E-2</v>
      </c>
      <c r="CS15" s="190">
        <f t="shared" si="69"/>
        <v>4.0070434414005499E-2</v>
      </c>
      <c r="CT15" s="190">
        <f t="shared" ref="CT15" si="70">AVERAGE(CP15:CS15)</f>
        <v>3.8073644674415902E-2</v>
      </c>
      <c r="CU15" s="190">
        <f t="shared" ref="CU15" si="71">AVERAGE(CQ15:CT15)</f>
        <v>3.8262459643962257E-2</v>
      </c>
      <c r="CV15" s="190">
        <f t="shared" ref="CV15" si="72">AVERAGE(CR15:CU15)</f>
        <v>3.8772021932506132E-2</v>
      </c>
      <c r="CW15" s="190">
        <f t="shared" ref="CW15" si="73">AVERAGE(CS15:CV15)</f>
        <v>3.8794640166222444E-2</v>
      </c>
      <c r="CX15" s="190">
        <f t="shared" ref="CX15" si="74">AVERAGE(CT15:CW15)</f>
        <v>3.8475691604276684E-2</v>
      </c>
      <c r="CY15" s="190">
        <f t="shared" ref="CY15" si="75">AVERAGE(CU15:CX15)</f>
        <v>3.8576203336741881E-2</v>
      </c>
      <c r="CZ15" s="190">
        <f t="shared" ref="CZ15" si="76">AVERAGE(CV15:CY15)</f>
        <v>3.8654639259936785E-2</v>
      </c>
      <c r="DA15" s="190">
        <f t="shared" ref="DA15" si="77">AVERAGE(CW15:CZ15)</f>
        <v>3.8625293591794452E-2</v>
      </c>
      <c r="DD15" s="158"/>
      <c r="DE15" s="157">
        <v>3.6838954474447516E-2</v>
      </c>
    </row>
    <row r="16" spans="1:109" s="157" customFormat="1" x14ac:dyDescent="0.2">
      <c r="A16" s="183" t="s">
        <v>533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89">
        <f t="shared" ref="X16:AE16" si="78">X8/W8-1</f>
        <v>0.59598865874268481</v>
      </c>
      <c r="Y16" s="189">
        <f t="shared" si="78"/>
        <v>-0.14426611124724342</v>
      </c>
      <c r="Z16" s="189">
        <f t="shared" si="78"/>
        <v>0.10406716913983027</v>
      </c>
      <c r="AA16" s="189">
        <f t="shared" si="78"/>
        <v>0.32617938291388371</v>
      </c>
      <c r="AB16" s="191">
        <f t="shared" si="78"/>
        <v>0.32578430743568365</v>
      </c>
      <c r="AC16" s="191">
        <f t="shared" si="78"/>
        <v>0.32578430743568365</v>
      </c>
      <c r="AD16" s="191">
        <f t="shared" si="78"/>
        <v>0.11999999999999988</v>
      </c>
      <c r="AE16" s="191">
        <f t="shared" si="78"/>
        <v>0.12000000000000011</v>
      </c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89">
        <f t="shared" si="55"/>
        <v>0.68115122824371732</v>
      </c>
      <c r="BV16" s="189">
        <f t="shared" si="55"/>
        <v>0.61484812931821153</v>
      </c>
      <c r="BW16" s="189">
        <f t="shared" si="55"/>
        <v>0.61852087797532884</v>
      </c>
      <c r="BX16" s="189">
        <f t="shared" si="55"/>
        <v>0.60993513144417877</v>
      </c>
      <c r="BY16" s="189">
        <f t="shared" si="55"/>
        <v>0.55286261324367225</v>
      </c>
      <c r="BZ16" s="189">
        <f t="shared" si="55"/>
        <v>0.10446014127144299</v>
      </c>
      <c r="CA16" s="189">
        <f t="shared" si="55"/>
        <v>-3.528106773535622E-2</v>
      </c>
      <c r="CB16" s="189">
        <f t="shared" si="55"/>
        <v>-0.21128901141625134</v>
      </c>
      <c r="CC16" s="189">
        <f t="shared" si="55"/>
        <v>-0.36414759570565058</v>
      </c>
      <c r="CD16" s="189">
        <f t="shared" si="55"/>
        <v>-7.5613054124182288E-2</v>
      </c>
      <c r="CE16" s="189">
        <f t="shared" si="55"/>
        <v>0.13393420125366284</v>
      </c>
      <c r="CF16" s="189">
        <f t="shared" si="55"/>
        <v>0.17064754649339009</v>
      </c>
      <c r="CG16" s="189">
        <f t="shared" si="55"/>
        <v>0.22824441922058258</v>
      </c>
      <c r="CH16" s="189">
        <f t="shared" si="55"/>
        <v>0.23246619751719777</v>
      </c>
      <c r="CI16" s="189">
        <f t="shared" si="55"/>
        <v>0.22762658641894529</v>
      </c>
      <c r="CJ16" s="189">
        <f t="shared" si="64"/>
        <v>0.37147341423266833</v>
      </c>
      <c r="CK16" s="189">
        <f t="shared" si="64"/>
        <v>0.48790912591451696</v>
      </c>
      <c r="CL16" s="189">
        <f t="shared" si="64"/>
        <v>0.32578430743568365</v>
      </c>
      <c r="CM16" s="190">
        <f>+CL16</f>
        <v>0.32578430743568365</v>
      </c>
      <c r="CN16" s="190">
        <f t="shared" ref="CN16:DA16" si="79">+CM16</f>
        <v>0.32578430743568365</v>
      </c>
      <c r="CO16" s="190">
        <f t="shared" si="79"/>
        <v>0.32578430743568365</v>
      </c>
      <c r="CP16" s="190">
        <f t="shared" si="79"/>
        <v>0.32578430743568365</v>
      </c>
      <c r="CQ16" s="190">
        <f t="shared" si="79"/>
        <v>0.32578430743568365</v>
      </c>
      <c r="CR16" s="190">
        <f t="shared" si="79"/>
        <v>0.32578430743568365</v>
      </c>
      <c r="CS16" s="190">
        <f t="shared" si="79"/>
        <v>0.32578430743568365</v>
      </c>
      <c r="CT16" s="190">
        <v>0.12</v>
      </c>
      <c r="CU16" s="190">
        <f t="shared" si="79"/>
        <v>0.12</v>
      </c>
      <c r="CV16" s="190">
        <f t="shared" si="79"/>
        <v>0.12</v>
      </c>
      <c r="CW16" s="190">
        <f t="shared" si="79"/>
        <v>0.12</v>
      </c>
      <c r="CX16" s="190">
        <f t="shared" si="79"/>
        <v>0.12</v>
      </c>
      <c r="CY16" s="190">
        <f t="shared" si="79"/>
        <v>0.12</v>
      </c>
      <c r="CZ16" s="190">
        <f t="shared" si="79"/>
        <v>0.12</v>
      </c>
      <c r="DA16" s="190">
        <f t="shared" si="79"/>
        <v>0.12</v>
      </c>
      <c r="DD16" s="158"/>
      <c r="DE16" s="157">
        <v>0.15</v>
      </c>
    </row>
    <row r="17" spans="1:109" s="157" customFormat="1" x14ac:dyDescent="0.2">
      <c r="A17" s="154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6"/>
      <c r="AC17" s="156"/>
      <c r="AD17" s="156"/>
      <c r="AE17" s="156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D17" s="158"/>
    </row>
    <row r="18" spans="1:109" s="157" customFormat="1" x14ac:dyDescent="0.2">
      <c r="A18" s="154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6"/>
      <c r="AC18" s="156"/>
      <c r="AD18" s="156"/>
      <c r="AE18" s="156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D18" s="158"/>
    </row>
    <row r="19" spans="1:109" s="105" customFormat="1" x14ac:dyDescent="0.2">
      <c r="A19" s="150" t="s">
        <v>500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4"/>
      <c r="AC19" s="104"/>
      <c r="AD19" s="104"/>
      <c r="AE19" s="104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D19" s="117"/>
    </row>
    <row r="20" spans="1:109" s="105" customFormat="1" x14ac:dyDescent="0.2">
      <c r="A20" s="150" t="s">
        <v>485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04"/>
      <c r="AC20" s="104"/>
      <c r="AD20" s="104"/>
      <c r="AE20" s="104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59"/>
      <c r="CK20" s="159"/>
      <c r="CL20" s="159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D20" s="117"/>
    </row>
    <row r="21" spans="1:109" s="24" customFormat="1" outlineLevel="1" x14ac:dyDescent="0.2">
      <c r="A21" s="24" t="s">
        <v>429</v>
      </c>
      <c r="B21" s="24">
        <f>'Annual Raw'!C6</f>
        <v>0</v>
      </c>
      <c r="C21" s="24">
        <f>'Annual Raw'!D6</f>
        <v>0</v>
      </c>
      <c r="D21" s="24">
        <f>'Annual Raw'!E6</f>
        <v>278.58999999999997</v>
      </c>
      <c r="E21" s="24">
        <f>'Annual Raw'!F6</f>
        <v>305.77999999999997</v>
      </c>
      <c r="F21" s="24">
        <f>'Annual Raw'!G6</f>
        <v>368.75</v>
      </c>
      <c r="G21" s="24">
        <f>'Annual Raw'!H6</f>
        <v>462.65</v>
      </c>
      <c r="H21" s="24">
        <f>'Annual Raw'!I6</f>
        <v>612.25</v>
      </c>
      <c r="I21" s="24">
        <f>'Annual Raw'!J6</f>
        <v>715.97</v>
      </c>
      <c r="J21" s="24">
        <f>'Annual Raw'!K6</f>
        <v>815.53</v>
      </c>
      <c r="K21" s="24">
        <f>'Annual Raw'!L6</f>
        <v>845.45</v>
      </c>
      <c r="L21" s="24">
        <f>'Annual Raw'!M6</f>
        <v>1112.72</v>
      </c>
      <c r="M21" s="24">
        <f>'Annual Raw'!N6</f>
        <v>1398.74</v>
      </c>
      <c r="N21" s="24">
        <f>'Annual Raw'!O6</f>
        <v>1560.74</v>
      </c>
      <c r="O21" s="24">
        <f>'Annual Raw'!P6</f>
        <v>1520.77</v>
      </c>
      <c r="P21" s="24">
        <f>'Annual Raw'!Q6</f>
        <v>1746.6</v>
      </c>
      <c r="Q21" s="24">
        <f>'Annual Raw'!R6</f>
        <v>1867.44</v>
      </c>
      <c r="R21" s="24">
        <f>'Annual Raw'!S6</f>
        <v>1945.16</v>
      </c>
      <c r="S21" s="24">
        <f>'Annual Raw'!T6</f>
        <v>4099.6499999999996</v>
      </c>
      <c r="T21" s="24">
        <f>'Annual Raw'!U6</f>
        <v>4614.13</v>
      </c>
      <c r="U21" s="24">
        <f>'Annual Raw'!V6</f>
        <v>4409.1499999999996</v>
      </c>
      <c r="V21" s="24">
        <f>'Annual Raw'!W6</f>
        <v>3814.9</v>
      </c>
      <c r="W21" s="24">
        <f>'Annual Raw'!X6</f>
        <v>5623.09</v>
      </c>
      <c r="X21" s="24">
        <f>'Annual Raw'!Y6</f>
        <v>6940.75</v>
      </c>
      <c r="Y21" s="24">
        <f>'Annual Raw'!Z6</f>
        <v>7332.78</v>
      </c>
      <c r="Z21" s="24">
        <f>'Annual Raw'!AA6</f>
        <v>8339.32</v>
      </c>
      <c r="AA21" s="24">
        <f>'Annual Raw'!AB6</f>
        <v>9823.91</v>
      </c>
      <c r="AB21" s="16">
        <f>+SUM(CL21:CO21)</f>
        <v>11274.016573323584</v>
      </c>
      <c r="AC21" s="16">
        <f>+SUM(CP21:CS21)</f>
        <v>13169.367055630151</v>
      </c>
      <c r="AD21" s="16">
        <f>+SUM(CT21:CW21)</f>
        <v>14834.816278594535</v>
      </c>
      <c r="AE21" s="16">
        <f>+SUM(CX21:DA21)</f>
        <v>16765.959654335853</v>
      </c>
      <c r="AI21" s="24">
        <f>'QTR Raw'!C6+'QTR Raw'!C8</f>
        <v>380.12</v>
      </c>
      <c r="AJ21" s="24">
        <f>'QTR Raw'!D6+'QTR Raw'!D8</f>
        <v>356.17</v>
      </c>
      <c r="AK21" s="24">
        <f>'QTR Raw'!E6+'QTR Raw'!E8</f>
        <v>347.12</v>
      </c>
      <c r="AL21" s="24">
        <f>'QTR Raw'!F6+'QTR Raw'!F8</f>
        <v>332.60999999999996</v>
      </c>
      <c r="AM21" s="24">
        <f>'QTR Raw'!G6+'QTR Raw'!G8</f>
        <v>304.58999999999997</v>
      </c>
      <c r="AN21" s="24">
        <f>'QTR Raw'!H6+'QTR Raw'!H8</f>
        <v>371.37</v>
      </c>
      <c r="AO21" s="24">
        <f>'QTR Raw'!I6+'QTR Raw'!I8</f>
        <v>393.84999999999997</v>
      </c>
      <c r="AP21" s="24">
        <f>'QTR Raw'!J6+'QTR Raw'!J8</f>
        <v>400.7</v>
      </c>
      <c r="AQ21" s="24">
        <f>'QTR Raw'!K6+'QTR Raw'!K8</f>
        <v>391.77000000000004</v>
      </c>
      <c r="AR21" s="24">
        <f>'QTR Raw'!L6+'QTR Raw'!L8</f>
        <v>410.18</v>
      </c>
      <c r="AS21" s="24">
        <f>'QTR Raw'!M6+'QTR Raw'!M8</f>
        <v>429.5</v>
      </c>
      <c r="AT21" s="24">
        <f>'QTR Raw'!N6+'QTR Raw'!N8</f>
        <v>409.03999999999996</v>
      </c>
      <c r="AU21" s="24">
        <f>'QTR Raw'!O6+'QTR Raw'!O8</f>
        <v>432.12</v>
      </c>
      <c r="AV21" s="24">
        <f>'QTR Raw'!P6+'QTR Raw'!P8</f>
        <v>438.31</v>
      </c>
      <c r="AW21" s="24">
        <f>'QTR Raw'!Q6+'QTR Raw'!Q8</f>
        <v>444.96</v>
      </c>
      <c r="AX21" s="24">
        <f>'QTR Raw'!R6+'QTR Raw'!R8</f>
        <v>448.44</v>
      </c>
      <c r="AY21" s="24">
        <f>'QTR Raw'!S6+'QTR Raw'!S8</f>
        <v>485.61</v>
      </c>
      <c r="AZ21" s="24">
        <f>'QTR Raw'!T6+'QTR Raw'!T8</f>
        <v>511.43</v>
      </c>
      <c r="BA21" s="24">
        <f>'QTR Raw'!U6+'QTR Raw'!U8</f>
        <v>499.68</v>
      </c>
      <c r="BB21" s="24">
        <f>'QTR Raw'!V6+'QTR Raw'!V8</f>
        <v>497.46</v>
      </c>
      <c r="BC21" s="24">
        <f>'QTR Raw'!W6+'QTR Raw'!W8</f>
        <v>495.35</v>
      </c>
      <c r="BD21" s="24">
        <f>'QTR Raw'!X6+'QTR Raw'!X8</f>
        <v>1004.04</v>
      </c>
      <c r="BE21" s="24">
        <f>'QTR Raw'!Y6+'QTR Raw'!Y8</f>
        <v>1022.01</v>
      </c>
      <c r="BF21" s="24">
        <f>'QTR Raw'!Z6+'QTR Raw'!Z8</f>
        <v>1083.47</v>
      </c>
      <c r="BG21" s="24">
        <f>'QTR Raw'!AA6+'QTR Raw'!AA8</f>
        <v>1100.26</v>
      </c>
      <c r="BH21" s="24">
        <f>'QTR Raw'!AB6+'QTR Raw'!AB8</f>
        <v>1191.49</v>
      </c>
      <c r="BI21" s="24">
        <f>'QTR Raw'!AC6+'QTR Raw'!AC8</f>
        <v>1186.29</v>
      </c>
      <c r="BJ21" s="24">
        <f>'QTR Raw'!AD6+'QTR Raw'!AD8</f>
        <v>1172.29</v>
      </c>
      <c r="BK21" s="24">
        <f>'QTR Raw'!AE6+'QTR Raw'!AE8</f>
        <v>1116.7</v>
      </c>
      <c r="BL21" s="24">
        <f>'QTR Raw'!AF6+'QTR Raw'!AF8</f>
        <v>1035.17</v>
      </c>
      <c r="BM21" s="24">
        <f>'QTR Raw'!AG6+'QTR Raw'!AG8</f>
        <v>1036.47</v>
      </c>
      <c r="BN21" s="24">
        <f>'QTR Raw'!AH6+'QTR Raw'!AH8</f>
        <v>928.54</v>
      </c>
      <c r="BO21" s="24">
        <f>'QTR Raw'!AI6+'QTR Raw'!AI8</f>
        <v>438.88</v>
      </c>
      <c r="BP21" s="24">
        <f>'QTR Raw'!AJ6+'QTR Raw'!AJ8</f>
        <v>1120.6500000000001</v>
      </c>
      <c r="BQ21" s="24">
        <f>'QTR Raw'!AK6+'QTR Raw'!AK8</f>
        <v>1273.77</v>
      </c>
      <c r="BR21" s="24">
        <f>'QTR Raw'!AL6+'QTR Raw'!AL8</f>
        <v>1316.82</v>
      </c>
      <c r="BS21" s="24">
        <f>'QTR Raw'!AM6+'QTR Raw'!AM8</f>
        <v>1232.8900000000001</v>
      </c>
      <c r="BT21" s="24">
        <f>'QTR Raw'!AN6+'QTR Raw'!AN8</f>
        <v>1487.58</v>
      </c>
      <c r="BU21" s="24">
        <f>'QTR Raw'!AO6+'QTR Raw'!AO8</f>
        <v>1523.22</v>
      </c>
      <c r="BV21" s="24">
        <f>'QTR Raw'!AP6+'QTR Raw'!AP8</f>
        <v>1567.51</v>
      </c>
      <c r="BW21" s="24">
        <f>'QTR Raw'!AQ6+'QTR Raw'!AQ8</f>
        <v>1748.83</v>
      </c>
      <c r="BX21" s="24">
        <f>'QTR Raw'!AR6+'QTR Raw'!AR8</f>
        <v>1756.43</v>
      </c>
      <c r="BY21" s="24">
        <f>'QTR Raw'!AS6+'QTR Raw'!AS8</f>
        <v>1794.65</v>
      </c>
      <c r="BZ21" s="24">
        <f>'QTR Raw'!AT6+'QTR Raw'!AT8</f>
        <v>1693.62</v>
      </c>
      <c r="CA21" s="24">
        <f>'QTR Raw'!AU6+'QTR Raw'!AU8</f>
        <v>1829.14</v>
      </c>
      <c r="CB21" s="24">
        <f>'QTR Raw'!AV6+'QTR Raw'!AV8</f>
        <v>1853.6</v>
      </c>
      <c r="CC21" s="24">
        <f>'QTR Raw'!AW6+'QTR Raw'!AW8</f>
        <v>1874.55</v>
      </c>
      <c r="CD21" s="24">
        <f>'QTR Raw'!AX6+'QTR Raw'!AX8</f>
        <v>1873.13</v>
      </c>
      <c r="CE21" s="24">
        <f>'QTR Raw'!AY6+'QTR Raw'!AY8</f>
        <v>2106.84</v>
      </c>
      <c r="CF21" s="24">
        <f>'QTR Raw'!AZ6+'QTR Raw'!AZ8</f>
        <v>2116.35</v>
      </c>
      <c r="CG21" s="24">
        <f>'QTR Raw'!BA6+'QTR Raw'!BA8</f>
        <v>2136.06</v>
      </c>
      <c r="CH21" s="24">
        <f>'QTR Raw'!BB6+'QTR Raw'!BB8</f>
        <v>2174.41</v>
      </c>
      <c r="CI21" s="24">
        <f>'QTR Raw'!BC6+'QTR Raw'!BC8</f>
        <v>2352.59</v>
      </c>
      <c r="CJ21" s="24">
        <f>'QTR Raw'!BD6+'QTR Raw'!BD8</f>
        <v>2434.65</v>
      </c>
      <c r="CK21" s="24">
        <v>2724.2</v>
      </c>
      <c r="CL21" s="24">
        <f>'QTR Raw'!BF6+'QTR Raw'!BF8</f>
        <v>2585.64</v>
      </c>
      <c r="CM21" s="16">
        <f t="shared" ref="CM21:DA21" si="80">CM9</f>
        <v>2681.3436663291222</v>
      </c>
      <c r="CN21" s="16">
        <f t="shared" si="80"/>
        <v>2821.0118214794538</v>
      </c>
      <c r="CO21" s="16">
        <f t="shared" si="80"/>
        <v>3186.0210855150071</v>
      </c>
      <c r="CP21" s="16">
        <f t="shared" si="80"/>
        <v>3020.3430644658029</v>
      </c>
      <c r="CQ21" s="16">
        <f t="shared" si="80"/>
        <v>3121.1241759406498</v>
      </c>
      <c r="CR21" s="16">
        <f t="shared" si="80"/>
        <v>3302.9225603418599</v>
      </c>
      <c r="CS21" s="16">
        <f t="shared" si="80"/>
        <v>3724.9772548818382</v>
      </c>
      <c r="CT21" s="16">
        <f t="shared" si="80"/>
        <v>3414.4072336404879</v>
      </c>
      <c r="CU21" s="16">
        <f t="shared" si="80"/>
        <v>3508.003438975401</v>
      </c>
      <c r="CV21" s="16">
        <f t="shared" si="80"/>
        <v>3725.0121645857807</v>
      </c>
      <c r="CW21" s="16">
        <f t="shared" si="80"/>
        <v>4187.3934413928664</v>
      </c>
      <c r="CX21" s="16">
        <f t="shared" si="80"/>
        <v>3863.8960301493935</v>
      </c>
      <c r="CY21" s="16">
        <f t="shared" si="80"/>
        <v>3951.7983838296122</v>
      </c>
      <c r="CZ21" s="16">
        <f t="shared" si="80"/>
        <v>4214.9268768363218</v>
      </c>
      <c r="DA21" s="16">
        <f t="shared" si="80"/>
        <v>4735.3383635205246</v>
      </c>
      <c r="DD21" s="118"/>
      <c r="DE21" s="24">
        <v>9685.8499999999985</v>
      </c>
    </row>
    <row r="22" spans="1:109" s="91" customFormat="1" outlineLevel="1" x14ac:dyDescent="0.2">
      <c r="A22" s="91" t="s">
        <v>109</v>
      </c>
      <c r="B22" s="91">
        <f>'Annual Raw'!C7+'Annual Raw'!C8+'Annual Raw'!C9</f>
        <v>0</v>
      </c>
      <c r="C22" s="91">
        <f>'Annual Raw'!D7+'Annual Raw'!D8+'Annual Raw'!D9</f>
        <v>0</v>
      </c>
      <c r="D22" s="91">
        <f>'Annual Raw'!E7+'Annual Raw'!E8+'Annual Raw'!E9</f>
        <v>34.28</v>
      </c>
      <c r="E22" s="91">
        <f>'Annual Raw'!F7+'Annual Raw'!F8+'Annual Raw'!F9</f>
        <v>38.869999999999997</v>
      </c>
      <c r="F22" s="91">
        <f>'Annual Raw'!G7+'Annual Raw'!G8+'Annual Raw'!G9</f>
        <v>45.63</v>
      </c>
      <c r="G22" s="91">
        <f>'Annual Raw'!H7+'Annual Raw'!H8+'Annual Raw'!H9</f>
        <v>54.33</v>
      </c>
      <c r="H22" s="91">
        <f>'Annual Raw'!I7+'Annual Raw'!I8+'Annual Raw'!I9</f>
        <v>70.209999999999994</v>
      </c>
      <c r="I22" s="91">
        <f>'Annual Raw'!J7+'Annual Raw'!J8+'Annual Raw'!J9</f>
        <v>74.67</v>
      </c>
      <c r="J22" s="91">
        <f>'Annual Raw'!K7+'Annual Raw'!K8+'Annual Raw'!K9</f>
        <v>71.12</v>
      </c>
      <c r="K22" s="91">
        <f>'Annual Raw'!L7+'Annual Raw'!L8+'Annual Raw'!L9</f>
        <v>47.76</v>
      </c>
      <c r="L22" s="91">
        <f>'Annual Raw'!M7+'Annual Raw'!M8+'Annual Raw'!M9</f>
        <v>72.64</v>
      </c>
      <c r="M22" s="91">
        <f>'Annual Raw'!N7+'Annual Raw'!N8+'Annual Raw'!N9</f>
        <v>90.19</v>
      </c>
      <c r="N22" s="91">
        <f>'Annual Raw'!O7+'Annual Raw'!O8+'Annual Raw'!O9</f>
        <v>114.09</v>
      </c>
      <c r="O22" s="91">
        <f>'Annual Raw'!P7+'Annual Raw'!P8+'Annual Raw'!P9</f>
        <v>118.35</v>
      </c>
      <c r="P22" s="91">
        <f>'Annual Raw'!Q7+'Annual Raw'!Q8+'Annual Raw'!Q9</f>
        <v>114.45</v>
      </c>
      <c r="Q22" s="91">
        <f>'Annual Raw'!R7+'Annual Raw'!R8+'Annual Raw'!R9</f>
        <v>143.01</v>
      </c>
      <c r="R22" s="91">
        <f>'Annual Raw'!S7+'Annual Raw'!S8+'Annual Raw'!S9</f>
        <v>148.84</v>
      </c>
      <c r="S22" s="91">
        <f>'Annual Raw'!T7+'Annual Raw'!T8+'Annual Raw'!T9</f>
        <v>166.51</v>
      </c>
      <c r="T22" s="91">
        <f>'Annual Raw'!U7+'Annual Raw'!U8+'Annual Raw'!U9</f>
        <v>52.62</v>
      </c>
      <c r="U22" s="91">
        <f>'Annual Raw'!V7+'Annual Raw'!V8+'Annual Raw'!V9</f>
        <v>48.52</v>
      </c>
      <c r="V22" s="91">
        <f>'Annual Raw'!W7+'Annual Raw'!W8+'Annual Raw'!W9</f>
        <v>53.06</v>
      </c>
      <c r="W22" s="91">
        <f>'Annual Raw'!X7+'Annual Raw'!X8+'Annual Raw'!X9</f>
        <v>62.58</v>
      </c>
      <c r="X22" s="91">
        <f>'Annual Raw'!Y7+'Annual Raw'!Y8+'Annual Raw'!Y9</f>
        <v>73.33</v>
      </c>
      <c r="Y22" s="91">
        <f>'Annual Raw'!Z7+'Annual Raw'!Z8+'Annual Raw'!Z9</f>
        <v>81.87</v>
      </c>
      <c r="Z22" s="91">
        <f>'Annual Raw'!AA7+'Annual Raw'!AA8+'Annual Raw'!AA9</f>
        <v>106.94</v>
      </c>
      <c r="AA22" s="91">
        <f>'Annual Raw'!AB7+'Annual Raw'!AB8+'Annual Raw'!AB9</f>
        <v>138.06</v>
      </c>
      <c r="AB22" s="75">
        <f>+SUM(CL22:CO22)</f>
        <v>0</v>
      </c>
      <c r="AC22" s="75">
        <f>+SUM(CP22:CS22)</f>
        <v>0</v>
      </c>
      <c r="AD22" s="75">
        <f>+SUM(CT22:CW22)</f>
        <v>0</v>
      </c>
      <c r="AE22" s="75">
        <f>+SUM(CX22:DA22)</f>
        <v>0</v>
      </c>
      <c r="AI22" s="91">
        <f>'QTR Raw'!C21+'QTR Raw'!C20+'QTR Raw'!C19+'QTR Raw'!C13+'QTR Raw'!C7</f>
        <v>0</v>
      </c>
      <c r="AJ22" s="91">
        <f>'QTR Raw'!D21+'QTR Raw'!D20+'QTR Raw'!D19+'QTR Raw'!D13+'QTR Raw'!D7</f>
        <v>0</v>
      </c>
      <c r="AK22" s="91">
        <f>'QTR Raw'!E21+'QTR Raw'!E20+'QTR Raw'!E19+'QTR Raw'!E13+'QTR Raw'!E7</f>
        <v>0</v>
      </c>
      <c r="AL22" s="91">
        <f>'QTR Raw'!F21+'QTR Raw'!F20+'QTR Raw'!F19+'QTR Raw'!F13+'QTR Raw'!F7</f>
        <v>0</v>
      </c>
      <c r="AM22" s="91">
        <f>'QTR Raw'!G21+'QTR Raw'!G20+'QTR Raw'!G19+'QTR Raw'!G13+'QTR Raw'!G7</f>
        <v>0</v>
      </c>
      <c r="AN22" s="91">
        <f>'QTR Raw'!H21+'QTR Raw'!H20+'QTR Raw'!H19+'QTR Raw'!H13+'QTR Raw'!H7</f>
        <v>0</v>
      </c>
      <c r="AO22" s="91">
        <f>'QTR Raw'!I21+'QTR Raw'!I20+'QTR Raw'!I19+'QTR Raw'!I13+'QTR Raw'!I7</f>
        <v>0</v>
      </c>
      <c r="AP22" s="91">
        <f>'QTR Raw'!J21+'QTR Raw'!J20+'QTR Raw'!J19+'QTR Raw'!J13+'QTR Raw'!J7</f>
        <v>0</v>
      </c>
      <c r="AQ22" s="91">
        <f>'QTR Raw'!K21+'QTR Raw'!K20+'QTR Raw'!K19+'QTR Raw'!K13+'QTR Raw'!K7</f>
        <v>0</v>
      </c>
      <c r="AR22" s="91">
        <f>'QTR Raw'!L21+'QTR Raw'!L20+'QTR Raw'!L19+'QTR Raw'!L13+'QTR Raw'!L7</f>
        <v>0</v>
      </c>
      <c r="AS22" s="91">
        <f>'QTR Raw'!M21+'QTR Raw'!M20+'QTR Raw'!M19+'QTR Raw'!M13+'QTR Raw'!M7</f>
        <v>0</v>
      </c>
      <c r="AT22" s="91">
        <f>'QTR Raw'!N21+'QTR Raw'!N20+'QTR Raw'!N19+'QTR Raw'!N13+'QTR Raw'!N7</f>
        <v>0</v>
      </c>
      <c r="AU22" s="91">
        <f>'QTR Raw'!O21+'QTR Raw'!O20+'QTR Raw'!O19+'QTR Raw'!O13+'QTR Raw'!O7</f>
        <v>0</v>
      </c>
      <c r="AV22" s="91">
        <f>'QTR Raw'!P21+'QTR Raw'!P20+'QTR Raw'!P19+'QTR Raw'!P13+'QTR Raw'!P7</f>
        <v>0</v>
      </c>
      <c r="AW22" s="91">
        <f>'QTR Raw'!Q21+'QTR Raw'!Q20+'QTR Raw'!Q19+'QTR Raw'!Q13+'QTR Raw'!Q7</f>
        <v>0</v>
      </c>
      <c r="AX22" s="91">
        <f>'QTR Raw'!R21+'QTR Raw'!R20+'QTR Raw'!R19+'QTR Raw'!R13+'QTR Raw'!R7</f>
        <v>35.56</v>
      </c>
      <c r="AY22" s="91">
        <f>'QTR Raw'!S21+'QTR Raw'!S20+'QTR Raw'!S19+'QTR Raw'!S13+'QTR Raw'!S7</f>
        <v>37.590000000000003</v>
      </c>
      <c r="AZ22" s="91">
        <f>'QTR Raw'!T21+'QTR Raw'!T20+'QTR Raw'!T19+'QTR Raw'!T13+'QTR Raw'!T7</f>
        <v>38.76</v>
      </c>
      <c r="BA22" s="91">
        <f>'QTR Raw'!U21+'QTR Raw'!U20+'QTR Raw'!U19+'QTR Raw'!U13+'QTR Raw'!U7</f>
        <v>36.93</v>
      </c>
      <c r="BB22" s="91">
        <f>'QTR Raw'!V21+'QTR Raw'!V20+'QTR Raw'!V19+'QTR Raw'!V13+'QTR Raw'!V7</f>
        <v>36.22</v>
      </c>
      <c r="BC22" s="91">
        <f>'QTR Raw'!W21+'QTR Raw'!W20+'QTR Raw'!W19+'QTR Raw'!W13+'QTR Raw'!W7</f>
        <v>36.130000000000003</v>
      </c>
      <c r="BD22" s="91">
        <f>'QTR Raw'!X21+'QTR Raw'!X20+'QTR Raw'!X19+'QTR Raw'!X13+'QTR Raw'!X7</f>
        <v>0</v>
      </c>
      <c r="BE22" s="91">
        <f>'QTR Raw'!Y21+'QTR Raw'!Y20+'QTR Raw'!Y19+'QTR Raw'!Y13+'QTR Raw'!Y7</f>
        <v>0</v>
      </c>
      <c r="BF22" s="91">
        <f>'QTR Raw'!Z21+'QTR Raw'!Z20+'QTR Raw'!Z19+'QTR Raw'!Z13+'QTR Raw'!Z7</f>
        <v>0</v>
      </c>
      <c r="BG22" s="91">
        <f>'QTR Raw'!AA21+'QTR Raw'!AA20+'QTR Raw'!AA19+'QTR Raw'!AA13+'QTR Raw'!AA7</f>
        <v>0</v>
      </c>
      <c r="BH22" s="91">
        <f>'QTR Raw'!AB21+'QTR Raw'!AB20+'QTR Raw'!AB19+'QTR Raw'!AB13+'QTR Raw'!AB7</f>
        <v>0</v>
      </c>
      <c r="BI22" s="91">
        <f>'QTR Raw'!AC21+'QTR Raw'!AC20+'QTR Raw'!AC19+'QTR Raw'!AC13+'QTR Raw'!AC7</f>
        <v>0</v>
      </c>
      <c r="BJ22" s="91">
        <f>'QTR Raw'!AD21+'QTR Raw'!AD20+'QTR Raw'!AD19+'QTR Raw'!AD13+'QTR Raw'!AD7</f>
        <v>0</v>
      </c>
      <c r="BK22" s="91">
        <f>'QTR Raw'!AE21+'QTR Raw'!AE20+'QTR Raw'!AE19+'QTR Raw'!AE13+'QTR Raw'!AE7</f>
        <v>0</v>
      </c>
      <c r="BL22" s="91">
        <f>'QTR Raw'!AF21+'QTR Raw'!AF20+'QTR Raw'!AF19+'QTR Raw'!AF13+'QTR Raw'!AF7</f>
        <v>0</v>
      </c>
      <c r="BM22" s="91">
        <f>'QTR Raw'!AG21+'QTR Raw'!AG20+'QTR Raw'!AG19+'QTR Raw'!AG13+'QTR Raw'!AG7</f>
        <v>0</v>
      </c>
      <c r="BN22" s="91">
        <f>'QTR Raw'!AH21+'QTR Raw'!AH20+'QTR Raw'!AH19+'QTR Raw'!AH13+'QTR Raw'!AH7</f>
        <v>0</v>
      </c>
      <c r="BO22" s="91">
        <f>'QTR Raw'!AI21+'QTR Raw'!AI20+'QTR Raw'!AI19+'QTR Raw'!AI13+'QTR Raw'!AI7</f>
        <v>0</v>
      </c>
      <c r="BP22" s="91">
        <f>'QTR Raw'!AJ21+'QTR Raw'!AJ20+'QTR Raw'!AJ19+'QTR Raw'!AJ13+'QTR Raw'!AJ7</f>
        <v>0</v>
      </c>
      <c r="BQ22" s="91">
        <f>'QTR Raw'!AK21+'QTR Raw'!AK20+'QTR Raw'!AK19+'QTR Raw'!AK13+'QTR Raw'!AK7</f>
        <v>0</v>
      </c>
      <c r="BR22" s="91">
        <f>'QTR Raw'!AL21+'QTR Raw'!AL20+'QTR Raw'!AL19+'QTR Raw'!AL13+'QTR Raw'!AL7</f>
        <v>0</v>
      </c>
      <c r="BS22" s="91">
        <f>'QTR Raw'!AM21+'QTR Raw'!AM20+'QTR Raw'!AM19+'QTR Raw'!AM13+'QTR Raw'!AM7</f>
        <v>0</v>
      </c>
      <c r="BT22" s="91">
        <f>'QTR Raw'!AN21+'QTR Raw'!AN20+'QTR Raw'!AN19+'QTR Raw'!AN13+'QTR Raw'!AN7</f>
        <v>0</v>
      </c>
      <c r="BU22" s="91">
        <f>'QTR Raw'!AO21+'QTR Raw'!AO20+'QTR Raw'!AO19+'QTR Raw'!AO13+'QTR Raw'!AO7</f>
        <v>0</v>
      </c>
      <c r="BV22" s="91">
        <f>'QTR Raw'!AP21+'QTR Raw'!AP20+'QTR Raw'!AP19+'QTR Raw'!AP13+'QTR Raw'!AP7</f>
        <v>0</v>
      </c>
      <c r="BW22" s="91">
        <f>'QTR Raw'!AQ21+'QTR Raw'!AQ20+'QTR Raw'!AQ19+'QTR Raw'!AQ13+'QTR Raw'!AQ7</f>
        <v>0</v>
      </c>
      <c r="BX22" s="91">
        <f>'QTR Raw'!AR21+'QTR Raw'!AR20+'QTR Raw'!AR19+'QTR Raw'!AR13+'QTR Raw'!AR7</f>
        <v>0</v>
      </c>
      <c r="BY22" s="91">
        <f>'QTR Raw'!AS21+'QTR Raw'!AS20+'QTR Raw'!AS19+'QTR Raw'!AS13+'QTR Raw'!AS7</f>
        <v>0</v>
      </c>
      <c r="BZ22" s="91">
        <f>'QTR Raw'!AT21+'QTR Raw'!AT20+'QTR Raw'!AT19+'QTR Raw'!AT13+'QTR Raw'!AT7</f>
        <v>0</v>
      </c>
      <c r="CA22" s="91">
        <f>'QTR Raw'!AU21+'QTR Raw'!AU20+'QTR Raw'!AU19+'QTR Raw'!AU13+'QTR Raw'!AU7</f>
        <v>0</v>
      </c>
      <c r="CB22" s="91">
        <f>'QTR Raw'!AV21+'QTR Raw'!AV20+'QTR Raw'!AV19+'QTR Raw'!AV13+'QTR Raw'!AV7</f>
        <v>0</v>
      </c>
      <c r="CC22" s="91">
        <f>'QTR Raw'!AW21+'QTR Raw'!AW20+'QTR Raw'!AW19+'QTR Raw'!AW13+'QTR Raw'!AW7</f>
        <v>0</v>
      </c>
      <c r="CD22" s="91">
        <f>'QTR Raw'!AX21+'QTR Raw'!AX20+'QTR Raw'!AX19+'QTR Raw'!AX13+'QTR Raw'!AX7</f>
        <v>0</v>
      </c>
      <c r="CE22" s="91">
        <f>'QTR Raw'!AY21+'QTR Raw'!AY20+'QTR Raw'!AY19+'QTR Raw'!AY13+'QTR Raw'!AY7</f>
        <v>0</v>
      </c>
      <c r="CF22" s="91">
        <f>'QTR Raw'!AZ21+'QTR Raw'!AZ20+'QTR Raw'!AZ19+'QTR Raw'!AZ13+'QTR Raw'!AZ7</f>
        <v>0</v>
      </c>
      <c r="CG22" s="91">
        <f>'QTR Raw'!BA21+'QTR Raw'!BA20+'QTR Raw'!BA19+'QTR Raw'!BA13+'QTR Raw'!BA7</f>
        <v>0</v>
      </c>
      <c r="CH22" s="91">
        <f>'QTR Raw'!BB21+'QTR Raw'!BB20+'QTR Raw'!BB19+'QTR Raw'!BB13+'QTR Raw'!BB7</f>
        <v>0</v>
      </c>
      <c r="CI22" s="91">
        <f>'QTR Raw'!BC21+'QTR Raw'!BC20+'QTR Raw'!BC19+'QTR Raw'!BC13+'QTR Raw'!BC7</f>
        <v>0</v>
      </c>
      <c r="CJ22" s="91">
        <f>'QTR Raw'!BD21+'QTR Raw'!BD20+'QTR Raw'!BD19+'QTR Raw'!BD13+'QTR Raw'!BD7</f>
        <v>0</v>
      </c>
      <c r="CL22" s="91">
        <f>'QTR Raw'!BF21+'QTR Raw'!BF20+'QTR Raw'!BF19+'QTR Raw'!BF13+'QTR Raw'!BF7</f>
        <v>0</v>
      </c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D22" s="119"/>
      <c r="DE22" s="91">
        <v>0</v>
      </c>
    </row>
    <row r="23" spans="1:109" s="25" customFormat="1" x14ac:dyDescent="0.2">
      <c r="A23" s="25" t="s">
        <v>430</v>
      </c>
      <c r="B23" s="25">
        <f>+B21-B22</f>
        <v>0</v>
      </c>
      <c r="C23" s="25">
        <f>+C21-C22</f>
        <v>0</v>
      </c>
      <c r="D23" s="25">
        <f t="shared" ref="D23:U23" si="81">+D21-D22</f>
        <v>244.30999999999997</v>
      </c>
      <c r="E23" s="25">
        <f t="shared" si="81"/>
        <v>266.90999999999997</v>
      </c>
      <c r="F23" s="25">
        <f t="shared" si="81"/>
        <v>323.12</v>
      </c>
      <c r="G23" s="25">
        <f t="shared" si="81"/>
        <v>408.32</v>
      </c>
      <c r="H23" s="25">
        <f t="shared" si="81"/>
        <v>542.04</v>
      </c>
      <c r="I23" s="25">
        <f t="shared" si="81"/>
        <v>641.30000000000007</v>
      </c>
      <c r="J23" s="25">
        <f t="shared" si="81"/>
        <v>744.41</v>
      </c>
      <c r="K23" s="25">
        <f t="shared" si="81"/>
        <v>797.69</v>
      </c>
      <c r="L23" s="25">
        <f t="shared" si="81"/>
        <v>1040.08</v>
      </c>
      <c r="M23" s="25">
        <f t="shared" si="81"/>
        <v>1308.55</v>
      </c>
      <c r="N23" s="25">
        <f t="shared" si="81"/>
        <v>1446.65</v>
      </c>
      <c r="O23" s="25">
        <f t="shared" si="81"/>
        <v>1402.42</v>
      </c>
      <c r="P23" s="25">
        <f t="shared" si="81"/>
        <v>1632.1499999999999</v>
      </c>
      <c r="Q23" s="25">
        <f t="shared" si="81"/>
        <v>1724.43</v>
      </c>
      <c r="R23" s="25">
        <f t="shared" si="81"/>
        <v>1796.3200000000002</v>
      </c>
      <c r="S23" s="25">
        <f t="shared" si="81"/>
        <v>3933.1399999999994</v>
      </c>
      <c r="T23" s="25">
        <f t="shared" si="81"/>
        <v>4561.51</v>
      </c>
      <c r="U23" s="25">
        <f t="shared" si="81"/>
        <v>4360.6299999999992</v>
      </c>
      <c r="V23" s="25">
        <f t="shared" ref="V23:AA23" si="82">+V21-V22</f>
        <v>3761.84</v>
      </c>
      <c r="W23" s="25">
        <f t="shared" si="82"/>
        <v>5560.51</v>
      </c>
      <c r="X23" s="25">
        <f t="shared" si="82"/>
        <v>6867.42</v>
      </c>
      <c r="Y23" s="25">
        <f t="shared" si="82"/>
        <v>7250.91</v>
      </c>
      <c r="Z23" s="25">
        <f t="shared" si="82"/>
        <v>8232.3799999999992</v>
      </c>
      <c r="AA23" s="25">
        <f t="shared" si="82"/>
        <v>9685.85</v>
      </c>
      <c r="AB23" s="26">
        <f t="shared" ref="AB23:AD23" si="83">+AB21-AB22</f>
        <v>11274.016573323584</v>
      </c>
      <c r="AC23" s="26">
        <f t="shared" si="83"/>
        <v>13169.367055630151</v>
      </c>
      <c r="AD23" s="26">
        <f t="shared" si="83"/>
        <v>14834.816278594535</v>
      </c>
      <c r="AE23" s="26">
        <f t="shared" ref="AE23" si="84">+AE21-AE22</f>
        <v>16765.959654335853</v>
      </c>
      <c r="AI23" s="25">
        <f t="shared" ref="AI23" si="85">+AI21-AI22</f>
        <v>380.12</v>
      </c>
      <c r="AJ23" s="25">
        <f t="shared" ref="AJ23" si="86">+AJ21-AJ22</f>
        <v>356.17</v>
      </c>
      <c r="AK23" s="25">
        <f t="shared" ref="AK23:AM23" si="87">+AK21-AK22</f>
        <v>347.12</v>
      </c>
      <c r="AL23" s="25">
        <f t="shared" si="87"/>
        <v>332.60999999999996</v>
      </c>
      <c r="AM23" s="25">
        <f t="shared" si="87"/>
        <v>304.58999999999997</v>
      </c>
      <c r="AN23" s="25">
        <f t="shared" ref="AN23:AO23" si="88">+AN21-AN22</f>
        <v>371.37</v>
      </c>
      <c r="AO23" s="25">
        <f t="shared" si="88"/>
        <v>393.84999999999997</v>
      </c>
      <c r="AP23" s="25">
        <f t="shared" ref="AP23:AW23" si="89">+AP21-AP22</f>
        <v>400.7</v>
      </c>
      <c r="AQ23" s="25">
        <f t="shared" si="89"/>
        <v>391.77000000000004</v>
      </c>
      <c r="AR23" s="25">
        <f t="shared" si="89"/>
        <v>410.18</v>
      </c>
      <c r="AS23" s="25">
        <f t="shared" si="89"/>
        <v>429.5</v>
      </c>
      <c r="AT23" s="25">
        <f t="shared" si="89"/>
        <v>409.03999999999996</v>
      </c>
      <c r="AU23" s="25">
        <f t="shared" si="89"/>
        <v>432.12</v>
      </c>
      <c r="AV23" s="25">
        <f t="shared" si="89"/>
        <v>438.31</v>
      </c>
      <c r="AW23" s="25">
        <f t="shared" si="89"/>
        <v>444.96</v>
      </c>
      <c r="AX23" s="25">
        <f t="shared" ref="AX23:CF23" si="90">+AX21-AX22</f>
        <v>412.88</v>
      </c>
      <c r="AY23" s="25">
        <f t="shared" si="90"/>
        <v>448.02</v>
      </c>
      <c r="AZ23" s="25">
        <f t="shared" si="90"/>
        <v>472.67</v>
      </c>
      <c r="BA23" s="25">
        <f t="shared" si="90"/>
        <v>462.75</v>
      </c>
      <c r="BB23" s="25">
        <f t="shared" si="90"/>
        <v>461.24</v>
      </c>
      <c r="BC23" s="25">
        <f t="shared" si="90"/>
        <v>459.22</v>
      </c>
      <c r="BD23" s="25">
        <f t="shared" si="90"/>
        <v>1004.04</v>
      </c>
      <c r="BE23" s="25">
        <f t="shared" si="90"/>
        <v>1022.01</v>
      </c>
      <c r="BF23" s="25">
        <f t="shared" si="90"/>
        <v>1083.47</v>
      </c>
      <c r="BG23" s="25">
        <f t="shared" si="90"/>
        <v>1100.26</v>
      </c>
      <c r="BH23" s="25">
        <f t="shared" si="90"/>
        <v>1191.49</v>
      </c>
      <c r="BI23" s="25">
        <f t="shared" si="90"/>
        <v>1186.29</v>
      </c>
      <c r="BJ23" s="25">
        <f t="shared" si="90"/>
        <v>1172.29</v>
      </c>
      <c r="BK23" s="25">
        <f t="shared" si="90"/>
        <v>1116.7</v>
      </c>
      <c r="BL23" s="25">
        <f t="shared" si="90"/>
        <v>1035.17</v>
      </c>
      <c r="BM23" s="25">
        <f t="shared" si="90"/>
        <v>1036.47</v>
      </c>
      <c r="BN23" s="25">
        <f t="shared" si="90"/>
        <v>928.54</v>
      </c>
      <c r="BO23" s="25">
        <f t="shared" si="90"/>
        <v>438.88</v>
      </c>
      <c r="BP23" s="25">
        <f t="shared" si="90"/>
        <v>1120.6500000000001</v>
      </c>
      <c r="BQ23" s="25">
        <f t="shared" si="90"/>
        <v>1273.77</v>
      </c>
      <c r="BR23" s="25">
        <f t="shared" si="90"/>
        <v>1316.82</v>
      </c>
      <c r="BS23" s="25">
        <f t="shared" si="90"/>
        <v>1232.8900000000001</v>
      </c>
      <c r="BT23" s="25">
        <f t="shared" si="90"/>
        <v>1487.58</v>
      </c>
      <c r="BU23" s="25">
        <f t="shared" si="90"/>
        <v>1523.22</v>
      </c>
      <c r="BV23" s="25">
        <f t="shared" si="90"/>
        <v>1567.51</v>
      </c>
      <c r="BW23" s="25">
        <f t="shared" si="90"/>
        <v>1748.83</v>
      </c>
      <c r="BX23" s="25">
        <f t="shared" si="90"/>
        <v>1756.43</v>
      </c>
      <c r="BY23" s="25">
        <f t="shared" si="90"/>
        <v>1794.65</v>
      </c>
      <c r="BZ23" s="25">
        <f t="shared" si="90"/>
        <v>1693.62</v>
      </c>
      <c r="CA23" s="25">
        <f t="shared" si="90"/>
        <v>1829.14</v>
      </c>
      <c r="CB23" s="25">
        <f t="shared" si="90"/>
        <v>1853.6</v>
      </c>
      <c r="CC23" s="25">
        <f t="shared" si="90"/>
        <v>1874.55</v>
      </c>
      <c r="CD23" s="25">
        <f t="shared" si="90"/>
        <v>1873.13</v>
      </c>
      <c r="CE23" s="25">
        <f t="shared" si="90"/>
        <v>2106.84</v>
      </c>
      <c r="CF23" s="25">
        <f t="shared" si="90"/>
        <v>2116.35</v>
      </c>
      <c r="CG23" s="25">
        <f t="shared" ref="CG23:CH23" si="91">+CG21-CG22</f>
        <v>2136.06</v>
      </c>
      <c r="CH23" s="25">
        <f t="shared" si="91"/>
        <v>2174.41</v>
      </c>
      <c r="CI23" s="25">
        <f t="shared" ref="CI23" si="92">+CI21-CI22</f>
        <v>2352.59</v>
      </c>
      <c r="CJ23" s="25">
        <f>+CJ21-CJ22</f>
        <v>2434.65</v>
      </c>
      <c r="CK23" s="25">
        <f>+CK21-CK22</f>
        <v>2724.2</v>
      </c>
      <c r="CL23" s="25">
        <f>+CL21-CL22</f>
        <v>2585.64</v>
      </c>
      <c r="CM23" s="26">
        <f t="shared" ref="CM23:DA23" si="93">+CM21-CM22</f>
        <v>2681.3436663291222</v>
      </c>
      <c r="CN23" s="26">
        <f t="shared" si="93"/>
        <v>2821.0118214794538</v>
      </c>
      <c r="CO23" s="26">
        <f t="shared" si="93"/>
        <v>3186.0210855150071</v>
      </c>
      <c r="CP23" s="26">
        <f t="shared" si="93"/>
        <v>3020.3430644658029</v>
      </c>
      <c r="CQ23" s="26">
        <f t="shared" si="93"/>
        <v>3121.1241759406498</v>
      </c>
      <c r="CR23" s="26">
        <f t="shared" si="93"/>
        <v>3302.9225603418599</v>
      </c>
      <c r="CS23" s="26">
        <f t="shared" si="93"/>
        <v>3724.9772548818382</v>
      </c>
      <c r="CT23" s="26">
        <f t="shared" si="93"/>
        <v>3414.4072336404879</v>
      </c>
      <c r="CU23" s="26">
        <f t="shared" si="93"/>
        <v>3508.003438975401</v>
      </c>
      <c r="CV23" s="26">
        <f t="shared" si="93"/>
        <v>3725.0121645857807</v>
      </c>
      <c r="CW23" s="26">
        <f t="shared" si="93"/>
        <v>4187.3934413928664</v>
      </c>
      <c r="CX23" s="26">
        <f t="shared" si="93"/>
        <v>3863.8960301493935</v>
      </c>
      <c r="CY23" s="26">
        <f t="shared" si="93"/>
        <v>3951.7983838296122</v>
      </c>
      <c r="CZ23" s="26">
        <f t="shared" si="93"/>
        <v>4214.9268768363218</v>
      </c>
      <c r="DA23" s="26">
        <f t="shared" si="93"/>
        <v>4735.3383635205246</v>
      </c>
      <c r="DD23" s="120"/>
      <c r="DE23" s="25">
        <v>9685.8499999999985</v>
      </c>
    </row>
    <row r="24" spans="1:109" s="38" customFormat="1" x14ac:dyDescent="0.2">
      <c r="A24" s="38" t="s">
        <v>483</v>
      </c>
      <c r="C24" s="38" t="e">
        <f t="shared" ref="C24" si="94">C23/B23-1</f>
        <v>#DIV/0!</v>
      </c>
      <c r="D24" s="38" t="e">
        <f t="shared" ref="D24" si="95">D23/C23-1</f>
        <v>#DIV/0!</v>
      </c>
      <c r="E24" s="38">
        <f t="shared" ref="E24" si="96">E23/D23-1</f>
        <v>9.2505423437436063E-2</v>
      </c>
      <c r="F24" s="38">
        <f t="shared" ref="F24:R24" si="97">F23/E23-1</f>
        <v>0.2105953317597693</v>
      </c>
      <c r="G24" s="38">
        <f t="shared" si="97"/>
        <v>0.26367912849715269</v>
      </c>
      <c r="H24" s="38">
        <f t="shared" si="97"/>
        <v>0.32748824451410652</v>
      </c>
      <c r="I24" s="38">
        <f t="shared" si="97"/>
        <v>0.18312301675153142</v>
      </c>
      <c r="J24" s="38">
        <f t="shared" si="97"/>
        <v>0.16078278496803344</v>
      </c>
      <c r="K24" s="38">
        <f>K23/J23-1</f>
        <v>7.1573460861622085E-2</v>
      </c>
      <c r="L24" s="38">
        <f t="shared" si="97"/>
        <v>0.30386490992741533</v>
      </c>
      <c r="M24" s="38">
        <f t="shared" si="97"/>
        <v>0.25812437504807328</v>
      </c>
      <c r="N24" s="38">
        <f t="shared" si="97"/>
        <v>0.10553666271827611</v>
      </c>
      <c r="O24" s="38">
        <f t="shared" si="97"/>
        <v>-3.0574084954895775E-2</v>
      </c>
      <c r="P24" s="38">
        <f t="shared" si="97"/>
        <v>0.16380970037506581</v>
      </c>
      <c r="Q24" s="38">
        <f t="shared" si="97"/>
        <v>5.6538921055050206E-2</v>
      </c>
      <c r="R24" s="38">
        <f t="shared" si="97"/>
        <v>4.1689137860046577E-2</v>
      </c>
      <c r="S24" s="38">
        <f t="shared" ref="S24:AA24" si="98">S23/R23-1</f>
        <v>1.1895541996971581</v>
      </c>
      <c r="T24" s="38">
        <f t="shared" si="98"/>
        <v>0.159762937500318</v>
      </c>
      <c r="U24" s="38">
        <f t="shared" si="98"/>
        <v>-4.4038048804014629E-2</v>
      </c>
      <c r="V24" s="38">
        <f t="shared" si="98"/>
        <v>-0.13731731424129068</v>
      </c>
      <c r="W24" s="38">
        <f t="shared" si="98"/>
        <v>0.47813569955128332</v>
      </c>
      <c r="X24" s="38">
        <f t="shared" si="98"/>
        <v>0.23503419650355806</v>
      </c>
      <c r="Y24" s="38">
        <f t="shared" si="98"/>
        <v>5.5841931904557995E-2</v>
      </c>
      <c r="Z24" s="38">
        <f t="shared" si="98"/>
        <v>0.13535818262811139</v>
      </c>
      <c r="AA24" s="38">
        <f t="shared" si="98"/>
        <v>0.17655526105451913</v>
      </c>
      <c r="AB24" s="39">
        <f t="shared" ref="AB24" si="99">AB23/AA23-1</f>
        <v>0.16396770271309014</v>
      </c>
      <c r="AC24" s="39">
        <f t="shared" ref="AC24" si="100">AC23/AB23-1</f>
        <v>0.16811670179652904</v>
      </c>
      <c r="AD24" s="39">
        <f t="shared" ref="AD24" si="101">AD23/AC23-1</f>
        <v>0.12646387756747757</v>
      </c>
      <c r="AE24" s="39">
        <f t="shared" ref="AE24" si="102">AE23/AD23-1</f>
        <v>0.13017642682422736</v>
      </c>
      <c r="AM24" s="38">
        <f t="shared" ref="AM24:CI24" si="103">+IF(AI23&lt;0,1-AM23/AI23,AM23/AI23-1)</f>
        <v>-0.19870041039671693</v>
      </c>
      <c r="AN24" s="38">
        <f t="shared" si="103"/>
        <v>4.2676250105286861E-2</v>
      </c>
      <c r="AO24" s="38">
        <f t="shared" si="103"/>
        <v>0.13462203272643447</v>
      </c>
      <c r="AP24" s="38">
        <f t="shared" si="103"/>
        <v>0.20471422987883714</v>
      </c>
      <c r="AQ24" s="38">
        <f t="shared" si="103"/>
        <v>0.28622082143208938</v>
      </c>
      <c r="AR24" s="38">
        <f t="shared" si="103"/>
        <v>0.10450494116379883</v>
      </c>
      <c r="AS24" s="38">
        <f t="shared" si="103"/>
        <v>9.0516694172908529E-2</v>
      </c>
      <c r="AT24" s="38">
        <f t="shared" si="103"/>
        <v>2.0813576241577092E-2</v>
      </c>
      <c r="AU24" s="38">
        <f t="shared" si="103"/>
        <v>0.10299410368328354</v>
      </c>
      <c r="AV24" s="38">
        <f t="shared" si="103"/>
        <v>6.8579647959432499E-2</v>
      </c>
      <c r="AW24" s="38">
        <f t="shared" si="103"/>
        <v>3.5995343422584369E-2</v>
      </c>
      <c r="AX24" s="38">
        <f t="shared" si="103"/>
        <v>9.3878349305691611E-3</v>
      </c>
      <c r="AY24" s="38">
        <f t="shared" si="103"/>
        <v>3.6795334629269538E-2</v>
      </c>
      <c r="AZ24" s="38">
        <f t="shared" si="103"/>
        <v>7.8392005658096009E-2</v>
      </c>
      <c r="BA24" s="38">
        <f t="shared" si="103"/>
        <v>3.9981121898597705E-2</v>
      </c>
      <c r="BB24" s="38">
        <f t="shared" si="103"/>
        <v>0.11712846347607053</v>
      </c>
      <c r="BC24" s="38">
        <f t="shared" si="103"/>
        <v>2.4998883978393893E-2</v>
      </c>
      <c r="BD24" s="38">
        <f t="shared" si="103"/>
        <v>1.1241881227917996</v>
      </c>
      <c r="BE24" s="38">
        <f t="shared" si="103"/>
        <v>1.2085575364667749</v>
      </c>
      <c r="BF24" s="38">
        <f t="shared" si="103"/>
        <v>1.3490373775041196</v>
      </c>
      <c r="BG24" s="38">
        <f t="shared" si="103"/>
        <v>1.3959322329166848</v>
      </c>
      <c r="BH24" s="38">
        <f t="shared" si="103"/>
        <v>0.18669574917333986</v>
      </c>
      <c r="BI24" s="38">
        <f t="shared" si="103"/>
        <v>0.16074206710306149</v>
      </c>
      <c r="BJ24" s="38">
        <f t="shared" si="103"/>
        <v>8.1977350549622852E-2</v>
      </c>
      <c r="BK24" s="38">
        <f t="shared" si="103"/>
        <v>1.4941922818243025E-2</v>
      </c>
      <c r="BL24" s="38">
        <f t="shared" si="103"/>
        <v>-0.13119707257299673</v>
      </c>
      <c r="BM24" s="38">
        <f t="shared" si="103"/>
        <v>-0.12629289634069241</v>
      </c>
      <c r="BN24" s="38">
        <f t="shared" si="103"/>
        <v>-0.20792636634279915</v>
      </c>
      <c r="BO24" s="38">
        <f t="shared" si="103"/>
        <v>-0.6069848661233993</v>
      </c>
      <c r="BP24" s="38">
        <f t="shared" si="103"/>
        <v>8.2575808804350892E-2</v>
      </c>
      <c r="BQ24" s="38">
        <f t="shared" si="103"/>
        <v>0.22895018669136591</v>
      </c>
      <c r="BR24" s="38">
        <f t="shared" si="103"/>
        <v>0.41816184547784685</v>
      </c>
      <c r="BS24" s="38">
        <f t="shared" si="103"/>
        <v>1.8091733503463363</v>
      </c>
      <c r="BT24" s="38">
        <f t="shared" si="103"/>
        <v>0.3274260473832149</v>
      </c>
      <c r="BU24" s="38">
        <f t="shared" si="103"/>
        <v>0.1958359829482561</v>
      </c>
      <c r="BV24" s="38">
        <f t="shared" si="103"/>
        <v>0.19037529806655429</v>
      </c>
      <c r="BW24" s="38">
        <f t="shared" si="103"/>
        <v>0.41848015638053671</v>
      </c>
      <c r="BX24" s="38">
        <f t="shared" si="103"/>
        <v>0.18072977587759986</v>
      </c>
      <c r="BY24" s="38">
        <f t="shared" si="103"/>
        <v>0.17819487664290135</v>
      </c>
      <c r="BZ24" s="38">
        <f t="shared" si="103"/>
        <v>8.0452437305025049E-2</v>
      </c>
      <c r="CA24" s="38">
        <f t="shared" si="103"/>
        <v>4.5922130796018035E-2</v>
      </c>
      <c r="CB24" s="38">
        <f t="shared" si="103"/>
        <v>5.5322443820704503E-2</v>
      </c>
      <c r="CC24" s="38">
        <f t="shared" si="103"/>
        <v>4.4521215835956696E-2</v>
      </c>
      <c r="CD24" s="38">
        <f t="shared" si="103"/>
        <v>0.10599189900922301</v>
      </c>
      <c r="CE24" s="38">
        <f t="shared" si="103"/>
        <v>0.15181998097466565</v>
      </c>
      <c r="CF24" s="38">
        <f t="shared" si="103"/>
        <v>0.14175118687958577</v>
      </c>
      <c r="CG24" s="38">
        <f t="shared" si="103"/>
        <v>0.13950548131551566</v>
      </c>
      <c r="CH24" s="38">
        <f t="shared" si="103"/>
        <v>0.16084308083261689</v>
      </c>
      <c r="CI24" s="38">
        <f t="shared" si="103"/>
        <v>0.11664388373108547</v>
      </c>
      <c r="CJ24" s="38">
        <f>+IF(CF23&lt;0,1-CJ23/CF23,CJ23/CF23-1)</f>
        <v>0.15040045361117027</v>
      </c>
      <c r="CK24" s="38">
        <f>+IF(CG23&lt;0,1-CK23/CG23,CK23/CG23-1)</f>
        <v>0.27533870771420266</v>
      </c>
      <c r="CL24" s="38">
        <f>+IF(CH23&lt;0,1-CL23/CH23,CL23/CH23-1)</f>
        <v>0.18912256658127946</v>
      </c>
      <c r="CM24" s="39">
        <f t="shared" ref="CM24:DA24" si="104">+IF(CI23&lt;0,1-CM23/CI23,CM23/CI23-1)</f>
        <v>0.13974116455868724</v>
      </c>
      <c r="CN24" s="39">
        <f t="shared" si="104"/>
        <v>0.15869296263506194</v>
      </c>
      <c r="CO24" s="39">
        <f t="shared" si="104"/>
        <v>0.1695253966357122</v>
      </c>
      <c r="CP24" s="39">
        <f t="shared" si="104"/>
        <v>0.16812203727734842</v>
      </c>
      <c r="CQ24" s="39">
        <f t="shared" si="104"/>
        <v>0.16401497321438341</v>
      </c>
      <c r="CR24" s="39">
        <f t="shared" si="104"/>
        <v>0.17082903913875569</v>
      </c>
      <c r="CS24" s="39">
        <f t="shared" si="104"/>
        <v>0.16916277541826474</v>
      </c>
      <c r="CT24" s="39">
        <f t="shared" si="104"/>
        <v>0.13047000316316115</v>
      </c>
      <c r="CU24" s="39">
        <f t="shared" si="104"/>
        <v>0.12395510118342301</v>
      </c>
      <c r="CV24" s="39">
        <f t="shared" si="104"/>
        <v>0.12779276429666986</v>
      </c>
      <c r="CW24" s="39">
        <f t="shared" si="104"/>
        <v>0.12413933156370294</v>
      </c>
      <c r="CX24" s="39">
        <f t="shared" si="104"/>
        <v>0.13164475288135291</v>
      </c>
      <c r="CY24" s="39">
        <f t="shared" si="104"/>
        <v>0.12650926732951917</v>
      </c>
      <c r="CZ24" s="39">
        <f t="shared" si="104"/>
        <v>0.13152029862029169</v>
      </c>
      <c r="DA24" s="39">
        <f t="shared" si="104"/>
        <v>0.1308558485837894</v>
      </c>
      <c r="DD24" s="121"/>
      <c r="DE24" s="38">
        <v>0.17655526105451891</v>
      </c>
    </row>
    <row r="25" spans="1:109" s="38" customFormat="1" x14ac:dyDescent="0.2">
      <c r="A25" s="38" t="s">
        <v>445</v>
      </c>
      <c r="AB25" s="39"/>
      <c r="AC25" s="39"/>
      <c r="AD25" s="39"/>
      <c r="AE25" s="39"/>
      <c r="AJ25" s="38">
        <f t="shared" ref="AJ25:AL25" si="105">+IF(AI23&lt;0,1-AJ23/AI23,AJ23/AI23-1)</f>
        <v>-6.3006419025570803E-2</v>
      </c>
      <c r="AK25" s="38">
        <f t="shared" si="105"/>
        <v>-2.5409214700845117E-2</v>
      </c>
      <c r="AL25" s="38">
        <f t="shared" si="105"/>
        <v>-4.1801106245678898E-2</v>
      </c>
      <c r="AM25" s="38">
        <f t="shared" ref="AM25:CI25" si="106">+IF(AL23&lt;0,1-AM23/AL23,AM23/AL23-1)</f>
        <v>-8.4242806890953315E-2</v>
      </c>
      <c r="AN25" s="38">
        <f t="shared" si="106"/>
        <v>0.21924554318920531</v>
      </c>
      <c r="AO25" s="38">
        <f t="shared" si="106"/>
        <v>6.0532622452001972E-2</v>
      </c>
      <c r="AP25" s="38">
        <f t="shared" si="106"/>
        <v>1.7392408277262961E-2</v>
      </c>
      <c r="AQ25" s="38">
        <f t="shared" si="106"/>
        <v>-2.2285999500873399E-2</v>
      </c>
      <c r="AR25" s="38">
        <f t="shared" si="106"/>
        <v>4.699185746739154E-2</v>
      </c>
      <c r="AS25" s="38">
        <f t="shared" si="106"/>
        <v>4.7101272612023903E-2</v>
      </c>
      <c r="AT25" s="38">
        <f t="shared" si="106"/>
        <v>-4.7636786961583355E-2</v>
      </c>
      <c r="AU25" s="38">
        <f t="shared" si="106"/>
        <v>5.6424799530608416E-2</v>
      </c>
      <c r="AV25" s="38">
        <f t="shared" si="106"/>
        <v>1.432472461353318E-2</v>
      </c>
      <c r="AW25" s="38">
        <f t="shared" si="106"/>
        <v>1.5171910291802648E-2</v>
      </c>
      <c r="AX25" s="38">
        <f t="shared" si="106"/>
        <v>-7.2096368212873019E-2</v>
      </c>
      <c r="AY25" s="38">
        <f t="shared" si="106"/>
        <v>8.51094749079635E-2</v>
      </c>
      <c r="AZ25" s="38">
        <f t="shared" si="106"/>
        <v>5.5019865184590122E-2</v>
      </c>
      <c r="BA25" s="38">
        <f t="shared" si="106"/>
        <v>-2.0987158059534217E-2</v>
      </c>
      <c r="BB25" s="38">
        <f t="shared" si="106"/>
        <v>-3.2631010264722038E-3</v>
      </c>
      <c r="BC25" s="38">
        <f t="shared" si="106"/>
        <v>-4.3794987425200826E-3</v>
      </c>
      <c r="BD25" s="38">
        <f t="shared" si="106"/>
        <v>1.1864030312268627</v>
      </c>
      <c r="BE25" s="38">
        <f t="shared" si="106"/>
        <v>1.7897693318991381E-2</v>
      </c>
      <c r="BF25" s="38">
        <f t="shared" si="106"/>
        <v>6.0136397882603942E-2</v>
      </c>
      <c r="BG25" s="38">
        <f t="shared" si="106"/>
        <v>1.5496506594552706E-2</v>
      </c>
      <c r="BH25" s="38">
        <f t="shared" si="106"/>
        <v>8.2916765128242531E-2</v>
      </c>
      <c r="BI25" s="38">
        <f t="shared" si="106"/>
        <v>-4.3642833762768118E-3</v>
      </c>
      <c r="BJ25" s="38">
        <f t="shared" si="106"/>
        <v>-1.1801498790346421E-2</v>
      </c>
      <c r="BK25" s="38">
        <f t="shared" si="106"/>
        <v>-4.7420006994856156E-2</v>
      </c>
      <c r="BL25" s="38">
        <f t="shared" si="106"/>
        <v>-7.3009760902659648E-2</v>
      </c>
      <c r="BM25" s="38">
        <f t="shared" si="106"/>
        <v>1.2558323753586453E-3</v>
      </c>
      <c r="BN25" s="38">
        <f t="shared" si="106"/>
        <v>-0.10413229519426526</v>
      </c>
      <c r="BO25" s="38">
        <f t="shared" si="106"/>
        <v>-0.52734400241238932</v>
      </c>
      <c r="BP25" s="38">
        <f t="shared" si="106"/>
        <v>1.5534314619030263</v>
      </c>
      <c r="BQ25" s="38">
        <f t="shared" si="106"/>
        <v>0.13663498862267431</v>
      </c>
      <c r="BR25" s="38">
        <f t="shared" si="106"/>
        <v>3.3797310346451725E-2</v>
      </c>
      <c r="BS25" s="38">
        <f t="shared" si="106"/>
        <v>-6.3736881274585655E-2</v>
      </c>
      <c r="BT25" s="38">
        <f t="shared" si="106"/>
        <v>0.20657966241919379</v>
      </c>
      <c r="BU25" s="38">
        <f t="shared" si="106"/>
        <v>2.3958375347880478E-2</v>
      </c>
      <c r="BV25" s="38">
        <f t="shared" si="106"/>
        <v>2.9076561494728148E-2</v>
      </c>
      <c r="BW25" s="38">
        <f t="shared" si="106"/>
        <v>0.11567390319678972</v>
      </c>
      <c r="BX25" s="38">
        <f t="shared" si="106"/>
        <v>4.3457625955640733E-3</v>
      </c>
      <c r="BY25" s="38">
        <f t="shared" si="106"/>
        <v>2.1760047368810653E-2</v>
      </c>
      <c r="BZ25" s="38">
        <f t="shared" si="106"/>
        <v>-5.6295099322987929E-2</v>
      </c>
      <c r="CA25" s="38">
        <f t="shared" si="106"/>
        <v>8.0017949717174019E-2</v>
      </c>
      <c r="CB25" s="38">
        <f t="shared" si="106"/>
        <v>1.3372404517970171E-2</v>
      </c>
      <c r="CC25" s="38">
        <f t="shared" si="106"/>
        <v>1.1302330599913812E-2</v>
      </c>
      <c r="CD25" s="38">
        <f t="shared" si="106"/>
        <v>-7.5751513696609152E-4</v>
      </c>
      <c r="CE25" s="38">
        <f t="shared" si="106"/>
        <v>0.12476977038433001</v>
      </c>
      <c r="CF25" s="38">
        <f t="shared" si="106"/>
        <v>4.5138691120349961E-3</v>
      </c>
      <c r="CG25" s="38">
        <f t="shared" si="106"/>
        <v>9.3132043376569218E-3</v>
      </c>
      <c r="CH25" s="38">
        <f t="shared" si="106"/>
        <v>1.7953615535144074E-2</v>
      </c>
      <c r="CI25" s="38">
        <f t="shared" si="106"/>
        <v>8.1944067586150027E-2</v>
      </c>
      <c r="CJ25" s="38">
        <f>+IF(CI23&lt;0,1-CJ23/CI23,CJ23/CI23-1)</f>
        <v>3.4880705945362411E-2</v>
      </c>
      <c r="CK25" s="38">
        <f>+IF(CJ23&lt;0,1-CK23/CJ23,CK23/CJ23-1)</f>
        <v>0.11892879880064888</v>
      </c>
      <c r="CL25" s="38">
        <f>+IF(CK23&lt;0,1-CL23/CK23,CL23/CK23-1)</f>
        <v>-5.0862638572791941E-2</v>
      </c>
      <c r="CM25" s="39">
        <f>+IF(CL23&lt;0,1-CM23/CL23,CM23/CL23-1)</f>
        <v>3.701353101325866E-2</v>
      </c>
      <c r="CN25" s="39">
        <f t="shared" ref="CN25:DA25" si="107">+IF(CM23&lt;0,1-CN23/CM23,CN23/CM23-1)</f>
        <v>5.2088867571960185E-2</v>
      </c>
      <c r="CO25" s="39">
        <f t="shared" si="107"/>
        <v>0.1293894840341816</v>
      </c>
      <c r="CP25" s="39">
        <f t="shared" si="107"/>
        <v>-5.2001545690468332E-2</v>
      </c>
      <c r="CQ25" s="39">
        <f t="shared" si="107"/>
        <v>3.3367438507410752E-2</v>
      </c>
      <c r="CR25" s="39">
        <f t="shared" si="107"/>
        <v>5.8247725547933227E-2</v>
      </c>
      <c r="CS25" s="39">
        <f t="shared" si="107"/>
        <v>0.12778219495896836</v>
      </c>
      <c r="CT25" s="39">
        <f t="shared" si="107"/>
        <v>-8.3375011440493196E-2</v>
      </c>
      <c r="CU25" s="39">
        <f t="shared" si="107"/>
        <v>2.7412138895664073E-2</v>
      </c>
      <c r="CV25" s="39">
        <f t="shared" si="107"/>
        <v>6.18610355962943E-2</v>
      </c>
      <c r="CW25" s="39">
        <f t="shared" si="107"/>
        <v>0.12412879646488406</v>
      </c>
      <c r="CX25" s="39">
        <f t="shared" si="107"/>
        <v>-7.7255079029752483E-2</v>
      </c>
      <c r="CY25" s="39">
        <f t="shared" si="107"/>
        <v>2.2749668467870299E-2</v>
      </c>
      <c r="CZ25" s="39">
        <f t="shared" si="107"/>
        <v>6.6584493298900815E-2</v>
      </c>
      <c r="DA25" s="39">
        <f t="shared" si="107"/>
        <v>0.12346868685769885</v>
      </c>
      <c r="DD25" s="121"/>
    </row>
    <row r="26" spans="1:109" s="22" customFormat="1" outlineLevel="1" x14ac:dyDescent="0.2">
      <c r="A26" s="22" t="s">
        <v>2</v>
      </c>
      <c r="B26" s="22">
        <f>'Annual Raw'!C11</f>
        <v>0</v>
      </c>
      <c r="C26" s="22">
        <f>'Annual Raw'!D11</f>
        <v>0</v>
      </c>
      <c r="D26" s="22">
        <f>'Annual Raw'!E11</f>
        <v>-3.371</v>
      </c>
      <c r="E26" s="22">
        <f>'Annual Raw'!F11</f>
        <v>4.7</v>
      </c>
      <c r="F26" s="22">
        <f>'Annual Raw'!G11</f>
        <v>0.57999999999999996</v>
      </c>
      <c r="G26" s="22">
        <f>'Annual Raw'!H11</f>
        <v>-4.68</v>
      </c>
      <c r="H26" s="22">
        <f>'Annual Raw'!I11</f>
        <v>-17.98</v>
      </c>
      <c r="I26" s="22">
        <f>'Annual Raw'!J11</f>
        <v>-6.41</v>
      </c>
      <c r="J26" s="22">
        <f>'Annual Raw'!K11</f>
        <v>-55.48</v>
      </c>
      <c r="K26" s="22">
        <f>'Annual Raw'!L11</f>
        <v>40.61</v>
      </c>
      <c r="L26" s="22">
        <f>'Annual Raw'!M11</f>
        <v>-10.84</v>
      </c>
      <c r="M26" s="22">
        <f>'Annual Raw'!N11</f>
        <v>-12.54</v>
      </c>
      <c r="N26" s="22">
        <f>'Annual Raw'!O11</f>
        <v>24.7</v>
      </c>
      <c r="O26" s="22">
        <f>'Annual Raw'!P11</f>
        <v>-31.03</v>
      </c>
      <c r="P26" s="22">
        <f>'Annual Raw'!Q11</f>
        <v>-2.0099999999999998</v>
      </c>
      <c r="Q26" s="22">
        <f>'Annual Raw'!R11</f>
        <v>-11.6</v>
      </c>
      <c r="R26" s="22">
        <f>'Annual Raw'!S11</f>
        <v>-57.35</v>
      </c>
      <c r="S26" s="22">
        <f>'Annual Raw'!T11</f>
        <v>8.8699999999999992</v>
      </c>
      <c r="T26" s="22">
        <f>'Annual Raw'!U11</f>
        <v>-229.92</v>
      </c>
      <c r="U26" s="22">
        <f>'Annual Raw'!V11</f>
        <v>15.83</v>
      </c>
      <c r="V26" s="22">
        <f>'Annual Raw'!W11</f>
        <v>52.27</v>
      </c>
      <c r="W26" s="22">
        <f>'Annual Raw'!X11</f>
        <v>-233.17</v>
      </c>
      <c r="X26" s="22">
        <f>'Annual Raw'!Y11</f>
        <v>-55.95</v>
      </c>
      <c r="Y26" s="22">
        <f>'Annual Raw'!Z11</f>
        <v>-74.900000000000006</v>
      </c>
      <c r="Z26" s="22">
        <f>'Annual Raw'!AA11</f>
        <v>-156.44</v>
      </c>
      <c r="AA26" s="22">
        <f>'Annual Raw'!AB11</f>
        <v>-94.1</v>
      </c>
      <c r="AB26" s="75">
        <f t="shared" ref="AB26:AB28" si="108">+SUM(CL26:CO26)</f>
        <v>-137.41</v>
      </c>
      <c r="AC26" s="75">
        <f t="shared" ref="AC26:AC28" si="109">+SUM(CP26:CS26)</f>
        <v>0</v>
      </c>
      <c r="AD26" s="75">
        <f t="shared" ref="AD26:AD28" si="110">+SUM(CT26:CW26)</f>
        <v>0</v>
      </c>
      <c r="AE26" s="75">
        <f t="shared" ref="AE26:AE28" si="111">+SUM(CX26:DA26)</f>
        <v>0</v>
      </c>
      <c r="AI26" s="22">
        <f>'QTR Raw'!C10</f>
        <v>10.69</v>
      </c>
      <c r="AJ26" s="22">
        <f>'QTR Raw'!D10</f>
        <v>-17.41</v>
      </c>
      <c r="AK26" s="22">
        <f>'QTR Raw'!E10</f>
        <v>22.81</v>
      </c>
      <c r="AL26" s="22">
        <f>'QTR Raw'!F10</f>
        <v>3.36</v>
      </c>
      <c r="AM26" s="22">
        <f>'QTR Raw'!G10</f>
        <v>-28.38</v>
      </c>
      <c r="AN26" s="22">
        <f>'QTR Raw'!H10</f>
        <v>-9.7100000000000009</v>
      </c>
      <c r="AO26" s="22">
        <f>'QTR Raw'!I10</f>
        <v>2.5299999999999998</v>
      </c>
      <c r="AP26" s="22">
        <f>'QTR Raw'!J10</f>
        <v>5.57</v>
      </c>
      <c r="AQ26" s="22">
        <f>'QTR Raw'!K10</f>
        <v>-10.24</v>
      </c>
      <c r="AR26" s="22">
        <f>'QTR Raw'!L10</f>
        <v>-40.270000000000003</v>
      </c>
      <c r="AS26" s="22">
        <f>'QTR Raw'!M10</f>
        <v>42.83</v>
      </c>
      <c r="AT26" s="22">
        <f>'QTR Raw'!N10</f>
        <v>8.4700000000000006</v>
      </c>
      <c r="AU26" s="22">
        <f>'QTR Raw'!O10</f>
        <v>-6.44</v>
      </c>
      <c r="AV26" s="22">
        <f>'QTR Raw'!P10</f>
        <v>-8.4700000000000006</v>
      </c>
      <c r="AW26" s="22">
        <f>'QTR Raw'!Q10</f>
        <v>-7.06</v>
      </c>
      <c r="AX26" s="22">
        <f>'QTR Raw'!R10</f>
        <v>-18.12</v>
      </c>
      <c r="AY26" s="22">
        <f>'QTR Raw'!S10</f>
        <v>-14.2</v>
      </c>
      <c r="AZ26" s="22">
        <f>'QTR Raw'!T10</f>
        <v>-9.56</v>
      </c>
      <c r="BA26" s="22">
        <f>'QTR Raw'!U10</f>
        <v>-17.23</v>
      </c>
      <c r="BB26" s="22">
        <f>'QTR Raw'!V10</f>
        <v>10.31</v>
      </c>
      <c r="BC26" s="22">
        <f>'QTR Raw'!W10</f>
        <v>-21.31</v>
      </c>
      <c r="BD26" s="22">
        <f>'QTR Raw'!X10</f>
        <v>25.21</v>
      </c>
      <c r="BE26" s="22">
        <f>'QTR Raw'!Y10</f>
        <v>0.47</v>
      </c>
      <c r="BF26" s="22">
        <f>'QTR Raw'!Z10</f>
        <v>-68.77</v>
      </c>
      <c r="BG26" s="22">
        <f>'QTR Raw'!AA10</f>
        <v>-124.72</v>
      </c>
      <c r="BH26" s="22">
        <f>'QTR Raw'!AB10</f>
        <v>-141.13999999999999</v>
      </c>
      <c r="BI26" s="22">
        <f>'QTR Raw'!AC10</f>
        <v>104.71</v>
      </c>
      <c r="BJ26" s="22">
        <f>'QTR Raw'!AD10</f>
        <v>-101.81</v>
      </c>
      <c r="BK26" s="22">
        <f>'QTR Raw'!AE10</f>
        <v>-52.31</v>
      </c>
      <c r="BL26" s="22">
        <f>'QTR Raw'!AF10</f>
        <v>25.06</v>
      </c>
      <c r="BM26" s="22">
        <f>'QTR Raw'!AG10</f>
        <v>144.88999999999999</v>
      </c>
      <c r="BN26" s="22">
        <f>'QTR Raw'!AH10</f>
        <v>-72.510000000000005</v>
      </c>
      <c r="BO26" s="22">
        <f>'QTR Raw'!AI10</f>
        <v>38.17</v>
      </c>
      <c r="BP26" s="22">
        <f>'QTR Raw'!AJ10</f>
        <v>119.05</v>
      </c>
      <c r="BQ26" s="22">
        <f>'QTR Raw'!AK10</f>
        <v>-32.44</v>
      </c>
      <c r="BR26" s="22">
        <f>'QTR Raw'!AL10</f>
        <v>-18.100000000000001</v>
      </c>
      <c r="BS26" s="22">
        <f>'QTR Raw'!AM10</f>
        <v>-147.91999999999999</v>
      </c>
      <c r="BT26" s="22">
        <f>'QTR Raw'!AN10</f>
        <v>-80.25</v>
      </c>
      <c r="BU26" s="22">
        <f>'QTR Raw'!AO10</f>
        <v>13.1</v>
      </c>
      <c r="BV26" s="22">
        <f>'QTR Raw'!AP10</f>
        <v>-82.65</v>
      </c>
      <c r="BW26" s="22">
        <f>'QTR Raw'!AQ10</f>
        <v>-8.58</v>
      </c>
      <c r="BX26" s="22">
        <f>'QTR Raw'!AR10</f>
        <v>-65.010000000000005</v>
      </c>
      <c r="BY26" s="22">
        <f>'QTR Raw'!AS10</f>
        <v>100.29</v>
      </c>
      <c r="BZ26" s="22">
        <f>'QTR Raw'!AT10</f>
        <v>-95.33</v>
      </c>
      <c r="CA26" s="22">
        <f>'QTR Raw'!AU10</f>
        <v>-36.31</v>
      </c>
      <c r="CB26" s="22">
        <f>'QTR Raw'!AV10</f>
        <v>-13.96</v>
      </c>
      <c r="CC26" s="22">
        <f>'QTR Raw'!AW10</f>
        <v>70.7</v>
      </c>
      <c r="CD26" s="22">
        <f>'QTR Raw'!AX10</f>
        <v>-141.15</v>
      </c>
      <c r="CE26" s="22">
        <f>'QTR Raw'!AY10</f>
        <v>-135.1</v>
      </c>
      <c r="CF26" s="22">
        <f>'QTR Raw'!AZ10</f>
        <v>-34.630000000000003</v>
      </c>
      <c r="CG26" s="22">
        <f>'QTR Raw'!BA10</f>
        <v>154.44</v>
      </c>
      <c r="CH26" s="22">
        <f>'QTR Raw'!BB10</f>
        <v>13.63</v>
      </c>
      <c r="CI26" s="22">
        <f>'QTR Raw'!BC10</f>
        <v>-21.1</v>
      </c>
      <c r="CJ26" s="22">
        <f>'QTR Raw'!BD10</f>
        <v>-112.03</v>
      </c>
      <c r="CK26" s="22">
        <v>25.4</v>
      </c>
      <c r="CL26" s="22">
        <f>'QTR Raw'!BF10</f>
        <v>-137.41</v>
      </c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D26" s="122"/>
      <c r="DE26" s="22">
        <v>-94.1</v>
      </c>
    </row>
    <row r="27" spans="1:109" s="22" customFormat="1" outlineLevel="1" x14ac:dyDescent="0.2">
      <c r="A27" s="22" t="s">
        <v>3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75">
        <f t="shared" si="108"/>
        <v>574.01</v>
      </c>
      <c r="AC27" s="75">
        <f t="shared" si="109"/>
        <v>0</v>
      </c>
      <c r="AD27" s="75">
        <f t="shared" si="110"/>
        <v>0</v>
      </c>
      <c r="AE27" s="75">
        <f t="shared" si="111"/>
        <v>0</v>
      </c>
      <c r="AI27" s="22">
        <f>'QTR Raw'!C12</f>
        <v>97.75</v>
      </c>
      <c r="AJ27" s="22">
        <f>'QTR Raw'!D12</f>
        <v>110.68</v>
      </c>
      <c r="AK27" s="22">
        <f>'QTR Raw'!E12</f>
        <v>103.85</v>
      </c>
      <c r="AL27" s="22">
        <f>'QTR Raw'!F12</f>
        <v>90.3</v>
      </c>
      <c r="AM27" s="22">
        <f>'QTR Raw'!G12</f>
        <v>90.04</v>
      </c>
      <c r="AN27" s="22">
        <f>'QTR Raw'!H12</f>
        <v>124.51</v>
      </c>
      <c r="AO27" s="22">
        <f>'QTR Raw'!I12</f>
        <v>120.76</v>
      </c>
      <c r="AP27" s="22">
        <f>'QTR Raw'!J12</f>
        <v>99.17</v>
      </c>
      <c r="AQ27" s="22">
        <f>'QTR Raw'!K12</f>
        <v>88.94</v>
      </c>
      <c r="AR27" s="22">
        <f>'QTR Raw'!L12</f>
        <v>123.64</v>
      </c>
      <c r="AS27" s="22">
        <f>'QTR Raw'!M12</f>
        <v>85.6</v>
      </c>
      <c r="AT27" s="22">
        <f>'QTR Raw'!N12</f>
        <v>81.81</v>
      </c>
      <c r="AU27" s="22">
        <f>'QTR Raw'!O12</f>
        <v>99.51</v>
      </c>
      <c r="AV27" s="22">
        <f>'QTR Raw'!P12</f>
        <v>101.07</v>
      </c>
      <c r="AW27" s="22">
        <f>'QTR Raw'!Q12</f>
        <v>89.03</v>
      </c>
      <c r="AX27" s="22">
        <f>'QTR Raw'!R12</f>
        <v>103.2</v>
      </c>
      <c r="AY27" s="22">
        <f>'QTR Raw'!S12</f>
        <v>121.49</v>
      </c>
      <c r="AZ27" s="22">
        <f>'QTR Raw'!T12</f>
        <v>119</v>
      </c>
      <c r="BA27" s="22">
        <f>'QTR Raw'!U12</f>
        <v>115.15</v>
      </c>
      <c r="BB27" s="22">
        <f>'QTR Raw'!V12</f>
        <v>84.64</v>
      </c>
      <c r="BC27" s="22">
        <f>'QTR Raw'!W12</f>
        <v>94.39</v>
      </c>
      <c r="BD27" s="22">
        <f>'QTR Raw'!X12</f>
        <v>185.18</v>
      </c>
      <c r="BE27" s="22">
        <f>'QTR Raw'!Y12</f>
        <v>185.37</v>
      </c>
      <c r="BF27" s="22">
        <f>'QTR Raw'!Z12</f>
        <v>261.26</v>
      </c>
      <c r="BG27" s="22">
        <f>'QTR Raw'!AA12</f>
        <v>361.86</v>
      </c>
      <c r="BH27" s="22">
        <f>'QTR Raw'!AB12</f>
        <v>435.07</v>
      </c>
      <c r="BI27" s="22">
        <f>'QTR Raw'!AC12</f>
        <v>227.69</v>
      </c>
      <c r="BJ27" s="22">
        <f>'QTR Raw'!AD12</f>
        <v>357.34</v>
      </c>
      <c r="BK27" s="22">
        <f>'QTR Raw'!AE12</f>
        <v>274.82</v>
      </c>
      <c r="BL27" s="22">
        <f>'QTR Raw'!AF12</f>
        <v>231.34</v>
      </c>
      <c r="BM27" s="22">
        <f>'QTR Raw'!AG12</f>
        <v>139.51</v>
      </c>
      <c r="BN27" s="22">
        <f>'QTR Raw'!AH12</f>
        <v>236.74</v>
      </c>
      <c r="BO27" s="22">
        <f>'QTR Raw'!AI12</f>
        <v>142.97999999999999</v>
      </c>
      <c r="BP27" s="22">
        <f>'QTR Raw'!AJ12</f>
        <v>182.31</v>
      </c>
      <c r="BQ27" s="22">
        <f>'QTR Raw'!AK12</f>
        <v>329.2</v>
      </c>
      <c r="BR27" s="22">
        <f>'QTR Raw'!AL12</f>
        <v>309.52</v>
      </c>
      <c r="BS27" s="22">
        <f>'QTR Raw'!AM12</f>
        <v>362.72</v>
      </c>
      <c r="BT27" s="22">
        <f>'QTR Raw'!AN12</f>
        <v>397.93</v>
      </c>
      <c r="BU27" s="22">
        <f>'QTR Raw'!AO12</f>
        <v>349.85</v>
      </c>
      <c r="BV27" s="22">
        <f>'QTR Raw'!AP12</f>
        <v>382.2</v>
      </c>
      <c r="BW27" s="22">
        <f>'QTR Raw'!AQ12</f>
        <v>389.03</v>
      </c>
      <c r="BX27" s="22">
        <f>'QTR Raw'!AR12</f>
        <v>420.12</v>
      </c>
      <c r="BY27" s="22">
        <f>'QTR Raw'!AS12</f>
        <v>344.85</v>
      </c>
      <c r="BZ27" s="22">
        <f>'QTR Raw'!AT12</f>
        <v>360.62</v>
      </c>
      <c r="CA27" s="22">
        <f>'QTR Raw'!AU12</f>
        <v>370.69</v>
      </c>
      <c r="CB27" s="22">
        <f>'QTR Raw'!AV12</f>
        <v>398.39</v>
      </c>
      <c r="CC27" s="22">
        <f>'QTR Raw'!AW12</f>
        <v>364.55</v>
      </c>
      <c r="CD27" s="22">
        <f>'QTR Raw'!AX12</f>
        <v>466.75</v>
      </c>
      <c r="CE27" s="22">
        <f>'QTR Raw'!AY12</f>
        <v>597.16</v>
      </c>
      <c r="CF27" s="22">
        <f>'QTR Raw'!AZ12</f>
        <v>525.48</v>
      </c>
      <c r="CG27" s="22">
        <f>'QTR Raw'!BA12</f>
        <v>435.17</v>
      </c>
      <c r="CH27" s="22">
        <f>'QTR Raw'!BB12</f>
        <v>413.41</v>
      </c>
      <c r="CI27" s="22">
        <f>'QTR Raw'!BC12</f>
        <v>499.26</v>
      </c>
      <c r="CJ27" s="22">
        <f>'QTR Raw'!BD12</f>
        <v>539.41</v>
      </c>
      <c r="CK27" s="22">
        <v>534.29</v>
      </c>
      <c r="CL27" s="22">
        <f>'QTR Raw'!BF12</f>
        <v>574.01</v>
      </c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D27" s="122"/>
      <c r="DE27" s="22">
        <v>1986.37</v>
      </c>
    </row>
    <row r="28" spans="1:109" s="22" customFormat="1" outlineLevel="1" x14ac:dyDescent="0.2">
      <c r="A28" s="22" t="s">
        <v>4</v>
      </c>
      <c r="B28" s="22">
        <f>'Annual Raw'!C12</f>
        <v>0</v>
      </c>
      <c r="C28" s="22">
        <f>'Annual Raw'!D12</f>
        <v>0</v>
      </c>
      <c r="D28" s="22">
        <f>'Annual Raw'!E12</f>
        <v>96.38</v>
      </c>
      <c r="E28" s="22">
        <f>'Annual Raw'!F12</f>
        <v>109.2</v>
      </c>
      <c r="F28" s="22">
        <f>'Annual Raw'!G12</f>
        <v>146.91</v>
      </c>
      <c r="G28" s="22">
        <f>'Annual Raw'!H12</f>
        <v>195.24</v>
      </c>
      <c r="H28" s="22">
        <f>'Annual Raw'!I12</f>
        <v>278.23</v>
      </c>
      <c r="I28" s="22">
        <f>'Annual Raw'!J12</f>
        <v>321.7</v>
      </c>
      <c r="J28" s="22">
        <f>'Annual Raw'!K12</f>
        <v>432.75</v>
      </c>
      <c r="K28" s="22">
        <f>'Annual Raw'!L12</f>
        <v>438.92</v>
      </c>
      <c r="L28" s="22">
        <f>'Annual Raw'!M12</f>
        <v>624.63</v>
      </c>
      <c r="M28" s="22">
        <f>'Annual Raw'!N12</f>
        <v>771.56</v>
      </c>
      <c r="N28" s="22">
        <f>'Annual Raw'!O12</f>
        <v>882.82</v>
      </c>
      <c r="O28" s="22">
        <f>'Annual Raw'!P12</f>
        <v>929.29</v>
      </c>
      <c r="P28" s="22">
        <f>'Annual Raw'!Q12</f>
        <v>999.43</v>
      </c>
      <c r="Q28" s="22">
        <f>'Annual Raw'!R12</f>
        <v>1004.17</v>
      </c>
      <c r="R28" s="22">
        <f>'Annual Raw'!S12</f>
        <v>1141.71</v>
      </c>
      <c r="S28" s="22">
        <f>'Annual Raw'!T12</f>
        <v>2365.38</v>
      </c>
      <c r="T28" s="22">
        <f>'Annual Raw'!U12</f>
        <v>3103.47</v>
      </c>
      <c r="U28" s="22">
        <f>'Annual Raw'!V12</f>
        <v>2733.76</v>
      </c>
      <c r="V28" s="22">
        <f>'Annual Raw'!W12</f>
        <v>2280.87</v>
      </c>
      <c r="W28" s="22">
        <f>'Annual Raw'!X12</f>
        <v>3695.56</v>
      </c>
      <c r="X28" s="22">
        <f>'Annual Raw'!Y12</f>
        <v>4308.28</v>
      </c>
      <c r="Y28" s="22">
        <f>'Annual Raw'!Z12</f>
        <v>4577.72</v>
      </c>
      <c r="Z28" s="22">
        <f>'Annual Raw'!AA12</f>
        <v>5313.37</v>
      </c>
      <c r="AA28" s="22">
        <f>'Annual Raw'!AB12</f>
        <v>6026.64</v>
      </c>
      <c r="AB28" s="23">
        <f t="shared" si="108"/>
        <v>6478.3756880929195</v>
      </c>
      <c r="AC28" s="23">
        <f t="shared" si="109"/>
        <v>8073.3196936654549</v>
      </c>
      <c r="AD28" s="23">
        <f t="shared" si="110"/>
        <v>9093.7578591062156</v>
      </c>
      <c r="AE28" s="23">
        <f t="shared" si="111"/>
        <v>10277.502406831773</v>
      </c>
      <c r="AI28" s="22">
        <f>'QTR Raw'!C11</f>
        <v>130.26</v>
      </c>
      <c r="AJ28" s="22">
        <f>'QTR Raw'!D11</f>
        <v>126.94</v>
      </c>
      <c r="AK28" s="22">
        <f>'QTR Raw'!E11</f>
        <v>100.03</v>
      </c>
      <c r="AL28" s="22">
        <f>'QTR Raw'!F11</f>
        <v>119.5</v>
      </c>
      <c r="AM28" s="22">
        <f>'QTR Raw'!G11</f>
        <v>118.01</v>
      </c>
      <c r="AN28" s="22">
        <f>'QTR Raw'!H11</f>
        <v>125.63</v>
      </c>
      <c r="AO28" s="22">
        <f>'QTR Raw'!I11</f>
        <v>140.54</v>
      </c>
      <c r="AP28" s="22">
        <f>'QTR Raw'!J11</f>
        <v>144.93</v>
      </c>
      <c r="AQ28" s="22">
        <f>'QTR Raw'!K11</f>
        <v>158.44999999999999</v>
      </c>
      <c r="AR28" s="22">
        <f>'QTR Raw'!L11</f>
        <v>160.69</v>
      </c>
      <c r="AS28" s="22">
        <f>'QTR Raw'!M11</f>
        <v>138.01</v>
      </c>
      <c r="AT28" s="22">
        <f>'QTR Raw'!N11</f>
        <v>145.56</v>
      </c>
      <c r="AU28" s="22">
        <f>'QTR Raw'!O11</f>
        <v>150.69999999999999</v>
      </c>
      <c r="AV28" s="22">
        <f>'QTR Raw'!P11</f>
        <v>160.16</v>
      </c>
      <c r="AW28" s="22">
        <f>'QTR Raw'!Q11</f>
        <v>172.8</v>
      </c>
      <c r="AX28" s="22">
        <f>'QTR Raw'!R11</f>
        <v>157.99</v>
      </c>
      <c r="AY28" s="22">
        <f>'QTR Raw'!S11</f>
        <v>169.47</v>
      </c>
      <c r="AZ28" s="22">
        <f>'QTR Raw'!T11</f>
        <v>177.84</v>
      </c>
      <c r="BA28" s="22">
        <f>'QTR Raw'!U11</f>
        <v>177.57</v>
      </c>
      <c r="BB28" s="22">
        <f>'QTR Raw'!V11</f>
        <v>175.6</v>
      </c>
      <c r="BC28" s="22">
        <f>'QTR Raw'!W11</f>
        <v>186.96</v>
      </c>
      <c r="BD28" s="22">
        <f>'QTR Raw'!X11</f>
        <v>408.26</v>
      </c>
      <c r="BE28" s="22">
        <f>'QTR Raw'!Y11</f>
        <v>421.26</v>
      </c>
      <c r="BF28" s="22">
        <f>'QTR Raw'!Z11</f>
        <v>482.89</v>
      </c>
      <c r="BG28" s="22">
        <f>'QTR Raw'!AA11</f>
        <v>449.71</v>
      </c>
      <c r="BH28" s="22">
        <f>'QTR Raw'!AB11</f>
        <v>448.5</v>
      </c>
      <c r="BI28" s="22">
        <f>'QTR Raw'!AC11</f>
        <v>436.5</v>
      </c>
      <c r="BJ28" s="22">
        <f>'QTR Raw'!AD11</f>
        <v>489.99</v>
      </c>
      <c r="BK28" s="22">
        <f>'QTR Raw'!AE11</f>
        <v>466.54</v>
      </c>
      <c r="BL28" s="22">
        <f>'QTR Raw'!AF11</f>
        <v>396.07</v>
      </c>
      <c r="BM28" s="22">
        <f>'QTR Raw'!AG11</f>
        <v>378.15</v>
      </c>
      <c r="BN28" s="22">
        <f>'QTR Raw'!AH11</f>
        <v>395.01</v>
      </c>
      <c r="BO28" s="22">
        <f>'QTR Raw'!AI11</f>
        <v>93.9</v>
      </c>
      <c r="BP28" s="22">
        <f>'QTR Raw'!AJ11</f>
        <v>405.79</v>
      </c>
      <c r="BQ28" s="22">
        <f>'QTR Raw'!AK11</f>
        <v>494.94</v>
      </c>
      <c r="BR28" s="22">
        <f>'QTR Raw'!AL11</f>
        <v>552.04</v>
      </c>
      <c r="BS28" s="22">
        <f>'QTR Raw'!AM11</f>
        <v>543.57000000000005</v>
      </c>
      <c r="BT28" s="22">
        <f>'QTR Raw'!AN11</f>
        <v>612.74</v>
      </c>
      <c r="BU28" s="22">
        <f>'QTR Raw'!AO11</f>
        <v>567.19000000000005</v>
      </c>
      <c r="BV28" s="22">
        <f>'QTR Raw'!AP11</f>
        <v>652.72</v>
      </c>
      <c r="BW28" s="22">
        <f>'QTR Raw'!AQ11</f>
        <v>718.74</v>
      </c>
      <c r="BX28" s="22">
        <f>'QTR Raw'!AR11</f>
        <v>751.59</v>
      </c>
      <c r="BY28" s="22">
        <f>'QTR Raw'!AS11</f>
        <v>649.03</v>
      </c>
      <c r="BZ28" s="22">
        <f>'QTR Raw'!AT11</f>
        <v>771.45</v>
      </c>
      <c r="CA28" s="22">
        <f>'QTR Raw'!AU11</f>
        <v>788.53</v>
      </c>
      <c r="CB28" s="22">
        <f>'QTR Raw'!AV11</f>
        <v>780.85</v>
      </c>
      <c r="CC28" s="22">
        <f>'QTR Raw'!AW11</f>
        <v>742.64</v>
      </c>
      <c r="CD28" s="22">
        <f>'QTR Raw'!AX11</f>
        <v>838.43</v>
      </c>
      <c r="CE28" s="22">
        <f>'QTR Raw'!AY11</f>
        <v>850.13</v>
      </c>
      <c r="CF28" s="22">
        <f>'QTR Raw'!AZ11</f>
        <v>831.61</v>
      </c>
      <c r="CG28" s="22">
        <f>'QTR Raw'!BA11</f>
        <v>768.64</v>
      </c>
      <c r="CH28" s="22">
        <f>'QTR Raw'!BB11</f>
        <v>920.88</v>
      </c>
      <c r="CI28" s="22">
        <f>'QTR Raw'!BC11</f>
        <v>950.33</v>
      </c>
      <c r="CJ28" s="22">
        <f>'QTR Raw'!BD11</f>
        <v>1063.5</v>
      </c>
      <c r="CK28" s="22">
        <v>1105.56</v>
      </c>
      <c r="CL28" s="22">
        <f>'QTR Raw'!BF11</f>
        <v>1156.3</v>
      </c>
      <c r="CM28" s="23">
        <f t="shared" ref="CM28:DA28" si="112">+CM23-CM29</f>
        <v>1640.2413942633821</v>
      </c>
      <c r="CN28" s="23">
        <f t="shared" si="112"/>
        <v>1728.8708381035894</v>
      </c>
      <c r="CO28" s="23">
        <f t="shared" si="112"/>
        <v>1952.9634557259478</v>
      </c>
      <c r="CP28" s="23">
        <f t="shared" si="112"/>
        <v>1852.6888107480193</v>
      </c>
      <c r="CQ28" s="23">
        <f t="shared" si="112"/>
        <v>1912.4382535999939</v>
      </c>
      <c r="CR28" s="23">
        <f t="shared" si="112"/>
        <v>2024.6728106706673</v>
      </c>
      <c r="CS28" s="23">
        <f t="shared" si="112"/>
        <v>2283.5198186467755</v>
      </c>
      <c r="CT28" s="23">
        <f t="shared" si="112"/>
        <v>2093.1743275427075</v>
      </c>
      <c r="CU28" s="23">
        <f t="shared" si="112"/>
        <v>2150.2355512761878</v>
      </c>
      <c r="CV28" s="23">
        <f t="shared" si="112"/>
        <v>2283.4480113451073</v>
      </c>
      <c r="CW28" s="23">
        <f t="shared" si="112"/>
        <v>2566.8999689422126</v>
      </c>
      <c r="CX28" s="23">
        <f t="shared" si="112"/>
        <v>2368.5721152205851</v>
      </c>
      <c r="CY28" s="23">
        <f t="shared" si="112"/>
        <v>2422.416041727628</v>
      </c>
      <c r="CZ28" s="23">
        <f t="shared" si="112"/>
        <v>2583.7529208981923</v>
      </c>
      <c r="DA28" s="23">
        <f t="shared" si="112"/>
        <v>2902.7613289853666</v>
      </c>
      <c r="DD28" s="122"/>
      <c r="DE28" s="22">
        <v>4040.27</v>
      </c>
    </row>
    <row r="29" spans="1:109" s="30" customFormat="1" x14ac:dyDescent="0.2">
      <c r="A29" s="30" t="s">
        <v>5</v>
      </c>
      <c r="B29" s="30">
        <f t="shared" ref="B29:T29" si="113">B23-B26-B28-B27</f>
        <v>0</v>
      </c>
      <c r="C29" s="30">
        <f t="shared" si="113"/>
        <v>0</v>
      </c>
      <c r="D29" s="30">
        <f t="shared" si="113"/>
        <v>151.30099999999999</v>
      </c>
      <c r="E29" s="30">
        <f t="shared" si="113"/>
        <v>153.01</v>
      </c>
      <c r="F29" s="30">
        <f t="shared" si="113"/>
        <v>175.63000000000002</v>
      </c>
      <c r="G29" s="30">
        <f t="shared" si="113"/>
        <v>217.76</v>
      </c>
      <c r="H29" s="30">
        <f t="shared" si="113"/>
        <v>281.78999999999996</v>
      </c>
      <c r="I29" s="30">
        <f t="shared" si="113"/>
        <v>326.01000000000005</v>
      </c>
      <c r="J29" s="30">
        <f t="shared" si="113"/>
        <v>367.14</v>
      </c>
      <c r="K29" s="30">
        <f t="shared" si="113"/>
        <v>318.16000000000003</v>
      </c>
      <c r="L29" s="30">
        <f t="shared" si="113"/>
        <v>426.28999999999985</v>
      </c>
      <c r="M29" s="30">
        <f t="shared" si="113"/>
        <v>549.53</v>
      </c>
      <c r="N29" s="30">
        <f t="shared" si="113"/>
        <v>539.13</v>
      </c>
      <c r="O29" s="30">
        <f t="shared" si="113"/>
        <v>504.16000000000008</v>
      </c>
      <c r="P29" s="30">
        <f t="shared" si="113"/>
        <v>634.7299999999999</v>
      </c>
      <c r="Q29" s="30">
        <f t="shared" si="113"/>
        <v>731.86</v>
      </c>
      <c r="R29" s="30">
        <f t="shared" si="113"/>
        <v>711.96</v>
      </c>
      <c r="S29" s="30">
        <f t="shared" si="113"/>
        <v>1558.8899999999994</v>
      </c>
      <c r="T29" s="30">
        <f t="shared" si="113"/>
        <v>1687.9600000000005</v>
      </c>
      <c r="U29" s="30">
        <f t="shared" ref="U29:Z29" si="114">U23-U26-U28-U27</f>
        <v>1611.0399999999991</v>
      </c>
      <c r="V29" s="30">
        <f t="shared" si="114"/>
        <v>1428.7000000000003</v>
      </c>
      <c r="W29" s="30">
        <f t="shared" si="114"/>
        <v>2098.1200000000003</v>
      </c>
      <c r="X29" s="30">
        <f t="shared" si="114"/>
        <v>2615.09</v>
      </c>
      <c r="Y29" s="30">
        <f t="shared" si="114"/>
        <v>2748.0899999999992</v>
      </c>
      <c r="Z29" s="30">
        <f t="shared" si="114"/>
        <v>3075.45</v>
      </c>
      <c r="AA29" s="30">
        <f t="shared" ref="AA29" si="115">AA23-AA26-AA28-AA27</f>
        <v>3753.3100000000004</v>
      </c>
      <c r="AB29" s="31">
        <f t="shared" ref="AB29:AD29" si="116">AB23-AB26-AB28-AB27</f>
        <v>4359.0408852306646</v>
      </c>
      <c r="AC29" s="31">
        <f t="shared" si="116"/>
        <v>5096.0473619646964</v>
      </c>
      <c r="AD29" s="31">
        <f t="shared" si="116"/>
        <v>5741.0584194883195</v>
      </c>
      <c r="AE29" s="31">
        <f t="shared" ref="AE29" si="117">AE23-AE26-AE28-AE27</f>
        <v>6488.4572475040804</v>
      </c>
      <c r="AI29" s="30">
        <f t="shared" ref="AI29" si="118">AI23-AI26-AI28-AI27</f>
        <v>141.42000000000002</v>
      </c>
      <c r="AJ29" s="30">
        <f t="shared" ref="AJ29" si="119">AJ23-AJ26-AJ28-AJ27</f>
        <v>135.96000000000004</v>
      </c>
      <c r="AK29" s="30">
        <f t="shared" ref="AK29:AM29" si="120">AK23-AK26-AK28-AK27</f>
        <v>120.43</v>
      </c>
      <c r="AL29" s="30">
        <f t="shared" si="120"/>
        <v>119.44999999999995</v>
      </c>
      <c r="AM29" s="30">
        <f t="shared" si="120"/>
        <v>124.91999999999997</v>
      </c>
      <c r="AN29" s="30">
        <f t="shared" ref="AN29:AO29" si="121">AN23-AN26-AN28-AN27</f>
        <v>130.94</v>
      </c>
      <c r="AO29" s="30">
        <f t="shared" si="121"/>
        <v>130.01999999999998</v>
      </c>
      <c r="AP29" s="30">
        <f t="shared" ref="AP29:CD29" si="122">AP23-AP26-AP28-AP27</f>
        <v>151.02999999999997</v>
      </c>
      <c r="AQ29" s="30">
        <f t="shared" si="122"/>
        <v>154.62000000000006</v>
      </c>
      <c r="AR29" s="30">
        <f t="shared" si="122"/>
        <v>166.12</v>
      </c>
      <c r="AS29" s="30">
        <f t="shared" si="122"/>
        <v>163.06000000000003</v>
      </c>
      <c r="AT29" s="30">
        <f t="shared" si="122"/>
        <v>173.19999999999993</v>
      </c>
      <c r="AU29" s="30">
        <f t="shared" si="122"/>
        <v>188.35000000000002</v>
      </c>
      <c r="AV29" s="30">
        <f t="shared" si="122"/>
        <v>185.55</v>
      </c>
      <c r="AW29" s="30">
        <f t="shared" si="122"/>
        <v>190.18999999999997</v>
      </c>
      <c r="AX29" s="30">
        <f t="shared" si="122"/>
        <v>169.81</v>
      </c>
      <c r="AY29" s="30">
        <f t="shared" si="122"/>
        <v>171.26</v>
      </c>
      <c r="AZ29" s="30">
        <f t="shared" si="122"/>
        <v>185.39</v>
      </c>
      <c r="BA29" s="30">
        <f t="shared" si="122"/>
        <v>187.26000000000002</v>
      </c>
      <c r="BB29" s="30">
        <f t="shared" si="122"/>
        <v>190.69000000000005</v>
      </c>
      <c r="BC29" s="30">
        <f t="shared" si="122"/>
        <v>199.18000000000006</v>
      </c>
      <c r="BD29" s="30">
        <f t="shared" si="122"/>
        <v>385.38999999999993</v>
      </c>
      <c r="BE29" s="30">
        <f t="shared" si="122"/>
        <v>414.90999999999997</v>
      </c>
      <c r="BF29" s="30">
        <f t="shared" si="122"/>
        <v>408.09000000000003</v>
      </c>
      <c r="BG29" s="30">
        <f t="shared" si="122"/>
        <v>413.40999999999997</v>
      </c>
      <c r="BH29" s="30">
        <f t="shared" si="122"/>
        <v>449.06000000000012</v>
      </c>
      <c r="BI29" s="30">
        <f t="shared" si="122"/>
        <v>417.38999999999993</v>
      </c>
      <c r="BJ29" s="30">
        <f t="shared" si="122"/>
        <v>426.76999999999992</v>
      </c>
      <c r="BK29" s="30">
        <f t="shared" si="122"/>
        <v>427.65000000000003</v>
      </c>
      <c r="BL29" s="30">
        <f t="shared" si="122"/>
        <v>382.70000000000016</v>
      </c>
      <c r="BM29" s="30">
        <f t="shared" si="122"/>
        <v>373.92000000000007</v>
      </c>
      <c r="BN29" s="30">
        <f t="shared" si="122"/>
        <v>369.29999999999995</v>
      </c>
      <c r="BO29" s="30">
        <f t="shared" si="122"/>
        <v>163.82999999999996</v>
      </c>
      <c r="BP29" s="30">
        <f t="shared" si="122"/>
        <v>413.50000000000017</v>
      </c>
      <c r="BQ29" s="30">
        <f t="shared" si="122"/>
        <v>482.07</v>
      </c>
      <c r="BR29" s="30">
        <f t="shared" si="122"/>
        <v>473.3599999999999</v>
      </c>
      <c r="BS29" s="30">
        <f t="shared" si="122"/>
        <v>474.5200000000001</v>
      </c>
      <c r="BT29" s="30">
        <f t="shared" si="122"/>
        <v>557.15999999999985</v>
      </c>
      <c r="BU29" s="30">
        <f t="shared" si="122"/>
        <v>593.08000000000004</v>
      </c>
      <c r="BV29" s="30">
        <f t="shared" si="122"/>
        <v>615.24</v>
      </c>
      <c r="BW29" s="30">
        <f t="shared" si="122"/>
        <v>649.63999999999987</v>
      </c>
      <c r="BX29" s="30">
        <f t="shared" si="122"/>
        <v>649.7299999999999</v>
      </c>
      <c r="BY29" s="30">
        <f t="shared" si="122"/>
        <v>700.48000000000013</v>
      </c>
      <c r="BZ29" s="30">
        <f t="shared" si="122"/>
        <v>656.87999999999977</v>
      </c>
      <c r="CA29" s="30">
        <f t="shared" si="122"/>
        <v>706.23</v>
      </c>
      <c r="CB29" s="30">
        <f t="shared" si="122"/>
        <v>688.32</v>
      </c>
      <c r="CC29" s="30">
        <f t="shared" si="122"/>
        <v>696.66000000000008</v>
      </c>
      <c r="CD29" s="30">
        <f t="shared" si="122"/>
        <v>709.10000000000036</v>
      </c>
      <c r="CE29" s="30">
        <f t="shared" ref="CE29:CF29" si="123">CE23-CE26-CE28-CE27</f>
        <v>794.65</v>
      </c>
      <c r="CF29" s="30">
        <f t="shared" si="123"/>
        <v>793.88999999999987</v>
      </c>
      <c r="CG29" s="30">
        <f t="shared" ref="CG29:CH29" si="124">CG23-CG26-CG28-CG27</f>
        <v>777.81</v>
      </c>
      <c r="CH29" s="30">
        <f t="shared" si="124"/>
        <v>826.48999999999955</v>
      </c>
      <c r="CI29" s="30">
        <f t="shared" ref="CI29:CK29" si="125">CI23-CI26-CI28-CI27</f>
        <v>924.10000000000014</v>
      </c>
      <c r="CJ29" s="30">
        <f t="shared" si="125"/>
        <v>943.77000000000032</v>
      </c>
      <c r="CK29" s="30">
        <f t="shared" si="125"/>
        <v>1058.9499999999998</v>
      </c>
      <c r="CL29" s="30">
        <f t="shared" ref="CL29" si="126">CL23-CL26-CL28-CL27</f>
        <v>992.73999999999978</v>
      </c>
      <c r="CM29" s="31">
        <f t="shared" ref="CM29:DA29" si="127">+CM30*CM23</f>
        <v>1041.1022720657402</v>
      </c>
      <c r="CN29" s="31">
        <f t="shared" si="127"/>
        <v>1092.1409833758644</v>
      </c>
      <c r="CO29" s="31">
        <f t="shared" si="127"/>
        <v>1233.0576297890593</v>
      </c>
      <c r="CP29" s="31">
        <f t="shared" si="127"/>
        <v>1167.6542537177836</v>
      </c>
      <c r="CQ29" s="31">
        <f t="shared" si="127"/>
        <v>1208.6859223406559</v>
      </c>
      <c r="CR29" s="31">
        <f t="shared" si="127"/>
        <v>1278.2497496711926</v>
      </c>
      <c r="CS29" s="31">
        <f t="shared" si="127"/>
        <v>1441.4574362350627</v>
      </c>
      <c r="CT29" s="31">
        <f t="shared" si="127"/>
        <v>1321.2329060977804</v>
      </c>
      <c r="CU29" s="31">
        <f t="shared" si="127"/>
        <v>1357.7678876992131</v>
      </c>
      <c r="CV29" s="31">
        <f t="shared" si="127"/>
        <v>1441.5641532406732</v>
      </c>
      <c r="CW29" s="31">
        <f t="shared" si="127"/>
        <v>1620.4934724506538</v>
      </c>
      <c r="CX29" s="31">
        <f t="shared" si="127"/>
        <v>1495.3239149288081</v>
      </c>
      <c r="CY29" s="31">
        <f t="shared" si="127"/>
        <v>1529.3823421019845</v>
      </c>
      <c r="CZ29" s="31">
        <f t="shared" si="127"/>
        <v>1631.1739559381294</v>
      </c>
      <c r="DA29" s="31">
        <f t="shared" si="127"/>
        <v>1832.577034535158</v>
      </c>
      <c r="DD29" s="123"/>
      <c r="DE29" s="30">
        <v>3753.3099999999986</v>
      </c>
    </row>
    <row r="30" spans="1:109" s="40" customFormat="1" x14ac:dyDescent="0.2">
      <c r="A30" s="40" t="s">
        <v>6</v>
      </c>
      <c r="B30" s="40" t="e">
        <f>B29/B23</f>
        <v>#DIV/0!</v>
      </c>
      <c r="C30" s="40" t="e">
        <f t="shared" ref="C30:U30" si="128">C29/C23</f>
        <v>#DIV/0!</v>
      </c>
      <c r="D30" s="40">
        <f t="shared" si="128"/>
        <v>0.61929925095165983</v>
      </c>
      <c r="E30" s="40">
        <f t="shared" si="128"/>
        <v>0.57326439623843251</v>
      </c>
      <c r="F30" s="40">
        <f t="shared" si="128"/>
        <v>0.54354419410745236</v>
      </c>
      <c r="G30" s="40">
        <f t="shared" si="128"/>
        <v>0.53330721003134796</v>
      </c>
      <c r="H30" s="40">
        <f t="shared" si="128"/>
        <v>0.51986938233340707</v>
      </c>
      <c r="I30" s="40">
        <f t="shared" si="128"/>
        <v>0.50835802276625608</v>
      </c>
      <c r="J30" s="40">
        <f t="shared" si="128"/>
        <v>0.49319595384264048</v>
      </c>
      <c r="K30" s="40">
        <f t="shared" si="128"/>
        <v>0.39885168423823791</v>
      </c>
      <c r="L30" s="40">
        <f t="shared" si="128"/>
        <v>0.40986270286900994</v>
      </c>
      <c r="M30" s="40">
        <f t="shared" si="128"/>
        <v>0.41995338351610562</v>
      </c>
      <c r="N30" s="40">
        <f t="shared" si="128"/>
        <v>0.37267480040092626</v>
      </c>
      <c r="O30" s="40">
        <f t="shared" si="128"/>
        <v>0.35949287659902174</v>
      </c>
      <c r="P30" s="40">
        <f t="shared" si="128"/>
        <v>0.38889195233281254</v>
      </c>
      <c r="Q30" s="40">
        <f t="shared" si="128"/>
        <v>0.42440690547021331</v>
      </c>
      <c r="R30" s="40">
        <f t="shared" si="128"/>
        <v>0.39634363587779459</v>
      </c>
      <c r="S30" s="40">
        <f t="shared" si="128"/>
        <v>0.39634744758640672</v>
      </c>
      <c r="T30" s="40">
        <f t="shared" si="128"/>
        <v>0.37004413012357756</v>
      </c>
      <c r="U30" s="40">
        <f t="shared" si="128"/>
        <v>0.36945120315183799</v>
      </c>
      <c r="V30" s="40">
        <f t="shared" ref="V30:AA30" si="129">V29/V23</f>
        <v>0.37978755077302601</v>
      </c>
      <c r="W30" s="40">
        <f t="shared" si="129"/>
        <v>0.3773251014745051</v>
      </c>
      <c r="X30" s="40">
        <f t="shared" si="129"/>
        <v>0.38079657280317791</v>
      </c>
      <c r="Y30" s="40">
        <f t="shared" si="129"/>
        <v>0.37899932560188987</v>
      </c>
      <c r="Z30" s="40">
        <f t="shared" si="129"/>
        <v>0.37357969384309275</v>
      </c>
      <c r="AA30" s="40">
        <f t="shared" si="129"/>
        <v>0.38750445237124259</v>
      </c>
      <c r="AB30" s="41">
        <f t="shared" ref="AB30:AD30" si="130">AB29/AB23</f>
        <v>0.38664488888059328</v>
      </c>
      <c r="AC30" s="41">
        <f t="shared" si="130"/>
        <v>0.38696220861928521</v>
      </c>
      <c r="AD30" s="41">
        <f t="shared" si="130"/>
        <v>0.38699895648672183</v>
      </c>
      <c r="AE30" s="41">
        <f t="shared" ref="AE30" si="131">AE29/AE23</f>
        <v>0.38700184071038829</v>
      </c>
      <c r="AI30" s="40">
        <f t="shared" ref="AI30" si="132">AI29/AI23</f>
        <v>0.37204040829211832</v>
      </c>
      <c r="AJ30" s="40">
        <f t="shared" ref="AJ30" si="133">AJ29/AJ23</f>
        <v>0.38172782659965754</v>
      </c>
      <c r="AK30" s="40">
        <f t="shared" ref="AK30:AM30" si="134">AK29/AK23</f>
        <v>0.34694053929476837</v>
      </c>
      <c r="AL30" s="40">
        <f t="shared" si="134"/>
        <v>0.3591293106040106</v>
      </c>
      <c r="AM30" s="40">
        <f t="shared" si="134"/>
        <v>0.41012508618142418</v>
      </c>
      <c r="AN30" s="40">
        <f t="shared" ref="AN30:AO30" si="135">AN29/AN23</f>
        <v>0.35258636938901905</v>
      </c>
      <c r="AO30" s="40">
        <f t="shared" si="135"/>
        <v>0.33012568236638312</v>
      </c>
      <c r="AP30" s="40">
        <f t="shared" ref="AP30:CD30" si="136">AP29/AP23</f>
        <v>0.37691539805340646</v>
      </c>
      <c r="AQ30" s="40">
        <f t="shared" si="136"/>
        <v>0.39467034229267184</v>
      </c>
      <c r="AR30" s="40">
        <f t="shared" si="136"/>
        <v>0.40499292993320007</v>
      </c>
      <c r="AS30" s="40">
        <f t="shared" si="136"/>
        <v>0.37965075669383008</v>
      </c>
      <c r="AT30" s="40">
        <f t="shared" si="136"/>
        <v>0.42343047134754536</v>
      </c>
      <c r="AU30" s="40">
        <f t="shared" si="136"/>
        <v>0.43587429417754331</v>
      </c>
      <c r="AV30" s="40">
        <f t="shared" si="136"/>
        <v>0.4233305194953344</v>
      </c>
      <c r="AW30" s="40">
        <f t="shared" si="136"/>
        <v>0.42743167925206754</v>
      </c>
      <c r="AX30" s="40">
        <f t="shared" si="136"/>
        <v>0.41128172834721954</v>
      </c>
      <c r="AY30" s="40">
        <f t="shared" si="136"/>
        <v>0.3822597205481898</v>
      </c>
      <c r="AZ30" s="40">
        <f t="shared" si="136"/>
        <v>0.39221867264687832</v>
      </c>
      <c r="BA30" s="40">
        <f t="shared" si="136"/>
        <v>0.40466774716369536</v>
      </c>
      <c r="BB30" s="40">
        <f t="shared" si="136"/>
        <v>0.41342901743127231</v>
      </c>
      <c r="BC30" s="40">
        <f t="shared" si="136"/>
        <v>0.43373546448325434</v>
      </c>
      <c r="BD30" s="40">
        <f t="shared" si="136"/>
        <v>0.3838392892713437</v>
      </c>
      <c r="BE30" s="40">
        <f t="shared" si="136"/>
        <v>0.4059745012279723</v>
      </c>
      <c r="BF30" s="40">
        <f t="shared" si="136"/>
        <v>0.37665094557302004</v>
      </c>
      <c r="BG30" s="40">
        <f t="shared" si="136"/>
        <v>0.37573846181811571</v>
      </c>
      <c r="BH30" s="40">
        <f t="shared" si="136"/>
        <v>0.37688944095208532</v>
      </c>
      <c r="BI30" s="40">
        <f t="shared" si="136"/>
        <v>0.35184482715019089</v>
      </c>
      <c r="BJ30" s="40">
        <f t="shared" si="136"/>
        <v>0.36404814508355438</v>
      </c>
      <c r="BK30" s="40">
        <f t="shared" si="136"/>
        <v>0.38295871765021944</v>
      </c>
      <c r="BL30" s="40">
        <f t="shared" si="136"/>
        <v>0.36969773080750035</v>
      </c>
      <c r="BM30" s="40">
        <f t="shared" si="136"/>
        <v>0.36076297432631921</v>
      </c>
      <c r="BN30" s="40">
        <f t="shared" si="136"/>
        <v>0.3977211536390462</v>
      </c>
      <c r="BO30" s="40">
        <f t="shared" si="136"/>
        <v>0.37329110462996712</v>
      </c>
      <c r="BP30" s="40">
        <f t="shared" si="136"/>
        <v>0.36898228706554242</v>
      </c>
      <c r="BQ30" s="40">
        <f t="shared" si="136"/>
        <v>0.37845921948232414</v>
      </c>
      <c r="BR30" s="40">
        <f t="shared" si="136"/>
        <v>0.35947206148144767</v>
      </c>
      <c r="BS30" s="40">
        <f t="shared" si="136"/>
        <v>0.38488429624702936</v>
      </c>
      <c r="BT30" s="40">
        <f t="shared" si="136"/>
        <v>0.37454120114548456</v>
      </c>
      <c r="BU30" s="40">
        <f t="shared" si="136"/>
        <v>0.38935938341145732</v>
      </c>
      <c r="BV30" s="40">
        <f t="shared" si="136"/>
        <v>0.39249510369949792</v>
      </c>
      <c r="BW30" s="40">
        <f t="shared" si="136"/>
        <v>0.37147121218185869</v>
      </c>
      <c r="BX30" s="40">
        <f t="shared" si="136"/>
        <v>0.3699151119031216</v>
      </c>
      <c r="BY30" s="40">
        <f t="shared" si="136"/>
        <v>0.3903156604351824</v>
      </c>
      <c r="BZ30" s="40">
        <f t="shared" si="136"/>
        <v>0.38785559924894591</v>
      </c>
      <c r="CA30" s="40">
        <f t="shared" si="136"/>
        <v>0.38609947844342146</v>
      </c>
      <c r="CB30" s="40">
        <f t="shared" si="136"/>
        <v>0.37134225291324996</v>
      </c>
      <c r="CC30" s="40">
        <f t="shared" si="136"/>
        <v>0.37164119388653283</v>
      </c>
      <c r="CD30" s="40">
        <f t="shared" si="136"/>
        <v>0.37856422138345996</v>
      </c>
      <c r="CE30" s="40">
        <f t="shared" ref="CE30:CF30" si="137">CE29/CE23</f>
        <v>0.37717624499250058</v>
      </c>
      <c r="CF30" s="40">
        <f t="shared" si="137"/>
        <v>0.37512226238571122</v>
      </c>
      <c r="CG30" s="40">
        <f t="shared" ref="CG30:CH30" si="138">CG29/CG23</f>
        <v>0.36413302997106822</v>
      </c>
      <c r="CH30" s="40">
        <f t="shared" si="138"/>
        <v>0.38009850948073254</v>
      </c>
      <c r="CI30" s="40">
        <f t="shared" ref="CI30:CJ30" si="139">CI29/CI23</f>
        <v>0.39280112556799107</v>
      </c>
      <c r="CJ30" s="40">
        <f t="shared" si="139"/>
        <v>0.38764093401515631</v>
      </c>
      <c r="CK30" s="40">
        <f t="shared" ref="CK30:CL30" si="140">CK29/CK23</f>
        <v>0.38871962410983035</v>
      </c>
      <c r="CL30" s="40">
        <f t="shared" si="140"/>
        <v>0.38394362710972907</v>
      </c>
      <c r="CM30" s="41">
        <f t="shared" ref="CM30:DA30" si="141">AVERAGE(CI30:CL30)</f>
        <v>0.38827632770067666</v>
      </c>
      <c r="CN30" s="41">
        <f t="shared" si="141"/>
        <v>0.38714512823384806</v>
      </c>
      <c r="CO30" s="41">
        <f t="shared" si="141"/>
        <v>0.38702117678852105</v>
      </c>
      <c r="CP30" s="41">
        <f t="shared" si="141"/>
        <v>0.38659656495819372</v>
      </c>
      <c r="CQ30" s="41">
        <f t="shared" si="141"/>
        <v>0.38725979942030986</v>
      </c>
      <c r="CR30" s="41">
        <f t="shared" si="141"/>
        <v>0.38700566735021813</v>
      </c>
      <c r="CS30" s="41">
        <f t="shared" si="141"/>
        <v>0.38697080212931068</v>
      </c>
      <c r="CT30" s="41">
        <f t="shared" si="141"/>
        <v>0.38695820846450812</v>
      </c>
      <c r="CU30" s="41">
        <f t="shared" si="141"/>
        <v>0.3870486193410867</v>
      </c>
      <c r="CV30" s="41">
        <f t="shared" si="141"/>
        <v>0.38699582432128093</v>
      </c>
      <c r="CW30" s="41">
        <f t="shared" si="141"/>
        <v>0.38699336356404662</v>
      </c>
      <c r="CX30" s="41">
        <f t="shared" si="141"/>
        <v>0.38699900392273057</v>
      </c>
      <c r="CY30" s="41">
        <f t="shared" si="141"/>
        <v>0.38700920278728623</v>
      </c>
      <c r="CZ30" s="41">
        <f t="shared" si="141"/>
        <v>0.38699934864883606</v>
      </c>
      <c r="DA30" s="41">
        <f t="shared" si="141"/>
        <v>0.3870002297307249</v>
      </c>
      <c r="DD30" s="124"/>
      <c r="DE30" s="40">
        <v>0.38750445237124248</v>
      </c>
    </row>
    <row r="31" spans="1:109" s="38" customFormat="1" x14ac:dyDescent="0.2">
      <c r="A31" s="38" t="s">
        <v>446</v>
      </c>
      <c r="C31" s="38" t="e">
        <f t="shared" ref="C31:AE31" si="142">+IF(B29&lt;0,1-C29/B29,C29/B29-1)</f>
        <v>#DIV/0!</v>
      </c>
      <c r="D31" s="38" t="e">
        <f t="shared" si="142"/>
        <v>#DIV/0!</v>
      </c>
      <c r="E31" s="38">
        <f t="shared" si="142"/>
        <v>1.1295364868705526E-2</v>
      </c>
      <c r="F31" s="38">
        <f t="shared" si="142"/>
        <v>0.14783347493627885</v>
      </c>
      <c r="G31" s="38">
        <f t="shared" si="142"/>
        <v>0.23987929169276301</v>
      </c>
      <c r="H31" s="38">
        <f t="shared" si="142"/>
        <v>0.29403930933137379</v>
      </c>
      <c r="I31" s="38">
        <f t="shared" si="142"/>
        <v>0.15692536995635087</v>
      </c>
      <c r="J31" s="38">
        <f t="shared" si="142"/>
        <v>0.126161774178706</v>
      </c>
      <c r="K31" s="38">
        <f t="shared" si="142"/>
        <v>-0.13340959851827627</v>
      </c>
      <c r="L31" s="38">
        <f t="shared" si="142"/>
        <v>0.33986044757354739</v>
      </c>
      <c r="M31" s="38">
        <f t="shared" si="142"/>
        <v>0.2890989701846165</v>
      </c>
      <c r="N31" s="38">
        <f t="shared" si="142"/>
        <v>-1.8925263406911363E-2</v>
      </c>
      <c r="O31" s="38">
        <f t="shared" si="142"/>
        <v>-6.4863761986904689E-2</v>
      </c>
      <c r="P31" s="38">
        <f t="shared" si="142"/>
        <v>0.2589852427800694</v>
      </c>
      <c r="Q31" s="38">
        <f t="shared" si="142"/>
        <v>0.15302569596521365</v>
      </c>
      <c r="R31" s="38">
        <f t="shared" si="142"/>
        <v>-2.7190992812832993E-2</v>
      </c>
      <c r="S31" s="38">
        <f t="shared" si="142"/>
        <v>1.1895752570369114</v>
      </c>
      <c r="T31" s="38">
        <f t="shared" si="142"/>
        <v>8.2796092091168116E-2</v>
      </c>
      <c r="U31" s="38">
        <f t="shared" si="142"/>
        <v>-4.5569800232233781E-2</v>
      </c>
      <c r="V31" s="38">
        <f t="shared" si="142"/>
        <v>-0.11318154732346741</v>
      </c>
      <c r="W31" s="38">
        <f t="shared" si="142"/>
        <v>0.46855183033526981</v>
      </c>
      <c r="X31" s="38">
        <f t="shared" si="142"/>
        <v>0.24639677425504725</v>
      </c>
      <c r="Y31" s="38">
        <f t="shared" si="142"/>
        <v>5.0858670256090255E-2</v>
      </c>
      <c r="Z31" s="38">
        <f t="shared" si="142"/>
        <v>0.11912273615492963</v>
      </c>
      <c r="AA31" s="38">
        <f t="shared" si="142"/>
        <v>0.22041002129769649</v>
      </c>
      <c r="AB31" s="39">
        <f t="shared" si="142"/>
        <v>0.16138578620755117</v>
      </c>
      <c r="AC31" s="39">
        <f t="shared" si="142"/>
        <v>0.16907537601474742</v>
      </c>
      <c r="AD31" s="39">
        <f t="shared" si="142"/>
        <v>0.12657085221338082</v>
      </c>
      <c r="AE31" s="39">
        <f t="shared" si="142"/>
        <v>0.13018484979680345</v>
      </c>
      <c r="AM31" s="38">
        <f>+IF(AI29&lt;0,1-AM29/AI29,AM29/AI29-1)</f>
        <v>-0.11667373780229129</v>
      </c>
      <c r="AN31" s="38">
        <f t="shared" ref="AN31" si="143">+IF(AJ29&lt;0,1-AN29/AJ29,AN29/AJ29-1)</f>
        <v>-3.6922624301265361E-2</v>
      </c>
      <c r="AO31" s="38">
        <f t="shared" ref="AO31" si="144">+IF(AK29&lt;0,1-AO29/AK29,AO29/AK29-1)</f>
        <v>7.9631321099393526E-2</v>
      </c>
      <c r="AP31" s="38">
        <f t="shared" ref="AP31" si="145">+IF(AL29&lt;0,1-AP29/AL29,AP29/AL29-1)</f>
        <v>0.26437840100460486</v>
      </c>
      <c r="AQ31" s="38">
        <f t="shared" ref="AQ31" si="146">+IF(AM29&lt;0,1-AQ29/AM29,AQ29/AM29-1)</f>
        <v>0.23775216138328603</v>
      </c>
      <c r="AR31" s="38">
        <f t="shared" ref="AR31" si="147">+IF(AN29&lt;0,1-AR29/AN29,AR29/AN29-1)</f>
        <v>0.26867267450740795</v>
      </c>
      <c r="AS31" s="38">
        <f t="shared" ref="AS31" si="148">+IF(AO29&lt;0,1-AS29/AO29,AS29/AO29-1)</f>
        <v>0.25411475157668084</v>
      </c>
      <c r="AT31" s="38">
        <f t="shared" ref="AT31" si="149">+IF(AP29&lt;0,1-AT29/AP29,AT29/AP29-1)</f>
        <v>0.14679202807389236</v>
      </c>
      <c r="AU31" s="38">
        <f t="shared" ref="AU31" si="150">+IF(AQ29&lt;0,1-AU29/AQ29,AU29/AQ29-1)</f>
        <v>0.21814771698357238</v>
      </c>
      <c r="AV31" s="38">
        <f t="shared" ref="AV31" si="151">+IF(AR29&lt;0,1-AV29/AR29,AV29/AR29-1)</f>
        <v>0.11696364074163257</v>
      </c>
      <c r="AW31" s="38">
        <f t="shared" ref="AW31" si="152">+IF(AS29&lt;0,1-AW29/AS29,AW29/AS29-1)</f>
        <v>0.16638047344535711</v>
      </c>
      <c r="AX31" s="38">
        <f t="shared" ref="AX31" si="153">+IF(AT29&lt;0,1-AX29/AT29,AX29/AT29-1)</f>
        <v>-1.957274826789801E-2</v>
      </c>
      <c r="AY31" s="38">
        <f t="shared" ref="AY31" si="154">+IF(AU29&lt;0,1-AY29/AU29,AY29/AU29-1)</f>
        <v>-9.0735333156357956E-2</v>
      </c>
      <c r="AZ31" s="38">
        <f t="shared" ref="AZ31" si="155">+IF(AV29&lt;0,1-AZ29/AV29,AZ29/AV29-1)</f>
        <v>-8.6230126650510552E-4</v>
      </c>
      <c r="BA31" s="38">
        <f t="shared" ref="BA31" si="156">+IF(AW29&lt;0,1-BA29/AW29,BA29/AW29-1)</f>
        <v>-1.5405646984594124E-2</v>
      </c>
      <c r="BB31" s="38">
        <f t="shared" ref="BB31" si="157">+IF(AX29&lt;0,1-BB29/AX29,BB29/AX29-1)</f>
        <v>0.12296095636299431</v>
      </c>
      <c r="BC31" s="38">
        <f t="shared" ref="BC31" si="158">+IF(AY29&lt;0,1-BC29/AY29,BC29/AY29-1)</f>
        <v>0.16302697652691855</v>
      </c>
      <c r="BD31" s="38">
        <f t="shared" ref="BD31" si="159">+IF(AZ29&lt;0,1-BD29/AZ29,BD29/AZ29-1)</f>
        <v>1.0788068396353632</v>
      </c>
      <c r="BE31" s="38">
        <f t="shared" ref="BE31" si="160">+IF(BA29&lt;0,1-BE29/BA29,BE29/BA29-1)</f>
        <v>1.2156894157855382</v>
      </c>
      <c r="BF31" s="38">
        <f t="shared" ref="BF31" si="161">+IF(BB29&lt;0,1-BF29/BB29,BF29/BB29-1)</f>
        <v>1.1400702711206665</v>
      </c>
      <c r="BG31" s="38">
        <f t="shared" ref="BG31" si="162">+IF(BC29&lt;0,1-BG29/BC29,BG29/BC29-1)</f>
        <v>1.0755597951601557</v>
      </c>
      <c r="BH31" s="38">
        <f t="shared" ref="BH31" si="163">+IF(BD29&lt;0,1-BH29/BD29,BH29/BD29-1)</f>
        <v>0.16520926853317475</v>
      </c>
      <c r="BI31" s="38">
        <f t="shared" ref="BI31" si="164">+IF(BE29&lt;0,1-BI29/BE29,BI29/BE29-1)</f>
        <v>5.9771998746716015E-3</v>
      </c>
      <c r="BJ31" s="38">
        <f t="shared" ref="BJ31" si="165">+IF(BF29&lt;0,1-BJ29/BF29,BJ29/BF29-1)</f>
        <v>4.5774216471856422E-2</v>
      </c>
      <c r="BK31" s="38">
        <f t="shared" ref="BK31" si="166">+IF(BG29&lt;0,1-BK29/BG29,BK29/BG29-1)</f>
        <v>3.4445223869766339E-2</v>
      </c>
      <c r="BL31" s="38">
        <f t="shared" ref="BL31" si="167">+IF(BH29&lt;0,1-BL29/BH29,BL29/BH29-1)</f>
        <v>-0.14777535295951527</v>
      </c>
      <c r="BM31" s="38">
        <f t="shared" ref="BM31" si="168">+IF(BI29&lt;0,1-BM29/BI29,BM29/BI29-1)</f>
        <v>-0.10414720046000114</v>
      </c>
      <c r="BN31" s="38">
        <f t="shared" ref="BN31" si="169">+IF(BJ29&lt;0,1-BN29/BJ29,BN29/BJ29-1)</f>
        <v>-0.13466269887761551</v>
      </c>
      <c r="BO31" s="38">
        <f t="shared" ref="BO31" si="170">+IF(BK29&lt;0,1-BO29/BK29,BO29/BK29-1)</f>
        <v>-0.6169063486495967</v>
      </c>
      <c r="BP31" s="38">
        <f t="shared" ref="BP31" si="171">+IF(BL29&lt;0,1-BP29/BL29,BP29/BL29-1)</f>
        <v>8.0480794355892282E-2</v>
      </c>
      <c r="BQ31" s="38">
        <f t="shared" ref="BQ31" si="172">+IF(BM29&lt;0,1-BQ29/BM29,BQ29/BM29-1)</f>
        <v>0.28923299101412048</v>
      </c>
      <c r="BR31" s="38">
        <f t="shared" ref="BR31" si="173">+IF(BN29&lt;0,1-BR29/BN29,BR29/BN29-1)</f>
        <v>0.28177633360411569</v>
      </c>
      <c r="BS31" s="38">
        <f t="shared" ref="BS31" si="174">+IF(BO29&lt;0,1-BS29/BO29,BS29/BO29-1)</f>
        <v>1.8964170176402382</v>
      </c>
      <c r="BT31" s="38">
        <f t="shared" ref="BT31" si="175">+IF(BP29&lt;0,1-BT29/BP29,BT29/BP29-1)</f>
        <v>0.34742442563482379</v>
      </c>
      <c r="BU31" s="38">
        <f t="shared" ref="BU31" si="176">+IF(BQ29&lt;0,1-BU29/BQ29,BU29/BQ29-1)</f>
        <v>0.23027776049121518</v>
      </c>
      <c r="BV31" s="38">
        <f t="shared" ref="BV31" si="177">+IF(BR29&lt;0,1-BV29/BR29,BV29/BR29-1)</f>
        <v>0.29972959269900312</v>
      </c>
      <c r="BW31" s="38">
        <f t="shared" ref="BW31" si="178">+IF(BS29&lt;0,1-BW29/BS29,BW29/BS29-1)</f>
        <v>0.36904661552726914</v>
      </c>
      <c r="BX31" s="38">
        <f t="shared" ref="BX31" si="179">+IF(BT29&lt;0,1-BX29/BT29,BX29/BT29-1)</f>
        <v>0.16614616986144037</v>
      </c>
      <c r="BY31" s="38">
        <f t="shared" ref="BY31" si="180">+IF(BU29&lt;0,1-BY29/BU29,BY29/BU29-1)</f>
        <v>0.18108855466378926</v>
      </c>
      <c r="BZ31" s="38">
        <f t="shared" ref="BZ31" si="181">+IF(BV29&lt;0,1-BZ29/BV29,BZ29/BV29-1)</f>
        <v>6.768090501267765E-2</v>
      </c>
      <c r="CA31" s="38">
        <f t="shared" ref="CA31" si="182">+IF(BW29&lt;0,1-CA29/BW29,CA29/BW29-1)</f>
        <v>8.7109783880303215E-2</v>
      </c>
      <c r="CB31" s="38">
        <f t="shared" ref="CB31" si="183">+IF(BX29&lt;0,1-CB29/BX29,CB29/BX29-1)</f>
        <v>5.9393902082403693E-2</v>
      </c>
      <c r="CC31" s="38">
        <f t="shared" ref="CC31" si="184">+IF(BY29&lt;0,1-CC29/BY29,CC29/BY29-1)</f>
        <v>-5.4534033805391235E-3</v>
      </c>
      <c r="CD31" s="38">
        <f t="shared" ref="CD31" si="185">+IF(BZ29&lt;0,1-CD29/BZ29,CD29/BZ29-1)</f>
        <v>7.9497016197784376E-2</v>
      </c>
      <c r="CE31" s="38">
        <f t="shared" ref="CE31" si="186">+IF(CA29&lt;0,1-CE29/CA29,CE29/CA29-1)</f>
        <v>0.12520000566387712</v>
      </c>
      <c r="CF31" s="38">
        <f t="shared" ref="CF31" si="187">+IF(CB29&lt;0,1-CF29/CB29,CF29/CB29-1)</f>
        <v>0.1533734309623429</v>
      </c>
      <c r="CG31" s="38">
        <f t="shared" ref="CG31" si="188">+IF(CC29&lt;0,1-CG29/CC29,CG29/CC29-1)</f>
        <v>0.11648436827146647</v>
      </c>
      <c r="CH31" s="38">
        <f t="shared" ref="CH31:CL31" si="189">+IF(CD29&lt;0,1-CH29/CD29,CH29/CD29-1)</f>
        <v>0.16554787759131173</v>
      </c>
      <c r="CI31" s="38">
        <f t="shared" si="189"/>
        <v>0.16290190649971703</v>
      </c>
      <c r="CJ31" s="38">
        <f t="shared" si="189"/>
        <v>0.18879189812190655</v>
      </c>
      <c r="CK31" s="38">
        <f>+IF(CG29&lt;0,1-CK29/CG29,CK29/CG29-1)</f>
        <v>0.36145073989791832</v>
      </c>
      <c r="CL31" s="38">
        <f t="shared" si="189"/>
        <v>0.20115185906665567</v>
      </c>
      <c r="CM31" s="39">
        <f t="shared" ref="CM31" si="190">+CM29/CI29-1</f>
        <v>0.12661213295719076</v>
      </c>
      <c r="CN31" s="39">
        <f t="shared" ref="CN31" si="191">+CN29/CJ29-1</f>
        <v>0.1572109553978871</v>
      </c>
      <c r="CO31" s="39">
        <f t="shared" ref="CO31" si="192">+CO29/CK29-1</f>
        <v>0.16441534519010292</v>
      </c>
      <c r="CP31" s="39">
        <f t="shared" ref="CP31" si="193">+CP29/CL29-1</f>
        <v>0.17619341793196996</v>
      </c>
      <c r="CQ31" s="39">
        <f t="shared" ref="CQ31" si="194">+CQ29/CM29-1</f>
        <v>0.16096751949488941</v>
      </c>
      <c r="CR31" s="39">
        <f t="shared" ref="CR31" si="195">+CR29/CN29-1</f>
        <v>0.17040727262157707</v>
      </c>
      <c r="CS31" s="39">
        <f t="shared" ref="CS31" si="196">+CS29/CO29-1</f>
        <v>0.16901059724325673</v>
      </c>
      <c r="CT31" s="39">
        <f t="shared" ref="CT31" si="197">+CT29/CP29-1</f>
        <v>0.1315275064438004</v>
      </c>
      <c r="CU31" s="39">
        <f t="shared" ref="CU31" si="198">+CU29/CQ29-1</f>
        <v>0.12334218724898816</v>
      </c>
      <c r="CV31" s="39">
        <f t="shared" ref="CV31" si="199">+CV29/CR29-1</f>
        <v>0.12776408022883667</v>
      </c>
      <c r="CW31" s="39">
        <f t="shared" ref="CW31" si="200">+CW29/CS29-1</f>
        <v>0.12420487189910689</v>
      </c>
      <c r="CX31" s="39">
        <f t="shared" ref="CX31" si="201">+CX29/CT29-1</f>
        <v>0.13176405766731913</v>
      </c>
      <c r="CY31" s="39">
        <f t="shared" ref="CY31" si="202">+CY29/CU29-1</f>
        <v>0.12639454501577463</v>
      </c>
      <c r="CZ31" s="39">
        <f t="shared" ref="CZ31" si="203">+CZ29/CV29-1</f>
        <v>0.13153060324870625</v>
      </c>
      <c r="DA31" s="39">
        <f t="shared" ref="DA31" si="204">+DA29/CW29-1</f>
        <v>0.13087591260936859</v>
      </c>
      <c r="DD31" s="121"/>
      <c r="DE31" s="38">
        <v>0.22041002129769582</v>
      </c>
    </row>
    <row r="32" spans="1:109" s="38" customFormat="1" x14ac:dyDescent="0.2">
      <c r="A32" s="38" t="s">
        <v>447</v>
      </c>
      <c r="AB32" s="39"/>
      <c r="AC32" s="39"/>
      <c r="AD32" s="39"/>
      <c r="AE32" s="39"/>
      <c r="AJ32" s="38">
        <f>+IF(AI29&lt;0,1-AJ29/AI29,AJ29/AI29-1)</f>
        <v>-3.8608400509121621E-2</v>
      </c>
      <c r="AK32" s="38">
        <f t="shared" ref="AK32" si="205">+IF(AJ29&lt;0,1-AK29/AJ29,AK29/AJ29-1)</f>
        <v>-0.11422477199176251</v>
      </c>
      <c r="AL32" s="38">
        <f t="shared" ref="AL32" si="206">+IF(AK29&lt;0,1-AL29/AK29,AL29/AK29-1)</f>
        <v>-8.1375072656320047E-3</v>
      </c>
      <c r="AM32" s="38">
        <f t="shared" ref="AM32" si="207">+IF(AL29&lt;0,1-AM29/AL29,AM29/AL29-1)</f>
        <v>4.5793218920050505E-2</v>
      </c>
      <c r="AN32" s="38">
        <f t="shared" ref="AN32" si="208">+IF(AM29&lt;0,1-AN29/AM29,AN29/AM29-1)</f>
        <v>4.8190842138969181E-2</v>
      </c>
      <c r="AO32" s="38">
        <f t="shared" ref="AO32" si="209">+IF(AN29&lt;0,1-AO29/AN29,AO29/AN29-1)</f>
        <v>-7.0261188330533741E-3</v>
      </c>
      <c r="AP32" s="38">
        <f t="shared" ref="AP32" si="210">+IF(AO29&lt;0,1-AP29/AO29,AP29/AO29-1)</f>
        <v>0.16159052453468692</v>
      </c>
      <c r="AQ32" s="38">
        <f t="shared" ref="AQ32" si="211">+IF(AP29&lt;0,1-AQ29/AP29,AQ29/AP29-1)</f>
        <v>2.3770111898298918E-2</v>
      </c>
      <c r="AR32" s="38">
        <f t="shared" ref="AR32" si="212">+IF(AQ29&lt;0,1-AR29/AQ29,AR29/AQ29-1)</f>
        <v>7.4375889276936613E-2</v>
      </c>
      <c r="AS32" s="38">
        <f t="shared" ref="AS32" si="213">+IF(AR29&lt;0,1-AS29/AR29,AS29/AR29-1)</f>
        <v>-1.8420418974235298E-2</v>
      </c>
      <c r="AT32" s="38">
        <f t="shared" ref="AT32" si="214">+IF(AS29&lt;0,1-AT29/AS29,AT29/AS29-1)</f>
        <v>6.218569851588307E-2</v>
      </c>
      <c r="AU32" s="38">
        <f t="shared" ref="AU32" si="215">+IF(AT29&lt;0,1-AU29/AT29,AU29/AT29-1)</f>
        <v>8.7471131639723421E-2</v>
      </c>
      <c r="AV32" s="38">
        <f t="shared" ref="AV32" si="216">+IF(AU29&lt;0,1-AV29/AU29,AV29/AU29-1)</f>
        <v>-1.4865941067162214E-2</v>
      </c>
      <c r="AW32" s="38">
        <f t="shared" ref="AW32" si="217">+IF(AV29&lt;0,1-AW29/AV29,AW29/AV29-1)</f>
        <v>2.5006736728644396E-2</v>
      </c>
      <c r="AX32" s="38">
        <f t="shared" ref="AX32" si="218">+IF(AW29&lt;0,1-AX29/AW29,AX29/AW29-1)</f>
        <v>-0.1071560018928438</v>
      </c>
      <c r="AY32" s="38">
        <f t="shared" ref="AY32" si="219">+IF(AX29&lt;0,1-AY29/AX29,AY29/AX29-1)</f>
        <v>8.5389553029855403E-3</v>
      </c>
      <c r="AZ32" s="38">
        <f t="shared" ref="AZ32" si="220">+IF(AY29&lt;0,1-AZ29/AY29,AZ29/AY29-1)</f>
        <v>8.2506131028845076E-2</v>
      </c>
      <c r="BA32" s="38">
        <f t="shared" ref="BA32" si="221">+IF(AZ29&lt;0,1-BA29/AZ29,BA29/AZ29-1)</f>
        <v>1.0086843950590785E-2</v>
      </c>
      <c r="BB32" s="38">
        <f t="shared" ref="BB32" si="222">+IF(BA29&lt;0,1-BB29/BA29,BB29/BA29-1)</f>
        <v>1.8316778810210543E-2</v>
      </c>
      <c r="BC32" s="38">
        <f t="shared" ref="BC32" si="223">+IF(BB29&lt;0,1-BC29/BB29,BC29/BB29-1)</f>
        <v>4.4522523467407815E-2</v>
      </c>
      <c r="BD32" s="38">
        <f t="shared" ref="BD32" si="224">+IF(BC29&lt;0,1-BD29/BC29,BD29/BC29-1)</f>
        <v>0.93488302038357163</v>
      </c>
      <c r="BE32" s="38">
        <f t="shared" ref="BE32" si="225">+IF(BD29&lt;0,1-BE29/BD29,BE29/BD29-1)</f>
        <v>7.6597732167414945E-2</v>
      </c>
      <c r="BF32" s="38">
        <f t="shared" ref="BF32" si="226">+IF(BE29&lt;0,1-BF29/BE29,BF29/BE29-1)</f>
        <v>-1.6437299655346793E-2</v>
      </c>
      <c r="BG32" s="38">
        <f t="shared" ref="BG32" si="227">+IF(BF29&lt;0,1-BG29/BF29,BG29/BF29-1)</f>
        <v>1.3036340023033999E-2</v>
      </c>
      <c r="BH32" s="38">
        <f t="shared" ref="BH32" si="228">+IF(BG29&lt;0,1-BH29/BG29,BH29/BG29-1)</f>
        <v>8.6234004982947088E-2</v>
      </c>
      <c r="BI32" s="38">
        <f t="shared" ref="BI32" si="229">+IF(BH29&lt;0,1-BI29/BH29,BI29/BH29-1)</f>
        <v>-7.0525096869015647E-2</v>
      </c>
      <c r="BJ32" s="38">
        <f t="shared" ref="BJ32" si="230">+IF(BI29&lt;0,1-BJ29/BI29,BJ29/BI29-1)</f>
        <v>2.2472986894750635E-2</v>
      </c>
      <c r="BK32" s="38">
        <f t="shared" ref="BK32" si="231">+IF(BJ29&lt;0,1-BK29/BJ29,BK29/BJ29-1)</f>
        <v>2.0620006092277876E-3</v>
      </c>
      <c r="BL32" s="38">
        <f t="shared" ref="BL32" si="232">+IF(BK29&lt;0,1-BL29/BK29,BL29/BK29-1)</f>
        <v>-0.10510931836782389</v>
      </c>
      <c r="BM32" s="38">
        <f t="shared" ref="BM32" si="233">+IF(BL29&lt;0,1-BM29/BL29,BM29/BL29-1)</f>
        <v>-2.2942252417037068E-2</v>
      </c>
      <c r="BN32" s="38">
        <f t="shared" ref="BN32" si="234">+IF(BM29&lt;0,1-BN29/BM29,BN29/BM29-1)</f>
        <v>-1.2355584082156978E-2</v>
      </c>
      <c r="BO32" s="38">
        <f t="shared" ref="BO32" si="235">+IF(BN29&lt;0,1-BO29/BN29,BO29/BN29-1)</f>
        <v>-0.55637692932575145</v>
      </c>
      <c r="BP32" s="38">
        <f t="shared" ref="BP32" si="236">+IF(BO29&lt;0,1-BP29/BO29,BP29/BO29-1)</f>
        <v>1.5239577610938184</v>
      </c>
      <c r="BQ32" s="38">
        <f t="shared" ref="BQ32" si="237">+IF(BP29&lt;0,1-BQ29/BP29,BQ29/BP29-1)</f>
        <v>0.16582829504232111</v>
      </c>
      <c r="BR32" s="38">
        <f t="shared" ref="BR32" si="238">+IF(BQ29&lt;0,1-BR29/BQ29,BR29/BQ29-1)</f>
        <v>-1.8067915447964156E-2</v>
      </c>
      <c r="BS32" s="38">
        <f t="shared" ref="BS32" si="239">+IF(BR29&lt;0,1-BS29/BR29,BS29/BR29-1)</f>
        <v>2.4505661652869382E-3</v>
      </c>
      <c r="BT32" s="38">
        <f t="shared" ref="BT32" si="240">+IF(BS29&lt;0,1-BT29/BS29,BT29/BS29-1)</f>
        <v>0.17415493551378169</v>
      </c>
      <c r="BU32" s="38">
        <f t="shared" ref="BU32" si="241">+IF(BT29&lt;0,1-BU29/BT29,BU29/BT29-1)</f>
        <v>6.4469811185297266E-2</v>
      </c>
      <c r="BV32" s="38">
        <f t="shared" ref="BV32" si="242">+IF(BU29&lt;0,1-BV29/BU29,BV29/BU29-1)</f>
        <v>3.736426788966063E-2</v>
      </c>
      <c r="BW32" s="38">
        <f t="shared" ref="BW32" si="243">+IF(BV29&lt;0,1-BW29/BV29,BW29/BV29-1)</f>
        <v>5.5913139587802974E-2</v>
      </c>
      <c r="BX32" s="38">
        <f t="shared" ref="BX32" si="244">+IF(BW29&lt;0,1-BX29/BW29,BX29/BW29-1)</f>
        <v>1.385382673482205E-4</v>
      </c>
      <c r="BY32" s="38">
        <f t="shared" ref="BY32" si="245">+IF(BX29&lt;0,1-BY29/BX29,BY29/BX29-1)</f>
        <v>7.810936850691852E-2</v>
      </c>
      <c r="BZ32" s="38">
        <f t="shared" ref="BZ32" si="246">+IF(BY29&lt;0,1-BZ29/BY29,BZ29/BY29-1)</f>
        <v>-6.2243033348561516E-2</v>
      </c>
      <c r="CA32" s="38">
        <f t="shared" ref="CA32" si="247">+IF(BZ29&lt;0,1-CA29/BZ29,CA29/BZ29-1)</f>
        <v>7.5127877237852081E-2</v>
      </c>
      <c r="CB32" s="38">
        <f t="shared" ref="CB32" si="248">+IF(CA29&lt;0,1-CB29/CA29,CB29/CA29-1)</f>
        <v>-2.536001019497891E-2</v>
      </c>
      <c r="CC32" s="38">
        <f t="shared" ref="CC32" si="249">+IF(CB29&lt;0,1-CC29/CB29,CC29/CB29-1)</f>
        <v>1.2116457461645691E-2</v>
      </c>
      <c r="CD32" s="38">
        <f t="shared" ref="CD32" si="250">+IF(CC29&lt;0,1-CD29/CC29,CD29/CC29-1)</f>
        <v>1.7856630206988022E-2</v>
      </c>
      <c r="CE32" s="38">
        <f t="shared" ref="CE32" si="251">+IF(CD29&lt;0,1-CE29/CD29,CE29/CD29-1)</f>
        <v>0.12064588915526664</v>
      </c>
      <c r="CF32" s="38">
        <f t="shared" ref="CF32" si="252">+IF(CE29&lt;0,1-CF29/CE29,CF29/CE29-1)</f>
        <v>-9.563958975651321E-4</v>
      </c>
      <c r="CG32" s="38">
        <f t="shared" ref="CG32" si="253">+IF(CF29&lt;0,1-CG29/CF29,CG29/CF29-1)</f>
        <v>-2.0254695234856124E-2</v>
      </c>
      <c r="CH32" s="38">
        <f t="shared" ref="CH32:CL32" si="254">+IF(CG29&lt;0,1-CH29/CG29,CH29/CG29-1)</f>
        <v>6.2585978580886881E-2</v>
      </c>
      <c r="CI32" s="38">
        <f t="shared" si="254"/>
        <v>0.1181018524120081</v>
      </c>
      <c r="CJ32" s="38">
        <f t="shared" si="254"/>
        <v>2.1285575154204261E-2</v>
      </c>
      <c r="CK32" s="38">
        <f>+IF(CJ29&lt;0,1-CK29/CJ29,CK29/CJ29-1)</f>
        <v>0.12204244678258425</v>
      </c>
      <c r="CL32" s="38">
        <f t="shared" si="254"/>
        <v>-6.2524198498512762E-2</v>
      </c>
      <c r="CM32" s="39">
        <f t="shared" ref="CM32" si="255">+CM29/CL29-1</f>
        <v>4.8715949861736663E-2</v>
      </c>
      <c r="CN32" s="39">
        <f t="shared" ref="CN32" si="256">+CN29/CM29-1</f>
        <v>4.9023724834308391E-2</v>
      </c>
      <c r="CO32" s="39">
        <f t="shared" ref="CO32" si="257">+CO29/CN29-1</f>
        <v>0.12902788976713819</v>
      </c>
      <c r="CP32" s="39">
        <f t="shared" ref="CP32" si="258">+CP29/CO29-1</f>
        <v>-5.3041621487281421E-2</v>
      </c>
      <c r="CQ32" s="39">
        <f t="shared" ref="CQ32" si="259">+CQ29/CP29-1</f>
        <v>3.5140255338623083E-2</v>
      </c>
      <c r="CR32" s="39">
        <f t="shared" ref="CR32" si="260">+CR29/CQ29-1</f>
        <v>5.755327008014155E-2</v>
      </c>
      <c r="CS32" s="39">
        <f t="shared" ref="CS32" si="261">+CS29/CR29-1</f>
        <v>0.12768059340974047</v>
      </c>
      <c r="CT32" s="39">
        <f t="shared" ref="CT32" si="262">+CT29/CS29-1</f>
        <v>-8.3404842290242254E-2</v>
      </c>
      <c r="CU32" s="39">
        <f t="shared" ref="CU32" si="263">+CU29/CT29-1</f>
        <v>2.7652188673787714E-2</v>
      </c>
      <c r="CV32" s="39">
        <f t="shared" ref="CV32" si="264">+CV29/CU29-1</f>
        <v>6.1716193394038665E-2</v>
      </c>
      <c r="CW32" s="39">
        <f t="shared" ref="CW32" si="265">+CW29/CV29-1</f>
        <v>0.12412164856329344</v>
      </c>
      <c r="CX32" s="39">
        <f t="shared" ref="CX32" si="266">+CX29/CW29-1</f>
        <v>-7.7241630188459309E-2</v>
      </c>
      <c r="CY32" s="39">
        <f t="shared" ref="CY32" si="267">+CY29/CX29-1</f>
        <v>2.2776621729344804E-2</v>
      </c>
      <c r="CZ32" s="39">
        <f t="shared" ref="CZ32" si="268">+CZ29/CY29-1</f>
        <v>6.6557335621020952E-2</v>
      </c>
      <c r="DA32" s="39">
        <f t="shared" ref="DA32" si="269">+DA29/CZ29-1</f>
        <v>0.12347124466022796</v>
      </c>
      <c r="DD32" s="121"/>
    </row>
    <row r="33" spans="1:109" s="22" customFormat="1" outlineLevel="1" x14ac:dyDescent="0.2">
      <c r="A33" s="22" t="s">
        <v>7</v>
      </c>
      <c r="B33" s="22">
        <f>'Annual Raw'!C13</f>
        <v>0</v>
      </c>
      <c r="C33" s="22">
        <f>'Annual Raw'!D13</f>
        <v>0</v>
      </c>
      <c r="D33" s="22">
        <f>'Annual Raw'!E13</f>
        <v>9.8000000000000007</v>
      </c>
      <c r="E33" s="22">
        <f>'Annual Raw'!F13</f>
        <v>9.7200000000000006</v>
      </c>
      <c r="F33" s="22">
        <f>'Annual Raw'!G13</f>
        <v>10.4</v>
      </c>
      <c r="G33" s="22">
        <f>'Annual Raw'!H13</f>
        <v>10.95</v>
      </c>
      <c r="H33" s="22">
        <f>'Annual Raw'!I13</f>
        <v>13.32</v>
      </c>
      <c r="I33" s="22">
        <f>'Annual Raw'!J13</f>
        <v>14.94</v>
      </c>
      <c r="J33" s="22">
        <f>'Annual Raw'!K13</f>
        <v>17.489999999999998</v>
      </c>
      <c r="K33" s="22">
        <f>'Annual Raw'!L13</f>
        <v>25.21</v>
      </c>
      <c r="L33" s="22">
        <f>'Annual Raw'!M13</f>
        <v>18.77</v>
      </c>
      <c r="M33" s="22">
        <f>'Annual Raw'!N13</f>
        <v>19.440000000000001</v>
      </c>
      <c r="N33" s="22">
        <f>'Annual Raw'!O13</f>
        <v>22.07</v>
      </c>
      <c r="O33" s="22">
        <f>'Annual Raw'!P13</f>
        <v>24.25</v>
      </c>
      <c r="P33" s="22">
        <f>'Annual Raw'!Q13</f>
        <v>33</v>
      </c>
      <c r="Q33" s="22">
        <f>'Annual Raw'!R13</f>
        <v>36.22</v>
      </c>
      <c r="R33" s="22">
        <f>'Annual Raw'!S13</f>
        <v>35.619999999999997</v>
      </c>
      <c r="S33" s="22">
        <f>'Annual Raw'!T13</f>
        <v>62.01</v>
      </c>
      <c r="T33" s="22">
        <f>'Annual Raw'!U13</f>
        <v>65.73</v>
      </c>
      <c r="U33" s="22">
        <f>'Annual Raw'!V13</f>
        <v>64.89</v>
      </c>
      <c r="V33" s="22">
        <f>'Annual Raw'!W13</f>
        <v>56.79</v>
      </c>
      <c r="W33" s="22">
        <f>'Annual Raw'!X13</f>
        <v>74.88</v>
      </c>
      <c r="X33" s="22">
        <f>'Annual Raw'!Y13</f>
        <v>87.46</v>
      </c>
      <c r="Y33" s="22">
        <f>'Annual Raw'!Z13</f>
        <v>98.09</v>
      </c>
      <c r="Z33" s="22">
        <f>'Annual Raw'!AA13</f>
        <v>106.73</v>
      </c>
      <c r="AA33" s="22">
        <f>'Annual Raw'!AB13</f>
        <v>121.56</v>
      </c>
      <c r="AB33" s="75">
        <f t="shared" ref="AB33:AB38" si="270">+SUM(CL33:CO33)</f>
        <v>0</v>
      </c>
      <c r="AC33" s="75">
        <f t="shared" ref="AC33:AC38" si="271">+SUM(CP33:CS33)</f>
        <v>0</v>
      </c>
      <c r="AD33" s="75">
        <f t="shared" ref="AD33:AD38" si="272">+SUM(CT33:CW33)</f>
        <v>0</v>
      </c>
      <c r="AE33" s="75">
        <f t="shared" ref="AE33:AE38" si="273">+SUM(CX33:DA33)</f>
        <v>0</v>
      </c>
      <c r="AI33" s="22">
        <f>'QTR Raw'!C15</f>
        <v>0</v>
      </c>
      <c r="AJ33" s="22">
        <f>'QTR Raw'!D15</f>
        <v>0</v>
      </c>
      <c r="AK33" s="22">
        <f>'QTR Raw'!E15</f>
        <v>0</v>
      </c>
      <c r="AL33" s="22">
        <f>'QTR Raw'!F15</f>
        <v>0</v>
      </c>
      <c r="AM33" s="22">
        <f>'QTR Raw'!G15</f>
        <v>0</v>
      </c>
      <c r="AN33" s="22">
        <f>'QTR Raw'!H15</f>
        <v>0</v>
      </c>
      <c r="AO33" s="22">
        <f>'QTR Raw'!I15</f>
        <v>0</v>
      </c>
      <c r="AP33" s="22">
        <f>'QTR Raw'!J15</f>
        <v>0</v>
      </c>
      <c r="AQ33" s="22">
        <f>'QTR Raw'!K15</f>
        <v>0</v>
      </c>
      <c r="AR33" s="22">
        <f>'QTR Raw'!L15</f>
        <v>0</v>
      </c>
      <c r="AS33" s="22">
        <f>'QTR Raw'!M15</f>
        <v>0</v>
      </c>
      <c r="AT33" s="22">
        <f>'QTR Raw'!N15</f>
        <v>0</v>
      </c>
      <c r="AU33" s="22">
        <f>'QTR Raw'!O15</f>
        <v>0</v>
      </c>
      <c r="AV33" s="22">
        <f>'QTR Raw'!P15</f>
        <v>0</v>
      </c>
      <c r="AW33" s="22">
        <f>'QTR Raw'!Q15</f>
        <v>0</v>
      </c>
      <c r="AX33" s="22">
        <f>'QTR Raw'!R15</f>
        <v>0</v>
      </c>
      <c r="AY33" s="22">
        <f>'QTR Raw'!S15</f>
        <v>0</v>
      </c>
      <c r="AZ33" s="22">
        <f>'QTR Raw'!T15</f>
        <v>0</v>
      </c>
      <c r="BA33" s="22">
        <f>'QTR Raw'!U15</f>
        <v>0</v>
      </c>
      <c r="BB33" s="22">
        <f>'QTR Raw'!V15</f>
        <v>0</v>
      </c>
      <c r="BC33" s="22">
        <f>'QTR Raw'!W15</f>
        <v>0</v>
      </c>
      <c r="BD33" s="22">
        <f>'QTR Raw'!X15</f>
        <v>0</v>
      </c>
      <c r="BE33" s="22">
        <f>'QTR Raw'!Y15</f>
        <v>0</v>
      </c>
      <c r="BF33" s="22">
        <f>'QTR Raw'!Z15</f>
        <v>0</v>
      </c>
      <c r="BG33" s="22">
        <f>'QTR Raw'!AA15</f>
        <v>0</v>
      </c>
      <c r="BH33" s="22">
        <f>'QTR Raw'!AB15</f>
        <v>0</v>
      </c>
      <c r="BI33" s="22">
        <f>'QTR Raw'!AC15</f>
        <v>0</v>
      </c>
      <c r="BJ33" s="22">
        <f>'QTR Raw'!AD15</f>
        <v>0</v>
      </c>
      <c r="BK33" s="22">
        <f>'QTR Raw'!AE15</f>
        <v>0</v>
      </c>
      <c r="BL33" s="22">
        <f>'QTR Raw'!AF15</f>
        <v>0</v>
      </c>
      <c r="BM33" s="22">
        <f>'QTR Raw'!AG15</f>
        <v>0</v>
      </c>
      <c r="BN33" s="22">
        <f>'QTR Raw'!AH15</f>
        <v>0</v>
      </c>
      <c r="BO33" s="22">
        <f>'QTR Raw'!AI15</f>
        <v>0</v>
      </c>
      <c r="BP33" s="22">
        <f>'QTR Raw'!AJ15</f>
        <v>0</v>
      </c>
      <c r="BQ33" s="22">
        <f>'QTR Raw'!AK15</f>
        <v>0</v>
      </c>
      <c r="BR33" s="22">
        <f>'QTR Raw'!AL15</f>
        <v>0</v>
      </c>
      <c r="BS33" s="22">
        <f>'QTR Raw'!AM15</f>
        <v>0</v>
      </c>
      <c r="BT33" s="22">
        <f>'QTR Raw'!AN15</f>
        <v>0</v>
      </c>
      <c r="BU33" s="22">
        <f>'QTR Raw'!AO15</f>
        <v>0</v>
      </c>
      <c r="BV33" s="22">
        <f>'QTR Raw'!AP15</f>
        <v>0</v>
      </c>
      <c r="BW33" s="22">
        <f>'QTR Raw'!AQ15</f>
        <v>0</v>
      </c>
      <c r="BX33" s="22">
        <f>'QTR Raw'!AR15</f>
        <v>0</v>
      </c>
      <c r="BY33" s="22">
        <f>'QTR Raw'!AS15</f>
        <v>0</v>
      </c>
      <c r="BZ33" s="22">
        <f>'QTR Raw'!AT15</f>
        <v>0</v>
      </c>
      <c r="CA33" s="22">
        <f>'QTR Raw'!AU15</f>
        <v>0</v>
      </c>
      <c r="CB33" s="22">
        <f>'QTR Raw'!AV15</f>
        <v>0</v>
      </c>
      <c r="CC33" s="22">
        <f>'QTR Raw'!AW15</f>
        <v>0</v>
      </c>
      <c r="CD33" s="22">
        <f>'QTR Raw'!AX15</f>
        <v>0</v>
      </c>
      <c r="CE33" s="22">
        <f>'QTR Raw'!AY15</f>
        <v>0</v>
      </c>
      <c r="CF33" s="22">
        <f>'QTR Raw'!AZ15</f>
        <v>0</v>
      </c>
      <c r="CG33" s="22">
        <f>'QTR Raw'!BA15</f>
        <v>0</v>
      </c>
      <c r="CH33" s="22">
        <f>'QTR Raw'!BB15</f>
        <v>0</v>
      </c>
      <c r="CI33" s="22">
        <f>'QTR Raw'!BC15</f>
        <v>0</v>
      </c>
      <c r="CJ33" s="22">
        <f>'QTR Raw'!BD15</f>
        <v>0</v>
      </c>
      <c r="CL33" s="22">
        <f>'QTR Raw'!BF15</f>
        <v>0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D33" s="122"/>
      <c r="DE33" s="22">
        <v>0</v>
      </c>
    </row>
    <row r="34" spans="1:109" s="22" customFormat="1" outlineLevel="1" x14ac:dyDescent="0.2">
      <c r="A34" s="22" t="s">
        <v>11</v>
      </c>
      <c r="B34" s="22">
        <f>('Annual Raw'!C18)</f>
        <v>0</v>
      </c>
      <c r="C34" s="22">
        <f>('Annual Raw'!D18)</f>
        <v>0</v>
      </c>
      <c r="D34" s="22">
        <f>('Annual Raw'!E18)</f>
        <v>10.31</v>
      </c>
      <c r="E34" s="22">
        <f>('Annual Raw'!F18)</f>
        <v>13.57</v>
      </c>
      <c r="F34" s="22">
        <f>('Annual Raw'!G18)</f>
        <v>15.67</v>
      </c>
      <c r="G34" s="22">
        <f>('Annual Raw'!H18)</f>
        <v>15.75</v>
      </c>
      <c r="H34" s="22">
        <f>('Annual Raw'!I18)</f>
        <v>19.309999999999999</v>
      </c>
      <c r="I34" s="22">
        <f>('Annual Raw'!J18)</f>
        <v>25.71</v>
      </c>
      <c r="J34" s="22">
        <f>('Annual Raw'!K18)</f>
        <v>29.54</v>
      </c>
      <c r="K34" s="22">
        <f>('Annual Raw'!L18)</f>
        <v>29.22</v>
      </c>
      <c r="L34" s="22">
        <f>('Annual Raw'!M18)</f>
        <v>45.61</v>
      </c>
      <c r="M34" s="22">
        <f>('Annual Raw'!N18)</f>
        <v>65.45</v>
      </c>
      <c r="N34" s="22">
        <f>('Annual Raw'!O18)</f>
        <v>61.25</v>
      </c>
      <c r="O34" s="22">
        <f>('Annual Raw'!P18)</f>
        <v>44.39</v>
      </c>
      <c r="P34" s="22">
        <f>('Annual Raw'!Q18)</f>
        <v>56.58</v>
      </c>
      <c r="Q34" s="22">
        <f>('Annual Raw'!R18)</f>
        <v>56.54</v>
      </c>
      <c r="R34" s="22">
        <f>('Annual Raw'!S18)</f>
        <v>31.52</v>
      </c>
      <c r="S34" s="22">
        <f>('Annual Raw'!T18)</f>
        <v>65.83</v>
      </c>
      <c r="T34" s="22">
        <f>('Annual Raw'!U18)</f>
        <v>67.64</v>
      </c>
      <c r="U34" s="22">
        <f>('Annual Raw'!V18)</f>
        <v>71.900000000000006</v>
      </c>
      <c r="V34" s="22">
        <f>('Annual Raw'!W18)</f>
        <v>62.83</v>
      </c>
      <c r="W34" s="22">
        <f>('Annual Raw'!X18)</f>
        <v>76.25</v>
      </c>
      <c r="X34" s="22">
        <f>('Annual Raw'!Y18)</f>
        <v>90.59</v>
      </c>
      <c r="Y34" s="22">
        <f>('Annual Raw'!Z18)</f>
        <v>95.04</v>
      </c>
      <c r="Z34" s="22">
        <f>('Annual Raw'!AA18)</f>
        <v>108.03</v>
      </c>
      <c r="AA34" s="22">
        <f>('Annual Raw'!AB18)</f>
        <v>136.94</v>
      </c>
      <c r="AB34" s="75">
        <f t="shared" si="270"/>
        <v>0</v>
      </c>
      <c r="AC34" s="75">
        <f t="shared" si="271"/>
        <v>0</v>
      </c>
      <c r="AD34" s="75">
        <f t="shared" si="272"/>
        <v>0</v>
      </c>
      <c r="AE34" s="75">
        <f t="shared" si="273"/>
        <v>0</v>
      </c>
      <c r="AI34" s="22">
        <f>'QTR Raw'!C18</f>
        <v>0</v>
      </c>
      <c r="AJ34" s="22">
        <f>'QTR Raw'!D18</f>
        <v>0</v>
      </c>
      <c r="AK34" s="22">
        <f>'QTR Raw'!E18</f>
        <v>0</v>
      </c>
      <c r="AL34" s="22">
        <f>'QTR Raw'!F18</f>
        <v>0</v>
      </c>
      <c r="AM34" s="22">
        <f>'QTR Raw'!G18</f>
        <v>0</v>
      </c>
      <c r="AN34" s="22">
        <f>'QTR Raw'!H18</f>
        <v>0</v>
      </c>
      <c r="AO34" s="22">
        <f>'QTR Raw'!I18</f>
        <v>0</v>
      </c>
      <c r="AP34" s="22">
        <f>'QTR Raw'!J18</f>
        <v>0</v>
      </c>
      <c r="AQ34" s="22">
        <f>'QTR Raw'!K18</f>
        <v>0</v>
      </c>
      <c r="AR34" s="22">
        <f>'QTR Raw'!L18</f>
        <v>0</v>
      </c>
      <c r="AS34" s="22">
        <f>'QTR Raw'!M18</f>
        <v>0</v>
      </c>
      <c r="AT34" s="22">
        <f>'QTR Raw'!N18</f>
        <v>0</v>
      </c>
      <c r="AU34" s="22">
        <f>'QTR Raw'!O18</f>
        <v>0</v>
      </c>
      <c r="AV34" s="22">
        <f>'QTR Raw'!P18</f>
        <v>0</v>
      </c>
      <c r="AW34" s="22">
        <f>'QTR Raw'!Q18</f>
        <v>0</v>
      </c>
      <c r="AX34" s="22">
        <f>'QTR Raw'!R18</f>
        <v>0</v>
      </c>
      <c r="AY34" s="22">
        <f>'QTR Raw'!S18</f>
        <v>0</v>
      </c>
      <c r="AZ34" s="22">
        <f>'QTR Raw'!T18</f>
        <v>0</v>
      </c>
      <c r="BA34" s="22">
        <f>'QTR Raw'!U18</f>
        <v>0</v>
      </c>
      <c r="BB34" s="22">
        <f>'QTR Raw'!V18</f>
        <v>0</v>
      </c>
      <c r="BC34" s="22">
        <f>'QTR Raw'!W18</f>
        <v>0</v>
      </c>
      <c r="BD34" s="22">
        <f>'QTR Raw'!X18</f>
        <v>0</v>
      </c>
      <c r="BE34" s="22">
        <f>'QTR Raw'!Y18</f>
        <v>0</v>
      </c>
      <c r="BF34" s="22">
        <f>'QTR Raw'!Z18</f>
        <v>0</v>
      </c>
      <c r="BG34" s="22">
        <f>'QTR Raw'!AA18</f>
        <v>0</v>
      </c>
      <c r="BH34" s="22">
        <f>'QTR Raw'!AB18</f>
        <v>0</v>
      </c>
      <c r="BI34" s="22">
        <f>'QTR Raw'!AC18</f>
        <v>0</v>
      </c>
      <c r="BJ34" s="22">
        <f>'QTR Raw'!AD18</f>
        <v>0</v>
      </c>
      <c r="BK34" s="22">
        <f>'QTR Raw'!AE18</f>
        <v>0</v>
      </c>
      <c r="BL34" s="22">
        <f>'QTR Raw'!AF18</f>
        <v>0</v>
      </c>
      <c r="BM34" s="22">
        <f>'QTR Raw'!AG18</f>
        <v>0</v>
      </c>
      <c r="BN34" s="22">
        <f>'QTR Raw'!AH18</f>
        <v>0</v>
      </c>
      <c r="BO34" s="22">
        <f>'QTR Raw'!AI18</f>
        <v>0</v>
      </c>
      <c r="BP34" s="22">
        <f>'QTR Raw'!AJ18</f>
        <v>0</v>
      </c>
      <c r="BQ34" s="22">
        <f>'QTR Raw'!AK18</f>
        <v>0</v>
      </c>
      <c r="BR34" s="22">
        <f>'QTR Raw'!AL18</f>
        <v>0</v>
      </c>
      <c r="BS34" s="22">
        <f>'QTR Raw'!AM18</f>
        <v>0</v>
      </c>
      <c r="BT34" s="22">
        <f>'QTR Raw'!AN18</f>
        <v>0</v>
      </c>
      <c r="BU34" s="22">
        <f>'QTR Raw'!AO18</f>
        <v>0</v>
      </c>
      <c r="BV34" s="22">
        <f>'QTR Raw'!AP18</f>
        <v>0</v>
      </c>
      <c r="BW34" s="22">
        <f>'QTR Raw'!AQ18</f>
        <v>0</v>
      </c>
      <c r="BX34" s="22">
        <f>'QTR Raw'!AR18</f>
        <v>0</v>
      </c>
      <c r="BY34" s="22">
        <f>'QTR Raw'!AS18</f>
        <v>0</v>
      </c>
      <c r="BZ34" s="22">
        <f>'QTR Raw'!AT18</f>
        <v>0</v>
      </c>
      <c r="CA34" s="22">
        <f>'QTR Raw'!AU18</f>
        <v>0</v>
      </c>
      <c r="CB34" s="22">
        <f>'QTR Raw'!AV18</f>
        <v>0</v>
      </c>
      <c r="CC34" s="22">
        <f>'QTR Raw'!AW18</f>
        <v>0</v>
      </c>
      <c r="CD34" s="22">
        <f>'QTR Raw'!AX18</f>
        <v>0</v>
      </c>
      <c r="CE34" s="22">
        <f>'QTR Raw'!AY18</f>
        <v>0</v>
      </c>
      <c r="CF34" s="22">
        <f>'QTR Raw'!AZ18</f>
        <v>0</v>
      </c>
      <c r="CG34" s="22">
        <f>'QTR Raw'!BA18</f>
        <v>0</v>
      </c>
      <c r="CH34" s="22">
        <f>'QTR Raw'!BB18</f>
        <v>0</v>
      </c>
      <c r="CI34" s="22">
        <f>'QTR Raw'!BC18</f>
        <v>0</v>
      </c>
      <c r="CJ34" s="22">
        <f>'QTR Raw'!BD18</f>
        <v>0</v>
      </c>
      <c r="CL34" s="22">
        <f>'QTR Raw'!BF18</f>
        <v>0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D34" s="122"/>
      <c r="DE34" s="22">
        <v>0</v>
      </c>
    </row>
    <row r="35" spans="1:109" s="22" customFormat="1" outlineLevel="1" x14ac:dyDescent="0.2">
      <c r="A35" s="22" t="s">
        <v>9</v>
      </c>
      <c r="B35" s="22">
        <f>'Annual Raw'!C15+'Annual Raw'!C16</f>
        <v>0</v>
      </c>
      <c r="C35" s="22">
        <f>'Annual Raw'!D15+'Annual Raw'!D16</f>
        <v>0</v>
      </c>
      <c r="D35" s="22">
        <f>'Annual Raw'!E15+'Annual Raw'!E16</f>
        <v>34.35</v>
      </c>
      <c r="E35" s="22">
        <f>'Annual Raw'!F15+'Annual Raw'!F16</f>
        <v>36.17</v>
      </c>
      <c r="F35" s="22">
        <f>'Annual Raw'!G15+'Annual Raw'!G16</f>
        <v>47.84</v>
      </c>
      <c r="G35" s="22">
        <f>'Annual Raw'!H15+'Annual Raw'!H16</f>
        <v>55.7</v>
      </c>
      <c r="H35" s="22">
        <f>'Annual Raw'!I15+'Annual Raw'!I16</f>
        <v>65.14</v>
      </c>
      <c r="I35" s="22">
        <f>'Annual Raw'!J15+'Annual Raw'!J16</f>
        <v>68.680000000000007</v>
      </c>
      <c r="J35" s="22">
        <f>'Annual Raw'!K15+'Annual Raw'!K16</f>
        <v>70.11</v>
      </c>
      <c r="K35" s="22">
        <f>'Annual Raw'!L15+'Annual Raw'!L16</f>
        <v>71.45</v>
      </c>
      <c r="L35" s="22">
        <f>'Annual Raw'!M15+'Annual Raw'!M16</f>
        <v>53.91</v>
      </c>
      <c r="M35" s="22">
        <f>'Annual Raw'!N15+'Annual Raw'!N16</f>
        <v>65.569999999999993</v>
      </c>
      <c r="N35" s="22">
        <f>'Annual Raw'!O15+'Annual Raw'!O16</f>
        <v>71.52</v>
      </c>
      <c r="O35" s="22">
        <f>'Annual Raw'!P15+'Annual Raw'!P16</f>
        <v>85.01</v>
      </c>
      <c r="P35" s="22">
        <f>'Annual Raw'!Q15+'Annual Raw'!Q16</f>
        <v>95.96</v>
      </c>
      <c r="Q35" s="22">
        <f>'Annual Raw'!R15+'Annual Raw'!R16</f>
        <v>105.48</v>
      </c>
      <c r="R35" s="22">
        <f>'Annual Raw'!S15+'Annual Raw'!S16</f>
        <v>132.38</v>
      </c>
      <c r="S35" s="22">
        <f>'Annual Raw'!T15+'Annual Raw'!T16</f>
        <v>292.62</v>
      </c>
      <c r="T35" s="22">
        <f>'Annual Raw'!U15+'Annual Raw'!U16</f>
        <v>348.6</v>
      </c>
      <c r="U35" s="22">
        <f>'Annual Raw'!V15+'Annual Raw'!V16</f>
        <v>332.56</v>
      </c>
      <c r="V35" s="22">
        <f>'Annual Raw'!W15+'Annual Raw'!W16</f>
        <v>295.99</v>
      </c>
      <c r="W35" s="22">
        <f>'Annual Raw'!X15+'Annual Raw'!X16</f>
        <v>430.04</v>
      </c>
      <c r="X35" s="22">
        <f>'Annual Raw'!Y15+'Annual Raw'!Y16</f>
        <v>523.07000000000005</v>
      </c>
      <c r="Y35" s="22">
        <f>'Annual Raw'!Z15+'Annual Raw'!Z16</f>
        <v>544.25</v>
      </c>
      <c r="Z35" s="22">
        <f>'Annual Raw'!AA15+'Annual Raw'!AA16</f>
        <v>559.11</v>
      </c>
      <c r="AA35" s="22">
        <f>'Annual Raw'!AB15+'Annual Raw'!AB16</f>
        <v>708.8</v>
      </c>
      <c r="AB35" s="75">
        <f t="shared" si="270"/>
        <v>1637.2225419717111</v>
      </c>
      <c r="AC35" s="75">
        <f t="shared" si="271"/>
        <v>1984.3970286452429</v>
      </c>
      <c r="AD35" s="75">
        <f t="shared" si="272"/>
        <v>2320.8337419466907</v>
      </c>
      <c r="AE35" s="75">
        <f t="shared" si="273"/>
        <v>2671.765280777714</v>
      </c>
      <c r="AI35" s="22">
        <f>'QTR Raw'!C14</f>
        <v>49.64</v>
      </c>
      <c r="AJ35" s="22">
        <f>'QTR Raw'!D14</f>
        <v>56.7</v>
      </c>
      <c r="AK35" s="22">
        <f>'QTR Raw'!E14</f>
        <v>48.75</v>
      </c>
      <c r="AL35" s="22">
        <f>'QTR Raw'!F14</f>
        <v>48.06</v>
      </c>
      <c r="AM35" s="22">
        <f>'QTR Raw'!G14</f>
        <v>51.53</v>
      </c>
      <c r="AN35" s="22">
        <f>'QTR Raw'!H14</f>
        <v>49.01</v>
      </c>
      <c r="AO35" s="22">
        <f>'QTR Raw'!I14</f>
        <v>54.01</v>
      </c>
      <c r="AP35" s="22">
        <f>'QTR Raw'!J14</f>
        <v>57.84</v>
      </c>
      <c r="AQ35" s="22">
        <f>'QTR Raw'!K14</f>
        <v>57.23</v>
      </c>
      <c r="AR35" s="22">
        <f>'QTR Raw'!L14</f>
        <v>74.28</v>
      </c>
      <c r="AS35" s="22">
        <f>'QTR Raw'!M14</f>
        <v>65.8</v>
      </c>
      <c r="AT35" s="22">
        <f>'QTR Raw'!N14</f>
        <v>75.88</v>
      </c>
      <c r="AU35" s="22">
        <f>'QTR Raw'!O14</f>
        <v>80.53</v>
      </c>
      <c r="AV35" s="22">
        <f>'QTR Raw'!P14</f>
        <v>76.11</v>
      </c>
      <c r="AW35" s="22">
        <f>'QTR Raw'!Q14</f>
        <v>67.72</v>
      </c>
      <c r="AX35" s="22">
        <f>'QTR Raw'!R14</f>
        <v>62.57</v>
      </c>
      <c r="AY35" s="22">
        <f>'QTR Raw'!S14</f>
        <v>63.7</v>
      </c>
      <c r="AZ35" s="22">
        <f>'QTR Raw'!T14</f>
        <v>69.12</v>
      </c>
      <c r="BA35" s="22">
        <f>'QTR Raw'!U14</f>
        <v>72.16</v>
      </c>
      <c r="BB35" s="22">
        <f>'QTR Raw'!V14</f>
        <v>64.650000000000006</v>
      </c>
      <c r="BC35" s="22">
        <f>'QTR Raw'!W14</f>
        <v>73.25</v>
      </c>
      <c r="BD35" s="22">
        <f>'QTR Raw'!X14</f>
        <v>142.21</v>
      </c>
      <c r="BE35" s="22">
        <f>'QTR Raw'!Y14</f>
        <v>157.47999999999999</v>
      </c>
      <c r="BF35" s="22">
        <f>'QTR Raw'!Z14</f>
        <v>145.86000000000001</v>
      </c>
      <c r="BG35" s="22">
        <f>'QTR Raw'!AA14</f>
        <v>153.96</v>
      </c>
      <c r="BH35" s="22">
        <f>'QTR Raw'!AB14</f>
        <v>167.75</v>
      </c>
      <c r="BI35" s="22">
        <f>'QTR Raw'!AC14</f>
        <v>167.06</v>
      </c>
      <c r="BJ35" s="22">
        <f>'QTR Raw'!AD14</f>
        <v>158.15</v>
      </c>
      <c r="BK35" s="22">
        <f>'QTR Raw'!AE14</f>
        <v>176.79</v>
      </c>
      <c r="BL35" s="22">
        <f>'QTR Raw'!AF14</f>
        <v>150.72999999999999</v>
      </c>
      <c r="BM35" s="22">
        <f>'QTR Raw'!AG14</f>
        <v>146.61000000000001</v>
      </c>
      <c r="BN35" s="22">
        <f>'QTR Raw'!AH14</f>
        <v>139.24</v>
      </c>
      <c r="BO35" s="22">
        <f>'QTR Raw'!AI14</f>
        <v>100.07</v>
      </c>
      <c r="BP35" s="22">
        <f>'QTR Raw'!AJ14</f>
        <v>141.55000000000001</v>
      </c>
      <c r="BQ35" s="22">
        <f>'QTR Raw'!AK14</f>
        <v>158.16999999999999</v>
      </c>
      <c r="BR35" s="22">
        <f>'QTR Raw'!AL14</f>
        <v>162.65</v>
      </c>
      <c r="BS35" s="22">
        <f>'QTR Raw'!AM14</f>
        <v>169.25</v>
      </c>
      <c r="BT35" s="22">
        <f>'QTR Raw'!AN14</f>
        <v>192.97</v>
      </c>
      <c r="BU35" s="22">
        <f>'QTR Raw'!AO14</f>
        <v>206.49</v>
      </c>
      <c r="BV35" s="22">
        <f>'QTR Raw'!AP14</f>
        <v>202.4</v>
      </c>
      <c r="BW35" s="22">
        <f>'QTR Raw'!AQ14</f>
        <v>218.97</v>
      </c>
      <c r="BX35" s="22">
        <f>'QTR Raw'!AR14</f>
        <v>221.63</v>
      </c>
      <c r="BY35" s="22">
        <f>'QTR Raw'!AS14</f>
        <v>247.11</v>
      </c>
      <c r="BZ35" s="22">
        <f>'QTR Raw'!AT14</f>
        <v>228.31</v>
      </c>
      <c r="CA35" s="22">
        <f>'QTR Raw'!AU14</f>
        <v>245.75</v>
      </c>
      <c r="CB35" s="22">
        <f>'QTR Raw'!AV14</f>
        <v>232.89</v>
      </c>
      <c r="CC35" s="22">
        <f>'QTR Raw'!AW14</f>
        <v>258</v>
      </c>
      <c r="CD35" s="22">
        <f>'QTR Raw'!AX14</f>
        <v>252.67</v>
      </c>
      <c r="CE35" s="22">
        <f>'QTR Raw'!AY14</f>
        <v>270.64</v>
      </c>
      <c r="CF35" s="22">
        <f>'QTR Raw'!AZ14</f>
        <v>284.64</v>
      </c>
      <c r="CG35" s="22">
        <f>'QTR Raw'!BA14</f>
        <v>279.95999999999998</v>
      </c>
      <c r="CH35" s="22">
        <f>'QTR Raw'!BB14</f>
        <v>298.93</v>
      </c>
      <c r="CI35" s="22">
        <f>'QTR Raw'!BC14</f>
        <v>342.52</v>
      </c>
      <c r="CJ35" s="22">
        <f>'QTR Raw'!BD14</f>
        <v>336.76</v>
      </c>
      <c r="CK35" s="22">
        <v>403.44</v>
      </c>
      <c r="CL35" s="22">
        <f>'QTR Raw'!BF14</f>
        <v>367.12</v>
      </c>
      <c r="CM35" s="23">
        <f t="shared" ref="CM35:DA35" si="274">CM39-CM36</f>
        <v>387.81697676437051</v>
      </c>
      <c r="CN35" s="23">
        <f t="shared" si="274"/>
        <v>413.42333561774751</v>
      </c>
      <c r="CO35" s="23">
        <f t="shared" si="274"/>
        <v>468.86222958959286</v>
      </c>
      <c r="CP35" s="23">
        <f t="shared" si="274"/>
        <v>455.97373887904905</v>
      </c>
      <c r="CQ35" s="23">
        <f t="shared" si="274"/>
        <v>463.92755581720382</v>
      </c>
      <c r="CR35" s="23">
        <f t="shared" si="274"/>
        <v>500.77415295256799</v>
      </c>
      <c r="CS35" s="23">
        <f t="shared" si="274"/>
        <v>563.72158099642206</v>
      </c>
      <c r="CT35" s="23">
        <f t="shared" si="274"/>
        <v>534.29657703533235</v>
      </c>
      <c r="CU35" s="23">
        <f t="shared" si="274"/>
        <v>539.07736592839092</v>
      </c>
      <c r="CV35" s="23">
        <f t="shared" si="274"/>
        <v>586.60305511464981</v>
      </c>
      <c r="CW35" s="23">
        <f t="shared" si="274"/>
        <v>660.85674386831761</v>
      </c>
      <c r="CX35" s="23">
        <f t="shared" si="274"/>
        <v>618.95077623610246</v>
      </c>
      <c r="CY35" s="23">
        <f t="shared" si="274"/>
        <v>620.0550358085311</v>
      </c>
      <c r="CZ35" s="23">
        <f t="shared" si="274"/>
        <v>675.68331281569203</v>
      </c>
      <c r="DA35" s="23">
        <f t="shared" si="274"/>
        <v>757.07615591738852</v>
      </c>
      <c r="DD35" s="122"/>
      <c r="DE35" s="22">
        <v>1381.65</v>
      </c>
    </row>
    <row r="36" spans="1:109" s="22" customFormat="1" outlineLevel="1" x14ac:dyDescent="0.2">
      <c r="A36" s="22" t="s">
        <v>8</v>
      </c>
      <c r="B36" s="22">
        <f>'Annual Raw'!C14</f>
        <v>0</v>
      </c>
      <c r="C36" s="22">
        <f>'Annual Raw'!D14</f>
        <v>0</v>
      </c>
      <c r="D36" s="22">
        <f>'Annual Raw'!E14</f>
        <v>27.84</v>
      </c>
      <c r="E36" s="22">
        <f>'Annual Raw'!F14</f>
        <v>28.02</v>
      </c>
      <c r="F36" s="22">
        <f>'Annual Raw'!G14</f>
        <v>32.32</v>
      </c>
      <c r="G36" s="22">
        <f>'Annual Raw'!H14</f>
        <v>35.32</v>
      </c>
      <c r="H36" s="22">
        <f>'Annual Raw'!I14</f>
        <v>41.34</v>
      </c>
      <c r="I36" s="22">
        <f>'Annual Raw'!J14</f>
        <v>51.56</v>
      </c>
      <c r="J36" s="22">
        <f>'Annual Raw'!K14</f>
        <v>65.88</v>
      </c>
      <c r="K36" s="22">
        <f>'Annual Raw'!L14</f>
        <v>63.01</v>
      </c>
      <c r="L36" s="22">
        <f>'Annual Raw'!M14</f>
        <v>79.22</v>
      </c>
      <c r="M36" s="22">
        <f>'Annual Raw'!N14</f>
        <v>101.18</v>
      </c>
      <c r="N36" s="22">
        <f>'Annual Raw'!O14</f>
        <v>112.89</v>
      </c>
      <c r="O36" s="22">
        <f>'Annual Raw'!P14</f>
        <v>119.13</v>
      </c>
      <c r="P36" s="22">
        <f>'Annual Raw'!Q14</f>
        <v>137.94</v>
      </c>
      <c r="Q36" s="22">
        <f>'Annual Raw'!R14</f>
        <v>132.1</v>
      </c>
      <c r="R36" s="22">
        <f>'Annual Raw'!S14</f>
        <v>149.22999999999999</v>
      </c>
      <c r="S36" s="22">
        <f>'Annual Raw'!T14</f>
        <v>298.64999999999998</v>
      </c>
      <c r="T36" s="22">
        <f>'Annual Raw'!U14</f>
        <v>317.86</v>
      </c>
      <c r="U36" s="22">
        <f>'Annual Raw'!V14</f>
        <v>345.17</v>
      </c>
      <c r="V36" s="22">
        <f>'Annual Raw'!W14</f>
        <v>353.55</v>
      </c>
      <c r="W36" s="22">
        <f>'Annual Raw'!X14</f>
        <v>395.22</v>
      </c>
      <c r="X36" s="22">
        <f>'Annual Raw'!Y14</f>
        <v>430.59</v>
      </c>
      <c r="Y36" s="22">
        <f>'Annual Raw'!Z14</f>
        <v>461.94</v>
      </c>
      <c r="Z36" s="22">
        <f>'Annual Raw'!AA14</f>
        <v>542.17999999999995</v>
      </c>
      <c r="AA36" s="22">
        <f>'Annual Raw'!AB14</f>
        <v>608.64</v>
      </c>
      <c r="AB36" s="75">
        <f t="shared" si="270"/>
        <v>654.39440000000002</v>
      </c>
      <c r="AC36" s="75">
        <f t="shared" si="271"/>
        <v>700.20200800000009</v>
      </c>
      <c r="AD36" s="75">
        <f t="shared" si="272"/>
        <v>749.21614856000008</v>
      </c>
      <c r="AE36" s="75">
        <f t="shared" si="273"/>
        <v>801.6612789592001</v>
      </c>
      <c r="AI36" s="22">
        <f>'QTR Raw'!C16</f>
        <v>27.87</v>
      </c>
      <c r="AJ36" s="22">
        <f>'QTR Raw'!D16</f>
        <v>27.67</v>
      </c>
      <c r="AK36" s="22">
        <f>'QTR Raw'!E16</f>
        <v>30.36</v>
      </c>
      <c r="AL36" s="22">
        <f>'QTR Raw'!F16</f>
        <v>29.94</v>
      </c>
      <c r="AM36" s="22">
        <f>'QTR Raw'!G16</f>
        <v>31.76</v>
      </c>
      <c r="AN36" s="22">
        <f>'QTR Raw'!H16</f>
        <v>31.27</v>
      </c>
      <c r="AO36" s="22">
        <f>'QTR Raw'!I16</f>
        <v>26.16</v>
      </c>
      <c r="AP36" s="22">
        <f>'QTR Raw'!J16</f>
        <v>37.479999999999997</v>
      </c>
      <c r="AQ36" s="22">
        <f>'QTR Raw'!K16</f>
        <v>33.770000000000003</v>
      </c>
      <c r="AR36" s="22">
        <f>'QTR Raw'!L16</f>
        <v>31.79</v>
      </c>
      <c r="AS36" s="22">
        <f>'QTR Raw'!M16</f>
        <v>34.9</v>
      </c>
      <c r="AT36" s="22">
        <f>'QTR Raw'!N16</f>
        <v>33.97</v>
      </c>
      <c r="AU36" s="22">
        <f>'QTR Raw'!O16</f>
        <v>32.92</v>
      </c>
      <c r="AV36" s="22">
        <f>'QTR Raw'!P16</f>
        <v>33.840000000000003</v>
      </c>
      <c r="AW36" s="22">
        <f>'QTR Raw'!Q16</f>
        <v>31.04</v>
      </c>
      <c r="AX36" s="22">
        <f>'QTR Raw'!R16</f>
        <v>35.43</v>
      </c>
      <c r="AY36" s="22">
        <f>'QTR Raw'!S16</f>
        <v>36.44</v>
      </c>
      <c r="AZ36" s="22">
        <f>'QTR Raw'!T16</f>
        <v>36.020000000000003</v>
      </c>
      <c r="BA36" s="22">
        <f>'QTR Raw'!U16</f>
        <v>41.34</v>
      </c>
      <c r="BB36" s="22">
        <f>'QTR Raw'!V16</f>
        <v>37.56</v>
      </c>
      <c r="BC36" s="22">
        <f>'QTR Raw'!W16</f>
        <v>39.79</v>
      </c>
      <c r="BD36" s="22">
        <f>'QTR Raw'!X16</f>
        <v>75.459999999999994</v>
      </c>
      <c r="BE36" s="22">
        <f>'QTR Raw'!Y16</f>
        <v>72.86</v>
      </c>
      <c r="BF36" s="22">
        <f>'QTR Raw'!Z16</f>
        <v>78.39</v>
      </c>
      <c r="BG36" s="22">
        <f>'QTR Raw'!AA16</f>
        <v>79.31</v>
      </c>
      <c r="BH36" s="22">
        <f>'QTR Raw'!AB16</f>
        <v>81.64</v>
      </c>
      <c r="BI36" s="22">
        <f>'QTR Raw'!AC16</f>
        <v>78.52</v>
      </c>
      <c r="BJ36" s="22">
        <f>'QTR Raw'!AD16</f>
        <v>84.19</v>
      </c>
      <c r="BK36" s="22">
        <f>'QTR Raw'!AE16</f>
        <v>91.51</v>
      </c>
      <c r="BL36" s="22">
        <f>'QTR Raw'!AF16</f>
        <v>89.14</v>
      </c>
      <c r="BM36" s="22">
        <f>'QTR Raw'!AG16</f>
        <v>80.33</v>
      </c>
      <c r="BN36" s="22">
        <f>'QTR Raw'!AH16</f>
        <v>92.8</v>
      </c>
      <c r="BO36" s="22">
        <f>'QTR Raw'!AI16</f>
        <v>83.57</v>
      </c>
      <c r="BP36" s="22">
        <f>'QTR Raw'!AJ16</f>
        <v>82.35</v>
      </c>
      <c r="BQ36" s="22">
        <f>'QTR Raw'!AK16</f>
        <v>94.83</v>
      </c>
      <c r="BR36" s="22">
        <f>'QTR Raw'!AL16</f>
        <v>97.84</v>
      </c>
      <c r="BS36" s="22">
        <f>'QTR Raw'!AM16</f>
        <v>98.21</v>
      </c>
      <c r="BT36" s="22">
        <f>'QTR Raw'!AN16</f>
        <v>99.71</v>
      </c>
      <c r="BU36" s="22">
        <f>'QTR Raw'!AO16</f>
        <v>99.46</v>
      </c>
      <c r="BV36" s="22">
        <f>'QTR Raw'!AP16</f>
        <v>104.37</v>
      </c>
      <c r="BW36" s="22">
        <f>'QTR Raw'!AQ16</f>
        <v>108.94</v>
      </c>
      <c r="BX36" s="22">
        <f>'QTR Raw'!AR16</f>
        <v>109.13</v>
      </c>
      <c r="BY36" s="22">
        <f>'QTR Raw'!AS16</f>
        <v>108.15</v>
      </c>
      <c r="BZ36" s="22">
        <f>'QTR Raw'!AT16</f>
        <v>113.89</v>
      </c>
      <c r="CA36" s="22">
        <f>'QTR Raw'!AU16</f>
        <v>118.46</v>
      </c>
      <c r="CB36" s="22">
        <f>'QTR Raw'!AV16</f>
        <v>115.03</v>
      </c>
      <c r="CC36" s="22">
        <f>'QTR Raw'!AW16</f>
        <v>114.56</v>
      </c>
      <c r="CD36" s="22">
        <f>'QTR Raw'!AX16</f>
        <v>126.57</v>
      </c>
      <c r="CE36" s="22">
        <f>'QTR Raw'!AY16</f>
        <v>147.69</v>
      </c>
      <c r="CF36" s="22">
        <f>'QTR Raw'!AZ16</f>
        <v>140.46</v>
      </c>
      <c r="CG36" s="22">
        <f>'QTR Raw'!BA16</f>
        <v>127.46</v>
      </c>
      <c r="CH36" s="22">
        <f>'QTR Raw'!BB16</f>
        <v>134.72</v>
      </c>
      <c r="CI36" s="22">
        <f>'QTR Raw'!BC16</f>
        <v>151.46</v>
      </c>
      <c r="CJ36" s="22">
        <f>'QTR Raw'!BD16</f>
        <v>151.07</v>
      </c>
      <c r="CK36" s="22">
        <v>171.39</v>
      </c>
      <c r="CL36" s="22">
        <f>'QTR Raw'!BF16</f>
        <v>147.30000000000001</v>
      </c>
      <c r="CM36" s="23">
        <f t="shared" ref="CM36:DA36" si="275">CI36*107%</f>
        <v>162.06220000000002</v>
      </c>
      <c r="CN36" s="23">
        <f t="shared" si="275"/>
        <v>161.64490000000001</v>
      </c>
      <c r="CO36" s="23">
        <f t="shared" si="275"/>
        <v>183.38729999999998</v>
      </c>
      <c r="CP36" s="23">
        <f t="shared" si="275"/>
        <v>157.61100000000002</v>
      </c>
      <c r="CQ36" s="23">
        <f t="shared" si="275"/>
        <v>173.40655400000003</v>
      </c>
      <c r="CR36" s="23">
        <f t="shared" si="275"/>
        <v>172.96004300000001</v>
      </c>
      <c r="CS36" s="23">
        <f t="shared" si="275"/>
        <v>196.224411</v>
      </c>
      <c r="CT36" s="23">
        <f t="shared" si="275"/>
        <v>168.64377000000002</v>
      </c>
      <c r="CU36" s="23">
        <f t="shared" si="275"/>
        <v>185.54501278000004</v>
      </c>
      <c r="CV36" s="23">
        <f t="shared" si="275"/>
        <v>185.06724601000002</v>
      </c>
      <c r="CW36" s="23">
        <f t="shared" si="275"/>
        <v>209.96011977000001</v>
      </c>
      <c r="CX36" s="23">
        <f t="shared" si="275"/>
        <v>180.44883390000004</v>
      </c>
      <c r="CY36" s="23">
        <f t="shared" si="275"/>
        <v>198.53316367460005</v>
      </c>
      <c r="CZ36" s="23">
        <f t="shared" si="275"/>
        <v>198.02195323070003</v>
      </c>
      <c r="DA36" s="23">
        <f t="shared" si="275"/>
        <v>224.65732815390001</v>
      </c>
      <c r="DD36" s="122"/>
      <c r="DE36" s="22">
        <v>608.64</v>
      </c>
    </row>
    <row r="37" spans="1:109" s="22" customFormat="1" outlineLevel="1" x14ac:dyDescent="0.2">
      <c r="A37" s="22" t="s">
        <v>10</v>
      </c>
      <c r="B37" s="22">
        <f>'Annual Raw'!C17</f>
        <v>0</v>
      </c>
      <c r="C37" s="22">
        <f>'Annual Raw'!D17</f>
        <v>0</v>
      </c>
      <c r="D37" s="22">
        <f>'Annual Raw'!E17</f>
        <v>19.260000000000002</v>
      </c>
      <c r="E37" s="22">
        <f>'Annual Raw'!F17</f>
        <v>19.14</v>
      </c>
      <c r="F37" s="22">
        <f>'Annual Raw'!G17</f>
        <v>13.69</v>
      </c>
      <c r="G37" s="22">
        <f>'Annual Raw'!H17</f>
        <v>17.670000000000002</v>
      </c>
      <c r="H37" s="22">
        <f>'Annual Raw'!I17</f>
        <v>20.63</v>
      </c>
      <c r="I37" s="22">
        <f>'Annual Raw'!J17</f>
        <v>24.51</v>
      </c>
      <c r="J37" s="22">
        <f>'Annual Raw'!K17</f>
        <v>27.03</v>
      </c>
      <c r="K37" s="22">
        <f>'Annual Raw'!L17</f>
        <v>23.98</v>
      </c>
      <c r="L37" s="22">
        <f>'Annual Raw'!M17</f>
        <v>33.380000000000003</v>
      </c>
      <c r="M37" s="22">
        <f>'Annual Raw'!N17</f>
        <v>41.47</v>
      </c>
      <c r="N37" s="22">
        <f>'Annual Raw'!O17</f>
        <v>48.02</v>
      </c>
      <c r="O37" s="22">
        <f>'Annual Raw'!P17</f>
        <v>44.64</v>
      </c>
      <c r="P37" s="22">
        <f>'Annual Raw'!Q17</f>
        <v>47.16</v>
      </c>
      <c r="Q37" s="22">
        <f>'Annual Raw'!R17</f>
        <v>50.14</v>
      </c>
      <c r="R37" s="22">
        <f>'Annual Raw'!S17</f>
        <v>53.63</v>
      </c>
      <c r="S37" s="22">
        <f>'Annual Raw'!T17</f>
        <v>134.57</v>
      </c>
      <c r="T37" s="22">
        <f>'Annual Raw'!U17</f>
        <v>140.81</v>
      </c>
      <c r="U37" s="22">
        <f>'Annual Raw'!V17</f>
        <v>131.1</v>
      </c>
      <c r="V37" s="22">
        <f>'Annual Raw'!W17</f>
        <v>96.57</v>
      </c>
      <c r="W37" s="22">
        <f>'Annual Raw'!X17</f>
        <v>132.58000000000001</v>
      </c>
      <c r="X37" s="22">
        <f>'Annual Raw'!Y17</f>
        <v>174.89</v>
      </c>
      <c r="Y37" s="22">
        <f>'Annual Raw'!Z17</f>
        <v>207.39</v>
      </c>
      <c r="Z37" s="22">
        <f>'Annual Raw'!AA17</f>
        <v>294.7</v>
      </c>
      <c r="AA37" s="22">
        <f>'Annual Raw'!AB17</f>
        <v>369.01</v>
      </c>
      <c r="AB37" s="75">
        <f t="shared" si="270"/>
        <v>0</v>
      </c>
      <c r="AC37" s="75">
        <f t="shared" si="271"/>
        <v>0</v>
      </c>
      <c r="AD37" s="75">
        <f t="shared" si="272"/>
        <v>0</v>
      </c>
      <c r="AE37" s="75">
        <f t="shared" si="273"/>
        <v>0</v>
      </c>
      <c r="AI37" s="22">
        <f>'QTR Raw'!C17</f>
        <v>0</v>
      </c>
      <c r="AJ37" s="22">
        <f>'QTR Raw'!D17</f>
        <v>0</v>
      </c>
      <c r="AK37" s="22">
        <f>'QTR Raw'!E17</f>
        <v>0</v>
      </c>
      <c r="AL37" s="22">
        <f>'QTR Raw'!F17</f>
        <v>0</v>
      </c>
      <c r="AM37" s="22">
        <f>'QTR Raw'!G17</f>
        <v>0</v>
      </c>
      <c r="AN37" s="22">
        <f>'QTR Raw'!H17</f>
        <v>0</v>
      </c>
      <c r="AO37" s="22">
        <f>'QTR Raw'!I17</f>
        <v>0</v>
      </c>
      <c r="AP37" s="22">
        <f>'QTR Raw'!J17</f>
        <v>0</v>
      </c>
      <c r="AQ37" s="22">
        <f>'QTR Raw'!K17</f>
        <v>0</v>
      </c>
      <c r="AR37" s="22">
        <f>'QTR Raw'!L17</f>
        <v>0</v>
      </c>
      <c r="AS37" s="22">
        <f>'QTR Raw'!M17</f>
        <v>0</v>
      </c>
      <c r="AT37" s="22">
        <f>'QTR Raw'!N17</f>
        <v>0</v>
      </c>
      <c r="AU37" s="22">
        <f>'QTR Raw'!O17</f>
        <v>0</v>
      </c>
      <c r="AV37" s="22">
        <f>'QTR Raw'!P17</f>
        <v>0</v>
      </c>
      <c r="AW37" s="22">
        <f>'QTR Raw'!Q17</f>
        <v>0</v>
      </c>
      <c r="AX37" s="22">
        <f>'QTR Raw'!R17</f>
        <v>0</v>
      </c>
      <c r="AY37" s="22">
        <f>'QTR Raw'!S17</f>
        <v>0</v>
      </c>
      <c r="AZ37" s="22">
        <f>'QTR Raw'!T17</f>
        <v>0</v>
      </c>
      <c r="BA37" s="22">
        <f>'QTR Raw'!U17</f>
        <v>0</v>
      </c>
      <c r="BB37" s="22">
        <f>'QTR Raw'!V17</f>
        <v>0</v>
      </c>
      <c r="BC37" s="22">
        <f>'QTR Raw'!W17</f>
        <v>0</v>
      </c>
      <c r="BD37" s="22">
        <f>'QTR Raw'!X17</f>
        <v>0</v>
      </c>
      <c r="BE37" s="22">
        <f>'QTR Raw'!Y17</f>
        <v>0</v>
      </c>
      <c r="BF37" s="22">
        <f>'QTR Raw'!Z17</f>
        <v>0</v>
      </c>
      <c r="BG37" s="22">
        <f>'QTR Raw'!AA17</f>
        <v>0</v>
      </c>
      <c r="BH37" s="22">
        <f>'QTR Raw'!AB17</f>
        <v>0</v>
      </c>
      <c r="BI37" s="22">
        <f>'QTR Raw'!AC17</f>
        <v>0</v>
      </c>
      <c r="BJ37" s="22">
        <f>'QTR Raw'!AD17</f>
        <v>0</v>
      </c>
      <c r="BK37" s="22">
        <f>'QTR Raw'!AE17</f>
        <v>0</v>
      </c>
      <c r="BL37" s="22">
        <f>'QTR Raw'!AF17</f>
        <v>0</v>
      </c>
      <c r="BM37" s="22">
        <f>'QTR Raw'!AG17</f>
        <v>0</v>
      </c>
      <c r="BN37" s="22">
        <f>'QTR Raw'!AH17</f>
        <v>0</v>
      </c>
      <c r="BO37" s="22">
        <f>'QTR Raw'!AI17</f>
        <v>0</v>
      </c>
      <c r="BP37" s="22">
        <f>'QTR Raw'!AJ17</f>
        <v>0</v>
      </c>
      <c r="BQ37" s="22">
        <f>'QTR Raw'!AK17</f>
        <v>0</v>
      </c>
      <c r="BR37" s="22">
        <f>'QTR Raw'!AL17</f>
        <v>0</v>
      </c>
      <c r="BS37" s="22">
        <f>'QTR Raw'!AM17</f>
        <v>0</v>
      </c>
      <c r="BT37" s="22">
        <f>'QTR Raw'!AN17</f>
        <v>0</v>
      </c>
      <c r="BU37" s="22">
        <f>'QTR Raw'!AO17</f>
        <v>0</v>
      </c>
      <c r="BV37" s="22">
        <f>'QTR Raw'!AP17</f>
        <v>0</v>
      </c>
      <c r="BW37" s="22">
        <f>'QTR Raw'!AQ17</f>
        <v>0</v>
      </c>
      <c r="BX37" s="22">
        <f>'QTR Raw'!AR17</f>
        <v>0</v>
      </c>
      <c r="BY37" s="22">
        <f>'QTR Raw'!AS17</f>
        <v>0</v>
      </c>
      <c r="BZ37" s="22">
        <f>'QTR Raw'!AT17</f>
        <v>0</v>
      </c>
      <c r="CA37" s="22">
        <f>'QTR Raw'!AU17</f>
        <v>0</v>
      </c>
      <c r="CB37" s="22">
        <f>'QTR Raw'!AV17</f>
        <v>0</v>
      </c>
      <c r="CC37" s="22">
        <f>'QTR Raw'!AW17</f>
        <v>0</v>
      </c>
      <c r="CD37" s="22">
        <f>'QTR Raw'!AX17</f>
        <v>0</v>
      </c>
      <c r="CE37" s="22">
        <f>'QTR Raw'!AY17</f>
        <v>0</v>
      </c>
      <c r="CF37" s="22">
        <f>'QTR Raw'!AZ17</f>
        <v>0</v>
      </c>
      <c r="CG37" s="22">
        <f>'QTR Raw'!BA17</f>
        <v>0</v>
      </c>
      <c r="CH37" s="22">
        <f>'QTR Raw'!BB17</f>
        <v>0</v>
      </c>
      <c r="CI37" s="22">
        <f>'QTR Raw'!BC17</f>
        <v>0</v>
      </c>
      <c r="CJ37" s="22">
        <f>'QTR Raw'!BD17</f>
        <v>0</v>
      </c>
      <c r="CL37" s="22">
        <f>'QTR Raw'!BF17</f>
        <v>0</v>
      </c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D37" s="122"/>
      <c r="DE37" s="22">
        <v>0</v>
      </c>
    </row>
    <row r="38" spans="1:109" s="22" customFormat="1" outlineLevel="1" x14ac:dyDescent="0.2">
      <c r="A38" s="22" t="s">
        <v>12</v>
      </c>
      <c r="B38" s="22">
        <f>'Annual Raw'!C19-'Annual Raw'!C20</f>
        <v>0</v>
      </c>
      <c r="C38" s="22">
        <f>'Annual Raw'!D19-'Annual Raw'!D20</f>
        <v>0</v>
      </c>
      <c r="D38" s="22">
        <f>'Annual Raw'!E19-'Annual Raw'!E20</f>
        <v>5.6109999999999998</v>
      </c>
      <c r="E38" s="22">
        <f>'Annual Raw'!F19-'Annual Raw'!F20</f>
        <v>4.0999999999999996</v>
      </c>
      <c r="F38" s="22">
        <f>'Annual Raw'!G19-'Annual Raw'!G20</f>
        <v>2.92</v>
      </c>
      <c r="G38" s="22">
        <f>'Annual Raw'!H19-'Annual Raw'!H20</f>
        <v>3.79</v>
      </c>
      <c r="H38" s="22">
        <f>'Annual Raw'!I19-'Annual Raw'!I20</f>
        <v>3.91</v>
      </c>
      <c r="I38" s="22">
        <f>'Annual Raw'!J19-'Annual Raw'!J20</f>
        <v>9.68</v>
      </c>
      <c r="J38" s="22">
        <f>'Annual Raw'!K19-'Annual Raw'!K20</f>
        <v>10.34</v>
      </c>
      <c r="K38" s="22">
        <f>'Annual Raw'!L19-'Annual Raw'!L20</f>
        <v>14.78</v>
      </c>
      <c r="L38" s="22">
        <f>'Annual Raw'!M19-'Annual Raw'!M20</f>
        <v>17.79</v>
      </c>
      <c r="M38" s="22">
        <f>'Annual Raw'!N19-'Annual Raw'!N20</f>
        <v>1.93</v>
      </c>
      <c r="N38" s="22">
        <f>'Annual Raw'!O19-'Annual Raw'!O20</f>
        <v>2.46</v>
      </c>
      <c r="O38" s="22">
        <f>'Annual Raw'!P19-'Annual Raw'!P20</f>
        <v>2.72</v>
      </c>
      <c r="P38" s="22">
        <f>'Annual Raw'!Q19-'Annual Raw'!Q20</f>
        <v>21.82</v>
      </c>
      <c r="Q38" s="22">
        <f>'Annual Raw'!R19-'Annual Raw'!R20</f>
        <v>45.58</v>
      </c>
      <c r="R38" s="22">
        <f>'Annual Raw'!S19-'Annual Raw'!S20</f>
        <v>12.28</v>
      </c>
      <c r="S38" s="22">
        <f>'Annual Raw'!T19-'Annual Raw'!T20</f>
        <v>26.29</v>
      </c>
      <c r="T38" s="22">
        <f>'Annual Raw'!U19-'Annual Raw'!U20</f>
        <v>50.32</v>
      </c>
      <c r="U38" s="22">
        <f>'Annual Raw'!V19-'Annual Raw'!V20</f>
        <v>31.16</v>
      </c>
      <c r="V38" s="22">
        <f>'Annual Raw'!W19-'Annual Raw'!W20</f>
        <v>26.15</v>
      </c>
      <c r="W38" s="22">
        <f>'Annual Raw'!X19-'Annual Raw'!X20</f>
        <v>16.38</v>
      </c>
      <c r="X38" s="22">
        <f>'Annual Raw'!Y19-'Annual Raw'!Y20</f>
        <v>12.64</v>
      </c>
      <c r="Y38" s="22">
        <f>'Annual Raw'!Z19-'Annual Raw'!Z20</f>
        <v>19.59</v>
      </c>
      <c r="Z38" s="22">
        <f>'Annual Raw'!AA19-'Annual Raw'!AA20</f>
        <v>18.829999999999998</v>
      </c>
      <c r="AA38" s="22">
        <f>'Annual Raw'!AB19-'Annual Raw'!AB20</f>
        <v>45.18</v>
      </c>
      <c r="AB38" s="75">
        <f t="shared" si="270"/>
        <v>0</v>
      </c>
      <c r="AC38" s="75">
        <f t="shared" si="271"/>
        <v>0</v>
      </c>
      <c r="AD38" s="75">
        <f t="shared" si="272"/>
        <v>0</v>
      </c>
      <c r="AE38" s="75">
        <f t="shared" si="273"/>
        <v>0</v>
      </c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D38" s="122"/>
      <c r="DE38" s="22">
        <v>0</v>
      </c>
    </row>
    <row r="39" spans="1:109" s="21" customFormat="1" x14ac:dyDescent="0.2">
      <c r="A39" s="32" t="s">
        <v>348</v>
      </c>
      <c r="B39" s="21">
        <f t="shared" ref="B39:AE39" si="276">+SUM(B33:B38)</f>
        <v>0</v>
      </c>
      <c r="C39" s="21">
        <f t="shared" si="276"/>
        <v>0</v>
      </c>
      <c r="D39" s="21">
        <f t="shared" si="276"/>
        <v>107.17100000000001</v>
      </c>
      <c r="E39" s="21">
        <f t="shared" si="276"/>
        <v>110.72</v>
      </c>
      <c r="F39" s="21">
        <f t="shared" si="276"/>
        <v>122.83999999999999</v>
      </c>
      <c r="G39" s="21">
        <f t="shared" si="276"/>
        <v>139.17999999999998</v>
      </c>
      <c r="H39" s="21">
        <f t="shared" si="276"/>
        <v>163.65</v>
      </c>
      <c r="I39" s="21">
        <f t="shared" si="276"/>
        <v>195.08</v>
      </c>
      <c r="J39" s="21">
        <f t="shared" si="276"/>
        <v>220.39</v>
      </c>
      <c r="K39" s="21">
        <f t="shared" si="276"/>
        <v>227.64999999999998</v>
      </c>
      <c r="L39" s="21">
        <f t="shared" si="276"/>
        <v>248.67999999999998</v>
      </c>
      <c r="M39" s="21">
        <f t="shared" si="276"/>
        <v>295.04000000000002</v>
      </c>
      <c r="N39" s="21">
        <f t="shared" si="276"/>
        <v>318.20999999999992</v>
      </c>
      <c r="O39" s="21">
        <f t="shared" si="276"/>
        <v>320.14</v>
      </c>
      <c r="P39" s="21">
        <f t="shared" si="276"/>
        <v>392.46</v>
      </c>
      <c r="Q39" s="21">
        <f t="shared" si="276"/>
        <v>426.06</v>
      </c>
      <c r="R39" s="21">
        <f t="shared" si="276"/>
        <v>414.65999999999997</v>
      </c>
      <c r="S39" s="21">
        <f t="shared" si="276"/>
        <v>879.97</v>
      </c>
      <c r="T39" s="21">
        <f t="shared" si="276"/>
        <v>990.96000000000015</v>
      </c>
      <c r="U39" s="21">
        <f t="shared" si="276"/>
        <v>976.78</v>
      </c>
      <c r="V39" s="21">
        <f t="shared" si="276"/>
        <v>891.88</v>
      </c>
      <c r="W39" s="21">
        <f t="shared" si="276"/>
        <v>1125.3500000000001</v>
      </c>
      <c r="X39" s="21">
        <f t="shared" si="276"/>
        <v>1319.24</v>
      </c>
      <c r="Y39" s="21">
        <f t="shared" si="276"/>
        <v>1426.3</v>
      </c>
      <c r="Z39" s="21">
        <f t="shared" si="276"/>
        <v>1629.58</v>
      </c>
      <c r="AA39" s="21">
        <f t="shared" ref="AA39" si="277">+SUM(AA33:AA38)</f>
        <v>1990.13</v>
      </c>
      <c r="AB39" s="20">
        <f t="shared" si="276"/>
        <v>2291.6169419717112</v>
      </c>
      <c r="AC39" s="20">
        <f t="shared" si="276"/>
        <v>2684.5990366452429</v>
      </c>
      <c r="AD39" s="20">
        <f t="shared" si="276"/>
        <v>3070.0498905066906</v>
      </c>
      <c r="AE39" s="20">
        <f t="shared" si="276"/>
        <v>3473.426559736914</v>
      </c>
      <c r="AI39" s="21">
        <f t="shared" ref="AI39:BN39" si="278">+SUM(AI33:AI38)</f>
        <v>77.510000000000005</v>
      </c>
      <c r="AJ39" s="21">
        <f t="shared" si="278"/>
        <v>84.37</v>
      </c>
      <c r="AK39" s="21">
        <f t="shared" si="278"/>
        <v>79.11</v>
      </c>
      <c r="AL39" s="21">
        <f t="shared" si="278"/>
        <v>78</v>
      </c>
      <c r="AM39" s="21">
        <f t="shared" si="278"/>
        <v>83.29</v>
      </c>
      <c r="AN39" s="21">
        <f t="shared" si="278"/>
        <v>80.28</v>
      </c>
      <c r="AO39" s="21">
        <f t="shared" si="278"/>
        <v>80.17</v>
      </c>
      <c r="AP39" s="21">
        <f t="shared" si="278"/>
        <v>95.32</v>
      </c>
      <c r="AQ39" s="21">
        <f t="shared" si="278"/>
        <v>91</v>
      </c>
      <c r="AR39" s="21">
        <f t="shared" si="278"/>
        <v>106.07</v>
      </c>
      <c r="AS39" s="21">
        <f t="shared" si="278"/>
        <v>100.69999999999999</v>
      </c>
      <c r="AT39" s="21">
        <f t="shared" si="278"/>
        <v>109.85</v>
      </c>
      <c r="AU39" s="21">
        <f t="shared" si="278"/>
        <v>113.45</v>
      </c>
      <c r="AV39" s="21">
        <f t="shared" si="278"/>
        <v>109.95</v>
      </c>
      <c r="AW39" s="21">
        <f t="shared" si="278"/>
        <v>98.759999999999991</v>
      </c>
      <c r="AX39" s="21">
        <f t="shared" si="278"/>
        <v>98</v>
      </c>
      <c r="AY39" s="21">
        <f t="shared" si="278"/>
        <v>100.14</v>
      </c>
      <c r="AZ39" s="21">
        <f t="shared" si="278"/>
        <v>105.14000000000001</v>
      </c>
      <c r="BA39" s="21">
        <f t="shared" si="278"/>
        <v>113.5</v>
      </c>
      <c r="BB39" s="21">
        <f t="shared" si="278"/>
        <v>102.21000000000001</v>
      </c>
      <c r="BC39" s="21">
        <f t="shared" si="278"/>
        <v>113.03999999999999</v>
      </c>
      <c r="BD39" s="21">
        <f t="shared" si="278"/>
        <v>217.67000000000002</v>
      </c>
      <c r="BE39" s="21">
        <f t="shared" si="278"/>
        <v>230.33999999999997</v>
      </c>
      <c r="BF39" s="21">
        <f t="shared" si="278"/>
        <v>224.25</v>
      </c>
      <c r="BG39" s="21">
        <f t="shared" si="278"/>
        <v>233.27</v>
      </c>
      <c r="BH39" s="21">
        <f t="shared" si="278"/>
        <v>249.39</v>
      </c>
      <c r="BI39" s="21">
        <f t="shared" si="278"/>
        <v>245.57999999999998</v>
      </c>
      <c r="BJ39" s="21">
        <f t="shared" si="278"/>
        <v>242.34</v>
      </c>
      <c r="BK39" s="21">
        <f t="shared" si="278"/>
        <v>268.3</v>
      </c>
      <c r="BL39" s="21">
        <f t="shared" si="278"/>
        <v>239.87</v>
      </c>
      <c r="BM39" s="21">
        <f t="shared" si="278"/>
        <v>226.94</v>
      </c>
      <c r="BN39" s="21">
        <f t="shared" si="278"/>
        <v>232.04000000000002</v>
      </c>
      <c r="BO39" s="21">
        <f t="shared" ref="BO39:CI39" si="279">+SUM(BO33:BO38)</f>
        <v>183.64</v>
      </c>
      <c r="BP39" s="21">
        <f t="shared" si="279"/>
        <v>223.9</v>
      </c>
      <c r="BQ39" s="21">
        <f t="shared" si="279"/>
        <v>253</v>
      </c>
      <c r="BR39" s="21">
        <f t="shared" si="279"/>
        <v>260.49</v>
      </c>
      <c r="BS39" s="21">
        <f t="shared" si="279"/>
        <v>267.45999999999998</v>
      </c>
      <c r="BT39" s="21">
        <f t="shared" si="279"/>
        <v>292.68</v>
      </c>
      <c r="BU39" s="21">
        <f t="shared" si="279"/>
        <v>305.95</v>
      </c>
      <c r="BV39" s="21">
        <f t="shared" si="279"/>
        <v>306.77</v>
      </c>
      <c r="BW39" s="21">
        <f t="shared" si="279"/>
        <v>327.90999999999997</v>
      </c>
      <c r="BX39" s="21">
        <f t="shared" si="279"/>
        <v>330.76</v>
      </c>
      <c r="BY39" s="21">
        <f t="shared" si="279"/>
        <v>355.26</v>
      </c>
      <c r="BZ39" s="21">
        <f t="shared" si="279"/>
        <v>342.2</v>
      </c>
      <c r="CA39" s="21">
        <f t="shared" si="279"/>
        <v>364.21</v>
      </c>
      <c r="CB39" s="21">
        <f t="shared" si="279"/>
        <v>347.91999999999996</v>
      </c>
      <c r="CC39" s="21">
        <f t="shared" si="279"/>
        <v>372.56</v>
      </c>
      <c r="CD39" s="21">
        <f t="shared" si="279"/>
        <v>379.24</v>
      </c>
      <c r="CE39" s="21">
        <f t="shared" si="279"/>
        <v>418.33</v>
      </c>
      <c r="CF39" s="21">
        <f t="shared" si="279"/>
        <v>425.1</v>
      </c>
      <c r="CG39" s="21">
        <f t="shared" si="279"/>
        <v>407.41999999999996</v>
      </c>
      <c r="CH39" s="21">
        <f t="shared" si="279"/>
        <v>433.65</v>
      </c>
      <c r="CI39" s="21">
        <f t="shared" si="279"/>
        <v>493.98</v>
      </c>
      <c r="CJ39" s="21">
        <f>+SUM(CJ33:CJ38)</f>
        <v>487.83</v>
      </c>
      <c r="CK39" s="21">
        <f>+SUM(CK33:CK38)</f>
        <v>574.82999999999993</v>
      </c>
      <c r="CL39" s="21">
        <f>+SUM(CL33:CL38)</f>
        <v>514.42000000000007</v>
      </c>
      <c r="CM39" s="20">
        <f t="shared" ref="CM39:DA39" si="280">CM40*CM23</f>
        <v>549.87917676437053</v>
      </c>
      <c r="CN39" s="20">
        <f t="shared" si="280"/>
        <v>575.06823561774752</v>
      </c>
      <c r="CO39" s="20">
        <f t="shared" si="280"/>
        <v>652.24952958959284</v>
      </c>
      <c r="CP39" s="20">
        <f t="shared" si="280"/>
        <v>613.58473887904904</v>
      </c>
      <c r="CQ39" s="20">
        <f t="shared" si="280"/>
        <v>637.33410981720385</v>
      </c>
      <c r="CR39" s="20">
        <f t="shared" si="280"/>
        <v>673.73419595256803</v>
      </c>
      <c r="CS39" s="20">
        <f t="shared" si="280"/>
        <v>759.94599199642209</v>
      </c>
      <c r="CT39" s="20">
        <f t="shared" si="280"/>
        <v>702.94034703533237</v>
      </c>
      <c r="CU39" s="20">
        <f t="shared" si="280"/>
        <v>724.62237870839101</v>
      </c>
      <c r="CV39" s="20">
        <f t="shared" si="280"/>
        <v>771.67030112464988</v>
      </c>
      <c r="CW39" s="20">
        <f t="shared" si="280"/>
        <v>870.81686363831761</v>
      </c>
      <c r="CX39" s="20">
        <f t="shared" si="280"/>
        <v>799.39961013610252</v>
      </c>
      <c r="CY39" s="20">
        <f t="shared" si="280"/>
        <v>818.58819948313112</v>
      </c>
      <c r="CZ39" s="20">
        <f t="shared" si="280"/>
        <v>873.70526604639213</v>
      </c>
      <c r="DA39" s="20">
        <f t="shared" si="280"/>
        <v>981.73348407128856</v>
      </c>
      <c r="DD39" s="125"/>
      <c r="DE39" s="21">
        <v>1990.29</v>
      </c>
    </row>
    <row r="40" spans="1:109" s="43" customFormat="1" x14ac:dyDescent="0.2">
      <c r="A40" s="42" t="s">
        <v>349</v>
      </c>
      <c r="B40" s="43" t="e">
        <f t="shared" ref="B40:AE40" si="281">B39/B23</f>
        <v>#DIV/0!</v>
      </c>
      <c r="C40" s="43" t="e">
        <f t="shared" si="281"/>
        <v>#DIV/0!</v>
      </c>
      <c r="D40" s="43">
        <f t="shared" si="281"/>
        <v>0.43866808562891418</v>
      </c>
      <c r="E40" s="43">
        <f t="shared" si="281"/>
        <v>0.41482147540369418</v>
      </c>
      <c r="F40" s="43">
        <f t="shared" si="281"/>
        <v>0.38016835850458031</v>
      </c>
      <c r="G40" s="43">
        <f t="shared" si="281"/>
        <v>0.34086010971786829</v>
      </c>
      <c r="H40" s="43">
        <f t="shared" si="281"/>
        <v>0.30191498782377685</v>
      </c>
      <c r="I40" s="43">
        <f t="shared" si="281"/>
        <v>0.30419460470918447</v>
      </c>
      <c r="J40" s="43">
        <f t="shared" si="281"/>
        <v>0.29605996695369485</v>
      </c>
      <c r="K40" s="43">
        <f t="shared" si="281"/>
        <v>0.28538655367373283</v>
      </c>
      <c r="L40" s="43">
        <f t="shared" si="281"/>
        <v>0.23909699253903546</v>
      </c>
      <c r="M40" s="43">
        <f t="shared" si="281"/>
        <v>0.22547094111803143</v>
      </c>
      <c r="N40" s="43">
        <f t="shared" si="281"/>
        <v>0.21996336363322153</v>
      </c>
      <c r="O40" s="43">
        <f t="shared" si="281"/>
        <v>0.22827683575533719</v>
      </c>
      <c r="P40" s="43">
        <f t="shared" si="281"/>
        <v>0.24045584045584045</v>
      </c>
      <c r="Q40" s="43">
        <f t="shared" si="281"/>
        <v>0.24707294584297418</v>
      </c>
      <c r="R40" s="43">
        <f t="shared" si="281"/>
        <v>0.23083860336688336</v>
      </c>
      <c r="S40" s="43">
        <f t="shared" si="281"/>
        <v>0.22373218344630502</v>
      </c>
      <c r="T40" s="43">
        <f t="shared" si="281"/>
        <v>0.21724385126854925</v>
      </c>
      <c r="U40" s="43">
        <f t="shared" si="281"/>
        <v>0.22399974315637883</v>
      </c>
      <c r="V40" s="43">
        <f t="shared" si="281"/>
        <v>0.23708610679880057</v>
      </c>
      <c r="W40" s="43">
        <f t="shared" si="281"/>
        <v>0.20238251527287968</v>
      </c>
      <c r="X40" s="43">
        <f t="shared" si="281"/>
        <v>0.19210125491086899</v>
      </c>
      <c r="Y40" s="43">
        <f t="shared" si="281"/>
        <v>0.19670634444504206</v>
      </c>
      <c r="Z40" s="43">
        <f t="shared" si="281"/>
        <v>0.19794761660661925</v>
      </c>
      <c r="AA40" s="43">
        <f t="shared" ref="AA40" si="282">AA39/AA23</f>
        <v>0.20546776999437324</v>
      </c>
      <c r="AB40" s="51">
        <f t="shared" si="281"/>
        <v>0.20326535153355213</v>
      </c>
      <c r="AC40" s="51">
        <f t="shared" si="281"/>
        <v>0.20385178917900434</v>
      </c>
      <c r="AD40" s="51">
        <f t="shared" si="281"/>
        <v>0.2069489660574044</v>
      </c>
      <c r="AE40" s="51">
        <f t="shared" si="281"/>
        <v>0.20717135382337923</v>
      </c>
      <c r="AI40" s="43">
        <f t="shared" ref="AI40:BN40" si="283">AI39/AI23</f>
        <v>0.20390929180258865</v>
      </c>
      <c r="AJ40" s="43">
        <f t="shared" si="283"/>
        <v>0.23688126456467418</v>
      </c>
      <c r="AK40" s="43">
        <f t="shared" si="283"/>
        <v>0.22790389490666052</v>
      </c>
      <c r="AL40" s="43">
        <f t="shared" si="283"/>
        <v>0.23450888427888522</v>
      </c>
      <c r="AM40" s="43">
        <f t="shared" si="283"/>
        <v>0.27344955513969604</v>
      </c>
      <c r="AN40" s="43">
        <f t="shared" si="283"/>
        <v>0.21617255028677598</v>
      </c>
      <c r="AO40" s="43">
        <f t="shared" si="283"/>
        <v>0.2035546527865939</v>
      </c>
      <c r="AP40" s="43">
        <f t="shared" si="283"/>
        <v>0.23788370351884203</v>
      </c>
      <c r="AQ40" s="43">
        <f t="shared" si="283"/>
        <v>0.23227914337493935</v>
      </c>
      <c r="AR40" s="43">
        <f t="shared" si="283"/>
        <v>0.2585937880930323</v>
      </c>
      <c r="AS40" s="43">
        <f t="shared" si="283"/>
        <v>0.23445867287543654</v>
      </c>
      <c r="AT40" s="43">
        <f t="shared" si="283"/>
        <v>0.26855564247995306</v>
      </c>
      <c r="AU40" s="43">
        <f t="shared" si="283"/>
        <v>0.26254281218180137</v>
      </c>
      <c r="AV40" s="43">
        <f t="shared" si="283"/>
        <v>0.25084985512536789</v>
      </c>
      <c r="AW40" s="43">
        <f t="shared" si="283"/>
        <v>0.22195253505933116</v>
      </c>
      <c r="AX40" s="43">
        <f t="shared" si="283"/>
        <v>0.2373571013369502</v>
      </c>
      <c r="AY40" s="43">
        <f t="shared" si="283"/>
        <v>0.22351680728538906</v>
      </c>
      <c r="AZ40" s="43">
        <f t="shared" si="283"/>
        <v>0.2224384877398608</v>
      </c>
      <c r="BA40" s="43">
        <f t="shared" si="283"/>
        <v>0.24527282549972987</v>
      </c>
      <c r="BB40" s="43">
        <f t="shared" si="283"/>
        <v>0.22159830023415142</v>
      </c>
      <c r="BC40" s="43">
        <f t="shared" si="283"/>
        <v>0.24615652628369841</v>
      </c>
      <c r="BD40" s="43">
        <f t="shared" si="283"/>
        <v>0.21679415162742521</v>
      </c>
      <c r="BE40" s="43">
        <f t="shared" si="283"/>
        <v>0.22537939941879237</v>
      </c>
      <c r="BF40" s="43">
        <f t="shared" si="283"/>
        <v>0.20697388944779274</v>
      </c>
      <c r="BG40" s="43">
        <f t="shared" si="283"/>
        <v>0.21201352407612747</v>
      </c>
      <c r="BH40" s="43">
        <f t="shared" si="283"/>
        <v>0.20930935215570418</v>
      </c>
      <c r="BI40" s="43">
        <f t="shared" si="283"/>
        <v>0.2070151480666616</v>
      </c>
      <c r="BJ40" s="43">
        <f t="shared" si="283"/>
        <v>0.20672359228518541</v>
      </c>
      <c r="BK40" s="43">
        <f t="shared" si="283"/>
        <v>0.24026148473179906</v>
      </c>
      <c r="BL40" s="43">
        <f t="shared" si="283"/>
        <v>0.23172039375175091</v>
      </c>
      <c r="BM40" s="43">
        <f t="shared" si="283"/>
        <v>0.21895472131368973</v>
      </c>
      <c r="BN40" s="43">
        <f t="shared" si="283"/>
        <v>0.24989768884485325</v>
      </c>
      <c r="BO40" s="43">
        <f t="shared" ref="BO40:CJ40" si="284">BO39/BO23</f>
        <v>0.41842872767043382</v>
      </c>
      <c r="BP40" s="43">
        <f t="shared" si="284"/>
        <v>0.19979476196850041</v>
      </c>
      <c r="BQ40" s="43">
        <f t="shared" si="284"/>
        <v>0.19862298531131994</v>
      </c>
      <c r="BR40" s="43">
        <f t="shared" si="284"/>
        <v>0.19781746935799882</v>
      </c>
      <c r="BS40" s="43">
        <f t="shared" si="284"/>
        <v>0.21693743967426127</v>
      </c>
      <c r="BT40" s="43">
        <f t="shared" si="284"/>
        <v>0.19674908240229097</v>
      </c>
      <c r="BU40" s="43">
        <f t="shared" si="284"/>
        <v>0.20085739420438281</v>
      </c>
      <c r="BV40" s="43">
        <f t="shared" si="284"/>
        <v>0.19570529055636007</v>
      </c>
      <c r="BW40" s="43">
        <f t="shared" si="284"/>
        <v>0.18750250167254678</v>
      </c>
      <c r="BX40" s="43">
        <f t="shared" si="284"/>
        <v>0.18831379559675021</v>
      </c>
      <c r="BY40" s="43">
        <f t="shared" si="284"/>
        <v>0.19795503301479395</v>
      </c>
      <c r="BZ40" s="43">
        <f t="shared" si="284"/>
        <v>0.2020524084505379</v>
      </c>
      <c r="CA40" s="43">
        <f t="shared" si="284"/>
        <v>0.19911543129558151</v>
      </c>
      <c r="CB40" s="43">
        <f t="shared" si="284"/>
        <v>0.18769961156668105</v>
      </c>
      <c r="CC40" s="43">
        <f t="shared" si="284"/>
        <v>0.19874636579445734</v>
      </c>
      <c r="CD40" s="43">
        <f t="shared" si="284"/>
        <v>0.2024632566880035</v>
      </c>
      <c r="CE40" s="43">
        <f t="shared" si="284"/>
        <v>0.19855803003550337</v>
      </c>
      <c r="CF40" s="43">
        <f t="shared" si="284"/>
        <v>0.20086469629314624</v>
      </c>
      <c r="CG40" s="43">
        <f t="shared" si="284"/>
        <v>0.1907343426682771</v>
      </c>
      <c r="CH40" s="43">
        <f t="shared" si="284"/>
        <v>0.19943340952258315</v>
      </c>
      <c r="CI40" s="43">
        <f t="shared" si="284"/>
        <v>0.20997283844613809</v>
      </c>
      <c r="CJ40" s="43">
        <f t="shared" si="284"/>
        <v>0.20036966299057357</v>
      </c>
      <c r="CK40" s="43">
        <f t="shared" ref="CK40:CL40" si="285">CK39/CK23</f>
        <v>0.21100873650980104</v>
      </c>
      <c r="CL40" s="43">
        <f t="shared" si="285"/>
        <v>0.1989526770934856</v>
      </c>
      <c r="CM40" s="51">
        <f t="shared" ref="CM40:DA40" si="286">AVERAGE(CI40:CL40)</f>
        <v>0.20507597875999958</v>
      </c>
      <c r="CN40" s="51">
        <f t="shared" si="286"/>
        <v>0.20385176383846496</v>
      </c>
      <c r="CO40" s="51">
        <f t="shared" si="286"/>
        <v>0.20472228905043779</v>
      </c>
      <c r="CP40" s="51">
        <f t="shared" si="286"/>
        <v>0.20315067718559698</v>
      </c>
      <c r="CQ40" s="51">
        <f t="shared" si="286"/>
        <v>0.20420017720862482</v>
      </c>
      <c r="CR40" s="51">
        <f t="shared" si="286"/>
        <v>0.20398122682078113</v>
      </c>
      <c r="CS40" s="51">
        <f t="shared" si="286"/>
        <v>0.20401359256636017</v>
      </c>
      <c r="CT40" s="51">
        <f>AVERAGE(CP40:CS40)*1.01</f>
        <v>0.2058747826297942</v>
      </c>
      <c r="CU40" s="51">
        <f t="shared" ref="CU40:CW40" si="287">AVERAGE(CQ40:CT40)*1.01</f>
        <v>0.20656261925445399</v>
      </c>
      <c r="CV40" s="51">
        <f t="shared" si="287"/>
        <v>0.20715913587102586</v>
      </c>
      <c r="CW40" s="51">
        <f t="shared" si="287"/>
        <v>0.20796155790621265</v>
      </c>
      <c r="CX40" s="51">
        <f t="shared" si="286"/>
        <v>0.20688952391537166</v>
      </c>
      <c r="CY40" s="51">
        <f t="shared" si="286"/>
        <v>0.20714320923676602</v>
      </c>
      <c r="CZ40" s="51">
        <f t="shared" si="286"/>
        <v>0.20728835673234403</v>
      </c>
      <c r="DA40" s="51">
        <f t="shared" si="286"/>
        <v>0.2073206619476736</v>
      </c>
      <c r="DD40" s="127"/>
      <c r="DE40" s="43">
        <v>0.20548428893695445</v>
      </c>
    </row>
    <row r="41" spans="1:109" s="25" customFormat="1" x14ac:dyDescent="0.2">
      <c r="A41" s="33" t="s">
        <v>13</v>
      </c>
      <c r="B41" s="25">
        <f t="shared" ref="B41:AE41" si="288">B29-B39</f>
        <v>0</v>
      </c>
      <c r="C41" s="25">
        <f t="shared" si="288"/>
        <v>0</v>
      </c>
      <c r="D41" s="25">
        <f t="shared" si="288"/>
        <v>44.129999999999981</v>
      </c>
      <c r="E41" s="25">
        <f t="shared" si="288"/>
        <v>42.289999999999992</v>
      </c>
      <c r="F41" s="25">
        <f t="shared" si="288"/>
        <v>52.790000000000035</v>
      </c>
      <c r="G41" s="25">
        <f t="shared" si="288"/>
        <v>78.580000000000013</v>
      </c>
      <c r="H41" s="25">
        <f t="shared" si="288"/>
        <v>118.13999999999996</v>
      </c>
      <c r="I41" s="25">
        <f t="shared" si="288"/>
        <v>130.93000000000004</v>
      </c>
      <c r="J41" s="25">
        <f t="shared" si="288"/>
        <v>146.75</v>
      </c>
      <c r="K41" s="25">
        <f t="shared" si="288"/>
        <v>90.510000000000048</v>
      </c>
      <c r="L41" s="25">
        <f t="shared" si="288"/>
        <v>177.60999999999987</v>
      </c>
      <c r="M41" s="25">
        <f t="shared" si="288"/>
        <v>254.48999999999995</v>
      </c>
      <c r="N41" s="25">
        <f t="shared" si="288"/>
        <v>220.92000000000007</v>
      </c>
      <c r="O41" s="25">
        <f t="shared" si="288"/>
        <v>184.0200000000001</v>
      </c>
      <c r="P41" s="25">
        <f t="shared" si="288"/>
        <v>242.26999999999992</v>
      </c>
      <c r="Q41" s="25">
        <f t="shared" si="288"/>
        <v>305.8</v>
      </c>
      <c r="R41" s="25">
        <f t="shared" si="288"/>
        <v>297.30000000000007</v>
      </c>
      <c r="S41" s="25">
        <f t="shared" si="288"/>
        <v>678.91999999999939</v>
      </c>
      <c r="T41" s="25">
        <f t="shared" si="288"/>
        <v>697.00000000000034</v>
      </c>
      <c r="U41" s="25">
        <f t="shared" si="288"/>
        <v>634.25999999999908</v>
      </c>
      <c r="V41" s="25">
        <f t="shared" si="288"/>
        <v>536.82000000000028</v>
      </c>
      <c r="W41" s="25">
        <f t="shared" si="288"/>
        <v>972.77000000000021</v>
      </c>
      <c r="X41" s="25">
        <f t="shared" si="288"/>
        <v>1295.8500000000001</v>
      </c>
      <c r="Y41" s="25">
        <f t="shared" si="288"/>
        <v>1321.7899999999993</v>
      </c>
      <c r="Z41" s="25">
        <f t="shared" si="288"/>
        <v>1445.87</v>
      </c>
      <c r="AA41" s="25">
        <f t="shared" ref="AA41" si="289">AA29-AA39</f>
        <v>1763.1800000000003</v>
      </c>
      <c r="AB41" s="26">
        <f t="shared" si="288"/>
        <v>2067.4239432589534</v>
      </c>
      <c r="AC41" s="26">
        <f t="shared" si="288"/>
        <v>2411.4483253194535</v>
      </c>
      <c r="AD41" s="26">
        <f t="shared" si="288"/>
        <v>2671.0085289816288</v>
      </c>
      <c r="AE41" s="26">
        <f t="shared" si="288"/>
        <v>3015.0306877671665</v>
      </c>
      <c r="AI41" s="25">
        <f t="shared" ref="AI41:BN41" si="290">AI29-AI39</f>
        <v>63.910000000000011</v>
      </c>
      <c r="AJ41" s="25">
        <f t="shared" si="290"/>
        <v>51.590000000000032</v>
      </c>
      <c r="AK41" s="25">
        <f t="shared" si="290"/>
        <v>41.320000000000007</v>
      </c>
      <c r="AL41" s="25">
        <f t="shared" si="290"/>
        <v>41.449999999999946</v>
      </c>
      <c r="AM41" s="25">
        <f t="shared" si="290"/>
        <v>41.629999999999967</v>
      </c>
      <c r="AN41" s="25">
        <f t="shared" si="290"/>
        <v>50.66</v>
      </c>
      <c r="AO41" s="25">
        <f t="shared" si="290"/>
        <v>49.84999999999998</v>
      </c>
      <c r="AP41" s="25">
        <f t="shared" si="290"/>
        <v>55.70999999999998</v>
      </c>
      <c r="AQ41" s="25">
        <f t="shared" si="290"/>
        <v>63.620000000000061</v>
      </c>
      <c r="AR41" s="25">
        <f t="shared" si="290"/>
        <v>60.050000000000011</v>
      </c>
      <c r="AS41" s="25">
        <f t="shared" si="290"/>
        <v>62.360000000000042</v>
      </c>
      <c r="AT41" s="25">
        <f t="shared" si="290"/>
        <v>63.349999999999937</v>
      </c>
      <c r="AU41" s="25">
        <f t="shared" si="290"/>
        <v>74.90000000000002</v>
      </c>
      <c r="AV41" s="25">
        <f t="shared" si="290"/>
        <v>75.600000000000009</v>
      </c>
      <c r="AW41" s="25">
        <f t="shared" si="290"/>
        <v>91.429999999999978</v>
      </c>
      <c r="AX41" s="25">
        <f t="shared" si="290"/>
        <v>71.81</v>
      </c>
      <c r="AY41" s="25">
        <f t="shared" si="290"/>
        <v>71.11999999999999</v>
      </c>
      <c r="AZ41" s="25">
        <f t="shared" si="290"/>
        <v>80.249999999999972</v>
      </c>
      <c r="BA41" s="25">
        <f t="shared" si="290"/>
        <v>73.760000000000019</v>
      </c>
      <c r="BB41" s="25">
        <f t="shared" si="290"/>
        <v>88.480000000000047</v>
      </c>
      <c r="BC41" s="25">
        <f t="shared" si="290"/>
        <v>86.140000000000072</v>
      </c>
      <c r="BD41" s="25">
        <f t="shared" si="290"/>
        <v>167.71999999999991</v>
      </c>
      <c r="BE41" s="25">
        <f t="shared" si="290"/>
        <v>184.57</v>
      </c>
      <c r="BF41" s="25">
        <f t="shared" si="290"/>
        <v>183.84000000000003</v>
      </c>
      <c r="BG41" s="25">
        <f t="shared" si="290"/>
        <v>180.13999999999996</v>
      </c>
      <c r="BH41" s="25">
        <f t="shared" si="290"/>
        <v>199.67000000000013</v>
      </c>
      <c r="BI41" s="25">
        <f t="shared" si="290"/>
        <v>171.80999999999995</v>
      </c>
      <c r="BJ41" s="25">
        <f t="shared" si="290"/>
        <v>184.42999999999992</v>
      </c>
      <c r="BK41" s="25">
        <f t="shared" si="290"/>
        <v>159.35000000000002</v>
      </c>
      <c r="BL41" s="25">
        <f t="shared" si="290"/>
        <v>142.83000000000015</v>
      </c>
      <c r="BM41" s="25">
        <f t="shared" si="290"/>
        <v>146.98000000000008</v>
      </c>
      <c r="BN41" s="25">
        <f t="shared" si="290"/>
        <v>137.25999999999993</v>
      </c>
      <c r="BO41" s="25">
        <f t="shared" ref="BO41:CT41" si="291">BO29-BO39</f>
        <v>-19.810000000000031</v>
      </c>
      <c r="BP41" s="25">
        <f t="shared" si="291"/>
        <v>189.60000000000016</v>
      </c>
      <c r="BQ41" s="25">
        <f t="shared" si="291"/>
        <v>229.07</v>
      </c>
      <c r="BR41" s="25">
        <f t="shared" si="291"/>
        <v>212.86999999999989</v>
      </c>
      <c r="BS41" s="25">
        <f t="shared" si="291"/>
        <v>207.06000000000012</v>
      </c>
      <c r="BT41" s="25">
        <f t="shared" si="291"/>
        <v>264.47999999999985</v>
      </c>
      <c r="BU41" s="25">
        <f t="shared" si="291"/>
        <v>287.13000000000005</v>
      </c>
      <c r="BV41" s="25">
        <f t="shared" si="291"/>
        <v>308.47000000000003</v>
      </c>
      <c r="BW41" s="25">
        <f t="shared" si="291"/>
        <v>321.7299999999999</v>
      </c>
      <c r="BX41" s="25">
        <f t="shared" si="291"/>
        <v>318.96999999999991</v>
      </c>
      <c r="BY41" s="25">
        <f t="shared" si="291"/>
        <v>345.22000000000014</v>
      </c>
      <c r="BZ41" s="25">
        <f t="shared" si="291"/>
        <v>314.67999999999978</v>
      </c>
      <c r="CA41" s="25">
        <f t="shared" si="291"/>
        <v>342.02000000000004</v>
      </c>
      <c r="CB41" s="25">
        <f t="shared" si="291"/>
        <v>340.40000000000009</v>
      </c>
      <c r="CC41" s="25">
        <f t="shared" si="291"/>
        <v>324.10000000000008</v>
      </c>
      <c r="CD41" s="25">
        <f t="shared" si="291"/>
        <v>329.86000000000035</v>
      </c>
      <c r="CE41" s="25">
        <f t="shared" si="291"/>
        <v>376.32</v>
      </c>
      <c r="CF41" s="25">
        <f t="shared" si="291"/>
        <v>368.78999999999985</v>
      </c>
      <c r="CG41" s="25">
        <f t="shared" si="291"/>
        <v>370.39</v>
      </c>
      <c r="CH41" s="25">
        <f t="shared" si="291"/>
        <v>392.83999999999958</v>
      </c>
      <c r="CI41" s="25">
        <f t="shared" si="291"/>
        <v>430.12000000000012</v>
      </c>
      <c r="CJ41" s="25">
        <f>CJ29-CJ39</f>
        <v>455.94000000000034</v>
      </c>
      <c r="CK41" s="25">
        <f>CK29-CK39</f>
        <v>484.11999999999989</v>
      </c>
      <c r="CL41" s="25">
        <f>CL29-CL39</f>
        <v>478.31999999999971</v>
      </c>
      <c r="CM41" s="26">
        <f t="shared" si="291"/>
        <v>491.22309530136965</v>
      </c>
      <c r="CN41" s="26">
        <f t="shared" si="291"/>
        <v>517.07274775811686</v>
      </c>
      <c r="CO41" s="26">
        <f t="shared" si="291"/>
        <v>580.80810019946648</v>
      </c>
      <c r="CP41" s="26">
        <f t="shared" si="291"/>
        <v>554.06951483873456</v>
      </c>
      <c r="CQ41" s="26">
        <f t="shared" si="291"/>
        <v>571.35181252345205</v>
      </c>
      <c r="CR41" s="26">
        <f t="shared" si="291"/>
        <v>604.51555371862457</v>
      </c>
      <c r="CS41" s="26">
        <f t="shared" si="291"/>
        <v>681.51144423864059</v>
      </c>
      <c r="CT41" s="26">
        <f t="shared" si="291"/>
        <v>618.29255906244805</v>
      </c>
      <c r="CU41" s="26">
        <f t="shared" ref="CU41:DA41" si="292">CU29-CU39</f>
        <v>633.14550899082212</v>
      </c>
      <c r="CV41" s="26">
        <f t="shared" si="292"/>
        <v>669.89385211602337</v>
      </c>
      <c r="CW41" s="26">
        <f t="shared" si="292"/>
        <v>749.67660881233621</v>
      </c>
      <c r="CX41" s="26">
        <f t="shared" si="292"/>
        <v>695.92430479270558</v>
      </c>
      <c r="CY41" s="26">
        <f t="shared" si="292"/>
        <v>710.79414261885336</v>
      </c>
      <c r="CZ41" s="26">
        <f t="shared" si="292"/>
        <v>757.46868989173731</v>
      </c>
      <c r="DA41" s="26">
        <f t="shared" si="292"/>
        <v>850.84355046386941</v>
      </c>
      <c r="DD41" s="120"/>
      <c r="DE41" s="25">
        <v>1763.0199999999986</v>
      </c>
    </row>
    <row r="42" spans="1:109" s="167" customFormat="1" x14ac:dyDescent="0.2">
      <c r="A42" s="164" t="s">
        <v>14</v>
      </c>
      <c r="B42" s="165" t="e">
        <f t="shared" ref="B42:AE42" si="293">B41/B23</f>
        <v>#DIV/0!</v>
      </c>
      <c r="C42" s="165" t="e">
        <f t="shared" si="293"/>
        <v>#DIV/0!</v>
      </c>
      <c r="D42" s="165">
        <f t="shared" si="293"/>
        <v>0.18063116532274565</v>
      </c>
      <c r="E42" s="165">
        <f t="shared" si="293"/>
        <v>0.15844292083473829</v>
      </c>
      <c r="F42" s="165">
        <f t="shared" si="293"/>
        <v>0.16337583560287211</v>
      </c>
      <c r="G42" s="165">
        <f t="shared" si="293"/>
        <v>0.19244710031347967</v>
      </c>
      <c r="H42" s="165">
        <f t="shared" si="293"/>
        <v>0.21795439450963022</v>
      </c>
      <c r="I42" s="165">
        <f t="shared" si="293"/>
        <v>0.20416341805707161</v>
      </c>
      <c r="J42" s="165">
        <f t="shared" si="293"/>
        <v>0.19713598688894562</v>
      </c>
      <c r="K42" s="165">
        <f t="shared" si="293"/>
        <v>0.11346513056450507</v>
      </c>
      <c r="L42" s="165">
        <f t="shared" si="293"/>
        <v>0.17076571032997451</v>
      </c>
      <c r="M42" s="165">
        <f t="shared" si="293"/>
        <v>0.19448244239807416</v>
      </c>
      <c r="N42" s="165">
        <f t="shared" si="293"/>
        <v>0.15271143676770474</v>
      </c>
      <c r="O42" s="165">
        <f t="shared" si="293"/>
        <v>0.13121604084368454</v>
      </c>
      <c r="P42" s="165">
        <f t="shared" si="293"/>
        <v>0.14843611187697206</v>
      </c>
      <c r="Q42" s="165">
        <f t="shared" si="293"/>
        <v>0.17733395962723913</v>
      </c>
      <c r="R42" s="165">
        <f t="shared" si="293"/>
        <v>0.16550503251091123</v>
      </c>
      <c r="S42" s="165">
        <f t="shared" si="293"/>
        <v>0.17261526414010167</v>
      </c>
      <c r="T42" s="165">
        <f t="shared" si="293"/>
        <v>0.15280027885502834</v>
      </c>
      <c r="U42" s="165">
        <f t="shared" si="293"/>
        <v>0.14545145999545919</v>
      </c>
      <c r="V42" s="165">
        <f t="shared" si="293"/>
        <v>0.14270144397422543</v>
      </c>
      <c r="W42" s="165">
        <f t="shared" si="293"/>
        <v>0.17494258620162542</v>
      </c>
      <c r="X42" s="165">
        <f t="shared" si="293"/>
        <v>0.18869531789230892</v>
      </c>
      <c r="Y42" s="165">
        <f t="shared" si="293"/>
        <v>0.18229298115684781</v>
      </c>
      <c r="Z42" s="165">
        <f t="shared" si="293"/>
        <v>0.17563207723647353</v>
      </c>
      <c r="AA42" s="165">
        <f t="shared" ref="AA42" si="294">AA41/AA23</f>
        <v>0.18203668237686937</v>
      </c>
      <c r="AB42" s="166">
        <f t="shared" si="293"/>
        <v>0.18337953734704118</v>
      </c>
      <c r="AC42" s="166">
        <f t="shared" si="293"/>
        <v>0.18311041944028086</v>
      </c>
      <c r="AD42" s="166">
        <f t="shared" si="293"/>
        <v>0.18004999042931746</v>
      </c>
      <c r="AE42" s="166">
        <f t="shared" si="293"/>
        <v>0.17983048688700906</v>
      </c>
      <c r="AI42" s="165">
        <f t="shared" ref="AI42:BN42" si="295">AI41/AI23</f>
        <v>0.16813111648952964</v>
      </c>
      <c r="AJ42" s="165">
        <f t="shared" si="295"/>
        <v>0.14484656203498339</v>
      </c>
      <c r="AK42" s="165">
        <f t="shared" si="295"/>
        <v>0.11903664438810788</v>
      </c>
      <c r="AL42" s="165">
        <f t="shared" si="295"/>
        <v>0.12462042632512538</v>
      </c>
      <c r="AM42" s="165">
        <f t="shared" si="295"/>
        <v>0.13667553104172814</v>
      </c>
      <c r="AN42" s="165">
        <f t="shared" si="295"/>
        <v>0.13641381910224304</v>
      </c>
      <c r="AO42" s="165">
        <f t="shared" si="295"/>
        <v>0.12657102957978922</v>
      </c>
      <c r="AP42" s="165">
        <f t="shared" si="295"/>
        <v>0.13903169453456446</v>
      </c>
      <c r="AQ42" s="165">
        <f t="shared" si="295"/>
        <v>0.16239119891773249</v>
      </c>
      <c r="AR42" s="165">
        <f t="shared" si="295"/>
        <v>0.14639914184016775</v>
      </c>
      <c r="AS42" s="165">
        <f t="shared" si="295"/>
        <v>0.14519208381839357</v>
      </c>
      <c r="AT42" s="165">
        <f t="shared" si="295"/>
        <v>0.15487482886759227</v>
      </c>
      <c r="AU42" s="165">
        <f t="shared" si="295"/>
        <v>0.17333148199574197</v>
      </c>
      <c r="AV42" s="165">
        <f t="shared" si="295"/>
        <v>0.17248066436996648</v>
      </c>
      <c r="AW42" s="165">
        <f t="shared" si="295"/>
        <v>0.20547914419273638</v>
      </c>
      <c r="AX42" s="165">
        <f t="shared" si="295"/>
        <v>0.17392462701026934</v>
      </c>
      <c r="AY42" s="165">
        <f t="shared" si="295"/>
        <v>0.15874291326280074</v>
      </c>
      <c r="AZ42" s="165">
        <f t="shared" si="295"/>
        <v>0.16978018490701752</v>
      </c>
      <c r="BA42" s="165">
        <f t="shared" si="295"/>
        <v>0.15939492166396546</v>
      </c>
      <c r="BB42" s="165">
        <f t="shared" si="295"/>
        <v>0.19183071719712091</v>
      </c>
      <c r="BC42" s="165">
        <f t="shared" si="295"/>
        <v>0.1875789381995559</v>
      </c>
      <c r="BD42" s="165">
        <f t="shared" si="295"/>
        <v>0.16704513764391848</v>
      </c>
      <c r="BE42" s="165">
        <f t="shared" si="295"/>
        <v>0.18059510180917995</v>
      </c>
      <c r="BF42" s="165">
        <f t="shared" si="295"/>
        <v>0.16967705612522729</v>
      </c>
      <c r="BG42" s="165">
        <f t="shared" si="295"/>
        <v>0.16372493774198821</v>
      </c>
      <c r="BH42" s="165">
        <f t="shared" si="295"/>
        <v>0.16758008879638112</v>
      </c>
      <c r="BI42" s="165">
        <f t="shared" si="295"/>
        <v>0.14482967908352928</v>
      </c>
      <c r="BJ42" s="165">
        <f t="shared" si="295"/>
        <v>0.15732455279836893</v>
      </c>
      <c r="BK42" s="165">
        <f t="shared" si="295"/>
        <v>0.14269723291842035</v>
      </c>
      <c r="BL42" s="165">
        <f t="shared" si="295"/>
        <v>0.13797733705574944</v>
      </c>
      <c r="BM42" s="165">
        <f t="shared" si="295"/>
        <v>0.14180825301262948</v>
      </c>
      <c r="BN42" s="165">
        <f t="shared" si="295"/>
        <v>0.14782346479419298</v>
      </c>
      <c r="BO42" s="165">
        <f t="shared" ref="BO42:CT42" si="296">BO41/BO23</f>
        <v>-4.5137623040466715E-2</v>
      </c>
      <c r="BP42" s="165">
        <f t="shared" si="296"/>
        <v>0.16918752509704202</v>
      </c>
      <c r="BQ42" s="165">
        <f t="shared" si="296"/>
        <v>0.17983623417100419</v>
      </c>
      <c r="BR42" s="165">
        <f t="shared" si="296"/>
        <v>0.16165459212344885</v>
      </c>
      <c r="BS42" s="165">
        <f t="shared" si="296"/>
        <v>0.16794685657276812</v>
      </c>
      <c r="BT42" s="165">
        <f t="shared" si="296"/>
        <v>0.17779211874319356</v>
      </c>
      <c r="BU42" s="165">
        <f t="shared" si="296"/>
        <v>0.18850198920707451</v>
      </c>
      <c r="BV42" s="165">
        <f t="shared" si="296"/>
        <v>0.19678981314313787</v>
      </c>
      <c r="BW42" s="165">
        <f t="shared" si="296"/>
        <v>0.18396871050931191</v>
      </c>
      <c r="BX42" s="165">
        <f t="shared" si="296"/>
        <v>0.18160131630637139</v>
      </c>
      <c r="BY42" s="165">
        <f t="shared" si="296"/>
        <v>0.19236062742038845</v>
      </c>
      <c r="BZ42" s="165">
        <f t="shared" si="296"/>
        <v>0.18580319079840801</v>
      </c>
      <c r="CA42" s="165">
        <f t="shared" si="296"/>
        <v>0.18698404714783998</v>
      </c>
      <c r="CB42" s="165">
        <f t="shared" si="296"/>
        <v>0.18364264134656891</v>
      </c>
      <c r="CC42" s="165">
        <f t="shared" si="296"/>
        <v>0.17289482809207549</v>
      </c>
      <c r="CD42" s="165">
        <f t="shared" si="296"/>
        <v>0.17610096469545644</v>
      </c>
      <c r="CE42" s="165">
        <f t="shared" si="296"/>
        <v>0.1786182149569972</v>
      </c>
      <c r="CF42" s="165">
        <f t="shared" si="296"/>
        <v>0.17425756609256496</v>
      </c>
      <c r="CG42" s="165">
        <f t="shared" si="296"/>
        <v>0.17339868730279112</v>
      </c>
      <c r="CH42" s="165">
        <f t="shared" si="296"/>
        <v>0.18066509995814939</v>
      </c>
      <c r="CI42" s="165">
        <f t="shared" si="296"/>
        <v>0.18282828712185298</v>
      </c>
      <c r="CJ42" s="165">
        <f t="shared" si="296"/>
        <v>0.18727127102458271</v>
      </c>
      <c r="CK42" s="165">
        <f>CK41/CK23</f>
        <v>0.17771088760002934</v>
      </c>
      <c r="CL42" s="165">
        <f t="shared" ref="CL42" si="297">CL41/CL23</f>
        <v>0.18499095001624347</v>
      </c>
      <c r="CM42" s="166">
        <f t="shared" si="296"/>
        <v>0.1832003489406771</v>
      </c>
      <c r="CN42" s="166">
        <f t="shared" si="296"/>
        <v>0.18329336439538307</v>
      </c>
      <c r="CO42" s="166">
        <f t="shared" si="296"/>
        <v>0.18229888773808328</v>
      </c>
      <c r="CP42" s="166">
        <f t="shared" si="296"/>
        <v>0.18344588777259674</v>
      </c>
      <c r="CQ42" s="166">
        <f t="shared" si="296"/>
        <v>0.18305962221168501</v>
      </c>
      <c r="CR42" s="166">
        <f t="shared" si="296"/>
        <v>0.183024440529437</v>
      </c>
      <c r="CS42" s="166">
        <f t="shared" si="296"/>
        <v>0.1829572095629505</v>
      </c>
      <c r="CT42" s="166">
        <f t="shared" si="296"/>
        <v>0.18108342583471393</v>
      </c>
      <c r="CU42" s="166">
        <f t="shared" ref="CU42:DA42" si="298">CU41/CU23</f>
        <v>0.18048600008663274</v>
      </c>
      <c r="CV42" s="166">
        <f t="shared" si="298"/>
        <v>0.17983668845025508</v>
      </c>
      <c r="CW42" s="166">
        <f t="shared" si="298"/>
        <v>0.17903180565783397</v>
      </c>
      <c r="CX42" s="166">
        <f t="shared" si="298"/>
        <v>0.18010948000735891</v>
      </c>
      <c r="CY42" s="166">
        <f t="shared" si="298"/>
        <v>0.17986599355052024</v>
      </c>
      <c r="CZ42" s="166">
        <f t="shared" si="298"/>
        <v>0.17971099191649206</v>
      </c>
      <c r="DA42" s="166">
        <f t="shared" si="298"/>
        <v>0.17967956778305133</v>
      </c>
      <c r="DD42" s="168"/>
      <c r="DE42" s="167">
        <v>0.18202016343428803</v>
      </c>
    </row>
    <row r="43" spans="1:109" s="37" customFormat="1" x14ac:dyDescent="0.2">
      <c r="A43" s="38" t="s">
        <v>448</v>
      </c>
      <c r="B43" s="38"/>
      <c r="C43" s="38" t="e">
        <f t="shared" ref="C43:E43" si="299">+IF(B41&lt;0,1-C41/B41,C41/B41-1)</f>
        <v>#DIV/0!</v>
      </c>
      <c r="D43" s="38" t="e">
        <f t="shared" si="299"/>
        <v>#DIV/0!</v>
      </c>
      <c r="E43" s="38">
        <f t="shared" si="299"/>
        <v>-4.169499206888716E-2</v>
      </c>
      <c r="F43" s="38">
        <f t="shared" ref="F43:Y43" si="300">+IF(E41&lt;0,1-F41/E41,F41/E41-1)</f>
        <v>0.2482856467249952</v>
      </c>
      <c r="G43" s="38">
        <f t="shared" si="300"/>
        <v>0.48853949611668801</v>
      </c>
      <c r="H43" s="38">
        <f t="shared" si="300"/>
        <v>0.50343598880122098</v>
      </c>
      <c r="I43" s="38">
        <f t="shared" si="300"/>
        <v>0.10826138479769831</v>
      </c>
      <c r="J43" s="38">
        <f t="shared" si="300"/>
        <v>0.12082792331780312</v>
      </c>
      <c r="K43" s="38">
        <f t="shared" si="300"/>
        <v>-0.38323679727427562</v>
      </c>
      <c r="L43" s="38">
        <f t="shared" si="300"/>
        <v>0.96232460501601791</v>
      </c>
      <c r="M43" s="38">
        <f t="shared" si="300"/>
        <v>0.43285851021901989</v>
      </c>
      <c r="N43" s="38">
        <f t="shared" si="300"/>
        <v>-0.13191088058469835</v>
      </c>
      <c r="O43" s="38">
        <f t="shared" si="300"/>
        <v>-0.16702878870179239</v>
      </c>
      <c r="P43" s="38">
        <f t="shared" si="300"/>
        <v>0.31654168025214546</v>
      </c>
      <c r="Q43" s="38">
        <f t="shared" si="300"/>
        <v>0.26222809262393243</v>
      </c>
      <c r="R43" s="38">
        <f t="shared" si="300"/>
        <v>-2.7795945062131899E-2</v>
      </c>
      <c r="S43" s="38">
        <f t="shared" si="300"/>
        <v>1.2836192398250899</v>
      </c>
      <c r="T43" s="38">
        <f t="shared" si="300"/>
        <v>2.6630530843105182E-2</v>
      </c>
      <c r="U43" s="38">
        <f t="shared" si="300"/>
        <v>-9.0014347202297285E-2</v>
      </c>
      <c r="V43" s="38">
        <f t="shared" si="300"/>
        <v>-0.15362784977769206</v>
      </c>
      <c r="W43" s="38">
        <f t="shared" si="300"/>
        <v>0.81209716478521621</v>
      </c>
      <c r="X43" s="38">
        <f t="shared" si="300"/>
        <v>0.33212372914460753</v>
      </c>
      <c r="Y43" s="38">
        <f t="shared" si="300"/>
        <v>2.0017748967858351E-2</v>
      </c>
      <c r="Z43" s="38">
        <f t="shared" ref="Z43:AE43" si="301">+IF(Y41&lt;0,1-Z41/Y41,Z41/Y41-1)</f>
        <v>9.387270292557881E-2</v>
      </c>
      <c r="AA43" s="38">
        <f t="shared" si="301"/>
        <v>0.21945956413785495</v>
      </c>
      <c r="AB43" s="39">
        <f t="shared" si="301"/>
        <v>0.17255410296110041</v>
      </c>
      <c r="AC43" s="39">
        <f t="shared" si="301"/>
        <v>0.16640243680171496</v>
      </c>
      <c r="AD43" s="39">
        <f t="shared" si="301"/>
        <v>0.10763664347971891</v>
      </c>
      <c r="AE43" s="39">
        <f t="shared" si="301"/>
        <v>0.12879859987444608</v>
      </c>
      <c r="AI43" s="38"/>
      <c r="AJ43" s="38"/>
      <c r="AK43" s="38"/>
      <c r="AL43" s="38"/>
      <c r="AM43" s="38">
        <f>+IF(AI41&lt;0,1-AM41/AI41,AM41/AI41-1)</f>
        <v>-0.34861524018150591</v>
      </c>
      <c r="AN43" s="38">
        <f t="shared" ref="AN43" si="302">+IF(AJ41&lt;0,1-AN41/AJ41,AN41/AJ41-1)</f>
        <v>-1.8026749370033679E-2</v>
      </c>
      <c r="AO43" s="38">
        <f t="shared" ref="AO43" si="303">+IF(AK41&lt;0,1-AO41/AK41,AO41/AK41-1)</f>
        <v>0.20643756050338746</v>
      </c>
      <c r="AP43" s="38">
        <f t="shared" ref="AP43" si="304">+IF(AL41&lt;0,1-AP41/AL41,AP41/AL41-1)</f>
        <v>0.34402895054282401</v>
      </c>
      <c r="AQ43" s="38">
        <f t="shared" ref="AQ43" si="305">+IF(AM41&lt;0,1-AQ41/AM41,AQ41/AM41-1)</f>
        <v>0.52822483785731711</v>
      </c>
      <c r="AR43" s="38">
        <f t="shared" ref="AR43" si="306">+IF(AN41&lt;0,1-AR41/AN41,AR41/AN41-1)</f>
        <v>0.18535333596525883</v>
      </c>
      <c r="AS43" s="38">
        <f t="shared" ref="AS43" si="307">+IF(AO41&lt;0,1-AS41/AO41,AS41/AO41-1)</f>
        <v>0.25095285857572858</v>
      </c>
      <c r="AT43" s="38">
        <f t="shared" ref="AT43" si="308">+IF(AP41&lt;0,1-AT41/AP41,AT41/AP41-1)</f>
        <v>0.1371387542631477</v>
      </c>
      <c r="AU43" s="38">
        <f t="shared" ref="AU43" si="309">+IF(AQ41&lt;0,1-AU41/AQ41,AU41/AQ41-1)</f>
        <v>0.1773027349889964</v>
      </c>
      <c r="AV43" s="38">
        <f t="shared" ref="AV43" si="310">+IF(AR41&lt;0,1-AV41/AR41,AV41/AR41-1)</f>
        <v>0.25895087427144037</v>
      </c>
      <c r="AW43" s="38">
        <f t="shared" ref="AW43" si="311">+IF(AS41&lt;0,1-AW41/AS41,AW41/AS41-1)</f>
        <v>0.46616420782552792</v>
      </c>
      <c r="AX43" s="38">
        <f t="shared" ref="AX43" si="312">+IF(AT41&lt;0,1-AX41/AT41,AX41/AT41-1)</f>
        <v>0.13354380426203738</v>
      </c>
      <c r="AY43" s="38">
        <f t="shared" ref="AY43" si="313">+IF(AU41&lt;0,1-AY41/AU41,AY41/AU41-1)</f>
        <v>-5.0467289719626551E-2</v>
      </c>
      <c r="AZ43" s="38">
        <f t="shared" ref="AZ43" si="314">+IF(AV41&lt;0,1-AZ41/AV41,AZ41/AV41-1)</f>
        <v>6.1507936507936067E-2</v>
      </c>
      <c r="BA43" s="38">
        <f t="shared" ref="BA43" si="315">+IF(AW41&lt;0,1-BA41/AW41,BA41/AW41-1)</f>
        <v>-0.19326260527179218</v>
      </c>
      <c r="BB43" s="38">
        <f t="shared" ref="BB43" si="316">+IF(AX41&lt;0,1-BB41/AX41,BB41/AX41-1)</f>
        <v>0.23214037042194735</v>
      </c>
      <c r="BC43" s="38">
        <f t="shared" ref="BC43" si="317">+IF(AY41&lt;0,1-BC41/AY41,BC41/AY41-1)</f>
        <v>0.21119235095613176</v>
      </c>
      <c r="BD43" s="38">
        <f t="shared" ref="BD43" si="318">+IF(AZ41&lt;0,1-BD41/AZ41,BD41/AZ41-1)</f>
        <v>1.0899688473520244</v>
      </c>
      <c r="BE43" s="38">
        <f t="shared" ref="BE43" si="319">+IF(BA41&lt;0,1-BE41/BA41,BE41/BA41-1)</f>
        <v>1.5023047722342726</v>
      </c>
      <c r="BF43" s="38">
        <f t="shared" ref="BF43" si="320">+IF(BB41&lt;0,1-BF41/BB41,BF41/BB41-1)</f>
        <v>1.0777576853526214</v>
      </c>
      <c r="BG43" s="38">
        <f t="shared" ref="BG43" si="321">+IF(BC41&lt;0,1-BG41/BC41,BG41/BC41-1)</f>
        <v>1.0912468075226354</v>
      </c>
      <c r="BH43" s="38">
        <f t="shared" ref="BH43" si="322">+IF(BD41&lt;0,1-BH41/BD41,BH41/BD41-1)</f>
        <v>0.19049606487002291</v>
      </c>
      <c r="BI43" s="38">
        <f t="shared" ref="BI43" si="323">+IF(BE41&lt;0,1-BI41/BE41,BI41/BE41-1)</f>
        <v>-6.9133662025248177E-2</v>
      </c>
      <c r="BJ43" s="38">
        <f t="shared" ref="BJ43" si="324">+IF(BF41&lt;0,1-BJ41/BF41,BJ41/BF41-1)</f>
        <v>3.2093124456042954E-3</v>
      </c>
      <c r="BK43" s="38">
        <f t="shared" ref="BK43" si="325">+IF(BG41&lt;0,1-BK41/BG41,BK41/BG41-1)</f>
        <v>-0.1154102364827353</v>
      </c>
      <c r="BL43" s="38">
        <f t="shared" ref="BL43" si="326">+IF(BH41&lt;0,1-BL41/BH41,BL41/BH41-1)</f>
        <v>-0.2846697050132716</v>
      </c>
      <c r="BM43" s="38">
        <f t="shared" ref="BM43" si="327">+IF(BI41&lt;0,1-BM41/BI41,BM41/BI41-1)</f>
        <v>-0.14452010942319937</v>
      </c>
      <c r="BN43" s="38">
        <f t="shared" ref="BN43" si="328">+IF(BJ41&lt;0,1-BN41/BJ41,BN41/BJ41-1)</f>
        <v>-0.25576099333080304</v>
      </c>
      <c r="BO43" s="38">
        <f t="shared" ref="BO43" si="329">+IF(BK41&lt;0,1-BO41/BK41,BO41/BK41-1)</f>
        <v>-1.1243175400062757</v>
      </c>
      <c r="BP43" s="38">
        <f t="shared" ref="BP43" si="330">+IF(BL41&lt;0,1-BP41/BL41,BP41/BL41-1)</f>
        <v>0.32745221592102469</v>
      </c>
      <c r="BQ43" s="38">
        <f t="shared" ref="BQ43" si="331">+IF(BM41&lt;0,1-BQ41/BM41,BQ41/BM41-1)</f>
        <v>0.55851136209007946</v>
      </c>
      <c r="BR43" s="38">
        <f t="shared" ref="BR43" si="332">+IF(BN41&lt;0,1-BR41/BN41,BR41/BN41-1)</f>
        <v>0.55085239691097176</v>
      </c>
      <c r="BS43" s="38">
        <f t="shared" ref="BS43" si="333">+IF(BO41&lt;0,1-BS41/BO41,BS41/BO41-1)</f>
        <v>11.452296819787975</v>
      </c>
      <c r="BT43" s="38">
        <f t="shared" ref="BT43" si="334">+IF(BP41&lt;0,1-BT41/BP41,BT41/BP41-1)</f>
        <v>0.39493670886075738</v>
      </c>
      <c r="BU43" s="38">
        <f t="shared" ref="BU43" si="335">+IF(BQ41&lt;0,1-BU41/BQ41,BU41/BQ41-1)</f>
        <v>0.25345964115772501</v>
      </c>
      <c r="BV43" s="38">
        <f t="shared" ref="BV43" si="336">+IF(BR41&lt;0,1-BV41/BR41,BV41/BR41-1)</f>
        <v>0.4491003899093351</v>
      </c>
      <c r="BW43" s="38">
        <f t="shared" ref="BW43" si="337">+IF(BS41&lt;0,1-BW41/BS41,BW41/BS41-1)</f>
        <v>0.55380083067709718</v>
      </c>
      <c r="BX43" s="38">
        <f t="shared" ref="BX43" si="338">+IF(BT41&lt;0,1-BX41/BT41,BX41/BT41-1)</f>
        <v>0.2060269207501515</v>
      </c>
      <c r="BY43" s="38">
        <f t="shared" ref="BY43" si="339">+IF(BU41&lt;0,1-BY41/BU41,BY41/BU41-1)</f>
        <v>0.20231254135757348</v>
      </c>
      <c r="BZ43" s="38">
        <f t="shared" ref="BZ43" si="340">+IF(BV41&lt;0,1-BZ41/BV41,BZ41/BV41-1)</f>
        <v>2.0131617337179497E-2</v>
      </c>
      <c r="CA43" s="38">
        <f t="shared" ref="CA43" si="341">+IF(BW41&lt;0,1-CA41/BW41,CA41/BW41-1)</f>
        <v>6.3065303204550727E-2</v>
      </c>
      <c r="CB43" s="38">
        <f t="shared" ref="CB43" si="342">+IF(BX41&lt;0,1-CB41/BX41,CB41/BX41-1)</f>
        <v>6.7185001724300752E-2</v>
      </c>
      <c r="CC43" s="38">
        <f t="shared" ref="CC43" si="343">+IF(BY41&lt;0,1-CC41/BY41,CC41/BY41-1)</f>
        <v>-6.1178379004692807E-2</v>
      </c>
      <c r="CD43" s="38">
        <f t="shared" ref="CD43" si="344">+IF(BZ41&lt;0,1-CD41/BZ41,CD41/BZ41-1)</f>
        <v>4.8239481377909676E-2</v>
      </c>
      <c r="CE43" s="38">
        <f t="shared" ref="CE43" si="345">+IF(CA41&lt;0,1-CE41/CA41,CE41/CA41-1)</f>
        <v>0.1002865329512892</v>
      </c>
      <c r="CF43" s="38">
        <f t="shared" ref="CF43" si="346">+IF(CB41&lt;0,1-CF41/CB41,CF41/CB41-1)</f>
        <v>8.340188014100991E-2</v>
      </c>
      <c r="CG43" s="38">
        <f t="shared" ref="CG43" si="347">+IF(CC41&lt;0,1-CG41/CC41,CG41/CC41-1)</f>
        <v>0.14282628818265941</v>
      </c>
      <c r="CH43" s="38">
        <f t="shared" ref="CH43:CL43" si="348">+IF(CD41&lt;0,1-CH41/CD41,CH41/CD41-1)</f>
        <v>0.19092948523615827</v>
      </c>
      <c r="CI43" s="38">
        <f t="shared" si="348"/>
        <v>0.14296343537415002</v>
      </c>
      <c r="CJ43" s="38">
        <f t="shared" si="348"/>
        <v>0.23631334906044232</v>
      </c>
      <c r="CK43" s="38">
        <f t="shared" ref="CK43" si="349">+IF(CG41&lt;0,1-CK41/CG41,CK41/CG41-1)</f>
        <v>0.30705472609951645</v>
      </c>
      <c r="CL43" s="38">
        <f t="shared" si="348"/>
        <v>0.21759494959780112</v>
      </c>
      <c r="CM43" s="39">
        <f t="shared" ref="CM43" si="350">+CM41/CI41-1</f>
        <v>0.14206057681895645</v>
      </c>
      <c r="CN43" s="39">
        <f t="shared" ref="CN43" si="351">+CN41/CJ41-1</f>
        <v>0.13408068552466657</v>
      </c>
      <c r="CO43" s="39">
        <f t="shared" ref="CO43" si="352">+CO41/CK41-1</f>
        <v>0.19971928488694246</v>
      </c>
      <c r="CP43" s="39">
        <f t="shared" ref="CP43" si="353">+CP41/CL41-1</f>
        <v>0.1583657694404057</v>
      </c>
      <c r="CQ43" s="39">
        <f t="shared" ref="CQ43" si="354">+CQ41/CM41-1</f>
        <v>0.16312082633843339</v>
      </c>
      <c r="CR43" s="39">
        <f t="shared" ref="CR43" si="355">+CR41/CN41-1</f>
        <v>0.16911122533460787</v>
      </c>
      <c r="CS43" s="39">
        <f t="shared" ref="CS43" si="356">+CS41/CO41-1</f>
        <v>0.17338488220909731</v>
      </c>
      <c r="CT43" s="39">
        <f t="shared" ref="CT43" si="357">+CT41/CP41-1</f>
        <v>0.11591152825364515</v>
      </c>
      <c r="CU43" s="39">
        <f t="shared" ref="CU43" si="358">+CU41/CQ41-1</f>
        <v>0.10815349686990561</v>
      </c>
      <c r="CV43" s="39">
        <f t="shared" ref="CV43" si="359">+CV41/CR41-1</f>
        <v>0.10814990283579951</v>
      </c>
      <c r="CW43" s="39">
        <f t="shared" ref="CW43" si="360">+CW41/CS41-1</f>
        <v>0.10002057214145132</v>
      </c>
      <c r="CX43" s="39">
        <f t="shared" ref="CX43" si="361">+CX41/CT41-1</f>
        <v>0.12555827268562791</v>
      </c>
      <c r="CY43" s="39">
        <f t="shared" ref="CY43" si="362">+CY41/CU41-1</f>
        <v>0.12263947627425531</v>
      </c>
      <c r="CZ43" s="39">
        <f t="shared" ref="CZ43" si="363">+CZ41/CV41-1</f>
        <v>0.13072942451865677</v>
      </c>
      <c r="DA43" s="39">
        <f t="shared" ref="DA43" si="364">+DA41/CW41-1</f>
        <v>0.13494744328732011</v>
      </c>
      <c r="DD43" s="121"/>
      <c r="DE43" s="37">
        <v>0.21934890412000985</v>
      </c>
    </row>
    <row r="44" spans="1:109" s="37" customFormat="1" x14ac:dyDescent="0.2">
      <c r="A44" s="38" t="s">
        <v>449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9"/>
      <c r="AC44" s="39"/>
      <c r="AD44" s="39"/>
      <c r="AE44" s="39"/>
      <c r="AI44" s="38"/>
      <c r="AJ44" s="38">
        <f>+IF(AI41&lt;0,1-AJ41/AI41,AJ41/AI41-1)</f>
        <v>-0.19277108433734902</v>
      </c>
      <c r="AK44" s="38">
        <f t="shared" ref="AK44:AM44" si="365">+IF(AJ41&lt;0,1-AK41/AJ41,AK41/AJ41-1)</f>
        <v>-0.19906958712928902</v>
      </c>
      <c r="AL44" s="38">
        <f t="shared" si="365"/>
        <v>3.1461761858648796E-3</v>
      </c>
      <c r="AM44" s="38">
        <f t="shared" si="365"/>
        <v>4.3425814234021587E-3</v>
      </c>
      <c r="AN44" s="38">
        <f t="shared" ref="AN44" si="366">+IF(AM41&lt;0,1-AN41/AM41,AN41/AM41-1)</f>
        <v>0.21691088157578764</v>
      </c>
      <c r="AO44" s="38">
        <f t="shared" ref="AO44" si="367">+IF(AN41&lt;0,1-AO41/AN41,AO41/AN41-1)</f>
        <v>-1.5988945913936403E-2</v>
      </c>
      <c r="AP44" s="38">
        <f t="shared" ref="AP44" si="368">+IF(AO41&lt;0,1-AP41/AO41,AP41/AO41-1)</f>
        <v>0.11755265797392189</v>
      </c>
      <c r="AQ44" s="38">
        <f t="shared" ref="AQ44" si="369">+IF(AP41&lt;0,1-AQ41/AP41,AQ41/AP41-1)</f>
        <v>0.1419852809190465</v>
      </c>
      <c r="AR44" s="38">
        <f t="shared" ref="AR44" si="370">+IF(AQ41&lt;0,1-AR41/AQ41,AR41/AQ41-1)</f>
        <v>-5.61144294247099E-2</v>
      </c>
      <c r="AS44" s="38">
        <f t="shared" ref="AS44" si="371">+IF(AR41&lt;0,1-AS41/AR41,AS41/AR41-1)</f>
        <v>3.8467943380516845E-2</v>
      </c>
      <c r="AT44" s="38">
        <f t="shared" ref="AT44" si="372">+IF(AS41&lt;0,1-AT41/AS41,AT41/AS41-1)</f>
        <v>1.5875561257214565E-2</v>
      </c>
      <c r="AU44" s="38">
        <f t="shared" ref="AU44" si="373">+IF(AT41&lt;0,1-AU41/AT41,AU41/AT41-1)</f>
        <v>0.1823204419889517</v>
      </c>
      <c r="AV44" s="38">
        <f t="shared" ref="AV44" si="374">+IF(AU41&lt;0,1-AV41/AU41,AV41/AU41-1)</f>
        <v>9.3457943925232545E-3</v>
      </c>
      <c r="AW44" s="38">
        <f t="shared" ref="AW44" si="375">+IF(AV41&lt;0,1-AW41/AV41,AW41/AV41-1)</f>
        <v>0.20939153439153402</v>
      </c>
      <c r="AX44" s="38">
        <f t="shared" ref="AX44" si="376">+IF(AW41&lt;0,1-AX41/AW41,AX41/AW41-1)</f>
        <v>-0.21459039702504623</v>
      </c>
      <c r="AY44" s="38">
        <f t="shared" ref="AY44" si="377">+IF(AX41&lt;0,1-AY41/AX41,AY41/AX41-1)</f>
        <v>-9.6086895975492359E-3</v>
      </c>
      <c r="AZ44" s="38">
        <f t="shared" ref="AZ44" si="378">+IF(AY41&lt;0,1-AZ41/AY41,AZ41/AY41-1)</f>
        <v>0.12837457817772746</v>
      </c>
      <c r="BA44" s="38">
        <f t="shared" ref="BA44" si="379">+IF(AZ41&lt;0,1-BA41/AZ41,BA41/AZ41-1)</f>
        <v>-8.0872274143301559E-2</v>
      </c>
      <c r="BB44" s="38">
        <f t="shared" ref="BB44" si="380">+IF(BA41&lt;0,1-BB41/BA41,BB41/BA41-1)</f>
        <v>0.19956616052060761</v>
      </c>
      <c r="BC44" s="38">
        <f t="shared" ref="BC44" si="381">+IF(BB41&lt;0,1-BC41/BB41,BC41/BB41-1)</f>
        <v>-2.6446654611211318E-2</v>
      </c>
      <c r="BD44" s="38">
        <f t="shared" ref="BD44" si="382">+IF(BC41&lt;0,1-BD41/BC41,BD41/BC41-1)</f>
        <v>0.94706292082655885</v>
      </c>
      <c r="BE44" s="38">
        <f t="shared" ref="BE44" si="383">+IF(BD41&lt;0,1-BE41/BD41,BE41/BD41-1)</f>
        <v>0.10046506081564566</v>
      </c>
      <c r="BF44" s="38">
        <f t="shared" ref="BF44" si="384">+IF(BE41&lt;0,1-BF41/BE41,BF41/BE41-1)</f>
        <v>-3.9551389716636631E-3</v>
      </c>
      <c r="BG44" s="38">
        <f t="shared" ref="BG44" si="385">+IF(BF41&lt;0,1-BG41/BF41,BG41/BF41-1)</f>
        <v>-2.012619669277671E-2</v>
      </c>
      <c r="BH44" s="38">
        <f t="shared" ref="BH44" si="386">+IF(BG41&lt;0,1-BH41/BG41,BH41/BG41-1)</f>
        <v>0.10841567669590413</v>
      </c>
      <c r="BI44" s="38">
        <f t="shared" ref="BI44" si="387">+IF(BH41&lt;0,1-BI41/BH41,BI41/BH41-1)</f>
        <v>-0.13953022487103806</v>
      </c>
      <c r="BJ44" s="38">
        <f t="shared" ref="BJ44" si="388">+IF(BI41&lt;0,1-BJ41/BI41,BJ41/BI41-1)</f>
        <v>7.3453233222745995E-2</v>
      </c>
      <c r="BK44" s="38">
        <f t="shared" ref="BK44" si="389">+IF(BJ41&lt;0,1-BK41/BJ41,BK41/BJ41-1)</f>
        <v>-0.13598655316380148</v>
      </c>
      <c r="BL44" s="38">
        <f t="shared" ref="BL44" si="390">+IF(BK41&lt;0,1-BL41/BK41,BL41/BK41-1)</f>
        <v>-0.10367116410417232</v>
      </c>
      <c r="BM44" s="38">
        <f t="shared" ref="BM44" si="391">+IF(BL41&lt;0,1-BM41/BL41,BM41/BL41-1)</f>
        <v>2.9055520548903813E-2</v>
      </c>
      <c r="BN44" s="38">
        <f t="shared" ref="BN44" si="392">+IF(BM41&lt;0,1-BN41/BM41,BN41/BM41-1)</f>
        <v>-6.6131446455301002E-2</v>
      </c>
      <c r="BO44" s="38">
        <f t="shared" ref="BO44" si="393">+IF(BN41&lt;0,1-BO41/BN41,BO41/BN41-1)</f>
        <v>-1.144324639370538</v>
      </c>
      <c r="BP44" s="38">
        <f t="shared" ref="BP44" si="394">+IF(BO41&lt;0,1-BP41/BO41,BP41/BO41-1)</f>
        <v>10.570923775870765</v>
      </c>
      <c r="BQ44" s="38">
        <f t="shared" ref="BQ44" si="395">+IF(BP41&lt;0,1-BQ41/BP41,BQ41/BP41-1)</f>
        <v>0.20817510548523099</v>
      </c>
      <c r="BR44" s="38">
        <f t="shared" ref="BR44" si="396">+IF(BQ41&lt;0,1-BR41/BQ41,BR41/BQ41-1)</f>
        <v>-7.0720740385035619E-2</v>
      </c>
      <c r="BS44" s="38">
        <f t="shared" ref="BS44" si="397">+IF(BR41&lt;0,1-BS41/BR41,BS41/BR41-1)</f>
        <v>-2.7293653403484663E-2</v>
      </c>
      <c r="BT44" s="38">
        <f t="shared" ref="BT44" si="398">+IF(BS41&lt;0,1-BT41/BS41,BT41/BS41-1)</f>
        <v>0.27731092436974647</v>
      </c>
      <c r="BU44" s="38">
        <f t="shared" ref="BU44" si="399">+IF(BT41&lt;0,1-BU41/BT41,BU41/BT41-1)</f>
        <v>8.5639745916516352E-2</v>
      </c>
      <c r="BV44" s="38">
        <f t="shared" ref="BV44" si="400">+IF(BU41&lt;0,1-BV41/BU41,BV41/BU41-1)</f>
        <v>7.4321735799115274E-2</v>
      </c>
      <c r="BW44" s="38">
        <f t="shared" ref="BW44" si="401">+IF(BV41&lt;0,1-BW41/BV41,BW41/BV41-1)</f>
        <v>4.2986351995331296E-2</v>
      </c>
      <c r="BX44" s="38">
        <f t="shared" ref="BX44" si="402">+IF(BW41&lt;0,1-BX41/BW41,BX41/BW41-1)</f>
        <v>-8.5786218257545288E-3</v>
      </c>
      <c r="BY44" s="38">
        <f t="shared" ref="BY44" si="403">+IF(BX41&lt;0,1-BY41/BX41,BY41/BX41-1)</f>
        <v>8.2296140702888154E-2</v>
      </c>
      <c r="BZ44" s="38">
        <f t="shared" ref="BZ44" si="404">+IF(BY41&lt;0,1-BZ41/BY41,BZ41/BY41-1)</f>
        <v>-8.8465326458491256E-2</v>
      </c>
      <c r="CA44" s="38">
        <f t="shared" ref="CA44" si="405">+IF(BZ41&lt;0,1-CA41/BZ41,CA41/BZ41-1)</f>
        <v>8.6881911783399879E-2</v>
      </c>
      <c r="CB44" s="38">
        <f t="shared" ref="CB44" si="406">+IF(CA41&lt;0,1-CB41/CA41,CB41/CA41-1)</f>
        <v>-4.7365651131511255E-3</v>
      </c>
      <c r="CC44" s="38">
        <f t="shared" ref="CC44" si="407">+IF(CB41&lt;0,1-CC41/CB41,CC41/CB41-1)</f>
        <v>-4.7884841363102226E-2</v>
      </c>
      <c r="CD44" s="38">
        <f t="shared" ref="CD44" si="408">+IF(CC41&lt;0,1-CD41/CC41,CD41/CC41-1)</f>
        <v>1.7772292502314935E-2</v>
      </c>
      <c r="CE44" s="38">
        <f t="shared" ref="CE44" si="409">+IF(CD41&lt;0,1-CE41/CD41,CE41/CD41-1)</f>
        <v>0.14084763232886544</v>
      </c>
      <c r="CF44" s="38">
        <f t="shared" ref="CF44" si="410">+IF(CE41&lt;0,1-CF41/CE41,CF41/CE41-1)</f>
        <v>-2.0009566326530948E-2</v>
      </c>
      <c r="CG44" s="38">
        <f t="shared" ref="CG44" si="411">+IF(CF41&lt;0,1-CG41/CF41,CG41/CF41-1)</f>
        <v>4.3385124325501234E-3</v>
      </c>
      <c r="CH44" s="38">
        <f t="shared" ref="CH44:CI44" si="412">+IF(CG41&lt;0,1-CH41/CG41,CH41/CG41-1)</f>
        <v>6.0611787575257425E-2</v>
      </c>
      <c r="CI44" s="38">
        <f t="shared" si="412"/>
        <v>9.489868648813915E-2</v>
      </c>
      <c r="CJ44" s="38">
        <f>+IF(CI41&gt;1,CJ41/CI41-1,1-CJ41/CI41)</f>
        <v>6.0029759136985605E-2</v>
      </c>
      <c r="CK44" s="38">
        <f t="shared" ref="CK44" si="413">+IF(CJ41&lt;0,1-CK41/CJ41,CK41/CJ41-1)</f>
        <v>6.1806378032196241E-2</v>
      </c>
      <c r="CL44" s="38">
        <f>+IF(CK41&gt;1,CL41/CK41-1,1-CL41/CK41)</f>
        <v>-1.1980500702305608E-2</v>
      </c>
      <c r="CM44" s="39">
        <f t="shared" ref="CM44" si="414">+CM41/CL41-1</f>
        <v>2.6975864068761402E-2</v>
      </c>
      <c r="CN44" s="39">
        <f t="shared" ref="CN44" si="415">+CN41/CM41-1</f>
        <v>5.2623039722691001E-2</v>
      </c>
      <c r="CO44" s="39">
        <f t="shared" ref="CO44" si="416">+CO41/CN41-1</f>
        <v>0.1232618673439827</v>
      </c>
      <c r="CP44" s="39">
        <f t="shared" ref="CP44" si="417">+CP41/CO41-1</f>
        <v>-4.6036867171014184E-2</v>
      </c>
      <c r="CQ44" s="39">
        <f t="shared" ref="CQ44" si="418">+CQ41/CP41-1</f>
        <v>3.1191569328169244E-2</v>
      </c>
      <c r="CR44" s="39">
        <f t="shared" ref="CR44" si="419">+CR41/CQ41-1</f>
        <v>5.8044344077076371E-2</v>
      </c>
      <c r="CS44" s="39">
        <f t="shared" ref="CS44" si="420">+CS41/CR41-1</f>
        <v>0.12736792303586331</v>
      </c>
      <c r="CT44" s="39">
        <f t="shared" ref="CT44" si="421">+CT41/CS41-1</f>
        <v>-9.2762763869384979E-2</v>
      </c>
      <c r="CU44" s="39">
        <f t="shared" ref="CU44" si="422">+CU41/CT41-1</f>
        <v>2.4022527379104153E-2</v>
      </c>
      <c r="CV44" s="39">
        <f t="shared" ref="CV44" si="423">+CV41/CU41-1</f>
        <v>5.8040912560170854E-2</v>
      </c>
      <c r="CW44" s="39">
        <f t="shared" ref="CW44" si="424">+CW41/CV41-1</f>
        <v>0.11909760993372243</v>
      </c>
      <c r="CX44" s="39">
        <f t="shared" ref="CX44" si="425">+CX41/CW41-1</f>
        <v>-7.1700655172884376E-2</v>
      </c>
      <c r="CY44" s="39">
        <f t="shared" ref="CY44" si="426">+CY41/CX41-1</f>
        <v>2.1367033345066178E-2</v>
      </c>
      <c r="CZ44" s="39">
        <f t="shared" ref="CZ44" si="427">+CZ41/CY41-1</f>
        <v>6.5665351575515229E-2</v>
      </c>
      <c r="DA44" s="39">
        <f t="shared" ref="DA44" si="428">+DA41/CZ41-1</f>
        <v>0.12327223793960096</v>
      </c>
      <c r="DD44" s="121"/>
    </row>
    <row r="45" spans="1:109" s="22" customFormat="1" x14ac:dyDescent="0.2">
      <c r="A45" s="22" t="s">
        <v>15</v>
      </c>
      <c r="B45" s="22">
        <f>'Annual Raw'!C27</f>
        <v>0</v>
      </c>
      <c r="C45" s="22">
        <f>'Annual Raw'!D27</f>
        <v>0</v>
      </c>
      <c r="D45" s="22">
        <f>'Annual Raw'!E27</f>
        <v>16.98</v>
      </c>
      <c r="E45" s="22">
        <f>'Annual Raw'!F27</f>
        <v>16.739999999999998</v>
      </c>
      <c r="F45" s="22">
        <f>'Annual Raw'!G27</f>
        <v>16.989999999999998</v>
      </c>
      <c r="G45" s="22">
        <f>'Annual Raw'!H27</f>
        <v>16.829999999999998</v>
      </c>
      <c r="H45" s="22">
        <f>'Annual Raw'!I27</f>
        <v>18.3</v>
      </c>
      <c r="I45" s="22">
        <f>'Annual Raw'!J27</f>
        <v>19.36</v>
      </c>
      <c r="J45" s="22">
        <f>'Annual Raw'!K27</f>
        <v>20.59</v>
      </c>
      <c r="K45" s="22">
        <f>'Annual Raw'!L27</f>
        <v>20.079999999999998</v>
      </c>
      <c r="L45" s="22">
        <f>'Annual Raw'!M27</f>
        <v>20.11</v>
      </c>
      <c r="M45" s="22">
        <f>'Annual Raw'!N27</f>
        <v>22.59</v>
      </c>
      <c r="N45" s="22">
        <f>'Annual Raw'!O27</f>
        <v>30.27</v>
      </c>
      <c r="O45" s="22">
        <f>'Annual Raw'!P27</f>
        <v>43.25</v>
      </c>
      <c r="P45" s="22">
        <f>'Annual Raw'!Q27</f>
        <v>49.35</v>
      </c>
      <c r="Q45" s="22">
        <f>'Annual Raw'!R27</f>
        <v>65.510000000000005</v>
      </c>
      <c r="R45" s="22">
        <f>'Annual Raw'!S27</f>
        <v>64.099999999999994</v>
      </c>
      <c r="S45" s="22">
        <f>'Annual Raw'!T27</f>
        <v>138.16</v>
      </c>
      <c r="T45" s="22">
        <f>'Annual Raw'!U27</f>
        <v>148.5</v>
      </c>
      <c r="U45" s="22">
        <f>'Annual Raw'!V27</f>
        <v>158.71</v>
      </c>
      <c r="V45" s="22">
        <f>'Annual Raw'!W27</f>
        <v>193.97</v>
      </c>
      <c r="W45" s="22">
        <f>'Annual Raw'!X27</f>
        <v>197.11</v>
      </c>
      <c r="X45" s="22">
        <f>'Annual Raw'!Y27</f>
        <v>206.46</v>
      </c>
      <c r="Y45" s="22">
        <f>'Annual Raw'!Z27</f>
        <v>223.01</v>
      </c>
      <c r="Z45" s="22">
        <f>'Annual Raw'!AA27</f>
        <v>281.55</v>
      </c>
      <c r="AA45" s="22">
        <f>'Annual Raw'!AB27</f>
        <v>343.72</v>
      </c>
      <c r="AB45" s="75">
        <f>+SUM(CL45:CO45)</f>
        <v>361.84</v>
      </c>
      <c r="AC45" s="75">
        <f>+SUM(CP45:CS45)</f>
        <v>361.84</v>
      </c>
      <c r="AD45" s="75">
        <f>+SUM(CT45:CW45)</f>
        <v>427.48316</v>
      </c>
      <c r="AE45" s="75">
        <f>+SUM(CX45:DA45)</f>
        <v>427.48316</v>
      </c>
      <c r="AI45" s="22">
        <f>'QTR Raw'!C28</f>
        <v>6.63</v>
      </c>
      <c r="AJ45" s="22">
        <f>'QTR Raw'!D28</f>
        <v>8.6</v>
      </c>
      <c r="AK45" s="22">
        <f>'QTR Raw'!E28</f>
        <v>8.76</v>
      </c>
      <c r="AL45" s="22">
        <f>'QTR Raw'!F28</f>
        <v>9.61</v>
      </c>
      <c r="AM45" s="22">
        <f>'QTR Raw'!G28</f>
        <v>10.49</v>
      </c>
      <c r="AN45" s="22">
        <f>'QTR Raw'!H28</f>
        <v>11.27</v>
      </c>
      <c r="AO45" s="22">
        <f>'QTR Raw'!I28</f>
        <v>11.88</v>
      </c>
      <c r="AP45" s="22">
        <f>'QTR Raw'!J28</f>
        <v>12.05</v>
      </c>
      <c r="AQ45" s="22">
        <f>'QTR Raw'!K28</f>
        <v>12.29</v>
      </c>
      <c r="AR45" s="22">
        <f>'QTR Raw'!L28</f>
        <v>12.52</v>
      </c>
      <c r="AS45" s="22">
        <f>'QTR Raw'!M28</f>
        <v>12.49</v>
      </c>
      <c r="AT45" s="22">
        <f>'QTR Raw'!N28</f>
        <v>12.45</v>
      </c>
      <c r="AU45" s="22">
        <f>'QTR Raw'!O28</f>
        <v>12.42</v>
      </c>
      <c r="AV45" s="22">
        <f>'QTR Raw'!P28</f>
        <v>12.8</v>
      </c>
      <c r="AW45" s="22">
        <f>'QTR Raw'!Q28</f>
        <v>27.84</v>
      </c>
      <c r="AX45" s="22">
        <f>'QTR Raw'!R28</f>
        <v>15.2</v>
      </c>
      <c r="AY45" s="22">
        <f>'QTR Raw'!S28</f>
        <v>15.66</v>
      </c>
      <c r="AZ45" s="22">
        <f>'QTR Raw'!T28</f>
        <v>15.74</v>
      </c>
      <c r="BA45" s="22">
        <f>'QTR Raw'!U28</f>
        <v>17.5</v>
      </c>
      <c r="BB45" s="22">
        <f>'QTR Raw'!V28</f>
        <v>17.559999999999999</v>
      </c>
      <c r="BC45" s="22">
        <f>'QTR Raw'!W28</f>
        <v>17.739999999999998</v>
      </c>
      <c r="BD45" s="22">
        <f>'QTR Raw'!X28</f>
        <v>34.840000000000003</v>
      </c>
      <c r="BE45" s="22">
        <f>'QTR Raw'!Y28</f>
        <v>35.25</v>
      </c>
      <c r="BF45" s="22">
        <f>'QTR Raw'!Z28</f>
        <v>35.9</v>
      </c>
      <c r="BG45" s="22">
        <f>'QTR Raw'!AA28</f>
        <v>36.61</v>
      </c>
      <c r="BH45" s="22">
        <f>'QTR Raw'!AB28</f>
        <v>37.19</v>
      </c>
      <c r="BI45" s="22">
        <f>'QTR Raw'!AC28</f>
        <v>38.799999999999997</v>
      </c>
      <c r="BJ45" s="22">
        <f>'QTR Raw'!AD28</f>
        <v>37.81</v>
      </c>
      <c r="BK45" s="22">
        <f>'QTR Raw'!AE28</f>
        <v>38.47</v>
      </c>
      <c r="BL45" s="22">
        <f>'QTR Raw'!AF28</f>
        <v>39.97</v>
      </c>
      <c r="BM45" s="22">
        <f>'QTR Raw'!AG28</f>
        <v>42.46</v>
      </c>
      <c r="BN45" s="22">
        <f>'QTR Raw'!AH28</f>
        <v>44.42</v>
      </c>
      <c r="BO45" s="22">
        <f>'QTR Raw'!AI28</f>
        <v>49.9</v>
      </c>
      <c r="BP45" s="22">
        <f>'QTR Raw'!AJ28</f>
        <v>48.57</v>
      </c>
      <c r="BQ45" s="22">
        <f>'QTR Raw'!AK28</f>
        <v>51.08</v>
      </c>
      <c r="BR45" s="22">
        <f>'QTR Raw'!AL28</f>
        <v>47.87</v>
      </c>
      <c r="BS45" s="22">
        <f>'QTR Raw'!AM28</f>
        <v>48.46</v>
      </c>
      <c r="BT45" s="22">
        <f>'QTR Raw'!AN28</f>
        <v>49.61</v>
      </c>
      <c r="BU45" s="22">
        <f>'QTR Raw'!AO28</f>
        <v>51.17</v>
      </c>
      <c r="BV45" s="22">
        <f>'QTR Raw'!AP28</f>
        <v>50.49</v>
      </c>
      <c r="BW45" s="22">
        <f>'QTR Raw'!AQ28</f>
        <v>51.27</v>
      </c>
      <c r="BX45" s="22">
        <f>'QTR Raw'!AR28</f>
        <v>51.71</v>
      </c>
      <c r="BY45" s="22">
        <f>'QTR Raw'!AS28</f>
        <v>52.99</v>
      </c>
      <c r="BZ45" s="22">
        <f>'QTR Raw'!AT28</f>
        <v>52.45</v>
      </c>
      <c r="CA45" s="22">
        <f>'QTR Raw'!AU28</f>
        <v>53.93</v>
      </c>
      <c r="CB45" s="22">
        <f>'QTR Raw'!AV28</f>
        <v>56.2</v>
      </c>
      <c r="CC45" s="22">
        <f>'QTR Raw'!AW28</f>
        <v>60.43</v>
      </c>
      <c r="CD45" s="22">
        <f>'QTR Raw'!AX28</f>
        <v>62.46</v>
      </c>
      <c r="CE45" s="22">
        <f>'QTR Raw'!AY28</f>
        <v>67.66</v>
      </c>
      <c r="CF45" s="22">
        <f>'QTR Raw'!AZ28</f>
        <v>73.31</v>
      </c>
      <c r="CG45" s="22">
        <f>'QTR Raw'!BA28</f>
        <v>78.12</v>
      </c>
      <c r="CH45" s="22">
        <f>'QTR Raw'!BB28</f>
        <v>83.1</v>
      </c>
      <c r="CI45" s="22">
        <f>'QTR Raw'!BC28</f>
        <v>80.72</v>
      </c>
      <c r="CJ45" s="22">
        <f>'QTR Raw'!BD28</f>
        <v>87.88</v>
      </c>
      <c r="CK45" s="22">
        <v>92.02</v>
      </c>
      <c r="CL45" s="22">
        <f>'QTR Raw'!BF28</f>
        <v>90.46</v>
      </c>
      <c r="CM45" s="23">
        <f t="shared" ref="CM45:DA45" si="429">CM46*CL147</f>
        <v>90.46</v>
      </c>
      <c r="CN45" s="23">
        <f t="shared" si="429"/>
        <v>90.46</v>
      </c>
      <c r="CO45" s="23">
        <f t="shared" si="429"/>
        <v>90.46</v>
      </c>
      <c r="CP45" s="23">
        <f t="shared" si="429"/>
        <v>90.46</v>
      </c>
      <c r="CQ45" s="23">
        <f t="shared" si="429"/>
        <v>90.46</v>
      </c>
      <c r="CR45" s="23">
        <f t="shared" si="429"/>
        <v>90.46</v>
      </c>
      <c r="CS45" s="23">
        <f t="shared" si="429"/>
        <v>90.46</v>
      </c>
      <c r="CT45" s="23">
        <f t="shared" si="429"/>
        <v>106.87079</v>
      </c>
      <c r="CU45" s="23">
        <f t="shared" si="429"/>
        <v>106.87079</v>
      </c>
      <c r="CV45" s="23">
        <f t="shared" si="429"/>
        <v>106.87079</v>
      </c>
      <c r="CW45" s="23">
        <f t="shared" si="429"/>
        <v>106.87079</v>
      </c>
      <c r="CX45" s="23">
        <f t="shared" si="429"/>
        <v>106.87079</v>
      </c>
      <c r="CY45" s="23">
        <f t="shared" si="429"/>
        <v>106.87079</v>
      </c>
      <c r="CZ45" s="23">
        <f t="shared" si="429"/>
        <v>106.87079</v>
      </c>
      <c r="DA45" s="23">
        <f t="shared" si="429"/>
        <v>106.87079</v>
      </c>
      <c r="DD45" s="122"/>
      <c r="DE45" s="22">
        <v>343.71999999999997</v>
      </c>
    </row>
    <row r="46" spans="1:109" s="45" customFormat="1" x14ac:dyDescent="0.2">
      <c r="A46" s="45" t="s">
        <v>482</v>
      </c>
      <c r="B46" s="45" t="e">
        <f t="shared" ref="B46:D46" si="430">+B45/B147</f>
        <v>#DIV/0!</v>
      </c>
      <c r="C46" s="45" t="e">
        <f t="shared" si="430"/>
        <v>#DIV/0!</v>
      </c>
      <c r="D46" s="45">
        <f t="shared" si="430"/>
        <v>0.17619591159074399</v>
      </c>
      <c r="E46" s="45">
        <f t="shared" ref="E46:AE46" si="431">+E45/E147</f>
        <v>0.18962392387856816</v>
      </c>
      <c r="F46" s="45">
        <f t="shared" si="431"/>
        <v>0.21045460175894951</v>
      </c>
      <c r="G46" s="45">
        <f t="shared" si="431"/>
        <v>0.20250270725544453</v>
      </c>
      <c r="H46" s="45">
        <f t="shared" si="431"/>
        <v>0.16452395936348105</v>
      </c>
      <c r="I46" s="45">
        <f t="shared" si="431"/>
        <v>0.14752724224643754</v>
      </c>
      <c r="J46" s="45">
        <f t="shared" si="431"/>
        <v>0.13879339400067406</v>
      </c>
      <c r="K46" s="45">
        <f t="shared" si="431"/>
        <v>0.14179789562883979</v>
      </c>
      <c r="L46" s="45">
        <f t="shared" si="431"/>
        <v>0.14262411347517731</v>
      </c>
      <c r="M46" s="45">
        <f t="shared" si="431"/>
        <v>0.12668236877523553</v>
      </c>
      <c r="N46" s="45">
        <f t="shared" si="431"/>
        <v>0.10843244017767589</v>
      </c>
      <c r="O46" s="45">
        <f t="shared" si="431"/>
        <v>0.10842588182205622</v>
      </c>
      <c r="P46" s="45">
        <f t="shared" si="431"/>
        <v>0.13329191875540189</v>
      </c>
      <c r="Q46" s="45">
        <f t="shared" si="431"/>
        <v>0.18948860349415717</v>
      </c>
      <c r="R46" s="45">
        <f t="shared" si="431"/>
        <v>0.16599337062357572</v>
      </c>
      <c r="S46" s="45">
        <f t="shared" si="431"/>
        <v>0.18564402999113164</v>
      </c>
      <c r="T46" s="45">
        <f t="shared" si="431"/>
        <v>0.20322977966333652</v>
      </c>
      <c r="U46" s="45">
        <f t="shared" si="431"/>
        <v>0.17741088096222854</v>
      </c>
      <c r="V46" s="45">
        <f t="shared" si="431"/>
        <v>0.19284379225324105</v>
      </c>
      <c r="W46" s="45">
        <f t="shared" si="431"/>
        <v>0.18426661680845102</v>
      </c>
      <c r="X46" s="45">
        <f t="shared" si="431"/>
        <v>0.18389432711920267</v>
      </c>
      <c r="Y46" s="45">
        <f t="shared" si="431"/>
        <v>0.16410343203626301</v>
      </c>
      <c r="Z46" s="45">
        <f t="shared" si="431"/>
        <v>0.14918216066423284</v>
      </c>
      <c r="AA46" s="45">
        <f t="shared" ref="AA46" si="432">+AA45/AA147</f>
        <v>0.16268997931586152</v>
      </c>
      <c r="AB46" s="109">
        <f t="shared" si="431"/>
        <v>0.18228256215208682</v>
      </c>
      <c r="AC46" s="109">
        <f t="shared" si="431"/>
        <v>0.18620735792837623</v>
      </c>
      <c r="AD46" s="109">
        <f t="shared" si="431"/>
        <v>0.2328686113234581</v>
      </c>
      <c r="AE46" s="109">
        <f t="shared" si="431"/>
        <v>0.24735120686221743</v>
      </c>
      <c r="AI46" s="45" t="e">
        <f t="shared" ref="AI46:BN46" si="433">+AI45/AH147</f>
        <v>#DIV/0!</v>
      </c>
      <c r="AJ46" s="45">
        <f t="shared" si="433"/>
        <v>2.5708477818964487E-2</v>
      </c>
      <c r="AK46" s="45">
        <f t="shared" si="433"/>
        <v>2.6186775080712665E-2</v>
      </c>
      <c r="AL46" s="45">
        <f t="shared" si="433"/>
        <v>2.4470983677522855E-2</v>
      </c>
      <c r="AM46" s="45">
        <f t="shared" si="433"/>
        <v>2.6711822973695603E-2</v>
      </c>
      <c r="AN46" s="45">
        <f t="shared" si="433"/>
        <v>2.8342931871337674E-2</v>
      </c>
      <c r="AO46" s="45">
        <f t="shared" si="433"/>
        <v>2.9877021351507684E-2</v>
      </c>
      <c r="AP46" s="45">
        <f t="shared" si="433"/>
        <v>2.9224873884361662E-2</v>
      </c>
      <c r="AQ46" s="45">
        <f t="shared" si="433"/>
        <v>2.9806946061311602E-2</v>
      </c>
      <c r="AR46" s="45">
        <f t="shared" si="433"/>
        <v>3.1404419695487497E-2</v>
      </c>
      <c r="AS46" s="45">
        <f t="shared" si="433"/>
        <v>3.1329169488549427E-2</v>
      </c>
      <c r="AT46" s="45">
        <f t="shared" si="433"/>
        <v>3.1893636643098675E-2</v>
      </c>
      <c r="AU46" s="45">
        <f t="shared" si="433"/>
        <v>3.1816784506609283E-2</v>
      </c>
      <c r="AV46" s="45">
        <f t="shared" si="433"/>
        <v>3.2802009123058785E-2</v>
      </c>
      <c r="AW46" s="45">
        <f t="shared" si="433"/>
        <v>7.1344369842652855E-2</v>
      </c>
      <c r="AX46" s="45">
        <f t="shared" si="433"/>
        <v>3.8229376257545265E-2</v>
      </c>
      <c r="AY46" s="45">
        <f t="shared" si="433"/>
        <v>3.9386317907444665E-2</v>
      </c>
      <c r="AZ46" s="45">
        <f t="shared" si="433"/>
        <v>3.9067735610216189E-2</v>
      </c>
      <c r="BA46" s="45">
        <f t="shared" si="433"/>
        <v>4.3436173645411899E-2</v>
      </c>
      <c r="BB46" s="45">
        <f t="shared" si="433"/>
        <v>4.5473378910296243E-2</v>
      </c>
      <c r="BC46" s="45">
        <f t="shared" si="433"/>
        <v>4.5939506940128438E-2</v>
      </c>
      <c r="BD46" s="45">
        <f t="shared" si="433"/>
        <v>9.4725394235997837E-2</v>
      </c>
      <c r="BE46" s="45">
        <f t="shared" si="433"/>
        <v>9.5840130505709623E-2</v>
      </c>
      <c r="BF46" s="45">
        <f t="shared" si="433"/>
        <v>9.4493577595283207E-2</v>
      </c>
      <c r="BG46" s="45">
        <f t="shared" si="433"/>
        <v>9.6362392082543685E-2</v>
      </c>
      <c r="BH46" s="45">
        <f t="shared" si="433"/>
        <v>0.10407746340917359</v>
      </c>
      <c r="BI46" s="45">
        <f t="shared" si="433"/>
        <v>0.10858310245431393</v>
      </c>
      <c r="BJ46" s="45">
        <f t="shared" si="433"/>
        <v>5.1744902148624608E-2</v>
      </c>
      <c r="BK46" s="45">
        <f t="shared" si="433"/>
        <v>5.2648145613794987E-2</v>
      </c>
      <c r="BL46" s="45">
        <f t="shared" si="433"/>
        <v>5.4646377643793667E-2</v>
      </c>
      <c r="BM46" s="45">
        <f t="shared" si="433"/>
        <v>5.8050667869789324E-2</v>
      </c>
      <c r="BN46" s="45">
        <f t="shared" si="433"/>
        <v>4.9654031455750682E-2</v>
      </c>
      <c r="BO46" s="45">
        <f t="shared" ref="BO46:CL46" si="434">+BO45/BN147</f>
        <v>5.577974267541555E-2</v>
      </c>
      <c r="BP46" s="45">
        <f t="shared" si="434"/>
        <v>5.669760112064437E-2</v>
      </c>
      <c r="BQ46" s="45">
        <f t="shared" si="434"/>
        <v>5.9627619214381603E-2</v>
      </c>
      <c r="BR46" s="45">
        <f t="shared" si="434"/>
        <v>5.1694906102525889E-2</v>
      </c>
      <c r="BS46" s="45">
        <f t="shared" si="434"/>
        <v>5.23320482500189E-2</v>
      </c>
      <c r="BT46" s="45">
        <f t="shared" si="434"/>
        <v>5.3530002050131101E-2</v>
      </c>
      <c r="BU46" s="45">
        <f t="shared" si="434"/>
        <v>5.5213267585269274E-2</v>
      </c>
      <c r="BV46" s="45">
        <f t="shared" si="434"/>
        <v>5.0630753494715311E-2</v>
      </c>
      <c r="BW46" s="45">
        <f t="shared" si="434"/>
        <v>5.1412927939672289E-2</v>
      </c>
      <c r="BX46" s="45">
        <f t="shared" si="434"/>
        <v>5.2540667960454791E-2</v>
      </c>
      <c r="BY46" s="45">
        <f t="shared" si="434"/>
        <v>5.3841229843830968E-2</v>
      </c>
      <c r="BZ46" s="45">
        <f t="shared" si="434"/>
        <v>5.1439723824094785E-2</v>
      </c>
      <c r="CA46" s="45">
        <f t="shared" si="434"/>
        <v>5.289121650778706E-2</v>
      </c>
      <c r="CB46" s="45">
        <f t="shared" si="434"/>
        <v>4.9989770776442545E-2</v>
      </c>
      <c r="CC46" s="45">
        <f t="shared" si="434"/>
        <v>5.3752346050185459E-2</v>
      </c>
      <c r="CD46" s="45">
        <f t="shared" si="434"/>
        <v>4.9422376958379491E-2</v>
      </c>
      <c r="CE46" s="45">
        <f t="shared" si="434"/>
        <v>5.3536952049374899E-2</v>
      </c>
      <c r="CF46" s="45">
        <f>+CF45/CE144</f>
        <v>5.1208080412961633E-2</v>
      </c>
      <c r="CG46" s="45">
        <f t="shared" si="434"/>
        <v>5.4567934004372709E-2</v>
      </c>
      <c r="CH46" s="45">
        <f t="shared" si="434"/>
        <v>4.4031388922741069E-2</v>
      </c>
      <c r="CI46" s="45">
        <f t="shared" si="434"/>
        <v>4.2770321466229354E-2</v>
      </c>
      <c r="CJ46" s="45">
        <f t="shared" si="434"/>
        <v>5.1657957077104848E-2</v>
      </c>
      <c r="CK46" s="45">
        <f>CJ46</f>
        <v>5.1657957077104848E-2</v>
      </c>
      <c r="CL46" s="45">
        <f t="shared" si="434"/>
        <v>4.4861463080791295E-2</v>
      </c>
      <c r="CM46" s="46">
        <f t="shared" ref="CM46" si="435">CL46</f>
        <v>4.4861463080791295E-2</v>
      </c>
      <c r="CN46" s="46">
        <f t="shared" ref="CN46" si="436">CM46</f>
        <v>4.4861463080791295E-2</v>
      </c>
      <c r="CO46" s="46">
        <f t="shared" ref="CO46" si="437">CN46</f>
        <v>4.4861463080791295E-2</v>
      </c>
      <c r="CP46" s="46">
        <f t="shared" ref="CP46" si="438">CO46</f>
        <v>4.4861463080791295E-2</v>
      </c>
      <c r="CQ46" s="46">
        <f t="shared" ref="CQ46" si="439">CP46</f>
        <v>4.4861463080791295E-2</v>
      </c>
      <c r="CR46" s="46">
        <f t="shared" ref="CR46" si="440">CQ46</f>
        <v>4.4861463080791295E-2</v>
      </c>
      <c r="CS46" s="46">
        <f t="shared" ref="CS46" si="441">CR46</f>
        <v>4.4861463080791295E-2</v>
      </c>
      <c r="CT46" s="46">
        <v>5.2999999999999999E-2</v>
      </c>
      <c r="CU46" s="46">
        <f t="shared" ref="CU46" si="442">CT46</f>
        <v>5.2999999999999999E-2</v>
      </c>
      <c r="CV46" s="46">
        <f t="shared" ref="CV46" si="443">CU46</f>
        <v>5.2999999999999999E-2</v>
      </c>
      <c r="CW46" s="46">
        <f t="shared" ref="CW46" si="444">CV46</f>
        <v>5.2999999999999999E-2</v>
      </c>
      <c r="CX46" s="46">
        <f t="shared" ref="CX46" si="445">CW46</f>
        <v>5.2999999999999999E-2</v>
      </c>
      <c r="CY46" s="46">
        <f t="shared" ref="CY46" si="446">CX46</f>
        <v>5.2999999999999999E-2</v>
      </c>
      <c r="CZ46" s="46">
        <f t="shared" ref="CZ46" si="447">CY46</f>
        <v>5.2999999999999999E-2</v>
      </c>
      <c r="DA46" s="46">
        <f t="shared" ref="DA46" si="448">CZ46</f>
        <v>5.2999999999999999E-2</v>
      </c>
      <c r="DD46" s="129"/>
      <c r="DE46" s="45">
        <v>0.1704596737798981</v>
      </c>
    </row>
    <row r="47" spans="1:109" s="25" customFormat="1" x14ac:dyDescent="0.2">
      <c r="A47" s="33" t="s">
        <v>16</v>
      </c>
      <c r="B47" s="25">
        <f>B41-B45</f>
        <v>0</v>
      </c>
      <c r="C47" s="25">
        <f t="shared" ref="C47:T47" si="449">C41-C45</f>
        <v>0</v>
      </c>
      <c r="D47" s="25">
        <f>D41-D45</f>
        <v>27.149999999999981</v>
      </c>
      <c r="E47" s="25">
        <f t="shared" si="449"/>
        <v>25.549999999999994</v>
      </c>
      <c r="F47" s="25">
        <f t="shared" si="449"/>
        <v>35.80000000000004</v>
      </c>
      <c r="G47" s="25">
        <f t="shared" si="449"/>
        <v>61.750000000000014</v>
      </c>
      <c r="H47" s="25">
        <f t="shared" si="449"/>
        <v>99.839999999999961</v>
      </c>
      <c r="I47" s="25">
        <f t="shared" si="449"/>
        <v>111.57000000000004</v>
      </c>
      <c r="J47" s="25">
        <f t="shared" si="449"/>
        <v>126.16</v>
      </c>
      <c r="K47" s="25">
        <f t="shared" si="449"/>
        <v>70.430000000000049</v>
      </c>
      <c r="L47" s="25">
        <f t="shared" si="449"/>
        <v>157.49999999999989</v>
      </c>
      <c r="M47" s="25">
        <f t="shared" si="449"/>
        <v>231.89999999999995</v>
      </c>
      <c r="N47" s="25">
        <f t="shared" si="449"/>
        <v>190.65000000000006</v>
      </c>
      <c r="O47" s="25">
        <f t="shared" si="449"/>
        <v>140.7700000000001</v>
      </c>
      <c r="P47" s="25">
        <f t="shared" si="449"/>
        <v>192.91999999999993</v>
      </c>
      <c r="Q47" s="25">
        <f t="shared" si="449"/>
        <v>240.29000000000002</v>
      </c>
      <c r="R47" s="25">
        <f t="shared" si="449"/>
        <v>233.20000000000007</v>
      </c>
      <c r="S47" s="25">
        <f t="shared" si="449"/>
        <v>540.75999999999942</v>
      </c>
      <c r="T47" s="25">
        <f t="shared" si="449"/>
        <v>548.50000000000034</v>
      </c>
      <c r="U47" s="25">
        <f t="shared" ref="U47:Z47" si="450">U41-U45</f>
        <v>475.54999999999905</v>
      </c>
      <c r="V47" s="25">
        <f t="shared" si="450"/>
        <v>342.85000000000025</v>
      </c>
      <c r="W47" s="25">
        <f t="shared" si="450"/>
        <v>775.6600000000002</v>
      </c>
      <c r="X47" s="25">
        <f t="shared" si="450"/>
        <v>1089.3900000000001</v>
      </c>
      <c r="Y47" s="25">
        <f t="shared" si="450"/>
        <v>1098.7799999999993</v>
      </c>
      <c r="Z47" s="25">
        <f t="shared" si="450"/>
        <v>1164.32</v>
      </c>
      <c r="AA47" s="25">
        <f t="shared" ref="AA47" si="451">AA41-AA45</f>
        <v>1419.4600000000003</v>
      </c>
      <c r="AB47" s="26">
        <f t="shared" ref="AB47:AD47" si="452">AB41-AB45</f>
        <v>1705.5839432589535</v>
      </c>
      <c r="AC47" s="26">
        <f t="shared" si="452"/>
        <v>2049.6083253194533</v>
      </c>
      <c r="AD47" s="26">
        <f t="shared" si="452"/>
        <v>2243.5253689816291</v>
      </c>
      <c r="AE47" s="26">
        <f t="shared" ref="AE47" si="453">AE41-AE45</f>
        <v>2587.5475277671667</v>
      </c>
      <c r="AI47" s="25">
        <f t="shared" ref="AI47" si="454">AI41-AI45</f>
        <v>57.280000000000008</v>
      </c>
      <c r="AJ47" s="25">
        <f t="shared" ref="AJ47" si="455">AJ41-AJ45</f>
        <v>42.99000000000003</v>
      </c>
      <c r="AK47" s="25">
        <f t="shared" ref="AK47:AM47" si="456">AK41-AK45</f>
        <v>32.560000000000009</v>
      </c>
      <c r="AL47" s="25">
        <f t="shared" si="456"/>
        <v>31.839999999999947</v>
      </c>
      <c r="AM47" s="25">
        <f t="shared" si="456"/>
        <v>31.139999999999965</v>
      </c>
      <c r="AN47" s="25">
        <f t="shared" ref="AN47:AO47" si="457">AN41-AN45</f>
        <v>39.39</v>
      </c>
      <c r="AO47" s="25">
        <f t="shared" si="457"/>
        <v>37.969999999999978</v>
      </c>
      <c r="AP47" s="25">
        <f t="shared" ref="AP47:CD47" si="458">AP41-AP45</f>
        <v>43.659999999999982</v>
      </c>
      <c r="AQ47" s="25">
        <f t="shared" si="458"/>
        <v>51.330000000000062</v>
      </c>
      <c r="AR47" s="25">
        <f t="shared" si="458"/>
        <v>47.530000000000015</v>
      </c>
      <c r="AS47" s="25">
        <f t="shared" si="458"/>
        <v>49.87000000000004</v>
      </c>
      <c r="AT47" s="25">
        <f t="shared" si="458"/>
        <v>50.899999999999935</v>
      </c>
      <c r="AU47" s="25">
        <f t="shared" si="458"/>
        <v>62.480000000000018</v>
      </c>
      <c r="AV47" s="25">
        <f t="shared" si="458"/>
        <v>62.800000000000011</v>
      </c>
      <c r="AW47" s="25">
        <f t="shared" si="458"/>
        <v>63.589999999999975</v>
      </c>
      <c r="AX47" s="25">
        <f t="shared" si="458"/>
        <v>56.61</v>
      </c>
      <c r="AY47" s="25">
        <f t="shared" si="458"/>
        <v>55.459999999999994</v>
      </c>
      <c r="AZ47" s="25">
        <f t="shared" si="458"/>
        <v>64.509999999999977</v>
      </c>
      <c r="BA47" s="25">
        <f t="shared" si="458"/>
        <v>56.260000000000019</v>
      </c>
      <c r="BB47" s="25">
        <f t="shared" si="458"/>
        <v>70.920000000000044</v>
      </c>
      <c r="BC47" s="25">
        <f t="shared" si="458"/>
        <v>68.400000000000077</v>
      </c>
      <c r="BD47" s="25">
        <f t="shared" si="458"/>
        <v>132.87999999999991</v>
      </c>
      <c r="BE47" s="25">
        <f t="shared" si="458"/>
        <v>149.32</v>
      </c>
      <c r="BF47" s="25">
        <f t="shared" si="458"/>
        <v>147.94000000000003</v>
      </c>
      <c r="BG47" s="25">
        <f t="shared" si="458"/>
        <v>143.52999999999997</v>
      </c>
      <c r="BH47" s="25">
        <f t="shared" si="458"/>
        <v>162.48000000000013</v>
      </c>
      <c r="BI47" s="25">
        <f t="shared" si="458"/>
        <v>133.00999999999993</v>
      </c>
      <c r="BJ47" s="25">
        <f t="shared" si="458"/>
        <v>146.61999999999992</v>
      </c>
      <c r="BK47" s="25">
        <f t="shared" si="458"/>
        <v>120.88000000000002</v>
      </c>
      <c r="BL47" s="25">
        <f t="shared" si="458"/>
        <v>102.86000000000016</v>
      </c>
      <c r="BM47" s="25">
        <f t="shared" si="458"/>
        <v>104.52000000000007</v>
      </c>
      <c r="BN47" s="25">
        <f t="shared" si="458"/>
        <v>92.839999999999932</v>
      </c>
      <c r="BO47" s="25">
        <f t="shared" si="458"/>
        <v>-69.710000000000036</v>
      </c>
      <c r="BP47" s="25">
        <f t="shared" si="458"/>
        <v>141.03000000000017</v>
      </c>
      <c r="BQ47" s="25">
        <f t="shared" si="458"/>
        <v>177.99</v>
      </c>
      <c r="BR47" s="25">
        <f t="shared" si="458"/>
        <v>164.99999999999989</v>
      </c>
      <c r="BS47" s="25">
        <f t="shared" si="458"/>
        <v>158.60000000000011</v>
      </c>
      <c r="BT47" s="25">
        <f t="shared" si="458"/>
        <v>214.86999999999983</v>
      </c>
      <c r="BU47" s="25">
        <f t="shared" si="458"/>
        <v>235.96000000000004</v>
      </c>
      <c r="BV47" s="25">
        <f t="shared" si="458"/>
        <v>257.98</v>
      </c>
      <c r="BW47" s="25">
        <f t="shared" si="458"/>
        <v>270.45999999999992</v>
      </c>
      <c r="BX47" s="25">
        <f t="shared" si="458"/>
        <v>267.25999999999993</v>
      </c>
      <c r="BY47" s="25">
        <f t="shared" si="458"/>
        <v>292.23000000000013</v>
      </c>
      <c r="BZ47" s="25">
        <f t="shared" si="458"/>
        <v>262.22999999999979</v>
      </c>
      <c r="CA47" s="25">
        <f t="shared" si="458"/>
        <v>288.09000000000003</v>
      </c>
      <c r="CB47" s="25">
        <f t="shared" si="458"/>
        <v>284.2000000000001</v>
      </c>
      <c r="CC47" s="25">
        <f t="shared" si="458"/>
        <v>263.67000000000007</v>
      </c>
      <c r="CD47" s="25">
        <f t="shared" si="458"/>
        <v>267.40000000000038</v>
      </c>
      <c r="CE47" s="25">
        <f t="shared" ref="CE47:CF47" si="459">CE41-CE45</f>
        <v>308.65999999999997</v>
      </c>
      <c r="CF47" s="25">
        <f t="shared" si="459"/>
        <v>295.47999999999985</v>
      </c>
      <c r="CG47" s="25">
        <f t="shared" ref="CG47:CH47" si="460">CG41-CG45</f>
        <v>292.27</v>
      </c>
      <c r="CH47" s="25">
        <f t="shared" si="460"/>
        <v>309.73999999999955</v>
      </c>
      <c r="CI47" s="25">
        <f t="shared" ref="CI47:CJ47" si="461">CI41-CI45</f>
        <v>349.40000000000009</v>
      </c>
      <c r="CJ47" s="25">
        <f t="shared" si="461"/>
        <v>368.06000000000034</v>
      </c>
      <c r="CK47" s="25">
        <f t="shared" ref="CK47:CL47" si="462">CK41-CK45</f>
        <v>392.09999999999991</v>
      </c>
      <c r="CL47" s="25">
        <f t="shared" si="462"/>
        <v>387.85999999999973</v>
      </c>
      <c r="CM47" s="26">
        <f t="shared" ref="CM47:DA47" si="463">CM41-CM45</f>
        <v>400.76309530136967</v>
      </c>
      <c r="CN47" s="26">
        <f t="shared" si="463"/>
        <v>426.61274775811688</v>
      </c>
      <c r="CO47" s="26">
        <f t="shared" si="463"/>
        <v>490.3481001994665</v>
      </c>
      <c r="CP47" s="26">
        <f t="shared" si="463"/>
        <v>463.60951483873458</v>
      </c>
      <c r="CQ47" s="26">
        <f t="shared" si="463"/>
        <v>480.89181252345207</v>
      </c>
      <c r="CR47" s="26">
        <f t="shared" si="463"/>
        <v>514.05555371862454</v>
      </c>
      <c r="CS47" s="26">
        <f t="shared" si="463"/>
        <v>591.05144423864056</v>
      </c>
      <c r="CT47" s="26">
        <f t="shared" si="463"/>
        <v>511.42176906244805</v>
      </c>
      <c r="CU47" s="26">
        <f t="shared" si="463"/>
        <v>526.27471899082207</v>
      </c>
      <c r="CV47" s="26">
        <f t="shared" si="463"/>
        <v>563.02306211602331</v>
      </c>
      <c r="CW47" s="26">
        <f t="shared" si="463"/>
        <v>642.80581881233616</v>
      </c>
      <c r="CX47" s="26">
        <f t="shared" si="463"/>
        <v>589.05351479270553</v>
      </c>
      <c r="CY47" s="26">
        <f t="shared" si="463"/>
        <v>603.92335261885341</v>
      </c>
      <c r="CZ47" s="26">
        <f t="shared" si="463"/>
        <v>650.59789989173737</v>
      </c>
      <c r="DA47" s="26">
        <f t="shared" si="463"/>
        <v>743.97276046386946</v>
      </c>
      <c r="DD47" s="120"/>
      <c r="DE47" s="25">
        <v>1419.2999999999986</v>
      </c>
    </row>
    <row r="48" spans="1:109" s="22" customFormat="1" x14ac:dyDescent="0.2">
      <c r="A48" s="22" t="s">
        <v>17</v>
      </c>
      <c r="B48" s="22">
        <f>'Annual Raw'!C23</f>
        <v>0</v>
      </c>
      <c r="C48" s="22">
        <f>'Annual Raw'!D23</f>
        <v>0</v>
      </c>
      <c r="D48" s="22">
        <f>'Annual Raw'!E23</f>
        <v>5.2</v>
      </c>
      <c r="E48" s="22">
        <f>'Annual Raw'!F23</f>
        <v>9.9700000000000006</v>
      </c>
      <c r="F48" s="22">
        <f>'Annual Raw'!G23</f>
        <v>9.4499999999999993</v>
      </c>
      <c r="G48" s="22">
        <f>'Annual Raw'!H23</f>
        <v>8.0399999999999991</v>
      </c>
      <c r="H48" s="22">
        <f>'Annual Raw'!I23</f>
        <v>12.27</v>
      </c>
      <c r="I48" s="22">
        <f>'Annual Raw'!J23</f>
        <v>13.31</v>
      </c>
      <c r="J48" s="22">
        <f>'Annual Raw'!K23</f>
        <v>21.67</v>
      </c>
      <c r="K48" s="22">
        <f>'Annual Raw'!L23</f>
        <v>29.85</v>
      </c>
      <c r="L48" s="22">
        <f>'Annual Raw'!M23</f>
        <v>25.27</v>
      </c>
      <c r="M48" s="22">
        <f>'Annual Raw'!N23</f>
        <v>30.85</v>
      </c>
      <c r="N48" s="22">
        <f>'Annual Raw'!O23</f>
        <v>44.63</v>
      </c>
      <c r="O48" s="22">
        <f>'Annual Raw'!P23</f>
        <v>45.86</v>
      </c>
      <c r="P48" s="22">
        <f>'Annual Raw'!Q23</f>
        <v>40.950000000000003</v>
      </c>
      <c r="Q48" s="22">
        <f>'Annual Raw'!R23</f>
        <v>56.16</v>
      </c>
      <c r="R48" s="22">
        <f>'Annual Raw'!S23</f>
        <v>68.260000000000005</v>
      </c>
      <c r="S48" s="22">
        <f>'Annual Raw'!T23</f>
        <v>64.08</v>
      </c>
      <c r="T48" s="22">
        <f>'Annual Raw'!U23</f>
        <v>134</v>
      </c>
      <c r="U48" s="22">
        <f>'Annual Raw'!V23</f>
        <v>63.55</v>
      </c>
      <c r="V48" s="22">
        <f>'Annual Raw'!W23</f>
        <v>60.3</v>
      </c>
      <c r="W48" s="22">
        <f>'Annual Raw'!X23</f>
        <v>72.38</v>
      </c>
      <c r="X48" s="22">
        <f>'Annual Raw'!Y23</f>
        <v>77.680000000000007</v>
      </c>
      <c r="Y48" s="22">
        <f>'Annual Raw'!Z23</f>
        <v>124.55</v>
      </c>
      <c r="Z48" s="22">
        <f>'Annual Raw'!AA23</f>
        <v>118.3</v>
      </c>
      <c r="AA48" s="22">
        <f>'Annual Raw'!AB23</f>
        <v>148.28</v>
      </c>
      <c r="AB48" s="75">
        <f t="shared" ref="AB48:AB49" si="464">+SUM(CL48:CO48)</f>
        <v>42.32</v>
      </c>
      <c r="AC48" s="75">
        <f t="shared" ref="AC48:AC49" si="465">+SUM(CP48:CS48)</f>
        <v>0</v>
      </c>
      <c r="AD48" s="75">
        <f t="shared" ref="AD48:AD49" si="466">+SUM(CT48:CW48)</f>
        <v>0</v>
      </c>
      <c r="AE48" s="75">
        <f t="shared" ref="AE48:AE49" si="467">+SUM(CX48:DA48)</f>
        <v>0</v>
      </c>
      <c r="AI48" s="22">
        <f>'QTR Raw'!C23</f>
        <v>11.73</v>
      </c>
      <c r="AJ48" s="22">
        <f>'QTR Raw'!D23</f>
        <v>12.1</v>
      </c>
      <c r="AK48" s="22">
        <f>'QTR Raw'!E23</f>
        <v>9.4700000000000006</v>
      </c>
      <c r="AL48" s="22">
        <f>'QTR Raw'!F23</f>
        <v>7.22</v>
      </c>
      <c r="AM48" s="22">
        <f>'QTR Raw'!G23</f>
        <v>7.86</v>
      </c>
      <c r="AN48" s="22">
        <f>'QTR Raw'!H23</f>
        <v>15.21</v>
      </c>
      <c r="AO48" s="22">
        <f>'QTR Raw'!I23</f>
        <v>15.57</v>
      </c>
      <c r="AP48" s="22">
        <f>'QTR Raw'!J23</f>
        <v>9.09</v>
      </c>
      <c r="AQ48" s="22">
        <f>'QTR Raw'!K23</f>
        <v>10.74</v>
      </c>
      <c r="AR48" s="22">
        <f>'QTR Raw'!L23</f>
        <v>9.7100000000000009</v>
      </c>
      <c r="AS48" s="22">
        <f>'QTR Raw'!M23</f>
        <v>11.41</v>
      </c>
      <c r="AT48" s="22">
        <f>'QTR Raw'!N23</f>
        <v>12.82</v>
      </c>
      <c r="AU48" s="22">
        <f>'QTR Raw'!O23</f>
        <v>14.71</v>
      </c>
      <c r="AV48" s="22">
        <f>'QTR Raw'!P23</f>
        <v>15.01</v>
      </c>
      <c r="AW48" s="22">
        <f>'QTR Raw'!Q23</f>
        <v>13.62</v>
      </c>
      <c r="AX48" s="22">
        <f>'QTR Raw'!R23</f>
        <v>15.65</v>
      </c>
      <c r="AY48" s="22">
        <f>'QTR Raw'!S23</f>
        <v>16.34</v>
      </c>
      <c r="AZ48" s="22">
        <f>'QTR Raw'!T23</f>
        <v>17.05</v>
      </c>
      <c r="BA48" s="22">
        <f>'QTR Raw'!U23</f>
        <v>19.22</v>
      </c>
      <c r="BB48" s="22">
        <f>'QTR Raw'!V23</f>
        <v>15.58</v>
      </c>
      <c r="BC48" s="22">
        <f>'QTR Raw'!W23</f>
        <v>15.79</v>
      </c>
      <c r="BD48" s="22">
        <f>'QTR Raw'!X23</f>
        <v>15.19</v>
      </c>
      <c r="BE48" s="22">
        <f>'QTR Raw'!Y23</f>
        <v>16.010000000000002</v>
      </c>
      <c r="BF48" s="22">
        <f>'QTR Raw'!Z23</f>
        <v>22.22</v>
      </c>
      <c r="BG48" s="22">
        <f>'QTR Raw'!AA23</f>
        <v>29.18</v>
      </c>
      <c r="BH48" s="22">
        <f>'QTR Raw'!AB23</f>
        <v>17.03</v>
      </c>
      <c r="BI48" s="22">
        <f>'QTR Raw'!AC23</f>
        <v>26.54</v>
      </c>
      <c r="BJ48" s="22">
        <f>'QTR Raw'!AD23</f>
        <v>17.18</v>
      </c>
      <c r="BK48" s="22">
        <f>'QTR Raw'!AE23</f>
        <v>12.45</v>
      </c>
      <c r="BL48" s="22">
        <f>'QTR Raw'!AF23</f>
        <v>12.93</v>
      </c>
      <c r="BM48" s="22">
        <f>'QTR Raw'!AG23</f>
        <v>20.65</v>
      </c>
      <c r="BN48" s="22">
        <f>'QTR Raw'!AH23</f>
        <v>18.170000000000002</v>
      </c>
      <c r="BO48" s="22">
        <f>'QTR Raw'!AI23</f>
        <v>14</v>
      </c>
      <c r="BP48" s="22">
        <f>'QTR Raw'!AJ23</f>
        <v>12.62</v>
      </c>
      <c r="BQ48" s="22">
        <f>'QTR Raw'!AK23</f>
        <v>15.51</v>
      </c>
      <c r="BR48" s="22">
        <f>'QTR Raw'!AL23</f>
        <v>21.88</v>
      </c>
      <c r="BS48" s="22">
        <f>'QTR Raw'!AM23</f>
        <v>12.96</v>
      </c>
      <c r="BT48" s="22">
        <f>'QTR Raw'!AN23</f>
        <v>15.75</v>
      </c>
      <c r="BU48" s="22">
        <f>'QTR Raw'!AO23</f>
        <v>21.79</v>
      </c>
      <c r="BV48" s="22">
        <f>'QTR Raw'!AP23</f>
        <v>20.05</v>
      </c>
      <c r="BW48" s="22">
        <f>'QTR Raw'!AQ23</f>
        <v>16.2</v>
      </c>
      <c r="BX48" s="22">
        <f>'QTR Raw'!AR23</f>
        <v>23.16</v>
      </c>
      <c r="BY48" s="22">
        <f>'QTR Raw'!AS23</f>
        <v>18.27</v>
      </c>
      <c r="BZ48" s="22">
        <f>'QTR Raw'!AT23</f>
        <v>32.69</v>
      </c>
      <c r="CA48" s="22">
        <f>'QTR Raw'!AU23</f>
        <v>30.79</v>
      </c>
      <c r="CB48" s="22">
        <f>'QTR Raw'!AV23</f>
        <v>30.87</v>
      </c>
      <c r="CC48" s="22">
        <f>'QTR Raw'!AW23</f>
        <v>30.2</v>
      </c>
      <c r="CD48" s="22">
        <f>'QTR Raw'!AX23</f>
        <v>31.14</v>
      </c>
      <c r="CE48" s="22">
        <f>'QTR Raw'!AY23</f>
        <v>24.77</v>
      </c>
      <c r="CF48" s="22">
        <f>'QTR Raw'!AZ23</f>
        <v>27.57</v>
      </c>
      <c r="CG48" s="22">
        <f>'QTR Raw'!BA23</f>
        <v>34.82</v>
      </c>
      <c r="CH48" s="22">
        <f>'QTR Raw'!BB23</f>
        <v>33.549999999999997</v>
      </c>
      <c r="CI48" s="22">
        <f>'QTR Raw'!BC23</f>
        <v>43.03</v>
      </c>
      <c r="CJ48" s="22">
        <f>'QTR Raw'!BD23</f>
        <v>28.39</v>
      </c>
      <c r="CK48" s="22">
        <v>43.31</v>
      </c>
      <c r="CL48" s="22">
        <f>'QTR Raw'!BF23</f>
        <v>42.32</v>
      </c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D48" s="122"/>
      <c r="DE48" s="22">
        <v>148.28</v>
      </c>
    </row>
    <row r="49" spans="1:109" s="22" customFormat="1" x14ac:dyDescent="0.2">
      <c r="A49" s="22" t="s">
        <v>18</v>
      </c>
      <c r="B49" s="22">
        <f>'Annual Raw'!C25</f>
        <v>0</v>
      </c>
      <c r="C49" s="22">
        <f>'Annual Raw'!D25</f>
        <v>0</v>
      </c>
      <c r="D49" s="22">
        <f>'Annual Raw'!E25</f>
        <v>6.96</v>
      </c>
      <c r="E49" s="22">
        <f>'Annual Raw'!F25</f>
        <v>4.55</v>
      </c>
      <c r="F49" s="22">
        <f>'Annual Raw'!G25</f>
        <v>1.85</v>
      </c>
      <c r="G49" s="22">
        <f>'Annual Raw'!H25</f>
        <v>2.0299999999999998</v>
      </c>
      <c r="H49" s="22">
        <f>'Annual Raw'!I25</f>
        <v>1.33</v>
      </c>
      <c r="I49" s="22">
        <f>'Annual Raw'!J25</f>
        <v>0.4</v>
      </c>
      <c r="J49" s="22">
        <f>'Annual Raw'!K25</f>
        <v>0.48</v>
      </c>
      <c r="K49" s="22">
        <f>'Annual Raw'!L25</f>
        <v>0.7</v>
      </c>
      <c r="L49" s="22">
        <f>'Annual Raw'!M25</f>
        <v>0.89</v>
      </c>
      <c r="M49" s="22">
        <f>'Annual Raw'!N25</f>
        <v>1.79</v>
      </c>
      <c r="N49" s="22">
        <f>'Annual Raw'!O25</f>
        <v>1.81</v>
      </c>
      <c r="O49" s="22">
        <f>'Annual Raw'!P25</f>
        <v>1.19</v>
      </c>
      <c r="P49" s="22">
        <f>'Annual Raw'!Q25</f>
        <v>1.5</v>
      </c>
      <c r="Q49" s="22">
        <f>'Annual Raw'!R25</f>
        <v>2.64</v>
      </c>
      <c r="R49" s="22">
        <f>'Annual Raw'!S25</f>
        <v>2.13</v>
      </c>
      <c r="S49" s="22">
        <f>'Annual Raw'!T25</f>
        <v>11.48</v>
      </c>
      <c r="T49" s="22">
        <f>'Annual Raw'!U25</f>
        <v>7.6</v>
      </c>
      <c r="U49" s="22">
        <f>'Annual Raw'!V25</f>
        <v>4.4800000000000004</v>
      </c>
      <c r="V49" s="22">
        <f>'Annual Raw'!W25</f>
        <v>5.94</v>
      </c>
      <c r="W49" s="22">
        <f>'Annual Raw'!X25</f>
        <v>4.9000000000000004</v>
      </c>
      <c r="X49" s="22">
        <f>'Annual Raw'!Y25</f>
        <v>5.01</v>
      </c>
      <c r="Y49" s="22">
        <f>'Annual Raw'!Z25</f>
        <v>4.8600000000000003</v>
      </c>
      <c r="Z49" s="22">
        <f>'Annual Raw'!AA25</f>
        <v>4.87</v>
      </c>
      <c r="AA49" s="22">
        <f>'Annual Raw'!AB25</f>
        <v>5.38</v>
      </c>
      <c r="AB49" s="75">
        <f t="shared" si="464"/>
        <v>-157.47931782403396</v>
      </c>
      <c r="AC49" s="75">
        <f t="shared" si="465"/>
        <v>-303.81899271948225</v>
      </c>
      <c r="AD49" s="75">
        <f t="shared" si="466"/>
        <v>-431.31912384248875</v>
      </c>
      <c r="AE49" s="75">
        <f t="shared" si="467"/>
        <v>-583.84594931188508</v>
      </c>
      <c r="AI49" s="22">
        <f>'QTR Raw'!C25</f>
        <v>0.35</v>
      </c>
      <c r="AJ49" s="22">
        <f>'QTR Raw'!D25</f>
        <v>0.37</v>
      </c>
      <c r="AK49" s="22">
        <f>'QTR Raw'!E25</f>
        <v>0.22</v>
      </c>
      <c r="AL49" s="22">
        <f>'QTR Raw'!F25</f>
        <v>0.21</v>
      </c>
      <c r="AM49" s="22">
        <f>'QTR Raw'!G25</f>
        <v>0.22</v>
      </c>
      <c r="AN49" s="22">
        <f>'QTR Raw'!H25</f>
        <v>0.16</v>
      </c>
      <c r="AO49" s="22">
        <f>'QTR Raw'!I25</f>
        <v>0.17</v>
      </c>
      <c r="AP49" s="22">
        <f>'QTR Raw'!J25</f>
        <v>0.17</v>
      </c>
      <c r="AQ49" s="22">
        <f>'QTR Raw'!K25</f>
        <v>0.23</v>
      </c>
      <c r="AR49" s="22">
        <f>'QTR Raw'!L25</f>
        <v>0.28000000000000003</v>
      </c>
      <c r="AS49" s="22">
        <f>'QTR Raw'!M25</f>
        <v>0.28999999999999998</v>
      </c>
      <c r="AT49" s="22">
        <f>'QTR Raw'!N25</f>
        <v>0.48</v>
      </c>
      <c r="AU49" s="22">
        <f>'QTR Raw'!O25</f>
        <v>1.04</v>
      </c>
      <c r="AV49" s="22">
        <f>'QTR Raw'!P25</f>
        <v>0.26</v>
      </c>
      <c r="AW49" s="22">
        <f>'QTR Raw'!Q25</f>
        <v>0.34</v>
      </c>
      <c r="AX49" s="22">
        <f>'QTR Raw'!R25</f>
        <v>0.42</v>
      </c>
      <c r="AY49" s="22">
        <f>'QTR Raw'!S25</f>
        <v>0.33</v>
      </c>
      <c r="AZ49" s="22">
        <f>'QTR Raw'!T25</f>
        <v>0.52</v>
      </c>
      <c r="BA49" s="22">
        <f>'QTR Raw'!U25</f>
        <v>0.49</v>
      </c>
      <c r="BB49" s="22">
        <f>'QTR Raw'!V25</f>
        <v>0.35</v>
      </c>
      <c r="BC49" s="22">
        <f>'QTR Raw'!W25</f>
        <v>0.45</v>
      </c>
      <c r="BD49" s="22">
        <f>'QTR Raw'!X25</f>
        <v>0.64</v>
      </c>
      <c r="BE49" s="22">
        <f>'QTR Raw'!Y25</f>
        <v>4.09</v>
      </c>
      <c r="BF49" s="22">
        <f>'QTR Raw'!Z25</f>
        <v>1.3</v>
      </c>
      <c r="BG49" s="22">
        <f>'QTR Raw'!AA25</f>
        <v>1.7</v>
      </c>
      <c r="BH49" s="22">
        <f>'QTR Raw'!AB25</f>
        <v>1.34</v>
      </c>
      <c r="BI49" s="22">
        <f>'QTR Raw'!AC25</f>
        <v>2.7</v>
      </c>
      <c r="BJ49" s="22">
        <f>'QTR Raw'!AD25</f>
        <v>1.2</v>
      </c>
      <c r="BK49" s="22">
        <f>'QTR Raw'!AE25</f>
        <v>0.78</v>
      </c>
      <c r="BL49" s="22">
        <f>'QTR Raw'!AF25</f>
        <v>0.43</v>
      </c>
      <c r="BM49" s="22">
        <f>'QTR Raw'!AG25</f>
        <v>1.06</v>
      </c>
      <c r="BN49" s="22">
        <f>'QTR Raw'!AH25</f>
        <v>0.94</v>
      </c>
      <c r="BO49" s="22">
        <f>'QTR Raw'!AI25</f>
        <v>0.92</v>
      </c>
      <c r="BP49" s="22">
        <f>'QTR Raw'!AJ25</f>
        <v>0.91</v>
      </c>
      <c r="BQ49" s="22">
        <f>'QTR Raw'!AK25</f>
        <v>2.4700000000000002</v>
      </c>
      <c r="BR49" s="22">
        <f>'QTR Raw'!AL25</f>
        <v>0.91</v>
      </c>
      <c r="BS49" s="22">
        <f>'QTR Raw'!AM25</f>
        <v>0.9</v>
      </c>
      <c r="BT49" s="22">
        <f>'QTR Raw'!AN25</f>
        <v>0.99</v>
      </c>
      <c r="BU49" s="22">
        <f>'QTR Raw'!AO25</f>
        <v>0.87</v>
      </c>
      <c r="BV49" s="22">
        <f>'QTR Raw'!AP25</f>
        <v>0.84</v>
      </c>
      <c r="BW49" s="22">
        <f>'QTR Raw'!AQ25</f>
        <v>0.93</v>
      </c>
      <c r="BX49" s="22">
        <f>'QTR Raw'!AR25</f>
        <v>0.85</v>
      </c>
      <c r="BY49" s="22">
        <f>'QTR Raw'!AS25</f>
        <v>0.93</v>
      </c>
      <c r="BZ49" s="22">
        <f>'QTR Raw'!AT25</f>
        <v>0.8</v>
      </c>
      <c r="CA49" s="22">
        <f>'QTR Raw'!AU25</f>
        <v>0.84</v>
      </c>
      <c r="CB49" s="22">
        <f>'QTR Raw'!AV25</f>
        <v>1.6</v>
      </c>
      <c r="CC49" s="22">
        <f>'QTR Raw'!AW25</f>
        <v>1.03</v>
      </c>
      <c r="CD49" s="22">
        <f>'QTR Raw'!AX25</f>
        <v>0.84</v>
      </c>
      <c r="CE49" s="22">
        <f>'QTR Raw'!AY25</f>
        <v>1.59</v>
      </c>
      <c r="CF49" s="22">
        <f>'QTR Raw'!AZ25</f>
        <v>1.06</v>
      </c>
      <c r="CG49" s="22">
        <f>'QTR Raw'!BA25</f>
        <v>0.87</v>
      </c>
      <c r="CH49" s="22">
        <f>'QTR Raw'!BB25</f>
        <v>1.56</v>
      </c>
      <c r="CI49" s="22">
        <f>'QTR Raw'!BC25</f>
        <v>1.08</v>
      </c>
      <c r="CJ49" s="22">
        <f>'QTR Raw'!BD25</f>
        <v>0.97</v>
      </c>
      <c r="CK49" s="22">
        <v>1.61</v>
      </c>
      <c r="CL49" s="22">
        <f>'QTR Raw'!BF25</f>
        <v>1.18</v>
      </c>
      <c r="CM49" s="23">
        <f t="shared" ref="CM49:DA49" si="468">CM50*CL181</f>
        <v>-46.918234907249548</v>
      </c>
      <c r="CN49" s="23">
        <f t="shared" si="468"/>
        <v>-53.005615106954586</v>
      </c>
      <c r="CO49" s="23">
        <f t="shared" si="468"/>
        <v>-58.735467809829821</v>
      </c>
      <c r="CP49" s="23">
        <f t="shared" si="468"/>
        <v>-62.157403944522244</v>
      </c>
      <c r="CQ49" s="23">
        <f t="shared" si="468"/>
        <v>-73.28143123191866</v>
      </c>
      <c r="CR49" s="23">
        <f t="shared" si="468"/>
        <v>-80.755092333967056</v>
      </c>
      <c r="CS49" s="23">
        <f t="shared" si="468"/>
        <v>-87.625065209074322</v>
      </c>
      <c r="CT49" s="23">
        <f t="shared" si="468"/>
        <v>-90.932439123522286</v>
      </c>
      <c r="CU49" s="23">
        <f t="shared" si="468"/>
        <v>-105.24322161567392</v>
      </c>
      <c r="CV49" s="23">
        <f t="shared" si="468"/>
        <v>-113.85685506748533</v>
      </c>
      <c r="CW49" s="23">
        <f t="shared" si="468"/>
        <v>-121.28660803580719</v>
      </c>
      <c r="CX49" s="23">
        <f t="shared" si="468"/>
        <v>-126.33537231655568</v>
      </c>
      <c r="CY49" s="23">
        <f t="shared" si="468"/>
        <v>-142.59487113447534</v>
      </c>
      <c r="CZ49" s="23">
        <f t="shared" si="468"/>
        <v>-153.09092223277409</v>
      </c>
      <c r="DA49" s="23">
        <f t="shared" si="468"/>
        <v>-161.82478362807998</v>
      </c>
      <c r="DD49" s="122"/>
      <c r="DE49" s="22">
        <v>5.2200000000000006</v>
      </c>
    </row>
    <row r="50" spans="1:109" s="45" customFormat="1" x14ac:dyDescent="0.2">
      <c r="A50" s="45" t="s">
        <v>481</v>
      </c>
      <c r="B50" s="45" t="e">
        <f t="shared" ref="B50:D50" si="469">+B49/B141</f>
        <v>#DIV/0!</v>
      </c>
      <c r="C50" s="45" t="e">
        <f t="shared" si="469"/>
        <v>#DIV/0!</v>
      </c>
      <c r="D50" s="45">
        <f t="shared" si="469"/>
        <v>0.12756598240469208</v>
      </c>
      <c r="E50" s="45">
        <f t="shared" ref="E50:AE50" si="470">+E49/E141</f>
        <v>0.18287781350482316</v>
      </c>
      <c r="F50" s="45">
        <f t="shared" si="470"/>
        <v>46.25</v>
      </c>
      <c r="G50" s="45">
        <f t="shared" si="470"/>
        <v>0.18141197497765862</v>
      </c>
      <c r="H50" s="45" t="e">
        <f t="shared" si="470"/>
        <v>#DIV/0!</v>
      </c>
      <c r="I50" s="45" t="e">
        <f t="shared" si="470"/>
        <v>#DIV/0!</v>
      </c>
      <c r="J50" s="45" t="e">
        <f t="shared" si="470"/>
        <v>#DIV/0!</v>
      </c>
      <c r="K50" s="45" t="e">
        <f t="shared" si="470"/>
        <v>#DIV/0!</v>
      </c>
      <c r="L50" s="45" t="e">
        <f t="shared" si="470"/>
        <v>#DIV/0!</v>
      </c>
      <c r="M50" s="45" t="e">
        <f t="shared" si="470"/>
        <v>#DIV/0!</v>
      </c>
      <c r="N50" s="45" t="e">
        <f t="shared" si="470"/>
        <v>#DIV/0!</v>
      </c>
      <c r="O50" s="45" t="e">
        <f t="shared" si="470"/>
        <v>#DIV/0!</v>
      </c>
      <c r="P50" s="45" t="e">
        <f t="shared" si="470"/>
        <v>#DIV/0!</v>
      </c>
      <c r="Q50" s="45" t="e">
        <f t="shared" si="470"/>
        <v>#DIV/0!</v>
      </c>
      <c r="R50" s="45" t="e">
        <f t="shared" si="470"/>
        <v>#DIV/0!</v>
      </c>
      <c r="S50" s="45">
        <f t="shared" si="470"/>
        <v>0.16546555203228597</v>
      </c>
      <c r="T50" s="45">
        <f t="shared" si="470"/>
        <v>0.1316245237270523</v>
      </c>
      <c r="U50" s="45" t="e">
        <f t="shared" si="470"/>
        <v>#DIV/0!</v>
      </c>
      <c r="V50" s="45" t="e">
        <f t="shared" si="470"/>
        <v>#DIV/0!</v>
      </c>
      <c r="W50" s="45" t="e">
        <f t="shared" si="470"/>
        <v>#DIV/0!</v>
      </c>
      <c r="X50" s="45" t="e">
        <f t="shared" si="470"/>
        <v>#DIV/0!</v>
      </c>
      <c r="Y50" s="45" t="e">
        <f t="shared" si="470"/>
        <v>#DIV/0!</v>
      </c>
      <c r="Z50" s="192" t="e">
        <f>+Z49/Z141</f>
        <v>#DIV/0!</v>
      </c>
      <c r="AA50" s="192" t="e">
        <f>+AA49/AA141</f>
        <v>#DIV/0!</v>
      </c>
      <c r="AB50" s="109" t="e">
        <f t="shared" si="470"/>
        <v>#DIV/0!</v>
      </c>
      <c r="AC50" s="109" t="e">
        <f t="shared" si="470"/>
        <v>#DIV/0!</v>
      </c>
      <c r="AD50" s="109" t="e">
        <f t="shared" si="470"/>
        <v>#DIV/0!</v>
      </c>
      <c r="AE50" s="109" t="e">
        <f t="shared" si="470"/>
        <v>#DIV/0!</v>
      </c>
      <c r="AI50" s="45" t="e">
        <f t="shared" ref="AI50:BN50" si="471">(AI49-AI48)/AH181</f>
        <v>#DIV/0!</v>
      </c>
      <c r="AJ50" s="45">
        <f t="shared" si="471"/>
        <v>6.3535911602209949E-2</v>
      </c>
      <c r="AK50" s="45">
        <f t="shared" si="471"/>
        <v>3.7201037412638659E-2</v>
      </c>
      <c r="AL50" s="45">
        <f t="shared" si="471"/>
        <v>3.5981932039831639E-2</v>
      </c>
      <c r="AM50" s="45">
        <f t="shared" si="471"/>
        <v>3.3304910889758906E-2</v>
      </c>
      <c r="AN50" s="45">
        <f t="shared" si="471"/>
        <v>6.6078328064629446E-2</v>
      </c>
      <c r="AO50" s="45">
        <f t="shared" si="471"/>
        <v>8.9362373396584177E-2</v>
      </c>
      <c r="AP50" s="45">
        <f t="shared" si="471"/>
        <v>3.7532609610367751E-2</v>
      </c>
      <c r="AQ50" s="45">
        <f t="shared" si="471"/>
        <v>3.9143196534674109E-2</v>
      </c>
      <c r="AR50" s="45">
        <f t="shared" si="471"/>
        <v>3.5088372093023262E-2</v>
      </c>
      <c r="AS50" s="45">
        <f t="shared" si="471"/>
        <v>3.787770048565494E-2</v>
      </c>
      <c r="AT50" s="45">
        <f t="shared" si="471"/>
        <v>3.7456366671725604E-2</v>
      </c>
      <c r="AU50" s="45">
        <f t="shared" si="471"/>
        <v>3.564834315928591E-2</v>
      </c>
      <c r="AV50" s="45">
        <f t="shared" si="471"/>
        <v>3.6135133148778753E-2</v>
      </c>
      <c r="AW50" s="45">
        <f t="shared" si="471"/>
        <v>2.9208011176352151E-2</v>
      </c>
      <c r="AX50" s="45">
        <f t="shared" si="471"/>
        <v>3.2376012414702067E-2</v>
      </c>
      <c r="AY50" s="45">
        <f t="shared" si="471"/>
        <v>2.9943838418124116E-2</v>
      </c>
      <c r="AZ50" s="45">
        <f t="shared" si="471"/>
        <v>3.1238188827575786E-2</v>
      </c>
      <c r="BA50" s="45">
        <f t="shared" si="471"/>
        <v>3.1711248451934793E-2</v>
      </c>
      <c r="BB50" s="45">
        <f t="shared" si="471"/>
        <v>2.377644212005308E-2</v>
      </c>
      <c r="BC50" s="45">
        <f t="shared" si="471"/>
        <v>2.1206577122852739E-2</v>
      </c>
      <c r="BD50" s="45">
        <f t="shared" si="471"/>
        <v>2.018058502891857E-2</v>
      </c>
      <c r="BE50" s="45">
        <f t="shared" si="471"/>
        <v>2.5326612920227431E-2</v>
      </c>
      <c r="BF50" s="45">
        <f t="shared" si="471"/>
        <v>2.5185399210247518E-2</v>
      </c>
      <c r="BG50" s="45">
        <f t="shared" si="471"/>
        <v>2.978103255093046E-2</v>
      </c>
      <c r="BH50" s="45">
        <f t="shared" si="471"/>
        <v>1.7758712408461705E-2</v>
      </c>
      <c r="BI50" s="45">
        <f t="shared" si="471"/>
        <v>2.5278263784032414E-2</v>
      </c>
      <c r="BJ50" s="45">
        <f t="shared" si="471"/>
        <v>2.0231433418580507E-2</v>
      </c>
      <c r="BK50" s="45">
        <f t="shared" si="471"/>
        <v>1.287582359174623E-2</v>
      </c>
      <c r="BL50" s="45">
        <f t="shared" si="471"/>
        <v>2.132087057378727E-2</v>
      </c>
      <c r="BM50" s="45">
        <f t="shared" si="471"/>
        <v>2.5790386308438867E-2</v>
      </c>
      <c r="BN50" s="45">
        <f t="shared" si="471"/>
        <v>2.0625837962076232E-2</v>
      </c>
      <c r="BO50" s="45">
        <f t="shared" ref="BO50:CI50" si="472">(BO49-BO48)/BN181</f>
        <v>1.3046548586235725E-2</v>
      </c>
      <c r="BP50" s="45">
        <f t="shared" si="472"/>
        <v>1.3405992054860386E-2</v>
      </c>
      <c r="BQ50" s="45">
        <f t="shared" si="472"/>
        <v>-3.4269779445101338E-2</v>
      </c>
      <c r="BR50" s="45">
        <f t="shared" si="472"/>
        <v>1.6831206356850467E-2</v>
      </c>
      <c r="BS50" s="45">
        <f t="shared" si="472"/>
        <v>8.8421505196610364E-3</v>
      </c>
      <c r="BT50" s="45">
        <f t="shared" si="472"/>
        <v>1.193305845258307E-2</v>
      </c>
      <c r="BU50" s="45">
        <f t="shared" si="472"/>
        <v>1.7016334420161712E-2</v>
      </c>
      <c r="BV50" s="45">
        <f t="shared" si="472"/>
        <v>1.3569546575119908E-2</v>
      </c>
      <c r="BW50" s="45">
        <f t="shared" si="472"/>
        <v>9.5813735480450718E-3</v>
      </c>
      <c r="BX50" s="45">
        <f t="shared" si="472"/>
        <v>1.6654100820388023E-2</v>
      </c>
      <c r="BY50" s="45">
        <f t="shared" si="472"/>
        <v>1.1188983637869099E-2</v>
      </c>
      <c r="BZ50" s="45">
        <f t="shared" si="472"/>
        <v>2.05142390304465E-2</v>
      </c>
      <c r="CA50" s="45">
        <f t="shared" si="472"/>
        <v>1.6282215113670534E-2</v>
      </c>
      <c r="CB50" s="45">
        <f t="shared" si="472"/>
        <v>2.0984184792739058E-2</v>
      </c>
      <c r="CC50" s="45">
        <f t="shared" si="472"/>
        <v>1.8120456803760454E-2</v>
      </c>
      <c r="CD50" s="45">
        <f t="shared" si="472"/>
        <v>1.9108762281951994E-2</v>
      </c>
      <c r="CE50" s="45">
        <f t="shared" si="472"/>
        <v>1.2832316193871911E-2</v>
      </c>
      <c r="CF50" s="45">
        <f t="shared" si="472"/>
        <v>2.375575747800061E-2</v>
      </c>
      <c r="CG50" s="45">
        <f t="shared" si="472"/>
        <v>2.5243074615243138E-2</v>
      </c>
      <c r="CH50" s="45">
        <f t="shared" si="472"/>
        <v>2.3695769723635771E-2</v>
      </c>
      <c r="CI50" s="45">
        <f t="shared" si="472"/>
        <v>2.6680565007755966E-2</v>
      </c>
      <c r="CJ50" s="45">
        <f>(CJ49-CJ48)/CI181</f>
        <v>1.9547039072691889E-2</v>
      </c>
      <c r="CK50" s="45">
        <f>(CK49-CK48)/CJ181</f>
        <v>2.5507715451513958E-2</v>
      </c>
      <c r="CL50" s="45">
        <f>(CL49-CL48)/CK181</f>
        <v>2.2290370819878197E-2</v>
      </c>
      <c r="CM50" s="46">
        <f t="shared" ref="CM50" si="473">+CL50</f>
        <v>2.2290370819878197E-2</v>
      </c>
      <c r="CN50" s="46">
        <f t="shared" ref="CN50" si="474">+CM50</f>
        <v>2.2290370819878197E-2</v>
      </c>
      <c r="CO50" s="46">
        <f t="shared" ref="CO50" si="475">+CN50</f>
        <v>2.2290370819878197E-2</v>
      </c>
      <c r="CP50" s="46">
        <f t="shared" ref="CP50" si="476">+CO50</f>
        <v>2.2290370819878197E-2</v>
      </c>
      <c r="CQ50" s="46">
        <f t="shared" ref="CQ50" si="477">+CP50</f>
        <v>2.2290370819878197E-2</v>
      </c>
      <c r="CR50" s="46">
        <f t="shared" ref="CR50" si="478">+CQ50</f>
        <v>2.2290370819878197E-2</v>
      </c>
      <c r="CS50" s="46">
        <f t="shared" ref="CS50" si="479">+CR50</f>
        <v>2.2290370819878197E-2</v>
      </c>
      <c r="CT50" s="46">
        <v>2.1999999999999999E-2</v>
      </c>
      <c r="CU50" s="46">
        <f t="shared" ref="CU50" si="480">+CT50</f>
        <v>2.1999999999999999E-2</v>
      </c>
      <c r="CV50" s="46">
        <f t="shared" ref="CV50" si="481">+CU50</f>
        <v>2.1999999999999999E-2</v>
      </c>
      <c r="CW50" s="46">
        <f t="shared" ref="CW50" si="482">+CV50</f>
        <v>2.1999999999999999E-2</v>
      </c>
      <c r="CX50" s="46">
        <f t="shared" ref="CX50" si="483">+CW50</f>
        <v>2.1999999999999999E-2</v>
      </c>
      <c r="CY50" s="46">
        <f t="shared" ref="CY50" si="484">+CX50</f>
        <v>2.1999999999999999E-2</v>
      </c>
      <c r="CZ50" s="46">
        <f t="shared" ref="CZ50" si="485">+CY50</f>
        <v>2.1999999999999999E-2</v>
      </c>
      <c r="DA50" s="46">
        <f t="shared" ref="DA50" si="486">+CZ50</f>
        <v>2.1999999999999999E-2</v>
      </c>
      <c r="DD50" s="129"/>
    </row>
    <row r="51" spans="1:109" s="25" customFormat="1" x14ac:dyDescent="0.2">
      <c r="A51" s="25" t="s">
        <v>20</v>
      </c>
      <c r="B51" s="25">
        <f>B47+B48-B49</f>
        <v>0</v>
      </c>
      <c r="C51" s="25">
        <f t="shared" ref="C51:T51" si="487">C47+C48-C49</f>
        <v>0</v>
      </c>
      <c r="D51" s="25">
        <f>D47+D48-D49</f>
        <v>25.389999999999979</v>
      </c>
      <c r="E51" s="25">
        <f t="shared" si="487"/>
        <v>30.969999999999995</v>
      </c>
      <c r="F51" s="25">
        <f t="shared" si="487"/>
        <v>43.400000000000041</v>
      </c>
      <c r="G51" s="25">
        <f t="shared" si="487"/>
        <v>67.760000000000019</v>
      </c>
      <c r="H51" s="25">
        <f t="shared" si="487"/>
        <v>110.77999999999996</v>
      </c>
      <c r="I51" s="25">
        <f t="shared" si="487"/>
        <v>124.48000000000003</v>
      </c>
      <c r="J51" s="25">
        <f t="shared" si="487"/>
        <v>147.35</v>
      </c>
      <c r="K51" s="25">
        <f t="shared" si="487"/>
        <v>99.580000000000055</v>
      </c>
      <c r="L51" s="25">
        <f t="shared" si="487"/>
        <v>181.87999999999991</v>
      </c>
      <c r="M51" s="25">
        <f t="shared" si="487"/>
        <v>260.95999999999992</v>
      </c>
      <c r="N51" s="25">
        <f t="shared" si="487"/>
        <v>233.47000000000006</v>
      </c>
      <c r="O51" s="25">
        <f t="shared" si="487"/>
        <v>185.44000000000011</v>
      </c>
      <c r="P51" s="25">
        <f t="shared" si="487"/>
        <v>232.36999999999995</v>
      </c>
      <c r="Q51" s="25">
        <f t="shared" si="487"/>
        <v>293.81000000000006</v>
      </c>
      <c r="R51" s="25">
        <f t="shared" si="487"/>
        <v>299.3300000000001</v>
      </c>
      <c r="S51" s="25">
        <f t="shared" si="487"/>
        <v>593.35999999999945</v>
      </c>
      <c r="T51" s="25">
        <f t="shared" si="487"/>
        <v>674.90000000000032</v>
      </c>
      <c r="U51" s="25">
        <f t="shared" ref="U51:Z51" si="488">U47+U48-U49</f>
        <v>534.61999999999898</v>
      </c>
      <c r="V51" s="25">
        <f t="shared" si="488"/>
        <v>397.21000000000026</v>
      </c>
      <c r="W51" s="25">
        <f t="shared" si="488"/>
        <v>843.14000000000021</v>
      </c>
      <c r="X51" s="25">
        <f t="shared" si="488"/>
        <v>1162.0600000000002</v>
      </c>
      <c r="Y51" s="25">
        <f t="shared" si="488"/>
        <v>1218.4699999999993</v>
      </c>
      <c r="Z51" s="25">
        <f t="shared" si="488"/>
        <v>1277.75</v>
      </c>
      <c r="AA51" s="25">
        <f t="shared" ref="AA51" si="489">AA47+AA48-AA49</f>
        <v>1562.3600000000001</v>
      </c>
      <c r="AB51" s="26">
        <f t="shared" ref="AB51:AD51" si="490">AB47+AB48-AB49</f>
        <v>1905.3832610829872</v>
      </c>
      <c r="AC51" s="26">
        <f t="shared" si="490"/>
        <v>2353.4273180389355</v>
      </c>
      <c r="AD51" s="26">
        <f t="shared" si="490"/>
        <v>2674.8444928241179</v>
      </c>
      <c r="AE51" s="26">
        <f t="shared" ref="AE51" si="491">AE47+AE48-AE49</f>
        <v>3171.393477079052</v>
      </c>
      <c r="AI51" s="25">
        <f>AI47+AI48-AI49</f>
        <v>68.660000000000011</v>
      </c>
      <c r="AJ51" s="25">
        <f t="shared" ref="AJ51" si="492">AJ47+AJ48-AJ49</f>
        <v>54.720000000000034</v>
      </c>
      <c r="AK51" s="25">
        <f t="shared" ref="AK51:AM51" si="493">AK47+AK48-AK49</f>
        <v>41.810000000000009</v>
      </c>
      <c r="AL51" s="25">
        <f t="shared" si="493"/>
        <v>38.849999999999945</v>
      </c>
      <c r="AM51" s="25">
        <f t="shared" si="493"/>
        <v>38.779999999999966</v>
      </c>
      <c r="AN51" s="25">
        <f t="shared" ref="AN51:AO51" si="494">AN47+AN48-AN49</f>
        <v>54.440000000000005</v>
      </c>
      <c r="AO51" s="25">
        <f t="shared" si="494"/>
        <v>53.369999999999976</v>
      </c>
      <c r="AP51" s="25">
        <f t="shared" ref="AP51:CD51" si="495">AP47+AP48-AP49</f>
        <v>52.579999999999984</v>
      </c>
      <c r="AQ51" s="25">
        <f t="shared" si="495"/>
        <v>61.840000000000067</v>
      </c>
      <c r="AR51" s="25">
        <f t="shared" si="495"/>
        <v>56.960000000000015</v>
      </c>
      <c r="AS51" s="25">
        <f t="shared" si="495"/>
        <v>60.990000000000045</v>
      </c>
      <c r="AT51" s="25">
        <f t="shared" si="495"/>
        <v>63.239999999999938</v>
      </c>
      <c r="AU51" s="25">
        <f t="shared" si="495"/>
        <v>76.15000000000002</v>
      </c>
      <c r="AV51" s="25">
        <f t="shared" si="495"/>
        <v>77.550000000000011</v>
      </c>
      <c r="AW51" s="25">
        <f t="shared" si="495"/>
        <v>76.869999999999976</v>
      </c>
      <c r="AX51" s="25">
        <f t="shared" si="495"/>
        <v>71.84</v>
      </c>
      <c r="AY51" s="25">
        <f t="shared" si="495"/>
        <v>71.47</v>
      </c>
      <c r="AZ51" s="25">
        <f t="shared" si="495"/>
        <v>81.039999999999978</v>
      </c>
      <c r="BA51" s="25">
        <f t="shared" si="495"/>
        <v>74.990000000000023</v>
      </c>
      <c r="BB51" s="25">
        <f t="shared" si="495"/>
        <v>86.150000000000048</v>
      </c>
      <c r="BC51" s="25">
        <f t="shared" si="495"/>
        <v>83.74000000000008</v>
      </c>
      <c r="BD51" s="25">
        <f t="shared" si="495"/>
        <v>147.42999999999992</v>
      </c>
      <c r="BE51" s="25">
        <f t="shared" si="495"/>
        <v>161.23999999999998</v>
      </c>
      <c r="BF51" s="25">
        <f t="shared" si="495"/>
        <v>168.86</v>
      </c>
      <c r="BG51" s="25">
        <f t="shared" si="495"/>
        <v>171.01</v>
      </c>
      <c r="BH51" s="25">
        <f t="shared" si="495"/>
        <v>178.17000000000013</v>
      </c>
      <c r="BI51" s="25">
        <f t="shared" si="495"/>
        <v>156.84999999999994</v>
      </c>
      <c r="BJ51" s="25">
        <f t="shared" si="495"/>
        <v>162.59999999999994</v>
      </c>
      <c r="BK51" s="25">
        <f t="shared" si="495"/>
        <v>132.55000000000001</v>
      </c>
      <c r="BL51" s="25">
        <f t="shared" si="495"/>
        <v>115.36000000000016</v>
      </c>
      <c r="BM51" s="25">
        <f t="shared" si="495"/>
        <v>124.11000000000007</v>
      </c>
      <c r="BN51" s="25">
        <f t="shared" si="495"/>
        <v>110.06999999999994</v>
      </c>
      <c r="BO51" s="25">
        <f t="shared" si="495"/>
        <v>-56.630000000000038</v>
      </c>
      <c r="BP51" s="25">
        <f t="shared" si="495"/>
        <v>152.74000000000018</v>
      </c>
      <c r="BQ51" s="25">
        <f t="shared" si="495"/>
        <v>191.03</v>
      </c>
      <c r="BR51" s="25">
        <f t="shared" si="495"/>
        <v>185.96999999999989</v>
      </c>
      <c r="BS51" s="25">
        <f t="shared" si="495"/>
        <v>170.66000000000011</v>
      </c>
      <c r="BT51" s="25">
        <f t="shared" si="495"/>
        <v>229.62999999999982</v>
      </c>
      <c r="BU51" s="25">
        <f t="shared" si="495"/>
        <v>256.88000000000005</v>
      </c>
      <c r="BV51" s="25">
        <f t="shared" si="495"/>
        <v>277.19000000000005</v>
      </c>
      <c r="BW51" s="25">
        <f t="shared" si="495"/>
        <v>285.7299999999999</v>
      </c>
      <c r="BX51" s="25">
        <f t="shared" si="495"/>
        <v>289.56999999999994</v>
      </c>
      <c r="BY51" s="25">
        <f t="shared" si="495"/>
        <v>309.57000000000011</v>
      </c>
      <c r="BZ51" s="25">
        <f t="shared" si="495"/>
        <v>294.11999999999978</v>
      </c>
      <c r="CA51" s="25">
        <f t="shared" si="495"/>
        <v>318.04000000000008</v>
      </c>
      <c r="CB51" s="25">
        <f t="shared" si="495"/>
        <v>313.47000000000008</v>
      </c>
      <c r="CC51" s="25">
        <f t="shared" si="495"/>
        <v>292.84000000000009</v>
      </c>
      <c r="CD51" s="25">
        <f t="shared" si="495"/>
        <v>297.70000000000039</v>
      </c>
      <c r="CE51" s="25">
        <f t="shared" ref="CE51:CF51" si="496">CE47+CE48-CE49</f>
        <v>331.84</v>
      </c>
      <c r="CF51" s="25">
        <f t="shared" si="496"/>
        <v>321.98999999999984</v>
      </c>
      <c r="CG51" s="25">
        <f t="shared" ref="CG51:CH51" si="497">CG47+CG48-CG49</f>
        <v>326.21999999999997</v>
      </c>
      <c r="CH51" s="25">
        <f t="shared" si="497"/>
        <v>341.72999999999956</v>
      </c>
      <c r="CI51" s="25">
        <f t="shared" ref="CI51:CJ51" si="498">CI47+CI48-CI49</f>
        <v>391.35000000000008</v>
      </c>
      <c r="CJ51" s="25">
        <f t="shared" si="498"/>
        <v>395.4800000000003</v>
      </c>
      <c r="CK51" s="25">
        <f>CK47+CK48-CK49</f>
        <v>433.7999999999999</v>
      </c>
      <c r="CL51" s="25">
        <f t="shared" ref="CL51" si="499">CL47+CL48-CL49</f>
        <v>428.99999999999972</v>
      </c>
      <c r="CM51" s="26">
        <f t="shared" ref="CM51:DA51" si="500">CM47+CM48-CM49</f>
        <v>447.68133020861922</v>
      </c>
      <c r="CN51" s="26">
        <f t="shared" si="500"/>
        <v>479.61836286507145</v>
      </c>
      <c r="CO51" s="26">
        <f t="shared" si="500"/>
        <v>549.0835680092963</v>
      </c>
      <c r="CP51" s="26">
        <f t="shared" si="500"/>
        <v>525.76691878325687</v>
      </c>
      <c r="CQ51" s="26">
        <f t="shared" si="500"/>
        <v>554.17324375537078</v>
      </c>
      <c r="CR51" s="26">
        <f t="shared" si="500"/>
        <v>594.81064605259155</v>
      </c>
      <c r="CS51" s="26">
        <f>CS47+CS48-CS49</f>
        <v>678.67650944771492</v>
      </c>
      <c r="CT51" s="26">
        <f>CT47+CT48-CT49</f>
        <v>602.35420818597038</v>
      </c>
      <c r="CU51" s="26">
        <f t="shared" si="500"/>
        <v>631.51794060649604</v>
      </c>
      <c r="CV51" s="26">
        <f t="shared" si="500"/>
        <v>676.87991718350861</v>
      </c>
      <c r="CW51" s="26">
        <f t="shared" si="500"/>
        <v>764.0924268481433</v>
      </c>
      <c r="CX51" s="26">
        <f t="shared" si="500"/>
        <v>715.38888710926119</v>
      </c>
      <c r="CY51" s="26">
        <f t="shared" si="500"/>
        <v>746.51822375332881</v>
      </c>
      <c r="CZ51" s="26">
        <f t="shared" si="500"/>
        <v>803.68882212451149</v>
      </c>
      <c r="DA51" s="26">
        <f t="shared" si="500"/>
        <v>905.79754409194948</v>
      </c>
      <c r="DD51" s="120"/>
      <c r="DE51" s="25">
        <v>1562.3599999999985</v>
      </c>
    </row>
    <row r="52" spans="1:109" s="22" customFormat="1" x14ac:dyDescent="0.2">
      <c r="A52" s="22" t="s">
        <v>21</v>
      </c>
      <c r="B52" s="22">
        <f>'Annual Raw'!C30</f>
        <v>0</v>
      </c>
      <c r="C52" s="22">
        <f>'Annual Raw'!D30</f>
        <v>0</v>
      </c>
      <c r="D52" s="22">
        <f>'Annual Raw'!E30</f>
        <v>5.62</v>
      </c>
      <c r="E52" s="22">
        <f>'Annual Raw'!F30</f>
        <v>7.81</v>
      </c>
      <c r="F52" s="22">
        <f>'Annual Raw'!G30</f>
        <v>12.52</v>
      </c>
      <c r="G52" s="22">
        <f>'Annual Raw'!H30</f>
        <v>19.87</v>
      </c>
      <c r="H52" s="22">
        <f>'Annual Raw'!I30</f>
        <v>37.08</v>
      </c>
      <c r="I52" s="22">
        <f>'Annual Raw'!J30</f>
        <v>44.95</v>
      </c>
      <c r="J52" s="22">
        <f>'Annual Raw'!K30</f>
        <v>51.63</v>
      </c>
      <c r="K52" s="22">
        <f>'Annual Raw'!L30</f>
        <v>34.04</v>
      </c>
      <c r="L52" s="22">
        <f>'Annual Raw'!M30</f>
        <v>60.38</v>
      </c>
      <c r="M52" s="22">
        <f>'Annual Raw'!N30</f>
        <v>84.99</v>
      </c>
      <c r="N52" s="22">
        <f>'Annual Raw'!O30</f>
        <v>74.290000000000006</v>
      </c>
      <c r="O52" s="22">
        <f>'Annual Raw'!P30</f>
        <v>63.61</v>
      </c>
      <c r="P52" s="22">
        <f>'Annual Raw'!Q30</f>
        <v>79.489999999999995</v>
      </c>
      <c r="Q52" s="22">
        <f>'Annual Raw'!R30</f>
        <v>96.33</v>
      </c>
      <c r="R52" s="22">
        <f>'Annual Raw'!S30</f>
        <v>104.27</v>
      </c>
      <c r="S52" s="22">
        <f>'Annual Raw'!T30</f>
        <v>200.34</v>
      </c>
      <c r="T52" s="22">
        <f>'Annual Raw'!U30</f>
        <v>211.9</v>
      </c>
      <c r="U52" s="22">
        <f>'Annual Raw'!V30</f>
        <v>166.64</v>
      </c>
      <c r="V52" s="22">
        <f>'Annual Raw'!W30</f>
        <v>106.24</v>
      </c>
      <c r="W52" s="22">
        <f>'Annual Raw'!X30</f>
        <v>214.02</v>
      </c>
      <c r="X52" s="22">
        <f>'Annual Raw'!Y30</f>
        <v>297.83</v>
      </c>
      <c r="Y52" s="22">
        <f>'Annual Raw'!Z30</f>
        <v>314.75</v>
      </c>
      <c r="Z52" s="22">
        <f>'Annual Raw'!AA30</f>
        <v>338.89</v>
      </c>
      <c r="AA52" s="22">
        <f>'Annual Raw'!AB30</f>
        <v>412.01</v>
      </c>
      <c r="AB52" s="23">
        <f>+SUM(CL52:CO52)</f>
        <v>500.93858671209756</v>
      </c>
      <c r="AC52" s="23">
        <f>+SUM(CP52:CS52)</f>
        <v>636.80874255359936</v>
      </c>
      <c r="AD52" s="23">
        <f>+SUM(CT52:CW52)</f>
        <v>746.57217369303919</v>
      </c>
      <c r="AE52" s="23">
        <f>+SUM(CX52:DA52)</f>
        <v>887.25845815619687</v>
      </c>
      <c r="AI52" s="22">
        <f>'QTR Raw'!C29</f>
        <v>22.42</v>
      </c>
      <c r="AJ52" s="22">
        <f>'QTR Raw'!D29</f>
        <v>17.78</v>
      </c>
      <c r="AK52" s="22">
        <f>'QTR Raw'!E29</f>
        <v>12.12</v>
      </c>
      <c r="AL52" s="22">
        <f>'QTR Raw'!F29</f>
        <v>13.4</v>
      </c>
      <c r="AM52" s="22">
        <f>'QTR Raw'!G29</f>
        <v>13.2</v>
      </c>
      <c r="AN52" s="22">
        <f>'QTR Raw'!H29</f>
        <v>18.55</v>
      </c>
      <c r="AO52" s="22">
        <f>'QTR Raw'!I29</f>
        <v>18.46</v>
      </c>
      <c r="AP52" s="22">
        <f>'QTR Raw'!J29</f>
        <v>17.899999999999999</v>
      </c>
      <c r="AQ52" s="22">
        <f>'QTR Raw'!K29</f>
        <v>21.07</v>
      </c>
      <c r="AR52" s="22">
        <f>'QTR Raw'!L29</f>
        <v>19.45</v>
      </c>
      <c r="AS52" s="22">
        <f>'QTR Raw'!M29</f>
        <v>21.07</v>
      </c>
      <c r="AT52" s="22">
        <f>'QTR Raw'!N29</f>
        <v>21.84</v>
      </c>
      <c r="AU52" s="22">
        <f>'QTR Raw'!O29</f>
        <v>26.88</v>
      </c>
      <c r="AV52" s="22">
        <f>'QTR Raw'!P29</f>
        <v>26.95</v>
      </c>
      <c r="AW52" s="22">
        <f>'QTR Raw'!Q29</f>
        <v>20.66</v>
      </c>
      <c r="AX52" s="22">
        <f>'QTR Raw'!R29</f>
        <v>30.38</v>
      </c>
      <c r="AY52" s="22">
        <f>'QTR Raw'!S29</f>
        <v>25.13</v>
      </c>
      <c r="AZ52" s="22">
        <f>'QTR Raw'!T29</f>
        <v>28.52</v>
      </c>
      <c r="BA52" s="22">
        <f>'QTR Raw'!U29</f>
        <v>20.25</v>
      </c>
      <c r="BB52" s="22">
        <f>'QTR Raw'!V29</f>
        <v>28.67</v>
      </c>
      <c r="BC52" s="22">
        <f>'QTR Raw'!W29</f>
        <v>29.76</v>
      </c>
      <c r="BD52" s="22">
        <f>'QTR Raw'!X29</f>
        <v>51.55</v>
      </c>
      <c r="BE52" s="22">
        <f>'QTR Raw'!Y29</f>
        <v>53.16</v>
      </c>
      <c r="BF52" s="22">
        <f>'QTR Raw'!Z29</f>
        <v>54.85</v>
      </c>
      <c r="BG52" s="22">
        <f>'QTR Raw'!AA29</f>
        <v>58.98</v>
      </c>
      <c r="BH52" s="22">
        <f>'QTR Raw'!AB29</f>
        <v>48.37</v>
      </c>
      <c r="BI52" s="22">
        <f>'QTR Raw'!AC29</f>
        <v>49.7</v>
      </c>
      <c r="BJ52" s="22">
        <f>'QTR Raw'!AD29</f>
        <v>56.08</v>
      </c>
      <c r="BK52" s="22">
        <f>'QTR Raw'!AE29</f>
        <v>50.07</v>
      </c>
      <c r="BL52" s="22">
        <f>'QTR Raw'!AF29</f>
        <v>20.93</v>
      </c>
      <c r="BM52" s="22">
        <f>'QTR Raw'!AG29</f>
        <v>39.56</v>
      </c>
      <c r="BN52" s="22">
        <f>'QTR Raw'!AH29</f>
        <v>31.72</v>
      </c>
      <c r="BO52" s="22">
        <f>'QTR Raw'!AI29</f>
        <v>-14.16</v>
      </c>
      <c r="BP52" s="22">
        <f>'QTR Raw'!AJ29</f>
        <v>39.270000000000003</v>
      </c>
      <c r="BQ52" s="22">
        <f>'QTR Raw'!AK29</f>
        <v>49.41</v>
      </c>
      <c r="BR52" s="22">
        <f>'QTR Raw'!AL29</f>
        <v>46.43</v>
      </c>
      <c r="BS52" s="22">
        <f>'QTR Raw'!AM29</f>
        <v>42.53</v>
      </c>
      <c r="BT52" s="22">
        <f>'QTR Raw'!AN29</f>
        <v>58.82</v>
      </c>
      <c r="BU52" s="22">
        <f>'QTR Raw'!AO29</f>
        <v>66.239999999999995</v>
      </c>
      <c r="BV52" s="22">
        <f>'QTR Raw'!AP29</f>
        <v>70.069999999999993</v>
      </c>
      <c r="BW52" s="22">
        <f>'QTR Raw'!AQ29</f>
        <v>74.959999999999994</v>
      </c>
      <c r="BX52" s="22">
        <f>'QTR Raw'!AR29</f>
        <v>74.209999999999994</v>
      </c>
      <c r="BY52" s="22">
        <f>'QTR Raw'!AS29</f>
        <v>78.59</v>
      </c>
      <c r="BZ52" s="22">
        <f>'QTR Raw'!AT29</f>
        <v>74.75</v>
      </c>
      <c r="CA52" s="22">
        <f>'QTR Raw'!AU29</f>
        <v>80.760000000000005</v>
      </c>
      <c r="CB52" s="22">
        <f>'QTR Raw'!AV29</f>
        <v>80.709999999999994</v>
      </c>
      <c r="CC52" s="22">
        <f>'QTR Raw'!AW29</f>
        <v>78.53</v>
      </c>
      <c r="CD52" s="22">
        <f>'QTR Raw'!AX29</f>
        <v>77.98</v>
      </c>
      <c r="CE52" s="22">
        <f>'QTR Raw'!AY29</f>
        <v>86.39</v>
      </c>
      <c r="CF52" s="22">
        <f>'QTR Raw'!AZ29</f>
        <v>85.58</v>
      </c>
      <c r="CG52" s="22">
        <f>'QTR Raw'!BA29</f>
        <v>88.94</v>
      </c>
      <c r="CH52" s="22">
        <f>'QTR Raw'!BB29</f>
        <v>90.11</v>
      </c>
      <c r="CI52" s="22">
        <f>'QTR Raw'!BC29</f>
        <v>104.24</v>
      </c>
      <c r="CJ52" s="22">
        <f>'QTR Raw'!BD29</f>
        <v>106.22</v>
      </c>
      <c r="CK52" s="22">
        <v>111.44</v>
      </c>
      <c r="CL52" s="22">
        <f>'QTR Raw'!BF29</f>
        <v>112.93</v>
      </c>
      <c r="CM52" s="23">
        <f t="shared" ref="CM52:DA52" si="501">+CM51*CM53</f>
        <v>118.08464893914142</v>
      </c>
      <c r="CN52" s="23">
        <f t="shared" si="501"/>
        <v>126.19803619457117</v>
      </c>
      <c r="CO52" s="23">
        <f t="shared" si="501"/>
        <v>143.72590157838499</v>
      </c>
      <c r="CP52" s="23">
        <f t="shared" si="501"/>
        <v>141.02711976999183</v>
      </c>
      <c r="CQ52" s="23">
        <f t="shared" si="501"/>
        <v>149.3519056607463</v>
      </c>
      <c r="CR52" s="23">
        <f t="shared" si="501"/>
        <v>161.17364890881694</v>
      </c>
      <c r="CS52" s="23">
        <f t="shared" si="501"/>
        <v>185.25606821404423</v>
      </c>
      <c r="CT52" s="23">
        <f t="shared" si="501"/>
        <v>166.14459120138989</v>
      </c>
      <c r="CU52" s="23">
        <f t="shared" si="501"/>
        <v>175.41162871921631</v>
      </c>
      <c r="CV52" s="23">
        <f t="shared" si="501"/>
        <v>189.4368092420944</v>
      </c>
      <c r="CW52" s="23">
        <f t="shared" si="501"/>
        <v>215.57914453033857</v>
      </c>
      <c r="CX52" s="23">
        <f t="shared" si="501"/>
        <v>199.52062085780642</v>
      </c>
      <c r="CY52" s="23">
        <f t="shared" si="501"/>
        <v>208.77599602499521</v>
      </c>
      <c r="CZ52" s="23">
        <f t="shared" si="501"/>
        <v>225.14732243923072</v>
      </c>
      <c r="DA52" s="23">
        <f t="shared" si="501"/>
        <v>253.81451883416457</v>
      </c>
      <c r="DD52" s="122"/>
      <c r="DE52" s="22">
        <v>412.01</v>
      </c>
    </row>
    <row r="53" spans="1:109" s="89" customFormat="1" x14ac:dyDescent="0.2">
      <c r="A53" s="89" t="s">
        <v>106</v>
      </c>
      <c r="B53" s="89" t="e">
        <f t="shared" ref="B53:E53" si="502">B52/B51</f>
        <v>#DIV/0!</v>
      </c>
      <c r="C53" s="89" t="e">
        <f t="shared" si="502"/>
        <v>#DIV/0!</v>
      </c>
      <c r="D53" s="89">
        <f t="shared" si="502"/>
        <v>0.22134698700275718</v>
      </c>
      <c r="E53" s="89">
        <f t="shared" si="502"/>
        <v>0.25217952857604137</v>
      </c>
      <c r="F53" s="89">
        <f t="shared" ref="F53:T53" si="503">F52/F51</f>
        <v>0.28847926267281077</v>
      </c>
      <c r="G53" s="89">
        <f t="shared" si="503"/>
        <v>0.29324085005903183</v>
      </c>
      <c r="H53" s="89">
        <f t="shared" si="503"/>
        <v>0.33471745802491437</v>
      </c>
      <c r="I53" s="89">
        <f t="shared" si="503"/>
        <v>0.36110218508997421</v>
      </c>
      <c r="J53" s="89">
        <f t="shared" si="503"/>
        <v>0.35039022734984732</v>
      </c>
      <c r="K53" s="89">
        <f t="shared" si="503"/>
        <v>0.34183570998192386</v>
      </c>
      <c r="L53" s="89">
        <f t="shared" si="503"/>
        <v>0.33197712777655614</v>
      </c>
      <c r="M53" s="89">
        <f t="shared" si="503"/>
        <v>0.32568209687308408</v>
      </c>
      <c r="N53" s="89">
        <f t="shared" si="503"/>
        <v>0.31819934038634506</v>
      </c>
      <c r="O53" s="89">
        <f t="shared" si="503"/>
        <v>0.3430220017256253</v>
      </c>
      <c r="P53" s="89">
        <f t="shared" si="503"/>
        <v>0.34208374575031208</v>
      </c>
      <c r="Q53" s="89">
        <f t="shared" si="503"/>
        <v>0.32786494673428401</v>
      </c>
      <c r="R53" s="89">
        <f t="shared" si="503"/>
        <v>0.34834463635452501</v>
      </c>
      <c r="S53" s="89">
        <f t="shared" si="503"/>
        <v>0.33763651071861972</v>
      </c>
      <c r="T53" s="89">
        <f t="shared" si="503"/>
        <v>0.31397244036153488</v>
      </c>
      <c r="U53" s="89">
        <f t="shared" ref="U53:Z53" si="504">U52/U51</f>
        <v>0.3116980285062293</v>
      </c>
      <c r="V53" s="89">
        <f t="shared" si="504"/>
        <v>0.26746557236726148</v>
      </c>
      <c r="W53" s="89">
        <f t="shared" si="504"/>
        <v>0.25383684797305306</v>
      </c>
      <c r="X53" s="89">
        <f t="shared" si="504"/>
        <v>0.25629485568731386</v>
      </c>
      <c r="Y53" s="89">
        <f t="shared" si="504"/>
        <v>0.2583157566456295</v>
      </c>
      <c r="Z53" s="89">
        <f t="shared" si="504"/>
        <v>0.26522402660927408</v>
      </c>
      <c r="AA53" s="89">
        <f t="shared" ref="AA53" si="505">AA52/AA51</f>
        <v>0.26371002841854629</v>
      </c>
      <c r="AB53" s="90">
        <f t="shared" ref="AB53:AD53" si="506">AB52/AB51</f>
        <v>0.26290699458930517</v>
      </c>
      <c r="AC53" s="90">
        <f t="shared" si="506"/>
        <v>0.27058780939291532</v>
      </c>
      <c r="AD53" s="90">
        <f t="shared" si="506"/>
        <v>0.27910862694855337</v>
      </c>
      <c r="AE53" s="90">
        <f t="shared" ref="AE53" si="507">AE52/AE51</f>
        <v>0.27976927636661103</v>
      </c>
      <c r="AI53" s="89">
        <f t="shared" ref="AI53" si="508">AI52/AI51</f>
        <v>0.3265365569472764</v>
      </c>
      <c r="AJ53" s="89">
        <f t="shared" ref="AJ53" si="509">AJ52/AJ51</f>
        <v>0.32492690058479512</v>
      </c>
      <c r="AK53" s="89">
        <f t="shared" ref="AK53:AM53" si="510">AK52/AK51</f>
        <v>0.28988280315713938</v>
      </c>
      <c r="AL53" s="89">
        <f t="shared" si="510"/>
        <v>0.34491634491634543</v>
      </c>
      <c r="AM53" s="89">
        <f t="shared" si="510"/>
        <v>0.34038164002062948</v>
      </c>
      <c r="AN53" s="89">
        <f t="shared" ref="AN53:AO53" si="511">AN52/AN51</f>
        <v>0.34074210139603234</v>
      </c>
      <c r="AO53" s="89">
        <f t="shared" si="511"/>
        <v>0.34588720254824823</v>
      </c>
      <c r="AP53" s="89">
        <f t="shared" ref="AP53:CD53" si="512">AP52/AP51</f>
        <v>0.3404336249524535</v>
      </c>
      <c r="AQ53" s="89">
        <f t="shared" si="512"/>
        <v>0.3407179818887448</v>
      </c>
      <c r="AR53" s="89">
        <f t="shared" si="512"/>
        <v>0.34146769662921339</v>
      </c>
      <c r="AS53" s="89">
        <f t="shared" si="512"/>
        <v>0.34546646991310026</v>
      </c>
      <c r="AT53" s="89">
        <f t="shared" si="512"/>
        <v>0.34535104364326408</v>
      </c>
      <c r="AU53" s="89">
        <f t="shared" si="512"/>
        <v>0.35298752462245558</v>
      </c>
      <c r="AV53" s="89">
        <f t="shared" si="512"/>
        <v>0.34751773049645385</v>
      </c>
      <c r="AW53" s="89">
        <f t="shared" si="512"/>
        <v>0.26876544815922998</v>
      </c>
      <c r="AX53" s="89">
        <f t="shared" si="512"/>
        <v>0.42288418708240533</v>
      </c>
      <c r="AY53" s="89">
        <f t="shared" si="512"/>
        <v>0.35161606268364348</v>
      </c>
      <c r="AZ53" s="89">
        <f t="shared" si="512"/>
        <v>0.35192497532082934</v>
      </c>
      <c r="BA53" s="89">
        <f t="shared" si="512"/>
        <v>0.27003600480063999</v>
      </c>
      <c r="BB53" s="89">
        <f t="shared" si="512"/>
        <v>0.33279164248403931</v>
      </c>
      <c r="BC53" s="89">
        <f t="shared" si="512"/>
        <v>0.35538571769763522</v>
      </c>
      <c r="BD53" s="89">
        <f t="shared" si="512"/>
        <v>0.34965746455945212</v>
      </c>
      <c r="BE53" s="89">
        <f t="shared" si="512"/>
        <v>0.32969486479781696</v>
      </c>
      <c r="BF53" s="89">
        <f t="shared" si="512"/>
        <v>0.32482529906431362</v>
      </c>
      <c r="BG53" s="89">
        <f t="shared" si="512"/>
        <v>0.34489211157242267</v>
      </c>
      <c r="BH53" s="89">
        <f t="shared" si="512"/>
        <v>0.27148229219284931</v>
      </c>
      <c r="BI53" s="89">
        <f t="shared" si="512"/>
        <v>0.31686324513866765</v>
      </c>
      <c r="BJ53" s="89">
        <f t="shared" si="512"/>
        <v>0.34489544895448965</v>
      </c>
      <c r="BK53" s="89">
        <f t="shared" si="512"/>
        <v>0.37774424745379098</v>
      </c>
      <c r="BL53" s="89">
        <f t="shared" si="512"/>
        <v>0.18143203883495121</v>
      </c>
      <c r="BM53" s="89">
        <f t="shared" si="512"/>
        <v>0.31874949641447087</v>
      </c>
      <c r="BN53" s="89">
        <f t="shared" si="512"/>
        <v>0.28818024893249766</v>
      </c>
      <c r="BO53" s="89">
        <f t="shared" si="512"/>
        <v>0.25004414621225485</v>
      </c>
      <c r="BP53" s="89">
        <f t="shared" si="512"/>
        <v>0.25710357470210787</v>
      </c>
      <c r="BQ53" s="89">
        <f t="shared" si="512"/>
        <v>0.25865047374757888</v>
      </c>
      <c r="BR53" s="89">
        <f t="shared" si="512"/>
        <v>0.24966392428886394</v>
      </c>
      <c r="BS53" s="89">
        <f t="shared" si="512"/>
        <v>0.24920895347474495</v>
      </c>
      <c r="BT53" s="89">
        <f t="shared" si="512"/>
        <v>0.2561511997561296</v>
      </c>
      <c r="BU53" s="89">
        <f t="shared" si="512"/>
        <v>0.25786359389598251</v>
      </c>
      <c r="BV53" s="89">
        <f t="shared" si="512"/>
        <v>0.25278689707420893</v>
      </c>
      <c r="BW53" s="89">
        <f t="shared" si="512"/>
        <v>0.2623455709935954</v>
      </c>
      <c r="BX53" s="89">
        <f t="shared" si="512"/>
        <v>0.2562765479849432</v>
      </c>
      <c r="BY53" s="89">
        <f t="shared" si="512"/>
        <v>0.25386826888910419</v>
      </c>
      <c r="BZ53" s="89">
        <f t="shared" si="512"/>
        <v>0.25414796681626567</v>
      </c>
      <c r="CA53" s="89">
        <f t="shared" si="512"/>
        <v>0.25393032322978237</v>
      </c>
      <c r="CB53" s="89">
        <f t="shared" si="512"/>
        <v>0.25747280441509546</v>
      </c>
      <c r="CC53" s="89">
        <f t="shared" si="512"/>
        <v>0.26816691708782947</v>
      </c>
      <c r="CD53" s="89">
        <f t="shared" si="512"/>
        <v>0.26194155189788343</v>
      </c>
      <c r="CE53" s="89">
        <f t="shared" ref="CE53:CF53" si="513">CE52/CE51</f>
        <v>0.26033630665380908</v>
      </c>
      <c r="CF53" s="89">
        <f t="shared" si="513"/>
        <v>0.26578465169725779</v>
      </c>
      <c r="CG53" s="89">
        <f t="shared" ref="CG53:CH53" si="514">CG52/CG51</f>
        <v>0.27263809698976155</v>
      </c>
      <c r="CH53" s="89">
        <f t="shared" si="514"/>
        <v>0.26368770666900804</v>
      </c>
      <c r="CI53" s="89">
        <f t="shared" ref="CI53:CK53" si="515">CI52/CI51</f>
        <v>0.26636003577360412</v>
      </c>
      <c r="CJ53" s="89">
        <f t="shared" si="515"/>
        <v>0.26858501062000584</v>
      </c>
      <c r="CK53" s="89">
        <f t="shared" si="515"/>
        <v>0.25689257722452746</v>
      </c>
      <c r="CL53" s="89">
        <f t="shared" ref="CL53" si="516">CL52/CL51</f>
        <v>0.26324009324009345</v>
      </c>
      <c r="CM53" s="90">
        <f t="shared" ref="CM53:DA53" si="517">AVERAGE(CI53:CL53)</f>
        <v>0.2637694292145577</v>
      </c>
      <c r="CN53" s="90">
        <f t="shared" si="517"/>
        <v>0.2631217775747961</v>
      </c>
      <c r="CO53" s="90">
        <f t="shared" si="517"/>
        <v>0.26175596931349371</v>
      </c>
      <c r="CP53" s="90">
        <f>AVERAGE(CL53:CO53)*1.02</f>
        <v>0.26823125368244993</v>
      </c>
      <c r="CQ53" s="90">
        <f t="shared" ref="CQ53:CS53" si="518">AVERAGE(CM53:CP53)*1.02</f>
        <v>0.26950399959525084</v>
      </c>
      <c r="CR53" s="90">
        <f t="shared" si="518"/>
        <v>0.2709663150423276</v>
      </c>
      <c r="CS53" s="90">
        <f t="shared" si="518"/>
        <v>0.27296667209654812</v>
      </c>
      <c r="CT53" s="90">
        <f t="shared" ref="CT53" si="519">AVERAGE(CP53:CS53)*1.02</f>
        <v>0.27582540130622701</v>
      </c>
      <c r="CU53" s="90">
        <f t="shared" ref="CU53" si="520">AVERAGE(CQ53:CT53)*1.02</f>
        <v>0.27776190895029018</v>
      </c>
      <c r="CV53" s="90">
        <f t="shared" ref="CV53" si="521">AVERAGE(CR53:CU53)*1.02</f>
        <v>0.27986767583582522</v>
      </c>
      <c r="CW53" s="90">
        <f t="shared" ref="CW53" si="522">AVERAGE(CS53:CV53)*1.02</f>
        <v>0.28213752283816712</v>
      </c>
      <c r="CX53" s="90">
        <f t="shared" si="517"/>
        <v>0.27889812723262736</v>
      </c>
      <c r="CY53" s="90">
        <f t="shared" si="517"/>
        <v>0.27966630871422749</v>
      </c>
      <c r="CZ53" s="90">
        <f t="shared" si="517"/>
        <v>0.28014240865521178</v>
      </c>
      <c r="DA53" s="90">
        <f t="shared" si="517"/>
        <v>0.28021109186005844</v>
      </c>
      <c r="DD53" s="126"/>
      <c r="DE53" s="89">
        <v>0.26371002841854652</v>
      </c>
    </row>
    <row r="54" spans="1:109" s="25" customFormat="1" x14ac:dyDescent="0.2">
      <c r="A54" s="25" t="s">
        <v>22</v>
      </c>
      <c r="B54" s="25">
        <f t="shared" ref="B54:E54" si="523">B51-B52</f>
        <v>0</v>
      </c>
      <c r="C54" s="25">
        <f t="shared" si="523"/>
        <v>0</v>
      </c>
      <c r="D54" s="25">
        <f t="shared" si="523"/>
        <v>19.769999999999978</v>
      </c>
      <c r="E54" s="25">
        <f t="shared" si="523"/>
        <v>23.159999999999997</v>
      </c>
      <c r="F54" s="25">
        <f t="shared" ref="F54:T54" si="524">F51-F52</f>
        <v>30.880000000000042</v>
      </c>
      <c r="G54" s="25">
        <f t="shared" si="524"/>
        <v>47.890000000000015</v>
      </c>
      <c r="H54" s="25">
        <f t="shared" si="524"/>
        <v>73.69999999999996</v>
      </c>
      <c r="I54" s="25">
        <f t="shared" si="524"/>
        <v>79.53000000000003</v>
      </c>
      <c r="J54" s="25">
        <f t="shared" si="524"/>
        <v>95.72</v>
      </c>
      <c r="K54" s="25">
        <f t="shared" si="524"/>
        <v>65.540000000000049</v>
      </c>
      <c r="L54" s="25">
        <f t="shared" si="524"/>
        <v>121.49999999999991</v>
      </c>
      <c r="M54" s="25">
        <f t="shared" si="524"/>
        <v>175.96999999999991</v>
      </c>
      <c r="N54" s="25">
        <f t="shared" si="524"/>
        <v>159.18000000000006</v>
      </c>
      <c r="O54" s="25">
        <f t="shared" si="524"/>
        <v>121.83000000000011</v>
      </c>
      <c r="P54" s="25">
        <f t="shared" si="524"/>
        <v>152.87999999999994</v>
      </c>
      <c r="Q54" s="25">
        <f t="shared" si="524"/>
        <v>197.48000000000008</v>
      </c>
      <c r="R54" s="25">
        <f t="shared" si="524"/>
        <v>195.06000000000012</v>
      </c>
      <c r="S54" s="25">
        <f t="shared" si="524"/>
        <v>393.01999999999941</v>
      </c>
      <c r="T54" s="25">
        <f t="shared" si="524"/>
        <v>463.00000000000034</v>
      </c>
      <c r="U54" s="25">
        <f t="shared" ref="U54:Z54" si="525">U51-U52</f>
        <v>367.979999999999</v>
      </c>
      <c r="V54" s="25">
        <f t="shared" si="525"/>
        <v>290.97000000000025</v>
      </c>
      <c r="W54" s="25">
        <f t="shared" si="525"/>
        <v>629.12000000000023</v>
      </c>
      <c r="X54" s="25">
        <f t="shared" si="525"/>
        <v>864.23000000000025</v>
      </c>
      <c r="Y54" s="25">
        <f t="shared" si="525"/>
        <v>903.71999999999935</v>
      </c>
      <c r="Z54" s="25">
        <f t="shared" si="525"/>
        <v>938.86</v>
      </c>
      <c r="AA54" s="25">
        <f t="shared" ref="AA54" si="526">AA51-AA52</f>
        <v>1150.3500000000001</v>
      </c>
      <c r="AB54" s="26">
        <f t="shared" ref="AB54:AD54" si="527">AB51-AB52</f>
        <v>1404.4446743708897</v>
      </c>
      <c r="AC54" s="26">
        <f t="shared" si="527"/>
        <v>1716.6185754853361</v>
      </c>
      <c r="AD54" s="26">
        <f t="shared" si="527"/>
        <v>1928.2723191310788</v>
      </c>
      <c r="AE54" s="26">
        <f t="shared" ref="AE54" si="528">AE51-AE52</f>
        <v>2284.1350189228551</v>
      </c>
      <c r="AI54" s="25">
        <f>AI51-AI52</f>
        <v>46.240000000000009</v>
      </c>
      <c r="AJ54" s="25">
        <f t="shared" ref="AJ54" si="529">AJ51-AJ52</f>
        <v>36.940000000000033</v>
      </c>
      <c r="AK54" s="25">
        <f t="shared" ref="AK54:AM54" si="530">AK51-AK52</f>
        <v>29.690000000000012</v>
      </c>
      <c r="AL54" s="25">
        <f t="shared" si="530"/>
        <v>25.449999999999946</v>
      </c>
      <c r="AM54" s="25">
        <f t="shared" si="530"/>
        <v>25.579999999999966</v>
      </c>
      <c r="AN54" s="25">
        <f t="shared" ref="AN54:AO54" si="531">AN51-AN52</f>
        <v>35.89</v>
      </c>
      <c r="AO54" s="25">
        <f t="shared" si="531"/>
        <v>34.909999999999975</v>
      </c>
      <c r="AP54" s="25">
        <f t="shared" ref="AP54:CD54" si="532">AP51-AP52</f>
        <v>34.679999999999986</v>
      </c>
      <c r="AQ54" s="25">
        <f t="shared" si="532"/>
        <v>40.770000000000067</v>
      </c>
      <c r="AR54" s="25">
        <f t="shared" si="532"/>
        <v>37.510000000000019</v>
      </c>
      <c r="AS54" s="25">
        <f t="shared" si="532"/>
        <v>39.920000000000044</v>
      </c>
      <c r="AT54" s="25">
        <f t="shared" si="532"/>
        <v>41.399999999999935</v>
      </c>
      <c r="AU54" s="25">
        <f t="shared" si="532"/>
        <v>49.270000000000024</v>
      </c>
      <c r="AV54" s="25">
        <f t="shared" si="532"/>
        <v>50.600000000000009</v>
      </c>
      <c r="AW54" s="25">
        <f t="shared" si="532"/>
        <v>56.20999999999998</v>
      </c>
      <c r="AX54" s="25">
        <f t="shared" si="532"/>
        <v>41.460000000000008</v>
      </c>
      <c r="AY54" s="25">
        <f t="shared" si="532"/>
        <v>46.34</v>
      </c>
      <c r="AZ54" s="25">
        <f t="shared" si="532"/>
        <v>52.519999999999982</v>
      </c>
      <c r="BA54" s="25">
        <f t="shared" si="532"/>
        <v>54.740000000000023</v>
      </c>
      <c r="BB54" s="25">
        <f t="shared" si="532"/>
        <v>57.480000000000047</v>
      </c>
      <c r="BC54" s="25">
        <f t="shared" si="532"/>
        <v>53.980000000000075</v>
      </c>
      <c r="BD54" s="25">
        <f t="shared" si="532"/>
        <v>95.879999999999924</v>
      </c>
      <c r="BE54" s="25">
        <f t="shared" si="532"/>
        <v>108.07999999999998</v>
      </c>
      <c r="BF54" s="25">
        <f t="shared" si="532"/>
        <v>114.01000000000002</v>
      </c>
      <c r="BG54" s="25">
        <f t="shared" si="532"/>
        <v>112.03</v>
      </c>
      <c r="BH54" s="25">
        <f t="shared" si="532"/>
        <v>129.80000000000013</v>
      </c>
      <c r="BI54" s="25">
        <f t="shared" si="532"/>
        <v>107.14999999999993</v>
      </c>
      <c r="BJ54" s="25">
        <f t="shared" si="532"/>
        <v>106.51999999999994</v>
      </c>
      <c r="BK54" s="25">
        <f t="shared" si="532"/>
        <v>82.480000000000018</v>
      </c>
      <c r="BL54" s="25">
        <f t="shared" si="532"/>
        <v>94.430000000000149</v>
      </c>
      <c r="BM54" s="25">
        <f t="shared" si="532"/>
        <v>84.550000000000068</v>
      </c>
      <c r="BN54" s="25">
        <f t="shared" si="532"/>
        <v>78.349999999999937</v>
      </c>
      <c r="BO54" s="25">
        <f t="shared" si="532"/>
        <v>-42.470000000000041</v>
      </c>
      <c r="BP54" s="25">
        <f t="shared" si="532"/>
        <v>113.47000000000017</v>
      </c>
      <c r="BQ54" s="25">
        <f t="shared" si="532"/>
        <v>141.62</v>
      </c>
      <c r="BR54" s="25">
        <f t="shared" si="532"/>
        <v>139.53999999999988</v>
      </c>
      <c r="BS54" s="25">
        <f t="shared" si="532"/>
        <v>128.13000000000011</v>
      </c>
      <c r="BT54" s="25">
        <f t="shared" si="532"/>
        <v>170.80999999999983</v>
      </c>
      <c r="BU54" s="25">
        <f t="shared" si="532"/>
        <v>190.64000000000004</v>
      </c>
      <c r="BV54" s="25">
        <f t="shared" si="532"/>
        <v>207.12000000000006</v>
      </c>
      <c r="BW54" s="25">
        <f t="shared" si="532"/>
        <v>210.76999999999992</v>
      </c>
      <c r="BX54" s="25">
        <f t="shared" si="532"/>
        <v>215.35999999999996</v>
      </c>
      <c r="BY54" s="25">
        <f t="shared" si="532"/>
        <v>230.9800000000001</v>
      </c>
      <c r="BZ54" s="25">
        <f t="shared" si="532"/>
        <v>219.36999999999978</v>
      </c>
      <c r="CA54" s="25">
        <f t="shared" si="532"/>
        <v>237.28000000000009</v>
      </c>
      <c r="CB54" s="25">
        <f t="shared" si="532"/>
        <v>232.7600000000001</v>
      </c>
      <c r="CC54" s="25">
        <f t="shared" si="532"/>
        <v>214.31000000000009</v>
      </c>
      <c r="CD54" s="25">
        <f t="shared" si="532"/>
        <v>219.72000000000037</v>
      </c>
      <c r="CE54" s="25">
        <f t="shared" ref="CE54:CF54" si="533">CE51-CE52</f>
        <v>245.45</v>
      </c>
      <c r="CF54" s="25">
        <f t="shared" si="533"/>
        <v>236.40999999999985</v>
      </c>
      <c r="CG54" s="25">
        <f t="shared" ref="CG54:CH54" si="534">CG51-CG52</f>
        <v>237.27999999999997</v>
      </c>
      <c r="CH54" s="25">
        <f t="shared" si="534"/>
        <v>251.61999999999955</v>
      </c>
      <c r="CI54" s="25">
        <f t="shared" ref="CI54" si="535">CI51-CI52</f>
        <v>287.11000000000007</v>
      </c>
      <c r="CJ54" s="25">
        <f>CJ51-CJ52</f>
        <v>289.26000000000033</v>
      </c>
      <c r="CK54" s="25">
        <f t="shared" ref="CK54" si="536">CK51-CK52</f>
        <v>322.3599999999999</v>
      </c>
      <c r="CL54" s="25">
        <f>CL51-CL52</f>
        <v>316.06999999999971</v>
      </c>
      <c r="CM54" s="26">
        <f t="shared" ref="CM54:DA54" si="537">CM51-CM52</f>
        <v>329.59668126947781</v>
      </c>
      <c r="CN54" s="26">
        <f t="shared" si="537"/>
        <v>353.42032667050029</v>
      </c>
      <c r="CO54" s="26">
        <f t="shared" si="537"/>
        <v>405.35766643091131</v>
      </c>
      <c r="CP54" s="26">
        <f t="shared" si="537"/>
        <v>384.73979901326504</v>
      </c>
      <c r="CQ54" s="26">
        <f t="shared" si="537"/>
        <v>404.82133809462448</v>
      </c>
      <c r="CR54" s="26">
        <f t="shared" si="537"/>
        <v>433.63699714377458</v>
      </c>
      <c r="CS54" s="26">
        <f t="shared" si="537"/>
        <v>493.42044123367066</v>
      </c>
      <c r="CT54" s="26">
        <f t="shared" si="537"/>
        <v>436.20961698458052</v>
      </c>
      <c r="CU54" s="26">
        <f t="shared" si="537"/>
        <v>456.10631188727973</v>
      </c>
      <c r="CV54" s="26">
        <f t="shared" si="537"/>
        <v>487.44310794141421</v>
      </c>
      <c r="CW54" s="26">
        <f t="shared" si="537"/>
        <v>548.51328231780474</v>
      </c>
      <c r="CX54" s="26">
        <f t="shared" si="537"/>
        <v>515.86826625145477</v>
      </c>
      <c r="CY54" s="26">
        <f t="shared" si="537"/>
        <v>537.74222772833355</v>
      </c>
      <c r="CZ54" s="26">
        <f t="shared" si="537"/>
        <v>578.54149968528077</v>
      </c>
      <c r="DA54" s="26">
        <f t="shared" si="537"/>
        <v>651.9830252577849</v>
      </c>
      <c r="DD54" s="120"/>
      <c r="DE54" s="25">
        <v>1150.3499999999985</v>
      </c>
    </row>
    <row r="55" spans="1:109" s="44" customFormat="1" x14ac:dyDescent="0.2">
      <c r="A55" s="44" t="s">
        <v>107</v>
      </c>
      <c r="B55" s="44" t="e">
        <f t="shared" ref="B55:AE55" si="538">+B54/B23</f>
        <v>#DIV/0!</v>
      </c>
      <c r="C55" s="44" t="e">
        <f t="shared" si="538"/>
        <v>#DIV/0!</v>
      </c>
      <c r="D55" s="44">
        <f t="shared" si="538"/>
        <v>8.0921779706111002E-2</v>
      </c>
      <c r="E55" s="44">
        <f t="shared" si="538"/>
        <v>8.6770821625266947E-2</v>
      </c>
      <c r="F55" s="44">
        <f t="shared" si="538"/>
        <v>9.5568209952958783E-2</v>
      </c>
      <c r="G55" s="44">
        <f t="shared" si="538"/>
        <v>0.11728546238244518</v>
      </c>
      <c r="H55" s="44">
        <f t="shared" si="538"/>
        <v>0.13596782525274881</v>
      </c>
      <c r="I55" s="44">
        <f t="shared" si="538"/>
        <v>0.12401372212692971</v>
      </c>
      <c r="J55" s="44">
        <f t="shared" si="538"/>
        <v>0.12858505393533134</v>
      </c>
      <c r="K55" s="44">
        <f t="shared" si="538"/>
        <v>8.2162243478042907E-2</v>
      </c>
      <c r="L55" s="44">
        <f t="shared" si="538"/>
        <v>0.11681793708176287</v>
      </c>
      <c r="M55" s="44">
        <f t="shared" si="538"/>
        <v>0.13447709296549609</v>
      </c>
      <c r="N55" s="44">
        <f t="shared" si="538"/>
        <v>0.11003352573186331</v>
      </c>
      <c r="O55" s="44">
        <f t="shared" si="538"/>
        <v>8.6871265384121807E-2</v>
      </c>
      <c r="P55" s="44">
        <f t="shared" si="538"/>
        <v>9.3667861409796868E-2</v>
      </c>
      <c r="Q55" s="44">
        <f t="shared" si="538"/>
        <v>0.11451900048131851</v>
      </c>
      <c r="R55" s="44">
        <f t="shared" si="538"/>
        <v>0.10858867017012565</v>
      </c>
      <c r="S55" s="44">
        <f t="shared" si="538"/>
        <v>9.9925250563163134E-2</v>
      </c>
      <c r="T55" s="44">
        <f t="shared" si="538"/>
        <v>0.1015014764847606</v>
      </c>
      <c r="U55" s="44">
        <f t="shared" si="538"/>
        <v>8.4386889050435163E-2</v>
      </c>
      <c r="V55" s="44">
        <f t="shared" si="538"/>
        <v>7.7347787253046446E-2</v>
      </c>
      <c r="W55" s="44">
        <f t="shared" si="538"/>
        <v>0.11314070112273877</v>
      </c>
      <c r="X55" s="44">
        <f t="shared" si="538"/>
        <v>0.12584493157546797</v>
      </c>
      <c r="Y55" s="44">
        <f t="shared" si="538"/>
        <v>0.12463539059235315</v>
      </c>
      <c r="Z55" s="44">
        <f t="shared" si="538"/>
        <v>0.11404478413289962</v>
      </c>
      <c r="AA55" s="44">
        <f t="shared" ref="AA55" si="539">+AA54/AA23</f>
        <v>0.11876603498918527</v>
      </c>
      <c r="AB55" s="47">
        <f t="shared" si="538"/>
        <v>0.12457358610719683</v>
      </c>
      <c r="AC55" s="47">
        <f t="shared" si="538"/>
        <v>0.13034936062105199</v>
      </c>
      <c r="AD55" s="47">
        <f t="shared" si="538"/>
        <v>0.12998289179444864</v>
      </c>
      <c r="AE55" s="47">
        <f t="shared" si="538"/>
        <v>0.13623646161716452</v>
      </c>
      <c r="AI55" s="44">
        <f t="shared" ref="AI55:BN55" si="540">+AI54/AI23</f>
        <v>0.12164579606440074</v>
      </c>
      <c r="AJ55" s="44">
        <f t="shared" si="540"/>
        <v>0.10371451834797998</v>
      </c>
      <c r="AK55" s="44">
        <f t="shared" si="540"/>
        <v>8.5532380732887797E-2</v>
      </c>
      <c r="AL55" s="44">
        <f t="shared" si="540"/>
        <v>7.6516039806379693E-2</v>
      </c>
      <c r="AM55" s="44">
        <f t="shared" si="540"/>
        <v>8.3981745953576839E-2</v>
      </c>
      <c r="AN55" s="44">
        <f t="shared" si="540"/>
        <v>9.6642162802595799E-2</v>
      </c>
      <c r="AO55" s="44">
        <f t="shared" si="540"/>
        <v>8.8637806271423078E-2</v>
      </c>
      <c r="AP55" s="44">
        <f t="shared" si="540"/>
        <v>8.654854005490388E-2</v>
      </c>
      <c r="AQ55" s="44">
        <f t="shared" si="540"/>
        <v>0.10406616126809114</v>
      </c>
      <c r="AR55" s="44">
        <f t="shared" si="540"/>
        <v>9.1447657126139795E-2</v>
      </c>
      <c r="AS55" s="44">
        <f t="shared" si="540"/>
        <v>9.294528521536681E-2</v>
      </c>
      <c r="AT55" s="44">
        <f t="shared" si="540"/>
        <v>0.10121259534519836</v>
      </c>
      <c r="AU55" s="44">
        <f t="shared" si="540"/>
        <v>0.11401925391095072</v>
      </c>
      <c r="AV55" s="44">
        <f t="shared" si="540"/>
        <v>0.11544340763386646</v>
      </c>
      <c r="AW55" s="44">
        <f t="shared" si="540"/>
        <v>0.12632596188421427</v>
      </c>
      <c r="AX55" s="44">
        <f t="shared" si="540"/>
        <v>0.10041658593295875</v>
      </c>
      <c r="AY55" s="44">
        <f t="shared" si="540"/>
        <v>0.10343288246060445</v>
      </c>
      <c r="AZ55" s="44">
        <f t="shared" si="540"/>
        <v>0.11111346182325932</v>
      </c>
      <c r="BA55" s="44">
        <f t="shared" si="540"/>
        <v>0.11829281469475963</v>
      </c>
      <c r="BB55" s="44">
        <f t="shared" si="540"/>
        <v>0.12462058798022731</v>
      </c>
      <c r="BC55" s="44">
        <f t="shared" si="540"/>
        <v>0.11754714515918312</v>
      </c>
      <c r="BD55" s="44">
        <f t="shared" si="540"/>
        <v>9.549420341819044E-2</v>
      </c>
      <c r="BE55" s="44">
        <f t="shared" si="540"/>
        <v>0.10575238989833757</v>
      </c>
      <c r="BF55" s="44">
        <f t="shared" si="540"/>
        <v>0.10522672524389233</v>
      </c>
      <c r="BG55" s="44">
        <f t="shared" si="540"/>
        <v>0.1018213876720048</v>
      </c>
      <c r="BH55" s="44">
        <f t="shared" si="540"/>
        <v>0.10893922735398545</v>
      </c>
      <c r="BI55" s="44">
        <f t="shared" si="540"/>
        <v>9.0323613956115226E-2</v>
      </c>
      <c r="BJ55" s="44">
        <f t="shared" si="540"/>
        <v>9.0864888380861347E-2</v>
      </c>
      <c r="BK55" s="44">
        <f t="shared" si="540"/>
        <v>7.3860481776663392E-2</v>
      </c>
      <c r="BL55" s="44">
        <f t="shared" si="540"/>
        <v>9.1221731696243272E-2</v>
      </c>
      <c r="BM55" s="44">
        <f t="shared" si="540"/>
        <v>8.1574961166266335E-2</v>
      </c>
      <c r="BN55" s="44">
        <f t="shared" si="540"/>
        <v>8.4379779007904818E-2</v>
      </c>
      <c r="BO55" s="44">
        <f t="shared" ref="BO55:CT55" si="541">+BO54/BO23</f>
        <v>-9.6769048487058057E-2</v>
      </c>
      <c r="BP55" s="44">
        <f t="shared" si="541"/>
        <v>0.10125373667068234</v>
      </c>
      <c r="BQ55" s="44">
        <f t="shared" si="541"/>
        <v>0.11118176750904794</v>
      </c>
      <c r="BR55" s="44">
        <f t="shared" si="541"/>
        <v>0.10596740632736432</v>
      </c>
      <c r="BS55" s="44">
        <f t="shared" si="541"/>
        <v>0.10392654656944261</v>
      </c>
      <c r="BT55" s="44">
        <f t="shared" si="541"/>
        <v>0.11482407668831246</v>
      </c>
      <c r="BU55" s="44">
        <f t="shared" si="541"/>
        <v>0.12515591969643258</v>
      </c>
      <c r="BV55" s="44">
        <f t="shared" si="541"/>
        <v>0.13213312833729932</v>
      </c>
      <c r="BW55" s="44">
        <f t="shared" si="541"/>
        <v>0.12052057661407908</v>
      </c>
      <c r="BX55" s="44">
        <f t="shared" si="541"/>
        <v>0.12261234435758894</v>
      </c>
      <c r="BY55" s="44">
        <f t="shared" si="541"/>
        <v>0.12870476137408413</v>
      </c>
      <c r="BZ55" s="44">
        <f t="shared" si="541"/>
        <v>0.12952728475100658</v>
      </c>
      <c r="CA55" s="44">
        <f t="shared" si="541"/>
        <v>0.12972216451447133</v>
      </c>
      <c r="CB55" s="44">
        <f t="shared" si="541"/>
        <v>0.12557186016400523</v>
      </c>
      <c r="CC55" s="44">
        <f t="shared" si="541"/>
        <v>0.11432610493185036</v>
      </c>
      <c r="CD55" s="44">
        <f t="shared" si="541"/>
        <v>0.11730098818555058</v>
      </c>
      <c r="CE55" s="44">
        <f t="shared" si="541"/>
        <v>0.1165014903837026</v>
      </c>
      <c r="CF55" s="44">
        <f t="shared" si="541"/>
        <v>0.11170647577196582</v>
      </c>
      <c r="CG55" s="44">
        <f t="shared" si="541"/>
        <v>0.11108302201249028</v>
      </c>
      <c r="CH55" s="44">
        <f t="shared" si="541"/>
        <v>0.11571874669450544</v>
      </c>
      <c r="CI55" s="44">
        <f t="shared" si="541"/>
        <v>0.12203996446469638</v>
      </c>
      <c r="CJ55" s="44">
        <f>+CJ54/CJ23</f>
        <v>0.11880968517035316</v>
      </c>
      <c r="CK55" s="44">
        <f>+CK54/CK23</f>
        <v>0.11833198737243959</v>
      </c>
      <c r="CL55" s="44">
        <f>+CL54/CL23</f>
        <v>0.12224052845717104</v>
      </c>
      <c r="CM55" s="47">
        <f t="shared" si="541"/>
        <v>0.12292220702939963</v>
      </c>
      <c r="CN55" s="47">
        <f t="shared" si="541"/>
        <v>0.12528140576353639</v>
      </c>
      <c r="CO55" s="47">
        <f t="shared" si="541"/>
        <v>0.12723006394208686</v>
      </c>
      <c r="CP55" s="47">
        <f t="shared" si="541"/>
        <v>0.12738281407159044</v>
      </c>
      <c r="CQ55" s="47">
        <f t="shared" si="541"/>
        <v>0.12970369497478221</v>
      </c>
      <c r="CR55" s="47">
        <f t="shared" si="541"/>
        <v>0.13128887802289019</v>
      </c>
      <c r="CS55" s="47">
        <f t="shared" si="541"/>
        <v>0.13246267224504776</v>
      </c>
      <c r="CT55" s="47">
        <f t="shared" si="541"/>
        <v>0.12775559185993401</v>
      </c>
      <c r="CU55" s="47">
        <f t="shared" ref="CU55:DA55" si="542">+CU54/CU23</f>
        <v>0.13001877558606295</v>
      </c>
      <c r="CV55" s="47">
        <f t="shared" si="542"/>
        <v>0.13085678285177293</v>
      </c>
      <c r="CW55" s="47">
        <f t="shared" si="542"/>
        <v>0.13099157984432219</v>
      </c>
      <c r="CX55" s="47">
        <f t="shared" si="542"/>
        <v>0.13350987247747173</v>
      </c>
      <c r="CY55" s="47">
        <f t="shared" si="542"/>
        <v>0.13607531951243368</v>
      </c>
      <c r="CZ55" s="47">
        <f t="shared" si="542"/>
        <v>0.13726015102770364</v>
      </c>
      <c r="DA55" s="47">
        <f t="shared" si="542"/>
        <v>0.13768456976178214</v>
      </c>
      <c r="DD55" s="128"/>
      <c r="DE55" s="44">
        <v>0.11876603498918513</v>
      </c>
    </row>
    <row r="56" spans="1:109" s="38" customFormat="1" x14ac:dyDescent="0.2">
      <c r="A56" s="38" t="s">
        <v>450</v>
      </c>
      <c r="C56" s="38" t="e">
        <f t="shared" ref="C56:E56" si="543">+IF(B54&lt;0,1-C54/B54,C54/B54-1)</f>
        <v>#DIV/0!</v>
      </c>
      <c r="D56" s="38" t="e">
        <f t="shared" si="543"/>
        <v>#DIV/0!</v>
      </c>
      <c r="E56" s="38">
        <f t="shared" si="543"/>
        <v>0.17147192716236836</v>
      </c>
      <c r="F56" s="38">
        <f t="shared" ref="F56:AE56" si="544">+IF(E54&lt;0,1-F54/E54,F54/E54-1)</f>
        <v>0.33333333333333526</v>
      </c>
      <c r="G56" s="38">
        <f t="shared" si="544"/>
        <v>0.5508419689119155</v>
      </c>
      <c r="H56" s="38">
        <f t="shared" si="544"/>
        <v>0.53894341198579943</v>
      </c>
      <c r="I56" s="38">
        <f t="shared" si="544"/>
        <v>7.9104477611941393E-2</v>
      </c>
      <c r="J56" s="38">
        <f t="shared" si="544"/>
        <v>0.20357097950458902</v>
      </c>
      <c r="K56" s="38">
        <f t="shared" si="544"/>
        <v>-0.31529460927705755</v>
      </c>
      <c r="L56" s="38">
        <f t="shared" si="544"/>
        <v>0.85382972230698551</v>
      </c>
      <c r="M56" s="38">
        <f t="shared" si="544"/>
        <v>0.44831275720164632</v>
      </c>
      <c r="N56" s="38">
        <f t="shared" si="544"/>
        <v>-9.5413991021195965E-2</v>
      </c>
      <c r="O56" s="38">
        <f t="shared" si="544"/>
        <v>-0.2346400301545416</v>
      </c>
      <c r="P56" s="38">
        <f t="shared" si="544"/>
        <v>0.25486333415414753</v>
      </c>
      <c r="Q56" s="38">
        <f t="shared" si="544"/>
        <v>0.29173207744636409</v>
      </c>
      <c r="R56" s="38">
        <f t="shared" si="544"/>
        <v>-1.2254405509418476E-2</v>
      </c>
      <c r="S56" s="38">
        <f t="shared" si="544"/>
        <v>1.0148672203424547</v>
      </c>
      <c r="T56" s="38">
        <f t="shared" si="544"/>
        <v>0.17805709633097822</v>
      </c>
      <c r="U56" s="38">
        <f t="shared" si="544"/>
        <v>-0.20522678185745413</v>
      </c>
      <c r="V56" s="38">
        <f t="shared" si="544"/>
        <v>-0.20927767813467835</v>
      </c>
      <c r="W56" s="38">
        <f t="shared" si="544"/>
        <v>1.162147300408976</v>
      </c>
      <c r="X56" s="38">
        <f t="shared" si="544"/>
        <v>0.37371248728382489</v>
      </c>
      <c r="Y56" s="38">
        <f t="shared" si="544"/>
        <v>4.5693854645174392E-2</v>
      </c>
      <c r="Z56" s="38">
        <f t="shared" ref="Z56:AA56" si="545">+IF(Y54&lt;0,1-Z54/Y54,Z54/Y54-1)</f>
        <v>3.8883725047581974E-2</v>
      </c>
      <c r="AA56" s="38">
        <f t="shared" si="545"/>
        <v>0.22526255245723559</v>
      </c>
      <c r="AB56" s="39">
        <f t="shared" si="544"/>
        <v>0.22088466498968962</v>
      </c>
      <c r="AC56" s="39">
        <f t="shared" si="544"/>
        <v>0.22227568434070366</v>
      </c>
      <c r="AD56" s="39">
        <f t="shared" si="544"/>
        <v>0.12329689697427537</v>
      </c>
      <c r="AE56" s="39">
        <f t="shared" si="544"/>
        <v>0.18455002245333052</v>
      </c>
      <c r="AM56" s="38">
        <f>+IF(AI54&lt;0,1-AM54/AI54,AM54/AI54-1)</f>
        <v>-0.44679930795847833</v>
      </c>
      <c r="AN56" s="38">
        <f t="shared" ref="AN56" si="546">+IF(AJ54&lt;0,1-AN54/AJ54,AN54/AJ54-1)</f>
        <v>-2.8424472116947208E-2</v>
      </c>
      <c r="AO56" s="38">
        <f t="shared" ref="AO56" si="547">+IF(AK54&lt;0,1-AO54/AK54,AO54/AK54-1)</f>
        <v>0.17581677332435031</v>
      </c>
      <c r="AP56" s="38">
        <f t="shared" ref="AP56" si="548">+IF(AL54&lt;0,1-AP54/AL54,AP54/AL54-1)</f>
        <v>0.36267190569744834</v>
      </c>
      <c r="AQ56" s="38">
        <f t="shared" ref="AQ56" si="549">+IF(AM54&lt;0,1-AQ54/AM54,AQ54/AM54-1)</f>
        <v>0.59382329945270218</v>
      </c>
      <c r="AR56" s="38">
        <f t="shared" ref="AR56" si="550">+IF(AN54&lt;0,1-AR54/AN54,AR54/AN54-1)</f>
        <v>4.5137921426581684E-2</v>
      </c>
      <c r="AS56" s="38">
        <f t="shared" ref="AS56" si="551">+IF(AO54&lt;0,1-AS54/AO54,AS54/AO54-1)</f>
        <v>0.14351188771125956</v>
      </c>
      <c r="AT56" s="38">
        <f t="shared" ref="AT56" si="552">+IF(AP54&lt;0,1-AT54/AP54,AT54/AP54-1)</f>
        <v>0.19377162629757638</v>
      </c>
      <c r="AU56" s="38">
        <f t="shared" ref="AU56" si="553">+IF(AQ54&lt;0,1-AU54/AQ54,AU54/AQ54-1)</f>
        <v>0.2084866323276906</v>
      </c>
      <c r="AV56" s="38">
        <f t="shared" ref="AV56" si="554">+IF(AR54&lt;0,1-AV54/AR54,AV54/AR54-1)</f>
        <v>0.34897360703812264</v>
      </c>
      <c r="AW56" s="38">
        <f t="shared" ref="AW56" si="555">+IF(AS54&lt;0,1-AW54/AS54,AW54/AS54-1)</f>
        <v>0.40806613226452693</v>
      </c>
      <c r="AX56" s="38">
        <f t="shared" ref="AX56" si="556">+IF(AT54&lt;0,1-AX54/AT54,AX54/AT54-1)</f>
        <v>1.4492753623205346E-3</v>
      </c>
      <c r="AY56" s="38">
        <f t="shared" ref="AY56" si="557">+IF(AU54&lt;0,1-AY54/AU54,AY54/AU54-1)</f>
        <v>-5.9468236249239248E-2</v>
      </c>
      <c r="AZ56" s="38">
        <f t="shared" ref="AZ56" si="558">+IF(AV54&lt;0,1-AZ54/AV54,AZ54/AV54-1)</f>
        <v>3.7944664031620112E-2</v>
      </c>
      <c r="BA56" s="38">
        <f t="shared" ref="BA56" si="559">+IF(AW54&lt;0,1-BA54/AW54,BA54/AW54-1)</f>
        <v>-2.6151930261518519E-2</v>
      </c>
      <c r="BB56" s="38">
        <f t="shared" ref="BB56" si="560">+IF(AX54&lt;0,1-BB54/AX54,BB54/AX54-1)</f>
        <v>0.38639652677279401</v>
      </c>
      <c r="BC56" s="38">
        <f t="shared" ref="BC56" si="561">+IF(AY54&lt;0,1-BC54/AY54,BC54/AY54-1)</f>
        <v>0.1648683642641362</v>
      </c>
      <c r="BD56" s="38">
        <f t="shared" ref="BD56" si="562">+IF(AZ54&lt;0,1-BD54/AZ54,BD54/AZ54-1)</f>
        <v>0.82559025133282482</v>
      </c>
      <c r="BE56" s="38">
        <f t="shared" ref="BE56" si="563">+IF(BA54&lt;0,1-BE54/BA54,BE54/BA54-1)</f>
        <v>0.97442455242966641</v>
      </c>
      <c r="BF56" s="38">
        <f t="shared" ref="BF56" si="564">+IF(BB54&lt;0,1-BF54/BB54,BF54/BB54-1)</f>
        <v>0.98347251217814757</v>
      </c>
      <c r="BG56" s="38">
        <f t="shared" ref="BG56" si="565">+IF(BC54&lt;0,1-BG54/BC54,BG54/BC54-1)</f>
        <v>1.0753982956650581</v>
      </c>
      <c r="BH56" s="38">
        <f t="shared" ref="BH56" si="566">+IF(BD54&lt;0,1-BH54/BD54,BH54/BD54-1)</f>
        <v>0.35377555277430361</v>
      </c>
      <c r="BI56" s="38">
        <f t="shared" ref="BI56" si="567">+IF(BE54&lt;0,1-BI54/BE54,BI54/BE54-1)</f>
        <v>-8.6047372316806481E-3</v>
      </c>
      <c r="BJ56" s="38">
        <f t="shared" ref="BJ56" si="568">+IF(BF54&lt;0,1-BJ54/BF54,BJ54/BF54-1)</f>
        <v>-6.5695991579686641E-2</v>
      </c>
      <c r="BK56" s="38">
        <f t="shared" ref="BK56" si="569">+IF(BG54&lt;0,1-BK54/BG54,BK54/BG54-1)</f>
        <v>-0.26376863340176726</v>
      </c>
      <c r="BL56" s="38">
        <f t="shared" ref="BL56" si="570">+IF(BH54&lt;0,1-BL54/BH54,BL54/BH54-1)</f>
        <v>-0.27249614791987631</v>
      </c>
      <c r="BM56" s="38">
        <f t="shared" ref="BM56" si="571">+IF(BI54&lt;0,1-BM54/BI54,BM54/BI54-1)</f>
        <v>-0.21091927204852901</v>
      </c>
      <c r="BN56" s="38">
        <f t="shared" ref="BN56" si="572">+IF(BJ54&lt;0,1-BN54/BJ54,BN54/BJ54-1)</f>
        <v>-0.26445737889598209</v>
      </c>
      <c r="BO56" s="38">
        <f t="shared" ref="BO56" si="573">+IF(BK54&lt;0,1-BO54/BK54,BO54/BK54-1)</f>
        <v>-1.5149127061105725</v>
      </c>
      <c r="BP56" s="38">
        <f t="shared" ref="BP56" si="574">+IF(BL54&lt;0,1-BP54/BL54,BP54/BL54-1)</f>
        <v>0.20163083765752399</v>
      </c>
      <c r="BQ56" s="38">
        <f t="shared" ref="BQ56" si="575">+IF(BM54&lt;0,1-BQ54/BM54,BQ54/BM54-1)</f>
        <v>0.67498521584860893</v>
      </c>
      <c r="BR56" s="38">
        <f t="shared" ref="BR56" si="576">+IF(BN54&lt;0,1-BR54/BN54,BR54/BN54-1)</f>
        <v>0.78098276962348434</v>
      </c>
      <c r="BS56" s="38">
        <f t="shared" ref="BS56" si="577">+IF(BO54&lt;0,1-BS54/BO54,BS54/BO54-1)</f>
        <v>4.0169531433953374</v>
      </c>
      <c r="BT56" s="38">
        <f t="shared" ref="BT56" si="578">+IF(BP54&lt;0,1-BT54/BP54,BT54/BP54-1)</f>
        <v>0.50533180576363423</v>
      </c>
      <c r="BU56" s="38">
        <f t="shared" ref="BU56" si="579">+IF(BQ54&lt;0,1-BU54/BQ54,BU54/BQ54-1)</f>
        <v>0.34613755119333445</v>
      </c>
      <c r="BV56" s="38">
        <f t="shared" ref="BV56" si="580">+IF(BR54&lt;0,1-BV54/BR54,BV54/BR54-1)</f>
        <v>0.48430557546223474</v>
      </c>
      <c r="BW56" s="38">
        <f t="shared" ref="BW56" si="581">+IF(BS54&lt;0,1-BW54/BS54,BW54/BS54-1)</f>
        <v>0.64496995239209975</v>
      </c>
      <c r="BX56" s="38">
        <f t="shared" ref="BX56" si="582">+IF(BT54&lt;0,1-BX54/BT54,BX54/BT54-1)</f>
        <v>0.2608161114688845</v>
      </c>
      <c r="BY56" s="38">
        <f t="shared" ref="BY56" si="583">+IF(BU54&lt;0,1-BY54/BU54,BY54/BU54-1)</f>
        <v>0.21160302140159493</v>
      </c>
      <c r="BZ56" s="38">
        <f t="shared" ref="BZ56" si="584">+IF(BV54&lt;0,1-BZ54/BV54,BZ54/BV54-1)</f>
        <v>5.9144457319426857E-2</v>
      </c>
      <c r="CA56" s="38">
        <f t="shared" ref="CA56" si="585">+IF(BW54&lt;0,1-CA54/BW54,CA54/BW54-1)</f>
        <v>0.12577691322294515</v>
      </c>
      <c r="CB56" s="38">
        <f t="shared" ref="CB56" si="586">+IF(BX54&lt;0,1-CB54/BX54,CB54/BX54-1)</f>
        <v>8.0794947994057065E-2</v>
      </c>
      <c r="CC56" s="38">
        <f t="shared" ref="CC56" si="587">+IF(BY54&lt;0,1-CC54/BY54,CC54/BY54-1)</f>
        <v>-7.2170750714347642E-2</v>
      </c>
      <c r="CD56" s="38">
        <f t="shared" ref="CD56" si="588">+IF(BZ54&lt;0,1-CD54/BZ54,CD54/BZ54-1)</f>
        <v>1.5954779596143442E-3</v>
      </c>
      <c r="CE56" s="38">
        <f t="shared" ref="CE56" si="589">+IF(CA54&lt;0,1-CE54/CA54,CE54/CA54-1)</f>
        <v>3.4431894807821495E-2</v>
      </c>
      <c r="CF56" s="38">
        <f t="shared" ref="CF56" si="590">+IF(CB54&lt;0,1-CF54/CB54,CF54/CB54-1)</f>
        <v>1.5681388554733333E-2</v>
      </c>
      <c r="CG56" s="38">
        <f t="shared" ref="CG56" si="591">+IF(CC54&lt;0,1-CG54/CC54,CG54/CC54-1)</f>
        <v>0.10718118613223782</v>
      </c>
      <c r="CH56" s="38">
        <f t="shared" ref="CH56:CI56" si="592">+IF(CD54&lt;0,1-CH54/CD54,CH54/CD54-1)</f>
        <v>0.14518478062988871</v>
      </c>
      <c r="CI56" s="38">
        <f t="shared" si="592"/>
        <v>0.16972906905683471</v>
      </c>
      <c r="CJ56" s="38">
        <f>+IF(CF54&lt;0,1-CJ54/CF54,CJ54/CF54-1)</f>
        <v>0.22355230320206632</v>
      </c>
      <c r="CK56" s="38">
        <f t="shared" ref="CK56" si="593">+IF(CG54&lt;0,1-CK54/CG54,CK54/CG54-1)</f>
        <v>0.3585637221847604</v>
      </c>
      <c r="CL56" s="38">
        <f>+IF(CH54&lt;0,1-CL54/CH54,CL54/CH54-1)</f>
        <v>0.25614021142993515</v>
      </c>
      <c r="CM56" s="39">
        <f t="shared" ref="CM56" si="594">+CM54/CI54-1</f>
        <v>0.14798049970212723</v>
      </c>
      <c r="CN56" s="39">
        <f t="shared" ref="CN56" si="595">+CN54/CJ54-1</f>
        <v>0.2218084998634442</v>
      </c>
      <c r="CO56" s="39">
        <f t="shared" ref="CO56" si="596">+CO54/CK54-1</f>
        <v>0.25746887464608337</v>
      </c>
      <c r="CP56" s="39">
        <f t="shared" ref="CP56" si="597">+CP54/CL54-1</f>
        <v>0.21726136303118104</v>
      </c>
      <c r="CQ56" s="39">
        <f t="shared" ref="CQ56" si="598">+CQ54/CM54-1</f>
        <v>0.22823244619882277</v>
      </c>
      <c r="CR56" s="39">
        <f t="shared" ref="CR56" si="599">+CR54/CN54-1</f>
        <v>0.22697243033240033</v>
      </c>
      <c r="CS56" s="39">
        <f t="shared" ref="CS56" si="600">+CS54/CO54-1</f>
        <v>0.21724709335864678</v>
      </c>
      <c r="CT56" s="39">
        <f t="shared" ref="CT56" si="601">+CT54/CP54-1</f>
        <v>0.13377825247951769</v>
      </c>
      <c r="CU56" s="39">
        <f t="shared" ref="CU56" si="602">+CU54/CQ54-1</f>
        <v>0.12668545100423456</v>
      </c>
      <c r="CV56" s="39">
        <f t="shared" ref="CV56" si="603">+CV54/CR54-1</f>
        <v>0.12408099666781869</v>
      </c>
      <c r="CW56" s="39">
        <f t="shared" ref="CW56" si="604">+CW54/CS54-1</f>
        <v>0.11165496294881638</v>
      </c>
      <c r="CX56" s="39">
        <f t="shared" ref="CX56" si="605">+CX54/CT54-1</f>
        <v>0.1826155274098189</v>
      </c>
      <c r="CY56" s="39">
        <f t="shared" ref="CY56" si="606">+CY54/CU54-1</f>
        <v>0.1789844027881573</v>
      </c>
      <c r="CZ56" s="39">
        <f t="shared" ref="CZ56" si="607">+CZ54/CV54-1</f>
        <v>0.18689030629358228</v>
      </c>
      <c r="DA56" s="39">
        <f t="shared" ref="DA56" si="608">+DA54/CW54-1</f>
        <v>0.1886367135956255</v>
      </c>
      <c r="DD56" s="121"/>
      <c r="DE56" s="38">
        <v>0.22526255245723381</v>
      </c>
    </row>
    <row r="57" spans="1:109" s="38" customFormat="1" x14ac:dyDescent="0.2">
      <c r="A57" s="38" t="s">
        <v>451</v>
      </c>
      <c r="AB57" s="39"/>
      <c r="AC57" s="39"/>
      <c r="AD57" s="39"/>
      <c r="AE57" s="39"/>
      <c r="AJ57" s="38">
        <f>+IF(AI54&lt;0,1-AJ54/AI54,AJ54/AI54-1)</f>
        <v>-0.20112456747404783</v>
      </c>
      <c r="AK57" s="38">
        <f t="shared" ref="AK57:AM57" si="609">+IF(AJ54&lt;0,1-AK54/AJ54,AK54/AJ54-1)</f>
        <v>-0.19626421223605883</v>
      </c>
      <c r="AL57" s="38">
        <f t="shared" si="609"/>
        <v>-0.14280902660828776</v>
      </c>
      <c r="AM57" s="38">
        <f t="shared" si="609"/>
        <v>5.1080550098239197E-3</v>
      </c>
      <c r="AN57" s="38">
        <f t="shared" ref="AN57" si="610">+IF(AM54&lt;0,1-AN54/AM54,AN54/AM54-1)</f>
        <v>0.40304925723221463</v>
      </c>
      <c r="AO57" s="38">
        <f t="shared" ref="AO57" si="611">+IF(AN54&lt;0,1-AO54/AN54,AO54/AN54-1)</f>
        <v>-2.7305656171636272E-2</v>
      </c>
      <c r="AP57" s="38">
        <f t="shared" ref="AP57" si="612">+IF(AO54&lt;0,1-AP54/AO54,AP54/AO54-1)</f>
        <v>-6.5883700945285062E-3</v>
      </c>
      <c r="AQ57" s="38">
        <f t="shared" ref="AQ57" si="613">+IF(AP54&lt;0,1-AQ54/AP54,AQ54/AP54-1)</f>
        <v>0.17560553633218245</v>
      </c>
      <c r="AR57" s="38">
        <f t="shared" ref="AR57" si="614">+IF(AQ54&lt;0,1-AR54/AQ54,AR54/AQ54-1)</f>
        <v>-7.9960755457445187E-2</v>
      </c>
      <c r="AS57" s="38">
        <f t="shared" ref="AS57" si="615">+IF(AR54&lt;0,1-AS54/AR54,AS54/AR54-1)</f>
        <v>6.4249533457745311E-2</v>
      </c>
      <c r="AT57" s="38">
        <f t="shared" ref="AT57" si="616">+IF(AS54&lt;0,1-AT54/AS54,AT54/AS54-1)</f>
        <v>3.7074148296590392E-2</v>
      </c>
      <c r="AU57" s="38">
        <f t="shared" ref="AU57" si="617">+IF(AT54&lt;0,1-AU54/AT54,AU54/AT54-1)</f>
        <v>0.19009661835749037</v>
      </c>
      <c r="AV57" s="38">
        <f t="shared" ref="AV57" si="618">+IF(AU54&lt;0,1-AV54/AU54,AV54/AU54-1)</f>
        <v>2.6994114065353791E-2</v>
      </c>
      <c r="AW57" s="38">
        <f t="shared" ref="AW57" si="619">+IF(AV54&lt;0,1-AW54/AV54,AW54/AV54-1)</f>
        <v>0.11086956521739078</v>
      </c>
      <c r="AX57" s="38">
        <f t="shared" ref="AX57" si="620">+IF(AW54&lt;0,1-AX54/AW54,AX54/AW54-1)</f>
        <v>-0.26240882405265931</v>
      </c>
      <c r="AY57" s="38">
        <f t="shared" ref="AY57" si="621">+IF(AX54&lt;0,1-AY54/AX54,AY54/AX54-1)</f>
        <v>0.11770381090207405</v>
      </c>
      <c r="AZ57" s="38">
        <f t="shared" ref="AZ57" si="622">+IF(AY54&lt;0,1-AZ54/AY54,AZ54/AY54-1)</f>
        <v>0.13336210617177335</v>
      </c>
      <c r="BA57" s="38">
        <f t="shared" ref="BA57" si="623">+IF(AZ54&lt;0,1-BA54/AZ54,BA54/AZ54-1)</f>
        <v>4.2269611576543076E-2</v>
      </c>
      <c r="BB57" s="38">
        <f t="shared" ref="BB57" si="624">+IF(BA54&lt;0,1-BB54/BA54,BB54/BA54-1)</f>
        <v>5.0054804530508257E-2</v>
      </c>
      <c r="BC57" s="38">
        <f t="shared" ref="BC57" si="625">+IF(BB54&lt;0,1-BC54/BB54,BC54/BB54-1)</f>
        <v>-6.0890744606819203E-2</v>
      </c>
      <c r="BD57" s="38">
        <f t="shared" ref="BD57" si="626">+IF(BC54&lt;0,1-BD54/BC54,BD54/BC54-1)</f>
        <v>0.77621341237494978</v>
      </c>
      <c r="BE57" s="38">
        <f t="shared" ref="BE57" si="627">+IF(BD54&lt;0,1-BE54/BD54,BE54/BD54-1)</f>
        <v>0.12724238631622931</v>
      </c>
      <c r="BF57" s="38">
        <f t="shared" ref="BF57" si="628">+IF(BE54&lt;0,1-BF54/BE54,BF54/BE54-1)</f>
        <v>5.4866765358993597E-2</v>
      </c>
      <c r="BG57" s="38">
        <f t="shared" ref="BG57" si="629">+IF(BF54&lt;0,1-BG54/BF54,BG54/BF54-1)</f>
        <v>-1.7366897640557988E-2</v>
      </c>
      <c r="BH57" s="38">
        <f t="shared" ref="BH57" si="630">+IF(BG54&lt;0,1-BH54/BG54,BH54/BG54-1)</f>
        <v>0.1586182272605563</v>
      </c>
      <c r="BI57" s="38">
        <f t="shared" ref="BI57" si="631">+IF(BH54&lt;0,1-BI54/BH54,BI54/BH54-1)</f>
        <v>-0.17449922958397668</v>
      </c>
      <c r="BJ57" s="38">
        <f t="shared" ref="BJ57" si="632">+IF(BI54&lt;0,1-BJ54/BI54,BJ54/BI54-1)</f>
        <v>-5.879608026131522E-3</v>
      </c>
      <c r="BK57" s="38">
        <f t="shared" ref="BK57" si="633">+IF(BJ54&lt;0,1-BK54/BJ54,BK54/BJ54-1)</f>
        <v>-0.22568531731130248</v>
      </c>
      <c r="BL57" s="38">
        <f t="shared" ref="BL57" si="634">+IF(BK54&lt;0,1-BL54/BK54,BL54/BK54-1)</f>
        <v>0.14488360814743118</v>
      </c>
      <c r="BM57" s="38">
        <f t="shared" ref="BM57" si="635">+IF(BL54&lt;0,1-BM54/BL54,BM54/BL54-1)</f>
        <v>-0.10462776659959827</v>
      </c>
      <c r="BN57" s="38">
        <f t="shared" ref="BN57" si="636">+IF(BM54&lt;0,1-BN54/BM54,BN54/BM54-1)</f>
        <v>-7.3329390892964197E-2</v>
      </c>
      <c r="BO57" s="38">
        <f t="shared" ref="BO57" si="637">+IF(BN54&lt;0,1-BO54/BN54,BO54/BN54-1)</f>
        <v>-1.5420548819400137</v>
      </c>
      <c r="BP57" s="38">
        <f t="shared" ref="BP57" si="638">+IF(BO54&lt;0,1-BP54/BO54,BP54/BO54-1)</f>
        <v>3.6717683070402649</v>
      </c>
      <c r="BQ57" s="38">
        <f t="shared" ref="BQ57" si="639">+IF(BP54&lt;0,1-BQ54/BP54,BQ54/BP54-1)</f>
        <v>0.24808319379571508</v>
      </c>
      <c r="BR57" s="38">
        <f t="shared" ref="BR57" si="640">+IF(BQ54&lt;0,1-BR54/BQ54,BR54/BQ54-1)</f>
        <v>-1.4687191074707839E-2</v>
      </c>
      <c r="BS57" s="38">
        <f t="shared" ref="BS57" si="641">+IF(BR54&lt;0,1-BS54/BR54,BS54/BR54-1)</f>
        <v>-8.1768668482154028E-2</v>
      </c>
      <c r="BT57" s="38">
        <f t="shared" ref="BT57" si="642">+IF(BS54&lt;0,1-BT54/BS54,BT54/BS54-1)</f>
        <v>0.33309919612892913</v>
      </c>
      <c r="BU57" s="38">
        <f t="shared" ref="BU57" si="643">+IF(BT54&lt;0,1-BU54/BT54,BU54/BT54-1)</f>
        <v>0.11609390550904641</v>
      </c>
      <c r="BV57" s="38">
        <f t="shared" ref="BV57" si="644">+IF(BU54&lt;0,1-BV54/BU54,BV54/BU54-1)</f>
        <v>8.6445656735207876E-2</v>
      </c>
      <c r="BW57" s="38">
        <f t="shared" ref="BW57" si="645">+IF(BV54&lt;0,1-BW54/BV54,BW54/BV54-1)</f>
        <v>1.7622634221706512E-2</v>
      </c>
      <c r="BX57" s="38">
        <f t="shared" ref="BX57" si="646">+IF(BW54&lt;0,1-BX54/BW54,BX54/BW54-1)</f>
        <v>2.1777292783603075E-2</v>
      </c>
      <c r="BY57" s="38">
        <f t="shared" ref="BY57" si="647">+IF(BX54&lt;0,1-BY54/BX54,BY54/BX54-1)</f>
        <v>7.2529717682021433E-2</v>
      </c>
      <c r="BZ57" s="38">
        <f t="shared" ref="BZ57" si="648">+IF(BY54&lt;0,1-BZ54/BY54,BZ54/BY54-1)</f>
        <v>-5.026409212919003E-2</v>
      </c>
      <c r="CA57" s="38">
        <f t="shared" ref="CA57" si="649">+IF(BZ54&lt;0,1-CA54/BZ54,CA54/BZ54-1)</f>
        <v>8.1642886447555796E-2</v>
      </c>
      <c r="CB57" s="38">
        <f t="shared" ref="CB57" si="650">+IF(CA54&lt;0,1-CB54/CA54,CB54/CA54-1)</f>
        <v>-1.9049224544841481E-2</v>
      </c>
      <c r="CC57" s="38">
        <f t="shared" ref="CC57" si="651">+IF(CB54&lt;0,1-CC54/CB54,CC54/CB54-1)</f>
        <v>-7.9266196941055189E-2</v>
      </c>
      <c r="CD57" s="38">
        <f t="shared" ref="CD57" si="652">+IF(CC54&lt;0,1-CD54/CC54,CD54/CC54-1)</f>
        <v>2.5243805702021671E-2</v>
      </c>
      <c r="CE57" s="38">
        <f t="shared" ref="CE57" si="653">+IF(CD54&lt;0,1-CE54/CD54,CE54/CD54-1)</f>
        <v>0.11710358638266682</v>
      </c>
      <c r="CF57" s="38">
        <f t="shared" ref="CF57" si="654">+IF(CE54&lt;0,1-CF54/CE54,CF54/CE54-1)</f>
        <v>-3.6830311672438887E-2</v>
      </c>
      <c r="CG57" s="38">
        <f t="shared" ref="CG57" si="655">+IF(CF54&lt;0,1-CG54/CF54,CG54/CF54-1)</f>
        <v>3.6800473753231255E-3</v>
      </c>
      <c r="CH57" s="38">
        <f t="shared" ref="CH57:CI57" si="656">+IF(CG54&lt;0,1-CH54/CG54,CH54/CG54-1)</f>
        <v>6.0434929197570764E-2</v>
      </c>
      <c r="CI57" s="38">
        <f t="shared" si="656"/>
        <v>0.14104602177887515</v>
      </c>
      <c r="CJ57" s="38">
        <f>+IF(CI54&lt;0,1-CJ54/CI54,CJ54/CI54-1)</f>
        <v>7.4884190728301547E-3</v>
      </c>
      <c r="CK57" s="38">
        <f t="shared" ref="CK57" si="657">+IF(CJ54&lt;0,1-CK54/CJ54,CK54/CJ54-1)</f>
        <v>0.11442992463527468</v>
      </c>
      <c r="CL57" s="38">
        <f>+IF(CK54&lt;0,1-CL54/CK54,CL54/CK54-1)</f>
        <v>-1.9512346444968909E-2</v>
      </c>
      <c r="CM57" s="39">
        <f t="shared" ref="CM57" si="658">+CM54/CL54-1</f>
        <v>4.2796473153029702E-2</v>
      </c>
      <c r="CN57" s="39">
        <f t="shared" ref="CN57" si="659">+CN54/CM54-1</f>
        <v>7.2281205348497801E-2</v>
      </c>
      <c r="CO57" s="39">
        <f t="shared" ref="CO57" si="660">+CO54/CN54-1</f>
        <v>0.1469562892709142</v>
      </c>
      <c r="CP57" s="39">
        <f t="shared" ref="CP57" si="661">+CP54/CO54-1</f>
        <v>-5.0863395773866116E-2</v>
      </c>
      <c r="CQ57" s="39">
        <f t="shared" ref="CQ57" si="662">+CQ54/CP54-1</f>
        <v>5.2195117668778268E-2</v>
      </c>
      <c r="CR57" s="39">
        <f t="shared" ref="CR57" si="663">+CR54/CQ54-1</f>
        <v>7.1181176330222584E-2</v>
      </c>
      <c r="CS57" s="39">
        <f t="shared" ref="CS57" si="664">+CS54/CR54-1</f>
        <v>0.13786518328387598</v>
      </c>
      <c r="CT57" s="39">
        <f t="shared" ref="CT57" si="665">+CT54/CS54-1</f>
        <v>-0.11594741414856913</v>
      </c>
      <c r="CU57" s="39">
        <f t="shared" ref="CU57" si="666">+CU54/CT54-1</f>
        <v>4.5612691990242205E-2</v>
      </c>
      <c r="CV57" s="39">
        <f t="shared" ref="CV57" si="667">+CV54/CU54-1</f>
        <v>6.8705026081460785E-2</v>
      </c>
      <c r="CW57" s="39">
        <f t="shared" ref="CW57" si="668">+CW54/CV54-1</f>
        <v>0.12528677374125596</v>
      </c>
      <c r="CX57" s="39">
        <f t="shared" ref="CX57" si="669">+CX54/CW54-1</f>
        <v>-5.9515452257427159E-2</v>
      </c>
      <c r="CY57" s="39">
        <f t="shared" ref="CY57" si="670">+CY54/CX54-1</f>
        <v>4.2402223412239426E-2</v>
      </c>
      <c r="CZ57" s="39">
        <f t="shared" ref="CZ57" si="671">+CZ54/CY54-1</f>
        <v>7.5871430312069332E-2</v>
      </c>
      <c r="DA57" s="39">
        <f t="shared" ref="DA57" si="672">+DA54/CZ54-1</f>
        <v>0.12694253672805744</v>
      </c>
      <c r="DD57" s="121"/>
    </row>
    <row r="58" spans="1:109" s="74" customFormat="1" x14ac:dyDescent="0.2">
      <c r="A58" s="22" t="s">
        <v>23</v>
      </c>
      <c r="B58" s="74">
        <f>'Annual Raw'!C32</f>
        <v>0</v>
      </c>
      <c r="C58" s="74">
        <f>'Annual Raw'!D32</f>
        <v>0</v>
      </c>
      <c r="D58" s="74">
        <f>'Annual Raw'!E32</f>
        <v>0</v>
      </c>
      <c r="E58" s="74">
        <f>'Annual Raw'!F32</f>
        <v>0</v>
      </c>
      <c r="F58" s="74">
        <f>'Annual Raw'!G32</f>
        <v>0</v>
      </c>
      <c r="G58" s="74">
        <f>'Annual Raw'!H32</f>
        <v>0</v>
      </c>
      <c r="H58" s="74">
        <f>'Annual Raw'!I32</f>
        <v>0</v>
      </c>
      <c r="I58" s="74">
        <f>'Annual Raw'!J32</f>
        <v>0</v>
      </c>
      <c r="J58" s="74">
        <f>'Annual Raw'!K32</f>
        <v>0</v>
      </c>
      <c r="K58" s="74">
        <f>'Annual Raw'!L32</f>
        <v>0</v>
      </c>
      <c r="L58" s="74">
        <f>'Annual Raw'!M32</f>
        <v>0</v>
      </c>
      <c r="M58" s="74">
        <f>'Annual Raw'!N32</f>
        <v>0</v>
      </c>
      <c r="N58" s="74">
        <f>'Annual Raw'!O32</f>
        <v>0</v>
      </c>
      <c r="O58" s="74">
        <f>'Annual Raw'!P32</f>
        <v>0</v>
      </c>
      <c r="P58" s="74">
        <f>'Annual Raw'!Q32</f>
        <v>0</v>
      </c>
      <c r="Q58" s="74">
        <f>'Annual Raw'!R32</f>
        <v>0</v>
      </c>
      <c r="R58" s="74">
        <f>'Annual Raw'!S32</f>
        <v>0</v>
      </c>
      <c r="S58" s="74">
        <f>'Annual Raw'!T32</f>
        <v>0</v>
      </c>
      <c r="T58" s="74">
        <f>'Annual Raw'!U32</f>
        <v>0</v>
      </c>
      <c r="U58" s="74">
        <f>'Annual Raw'!V32</f>
        <v>0</v>
      </c>
      <c r="V58" s="74">
        <f>'Annual Raw'!W32</f>
        <v>0</v>
      </c>
      <c r="W58" s="74">
        <f>'Annual Raw'!X32</f>
        <v>0</v>
      </c>
      <c r="X58" s="74">
        <f>'Annual Raw'!Y32</f>
        <v>0</v>
      </c>
      <c r="Y58" s="74">
        <f>'Annual Raw'!Z32</f>
        <v>0</v>
      </c>
      <c r="Z58" s="74">
        <f>'Annual Raw'!AA32</f>
        <v>0</v>
      </c>
      <c r="AA58" s="74">
        <f>'Annual Raw'!AB32</f>
        <v>0</v>
      </c>
      <c r="AB58" s="75">
        <f t="shared" ref="AB58:AB60" si="673">+SUM(CL58:CO58)</f>
        <v>0</v>
      </c>
      <c r="AC58" s="75">
        <f t="shared" ref="AC58:AC60" si="674">+SUM(CP58:CS58)</f>
        <v>0</v>
      </c>
      <c r="AD58" s="75">
        <f t="shared" ref="AD58:AD60" si="675">+SUM(CT58:CW58)</f>
        <v>0</v>
      </c>
      <c r="AE58" s="75">
        <f t="shared" ref="AE58:AE60" si="676">+SUM(CX58:DA58)</f>
        <v>0</v>
      </c>
      <c r="AI58" s="74">
        <f>'QTR Raw'!C34</f>
        <v>0</v>
      </c>
      <c r="AJ58" s="74">
        <f>'QTR Raw'!D34</f>
        <v>0</v>
      </c>
      <c r="AK58" s="74">
        <f>'QTR Raw'!E34</f>
        <v>0</v>
      </c>
      <c r="AL58" s="74">
        <f>'QTR Raw'!F34</f>
        <v>0</v>
      </c>
      <c r="AM58" s="74">
        <f>'QTR Raw'!G34</f>
        <v>0</v>
      </c>
      <c r="AN58" s="74">
        <f>'QTR Raw'!H34</f>
        <v>0</v>
      </c>
      <c r="AO58" s="74">
        <f>'QTR Raw'!I34</f>
        <v>0</v>
      </c>
      <c r="AP58" s="74">
        <f>'QTR Raw'!J34</f>
        <v>0</v>
      </c>
      <c r="AQ58" s="74">
        <f>'QTR Raw'!K34</f>
        <v>0</v>
      </c>
      <c r="AR58" s="74">
        <f>'QTR Raw'!L34</f>
        <v>0</v>
      </c>
      <c r="AS58" s="74">
        <f>'QTR Raw'!M34</f>
        <v>0</v>
      </c>
      <c r="AT58" s="74">
        <f>'QTR Raw'!N34</f>
        <v>0</v>
      </c>
      <c r="AU58" s="74">
        <f>'QTR Raw'!O34</f>
        <v>0</v>
      </c>
      <c r="AV58" s="74">
        <f>'QTR Raw'!P34</f>
        <v>0</v>
      </c>
      <c r="AW58" s="74">
        <f>'QTR Raw'!Q34</f>
        <v>0</v>
      </c>
      <c r="AX58" s="74">
        <f>'QTR Raw'!R34</f>
        <v>0</v>
      </c>
      <c r="AY58" s="74">
        <f>'QTR Raw'!S34</f>
        <v>0</v>
      </c>
      <c r="AZ58" s="74">
        <f>'QTR Raw'!T34</f>
        <v>0</v>
      </c>
      <c r="BA58" s="74">
        <f>'QTR Raw'!U34</f>
        <v>0</v>
      </c>
      <c r="BB58" s="74">
        <f>'QTR Raw'!V34</f>
        <v>0</v>
      </c>
      <c r="BC58" s="74">
        <f>'QTR Raw'!W34</f>
        <v>0</v>
      </c>
      <c r="BD58" s="74">
        <f>'QTR Raw'!X34</f>
        <v>0</v>
      </c>
      <c r="BE58" s="74">
        <f>'QTR Raw'!Y34</f>
        <v>0</v>
      </c>
      <c r="BF58" s="74">
        <f>'QTR Raw'!Z34</f>
        <v>0</v>
      </c>
      <c r="BG58" s="74">
        <f>'QTR Raw'!AA34</f>
        <v>0</v>
      </c>
      <c r="BH58" s="74">
        <f>'QTR Raw'!AB34</f>
        <v>0</v>
      </c>
      <c r="BI58" s="74">
        <f>'QTR Raw'!AC34</f>
        <v>0</v>
      </c>
      <c r="BJ58" s="74">
        <f>'QTR Raw'!AD34</f>
        <v>0</v>
      </c>
      <c r="BK58" s="74">
        <f>'QTR Raw'!AE34</f>
        <v>0</v>
      </c>
      <c r="BL58" s="74">
        <f>'QTR Raw'!AF34</f>
        <v>0</v>
      </c>
      <c r="BM58" s="74">
        <f>'QTR Raw'!AG34</f>
        <v>0</v>
      </c>
      <c r="BN58" s="74">
        <f>'QTR Raw'!AH34</f>
        <v>0</v>
      </c>
      <c r="BO58" s="74">
        <f>'QTR Raw'!AI34</f>
        <v>0</v>
      </c>
      <c r="BP58" s="74">
        <f>'QTR Raw'!AJ34</f>
        <v>0</v>
      </c>
      <c r="BQ58" s="74">
        <f>'QTR Raw'!AK34</f>
        <v>0</v>
      </c>
      <c r="BR58" s="74">
        <f>'QTR Raw'!AL34</f>
        <v>0</v>
      </c>
      <c r="BS58" s="74">
        <f>'QTR Raw'!AM34</f>
        <v>0</v>
      </c>
      <c r="BT58" s="74">
        <f>'QTR Raw'!AN34</f>
        <v>0</v>
      </c>
      <c r="BU58" s="74">
        <f>'QTR Raw'!AO34</f>
        <v>0</v>
      </c>
      <c r="BV58" s="74">
        <f>'QTR Raw'!AP34</f>
        <v>0</v>
      </c>
      <c r="BW58" s="74">
        <f>'QTR Raw'!AQ34</f>
        <v>0</v>
      </c>
      <c r="BX58" s="74">
        <f>'QTR Raw'!AR34</f>
        <v>0</v>
      </c>
      <c r="BY58" s="74">
        <f>'QTR Raw'!AS34</f>
        <v>0</v>
      </c>
      <c r="BZ58" s="74">
        <f>'QTR Raw'!AT34</f>
        <v>0</v>
      </c>
      <c r="CA58" s="74">
        <f>'QTR Raw'!AU34</f>
        <v>0</v>
      </c>
      <c r="CB58" s="74">
        <f>'QTR Raw'!AV34</f>
        <v>0</v>
      </c>
      <c r="CC58" s="74">
        <f>'QTR Raw'!AW34</f>
        <v>0</v>
      </c>
      <c r="CD58" s="74">
        <f>'QTR Raw'!AX34</f>
        <v>0</v>
      </c>
      <c r="CE58" s="74">
        <f>'QTR Raw'!AY34</f>
        <v>0</v>
      </c>
      <c r="CF58" s="74">
        <f>'QTR Raw'!AZ34</f>
        <v>0</v>
      </c>
      <c r="CG58" s="74">
        <f>'QTR Raw'!BA34</f>
        <v>0</v>
      </c>
      <c r="CH58" s="74">
        <f>'QTR Raw'!BB34</f>
        <v>0</v>
      </c>
      <c r="CI58" s="74">
        <f>'QTR Raw'!BC34</f>
        <v>0</v>
      </c>
      <c r="CJ58" s="74">
        <f>'QTR Raw'!BD34</f>
        <v>0</v>
      </c>
      <c r="CK58" s="74">
        <f t="shared" ref="CK58" si="677">+CJ58</f>
        <v>0</v>
      </c>
      <c r="CL58" s="74">
        <f>'QTR Raw'!BF34</f>
        <v>0</v>
      </c>
      <c r="CM58" s="75">
        <f t="shared" ref="CM58:CM59" si="678">+CL58</f>
        <v>0</v>
      </c>
      <c r="CN58" s="75">
        <f t="shared" ref="CN58:CN59" si="679">+CM58</f>
        <v>0</v>
      </c>
      <c r="CO58" s="75">
        <f t="shared" ref="CO58:CO59" si="680">+CN58</f>
        <v>0</v>
      </c>
      <c r="CP58" s="75">
        <f t="shared" ref="CP58:CP59" si="681">+CO58</f>
        <v>0</v>
      </c>
      <c r="CQ58" s="75">
        <f t="shared" ref="CQ58:CQ59" si="682">+CP58</f>
        <v>0</v>
      </c>
      <c r="CR58" s="75">
        <f t="shared" ref="CR58:CR59" si="683">+CQ58</f>
        <v>0</v>
      </c>
      <c r="CS58" s="75">
        <f t="shared" ref="CS58:CS59" si="684">+CR58</f>
        <v>0</v>
      </c>
      <c r="CT58" s="75">
        <f t="shared" ref="CT58:CT59" si="685">+CS58</f>
        <v>0</v>
      </c>
      <c r="CU58" s="75">
        <f t="shared" ref="CU58:CU59" si="686">+CT58</f>
        <v>0</v>
      </c>
      <c r="CV58" s="75">
        <f t="shared" ref="CV58:CV59" si="687">+CU58</f>
        <v>0</v>
      </c>
      <c r="CW58" s="75">
        <f t="shared" ref="CW58:CW59" si="688">+CV58</f>
        <v>0</v>
      </c>
      <c r="CX58" s="75">
        <f t="shared" ref="CX58:CX59" si="689">+CW58</f>
        <v>0</v>
      </c>
      <c r="CY58" s="75">
        <f t="shared" ref="CY58:CY59" si="690">+CX58</f>
        <v>0</v>
      </c>
      <c r="CZ58" s="75">
        <f t="shared" ref="CZ58:CZ59" si="691">+CY58</f>
        <v>0</v>
      </c>
      <c r="DA58" s="75">
        <f t="shared" ref="DA58:DA59" si="692">+CZ58</f>
        <v>0</v>
      </c>
      <c r="DD58" s="130"/>
      <c r="DE58" s="74">
        <v>0</v>
      </c>
    </row>
    <row r="59" spans="1:109" s="74" customFormat="1" x14ac:dyDescent="0.2">
      <c r="A59" s="22" t="s">
        <v>24</v>
      </c>
      <c r="B59" s="74">
        <f>'Annual Raw'!C33+'Annual Raw'!C28</f>
        <v>0</v>
      </c>
      <c r="C59" s="74">
        <f>'Annual Raw'!D33+'Annual Raw'!D28</f>
        <v>0</v>
      </c>
      <c r="D59" s="74">
        <f>'Annual Raw'!E33+'Annual Raw'!E28</f>
        <v>0</v>
      </c>
      <c r="E59" s="74">
        <f>'Annual Raw'!F33+'Annual Raw'!F28</f>
        <v>0</v>
      </c>
      <c r="F59" s="74">
        <f>'Annual Raw'!G33+'Annual Raw'!G28</f>
        <v>0</v>
      </c>
      <c r="G59" s="74">
        <f>'Annual Raw'!H33+'Annual Raw'!H28</f>
        <v>0</v>
      </c>
      <c r="H59" s="74">
        <f>'Annual Raw'!I33+'Annual Raw'!I28</f>
        <v>0</v>
      </c>
      <c r="I59" s="74">
        <f>'Annual Raw'!J33+'Annual Raw'!J28</f>
        <v>0</v>
      </c>
      <c r="J59" s="74">
        <f>'Annual Raw'!K33+'Annual Raw'!K28</f>
        <v>0</v>
      </c>
      <c r="K59" s="74">
        <f>'Annual Raw'!L33+'Annual Raw'!L28</f>
        <v>0</v>
      </c>
      <c r="L59" s="74">
        <f>'Annual Raw'!M33+'Annual Raw'!M28</f>
        <v>0</v>
      </c>
      <c r="M59" s="74">
        <f>'Annual Raw'!N33+'Annual Raw'!N28</f>
        <v>0</v>
      </c>
      <c r="N59" s="74">
        <f>'Annual Raw'!O33+'Annual Raw'!O28</f>
        <v>0</v>
      </c>
      <c r="O59" s="74">
        <f>'Annual Raw'!P33+'Annual Raw'!P28</f>
        <v>0</v>
      </c>
      <c r="P59" s="74">
        <f>'Annual Raw'!Q33+'Annual Raw'!Q28</f>
        <v>0</v>
      </c>
      <c r="Q59" s="74">
        <f>'Annual Raw'!R33+'Annual Raw'!R28</f>
        <v>0</v>
      </c>
      <c r="R59" s="74">
        <f>'Annual Raw'!S33+'Annual Raw'!S28</f>
        <v>0</v>
      </c>
      <c r="S59" s="74">
        <f>'Annual Raw'!T33+'Annual Raw'!T28</f>
        <v>0</v>
      </c>
      <c r="T59" s="74">
        <f>'Annual Raw'!U33+'Annual Raw'!U28</f>
        <v>0</v>
      </c>
      <c r="U59" s="74">
        <f>'Annual Raw'!V33+'Annual Raw'!V28</f>
        <v>0</v>
      </c>
      <c r="V59" s="74">
        <f>'Annual Raw'!W33+'Annual Raw'!W28</f>
        <v>0</v>
      </c>
      <c r="W59" s="74">
        <f>'Annual Raw'!X33+'Annual Raw'!X28</f>
        <v>0</v>
      </c>
      <c r="X59" s="74">
        <f>'Annual Raw'!Y33+'Annual Raw'!Y28</f>
        <v>0</v>
      </c>
      <c r="Y59" s="74">
        <f>'Annual Raw'!Z33+'Annual Raw'!Z28</f>
        <v>0</v>
      </c>
      <c r="Z59" s="74">
        <f>'Annual Raw'!AA33+'Annual Raw'!AA28</f>
        <v>0</v>
      </c>
      <c r="AA59" s="74">
        <f>'Annual Raw'!AB33+'Annual Raw'!AB28</f>
        <v>0</v>
      </c>
      <c r="AB59" s="75">
        <f t="shared" si="673"/>
        <v>0</v>
      </c>
      <c r="AC59" s="75">
        <f t="shared" si="674"/>
        <v>0</v>
      </c>
      <c r="AD59" s="75">
        <f t="shared" si="675"/>
        <v>0</v>
      </c>
      <c r="AE59" s="75">
        <f t="shared" si="676"/>
        <v>0</v>
      </c>
      <c r="AI59" s="74">
        <f>'QTR Raw'!C35</f>
        <v>0</v>
      </c>
      <c r="AJ59" s="74">
        <f>'QTR Raw'!D35</f>
        <v>0</v>
      </c>
      <c r="AK59" s="74">
        <f>'QTR Raw'!E35</f>
        <v>0</v>
      </c>
      <c r="AL59" s="74">
        <f>'QTR Raw'!F35</f>
        <v>0</v>
      </c>
      <c r="AM59" s="74">
        <f>'QTR Raw'!G35</f>
        <v>0</v>
      </c>
      <c r="AN59" s="74">
        <f>'QTR Raw'!H35</f>
        <v>0</v>
      </c>
      <c r="AO59" s="74">
        <f>'QTR Raw'!I35</f>
        <v>0</v>
      </c>
      <c r="AP59" s="74">
        <f>'QTR Raw'!J35</f>
        <v>0</v>
      </c>
      <c r="AQ59" s="74">
        <f>'QTR Raw'!K35</f>
        <v>0</v>
      </c>
      <c r="AR59" s="74">
        <f>'QTR Raw'!L35</f>
        <v>0</v>
      </c>
      <c r="AS59" s="74">
        <f>'QTR Raw'!M35</f>
        <v>0</v>
      </c>
      <c r="AT59" s="74">
        <f>'QTR Raw'!N35</f>
        <v>0</v>
      </c>
      <c r="AU59" s="74">
        <f>'QTR Raw'!O35</f>
        <v>0</v>
      </c>
      <c r="AV59" s="74">
        <f>'QTR Raw'!P35</f>
        <v>0</v>
      </c>
      <c r="AW59" s="74">
        <f>'QTR Raw'!Q35</f>
        <v>0</v>
      </c>
      <c r="AX59" s="74">
        <f>'QTR Raw'!R35</f>
        <v>0</v>
      </c>
      <c r="AY59" s="74">
        <f>'QTR Raw'!S35</f>
        <v>0</v>
      </c>
      <c r="AZ59" s="74">
        <f>'QTR Raw'!T35</f>
        <v>0</v>
      </c>
      <c r="BA59" s="74">
        <f>'QTR Raw'!U35</f>
        <v>0</v>
      </c>
      <c r="BB59" s="74">
        <f>'QTR Raw'!V35</f>
        <v>0</v>
      </c>
      <c r="BC59" s="74">
        <f>'QTR Raw'!W35</f>
        <v>0</v>
      </c>
      <c r="BD59" s="74">
        <f>'QTR Raw'!X35</f>
        <v>0</v>
      </c>
      <c r="BE59" s="74">
        <f>'QTR Raw'!Y35</f>
        <v>0</v>
      </c>
      <c r="BF59" s="74">
        <f>'QTR Raw'!Z35</f>
        <v>0</v>
      </c>
      <c r="BG59" s="74">
        <f>'QTR Raw'!AA35</f>
        <v>0</v>
      </c>
      <c r="BH59" s="74">
        <f>'QTR Raw'!AB35</f>
        <v>0</v>
      </c>
      <c r="BI59" s="74">
        <f>'QTR Raw'!AC35</f>
        <v>0</v>
      </c>
      <c r="BJ59" s="74">
        <f>'QTR Raw'!AD35</f>
        <v>0</v>
      </c>
      <c r="BK59" s="74">
        <f>'QTR Raw'!AE35</f>
        <v>0</v>
      </c>
      <c r="BL59" s="74">
        <f>'QTR Raw'!AF35</f>
        <v>0</v>
      </c>
      <c r="BM59" s="74">
        <f>'QTR Raw'!AG35</f>
        <v>0</v>
      </c>
      <c r="BN59" s="74">
        <f>'QTR Raw'!AH35</f>
        <v>0</v>
      </c>
      <c r="BO59" s="74">
        <f>'QTR Raw'!AI35</f>
        <v>0</v>
      </c>
      <c r="BP59" s="74">
        <f>'QTR Raw'!AJ35</f>
        <v>0</v>
      </c>
      <c r="BQ59" s="74">
        <f>'QTR Raw'!AK35</f>
        <v>0</v>
      </c>
      <c r="BR59" s="74">
        <f>'QTR Raw'!AL35</f>
        <v>0</v>
      </c>
      <c r="BS59" s="74">
        <f>'QTR Raw'!AM35</f>
        <v>0</v>
      </c>
      <c r="BT59" s="74">
        <f>'QTR Raw'!AN35</f>
        <v>0</v>
      </c>
      <c r="BU59" s="74">
        <f>'QTR Raw'!AO35</f>
        <v>0</v>
      </c>
      <c r="BV59" s="74">
        <f>'QTR Raw'!AP35</f>
        <v>0</v>
      </c>
      <c r="BW59" s="74">
        <f>'QTR Raw'!AQ35</f>
        <v>0</v>
      </c>
      <c r="BX59" s="74">
        <f>'QTR Raw'!AR35</f>
        <v>0</v>
      </c>
      <c r="BY59" s="74">
        <f>'QTR Raw'!AS35</f>
        <v>0</v>
      </c>
      <c r="BZ59" s="74">
        <f>'QTR Raw'!AT35</f>
        <v>0</v>
      </c>
      <c r="CA59" s="74">
        <f>'QTR Raw'!AU35</f>
        <v>0</v>
      </c>
      <c r="CB59" s="74">
        <f>'QTR Raw'!AV35</f>
        <v>0</v>
      </c>
      <c r="CC59" s="74">
        <f>'QTR Raw'!AW35</f>
        <v>0</v>
      </c>
      <c r="CD59" s="74">
        <f>'QTR Raw'!AX35</f>
        <v>0</v>
      </c>
      <c r="CE59" s="74">
        <f>'QTR Raw'!AY35</f>
        <v>0</v>
      </c>
      <c r="CF59" s="74">
        <f>'QTR Raw'!AZ35</f>
        <v>0</v>
      </c>
      <c r="CG59" s="74">
        <f>'QTR Raw'!BA35</f>
        <v>0</v>
      </c>
      <c r="CH59" s="74">
        <f>'QTR Raw'!BB35</f>
        <v>0</v>
      </c>
      <c r="CI59" s="74">
        <f>'QTR Raw'!BC35</f>
        <v>0</v>
      </c>
      <c r="CJ59" s="74">
        <f>'QTR Raw'!BD35</f>
        <v>0</v>
      </c>
      <c r="CK59" s="74">
        <f t="shared" ref="CK59" si="693">+CJ59</f>
        <v>0</v>
      </c>
      <c r="CL59" s="74">
        <f>'QTR Raw'!BF35</f>
        <v>0</v>
      </c>
      <c r="CM59" s="75">
        <f t="shared" si="678"/>
        <v>0</v>
      </c>
      <c r="CN59" s="75">
        <f t="shared" si="679"/>
        <v>0</v>
      </c>
      <c r="CO59" s="75">
        <f t="shared" si="680"/>
        <v>0</v>
      </c>
      <c r="CP59" s="75">
        <f t="shared" si="681"/>
        <v>0</v>
      </c>
      <c r="CQ59" s="75">
        <f t="shared" si="682"/>
        <v>0</v>
      </c>
      <c r="CR59" s="75">
        <f t="shared" si="683"/>
        <v>0</v>
      </c>
      <c r="CS59" s="75">
        <f t="shared" si="684"/>
        <v>0</v>
      </c>
      <c r="CT59" s="75">
        <f t="shared" si="685"/>
        <v>0</v>
      </c>
      <c r="CU59" s="75">
        <f t="shared" si="686"/>
        <v>0</v>
      </c>
      <c r="CV59" s="75">
        <f t="shared" si="687"/>
        <v>0</v>
      </c>
      <c r="CW59" s="75">
        <f t="shared" si="688"/>
        <v>0</v>
      </c>
      <c r="CX59" s="75">
        <f t="shared" si="689"/>
        <v>0</v>
      </c>
      <c r="CY59" s="75">
        <f t="shared" si="690"/>
        <v>0</v>
      </c>
      <c r="CZ59" s="75">
        <f t="shared" si="691"/>
        <v>0</v>
      </c>
      <c r="DA59" s="75">
        <f t="shared" si="692"/>
        <v>0</v>
      </c>
      <c r="DD59" s="130"/>
      <c r="DE59" s="74">
        <v>0</v>
      </c>
    </row>
    <row r="60" spans="1:109" s="22" customFormat="1" x14ac:dyDescent="0.2">
      <c r="A60" s="22" t="s">
        <v>19</v>
      </c>
      <c r="B60" s="74">
        <f>'Annual Raw'!C29+'Annual Raw'!C31+'Annual Raw'!C34+'Annual Raw'!C36</f>
        <v>0</v>
      </c>
      <c r="C60" s="74">
        <f>'Annual Raw'!D29+'Annual Raw'!D31+'Annual Raw'!D34+'Annual Raw'!D36</f>
        <v>0</v>
      </c>
      <c r="D60" s="74">
        <f>'Annual Raw'!E29+'Annual Raw'!E31+'Annual Raw'!E34+'Annual Raw'!E36</f>
        <v>0</v>
      </c>
      <c r="E60" s="74">
        <f>'Annual Raw'!F29+'Annual Raw'!F31+'Annual Raw'!F34+'Annual Raw'!F36</f>
        <v>0</v>
      </c>
      <c r="F60" s="74">
        <f>'Annual Raw'!G29+'Annual Raw'!G31+'Annual Raw'!G34+'Annual Raw'!G36</f>
        <v>0</v>
      </c>
      <c r="G60" s="74">
        <f>'Annual Raw'!H29+'Annual Raw'!H31+'Annual Raw'!H34+'Annual Raw'!H36</f>
        <v>0</v>
      </c>
      <c r="H60" s="74">
        <f>'Annual Raw'!I29+'Annual Raw'!I31+'Annual Raw'!I34+'Annual Raw'!I36</f>
        <v>0</v>
      </c>
      <c r="I60" s="74">
        <f>'Annual Raw'!J29+'Annual Raw'!J31+'Annual Raw'!J34+'Annual Raw'!J36</f>
        <v>0</v>
      </c>
      <c r="J60" s="74">
        <f>'Annual Raw'!K29+'Annual Raw'!K31+'Annual Raw'!K34+'Annual Raw'!K36</f>
        <v>0</v>
      </c>
      <c r="K60" s="74">
        <f>'Annual Raw'!L29+'Annual Raw'!L31+'Annual Raw'!L34+'Annual Raw'!L36</f>
        <v>0</v>
      </c>
      <c r="L60" s="74">
        <f>'Annual Raw'!M29+'Annual Raw'!M31+'Annual Raw'!M34+'Annual Raw'!M36</f>
        <v>0</v>
      </c>
      <c r="M60" s="74">
        <f>'Annual Raw'!N29+'Annual Raw'!N31+'Annual Raw'!N34+'Annual Raw'!N36</f>
        <v>0</v>
      </c>
      <c r="N60" s="74">
        <f>'Annual Raw'!O29+'Annual Raw'!O31+'Annual Raw'!O34+'Annual Raw'!O36</f>
        <v>0</v>
      </c>
      <c r="O60" s="74">
        <f>'Annual Raw'!P29+'Annual Raw'!P31+'Annual Raw'!P34+'Annual Raw'!P36</f>
        <v>0</v>
      </c>
      <c r="P60" s="74">
        <f>'Annual Raw'!Q29+'Annual Raw'!Q31+'Annual Raw'!Q34+'Annual Raw'!Q36</f>
        <v>0</v>
      </c>
      <c r="Q60" s="74">
        <f>'Annual Raw'!R29+'Annual Raw'!R31+'Annual Raw'!R34+'Annual Raw'!R36</f>
        <v>0</v>
      </c>
      <c r="R60" s="74">
        <f>'Annual Raw'!S29+'Annual Raw'!S31+'Annual Raw'!S34+'Annual Raw'!S36</f>
        <v>0</v>
      </c>
      <c r="S60" s="74">
        <f>'Annual Raw'!T29+'Annual Raw'!T31+'Annual Raw'!T34+'Annual Raw'!T36</f>
        <v>-4.53</v>
      </c>
      <c r="T60" s="74">
        <f>'Annual Raw'!U29+'Annual Raw'!U31+'Annual Raw'!U34+'Annual Raw'!U36</f>
        <v>-43.2</v>
      </c>
      <c r="U60" s="74">
        <f>'Annual Raw'!V29+'Annual Raw'!V31+'Annual Raw'!V34+'Annual Raw'!V36</f>
        <v>-0.34</v>
      </c>
      <c r="V60" s="74">
        <f>'Annual Raw'!W29+'Annual Raw'!W31+'Annual Raw'!W34+'Annual Raw'!W36</f>
        <v>0</v>
      </c>
      <c r="W60" s="74">
        <f>'Annual Raw'!X29+'Annual Raw'!X31+'Annual Raw'!X34+'Annual Raw'!X36</f>
        <v>0</v>
      </c>
      <c r="X60" s="74">
        <f>'Annual Raw'!Y29+'Annual Raw'!Y31+'Annual Raw'!Y34+'Annual Raw'!Y36</f>
        <v>14.98</v>
      </c>
      <c r="Y60" s="74">
        <f>'Annual Raw'!Z29+'Annual Raw'!Z31+'Annual Raw'!Z34+'Annual Raw'!Z36</f>
        <v>-4.7</v>
      </c>
      <c r="Z60" s="74">
        <f>'Annual Raw'!AA29+'Annual Raw'!AA31+'Annual Raw'!AA34+'Annual Raw'!AA36</f>
        <v>0</v>
      </c>
      <c r="AA60" s="74">
        <f>'Annual Raw'!AB29+'Annual Raw'!AB31+'Annual Raw'!AB34+'Annual Raw'!AB36</f>
        <v>0</v>
      </c>
      <c r="AB60" s="75">
        <f t="shared" si="673"/>
        <v>0</v>
      </c>
      <c r="AC60" s="75">
        <f t="shared" si="674"/>
        <v>0</v>
      </c>
      <c r="AD60" s="75">
        <f t="shared" si="675"/>
        <v>0</v>
      </c>
      <c r="AE60" s="75">
        <f t="shared" si="676"/>
        <v>0</v>
      </c>
      <c r="AI60" s="74">
        <f>'QTR Raw'!C26+'QTR Raw'!C31+'QTR Raw'!C32+'QTR Raw'!C33+'QTR Raw'!C36+'QTR Raw'!C37+'QTR Raw'!C39</f>
        <v>0</v>
      </c>
      <c r="AJ60" s="74">
        <f>'QTR Raw'!D26+'QTR Raw'!D31+'QTR Raw'!D32+'QTR Raw'!D33+'QTR Raw'!D36+'QTR Raw'!D37+'QTR Raw'!D39</f>
        <v>0</v>
      </c>
      <c r="AK60" s="74">
        <f>'QTR Raw'!E26+'QTR Raw'!E31+'QTR Raw'!E32+'QTR Raw'!E33+'QTR Raw'!E36+'QTR Raw'!E37+'QTR Raw'!E39</f>
        <v>0</v>
      </c>
      <c r="AL60" s="74">
        <f>'QTR Raw'!F26+'QTR Raw'!F31+'QTR Raw'!F32+'QTR Raw'!F33+'QTR Raw'!F36+'QTR Raw'!F37+'QTR Raw'!F39</f>
        <v>0</v>
      </c>
      <c r="AM60" s="74">
        <f>'QTR Raw'!G26+'QTR Raw'!G31+'QTR Raw'!G32+'QTR Raw'!G33+'QTR Raw'!G36+'QTR Raw'!G37+'QTR Raw'!G39</f>
        <v>0</v>
      </c>
      <c r="AN60" s="74">
        <f>'QTR Raw'!H26+'QTR Raw'!H31+'QTR Raw'!H32+'QTR Raw'!H33+'QTR Raw'!H36+'QTR Raw'!H37+'QTR Raw'!H39</f>
        <v>0</v>
      </c>
      <c r="AO60" s="74">
        <f>'QTR Raw'!I26+'QTR Raw'!I31+'QTR Raw'!I32+'QTR Raw'!I33+'QTR Raw'!I36+'QTR Raw'!I37+'QTR Raw'!I39</f>
        <v>0</v>
      </c>
      <c r="AP60" s="74">
        <f>'QTR Raw'!J26+'QTR Raw'!J31+'QTR Raw'!J32+'QTR Raw'!J33+'QTR Raw'!J36+'QTR Raw'!J37+'QTR Raw'!J39</f>
        <v>0</v>
      </c>
      <c r="AQ60" s="74">
        <f>'QTR Raw'!K26+'QTR Raw'!K31+'QTR Raw'!K32+'QTR Raw'!K33+'QTR Raw'!K36+'QTR Raw'!K37+'QTR Raw'!K39</f>
        <v>0</v>
      </c>
      <c r="AR60" s="74">
        <f>'QTR Raw'!L26+'QTR Raw'!L31+'QTR Raw'!L32+'QTR Raw'!L33+'QTR Raw'!L36+'QTR Raw'!L37+'QTR Raw'!L39</f>
        <v>0</v>
      </c>
      <c r="AS60" s="74">
        <f>'QTR Raw'!M26+'QTR Raw'!M31+'QTR Raw'!M32+'QTR Raw'!M33+'QTR Raw'!M36+'QTR Raw'!M37+'QTR Raw'!M39</f>
        <v>0</v>
      </c>
      <c r="AT60" s="74">
        <f>'QTR Raw'!N26+'QTR Raw'!N31+'QTR Raw'!N32+'QTR Raw'!N33+'QTR Raw'!N36+'QTR Raw'!N37+'QTR Raw'!N39</f>
        <v>0</v>
      </c>
      <c r="AU60" s="74">
        <f>'QTR Raw'!O26+'QTR Raw'!O31+'QTR Raw'!O32+'QTR Raw'!O33+'QTR Raw'!O36+'QTR Raw'!O37+'QTR Raw'!O39</f>
        <v>0</v>
      </c>
      <c r="AV60" s="74">
        <f>'QTR Raw'!P26+'QTR Raw'!P31+'QTR Raw'!P32+'QTR Raw'!P33+'QTR Raw'!P36+'QTR Raw'!P37+'QTR Raw'!P39</f>
        <v>0</v>
      </c>
      <c r="AW60" s="74">
        <f>'QTR Raw'!Q26+'QTR Raw'!Q31+'QTR Raw'!Q32+'QTR Raw'!Q33+'QTR Raw'!Q36+'QTR Raw'!Q37+'QTR Raw'!Q39</f>
        <v>0</v>
      </c>
      <c r="AX60" s="74">
        <f>'QTR Raw'!R26+'QTR Raw'!R31+'QTR Raw'!R32+'QTR Raw'!R33+'QTR Raw'!R36+'QTR Raw'!R37+'QTR Raw'!R39</f>
        <v>0</v>
      </c>
      <c r="AY60" s="74">
        <f>'QTR Raw'!S26+'QTR Raw'!S31+'QTR Raw'!S32+'QTR Raw'!S33+'QTR Raw'!S36+'QTR Raw'!S37+'QTR Raw'!S39</f>
        <v>0</v>
      </c>
      <c r="AZ60" s="74">
        <f>'QTR Raw'!T26+'QTR Raw'!T31+'QTR Raw'!T32+'QTR Raw'!T33+'QTR Raw'!T36+'QTR Raw'!T37+'QTR Raw'!T39</f>
        <v>0</v>
      </c>
      <c r="BA60" s="74">
        <f>'QTR Raw'!U26+'QTR Raw'!U31+'QTR Raw'!U32+'QTR Raw'!U33+'QTR Raw'!U36+'QTR Raw'!U37+'QTR Raw'!U39</f>
        <v>0</v>
      </c>
      <c r="BB60" s="74">
        <f>'QTR Raw'!V26+'QTR Raw'!V31+'QTR Raw'!V32+'QTR Raw'!V33+'QTR Raw'!V36+'QTR Raw'!V37+'QTR Raw'!V39</f>
        <v>0</v>
      </c>
      <c r="BC60" s="74">
        <f>'QTR Raw'!W26+'QTR Raw'!W31+'QTR Raw'!W32+'QTR Raw'!W33+'QTR Raw'!W36+'QTR Raw'!W37+'QTR Raw'!W39</f>
        <v>0</v>
      </c>
      <c r="BD60" s="74">
        <f>'QTR Raw'!X26+'QTR Raw'!X31+'QTR Raw'!X32+'QTR Raw'!X33+'QTR Raw'!X36+'QTR Raw'!X37+'QTR Raw'!X39</f>
        <v>-0.4</v>
      </c>
      <c r="BE60" s="74">
        <f>'QTR Raw'!Y26+'QTR Raw'!Y31+'QTR Raw'!Y32+'QTR Raw'!Y33+'QTR Raw'!Y36+'QTR Raw'!Y37+'QTR Raw'!Y39</f>
        <v>-4.13</v>
      </c>
      <c r="BF60" s="74">
        <f>'QTR Raw'!Z26+'QTR Raw'!Z31+'QTR Raw'!Z32+'QTR Raw'!Z33+'QTR Raw'!Z36+'QTR Raw'!Z37+'QTR Raw'!Z39</f>
        <v>-3.47</v>
      </c>
      <c r="BG60" s="74">
        <f>'QTR Raw'!AA26+'QTR Raw'!AA31+'QTR Raw'!AA32+'QTR Raw'!AA33+'QTR Raw'!AA36+'QTR Raw'!AA37+'QTR Raw'!AA39</f>
        <v>-0.59</v>
      </c>
      <c r="BH60" s="74">
        <f>'QTR Raw'!AB26+'QTR Raw'!AB31+'QTR Raw'!AB32+'QTR Raw'!AB33+'QTR Raw'!AB36+'QTR Raw'!AB37+'QTR Raw'!AB39</f>
        <v>-39.14</v>
      </c>
      <c r="BI60" s="74">
        <f>'QTR Raw'!AC26+'QTR Raw'!AC31+'QTR Raw'!AC32+'QTR Raw'!AC33+'QTR Raw'!AC36+'QTR Raw'!AC37+'QTR Raw'!AC39</f>
        <v>0</v>
      </c>
      <c r="BJ60" s="74">
        <f>'QTR Raw'!AD26+'QTR Raw'!AD31+'QTR Raw'!AD32+'QTR Raw'!AD33+'QTR Raw'!AD36+'QTR Raw'!AD37+'QTR Raw'!AD39</f>
        <v>-0.34</v>
      </c>
      <c r="BK60" s="74">
        <f>'QTR Raw'!AE26+'QTR Raw'!AE31+'QTR Raw'!AE32+'QTR Raw'!AE33+'QTR Raw'!AE36+'QTR Raw'!AE37+'QTR Raw'!AE39</f>
        <v>0</v>
      </c>
      <c r="BL60" s="74">
        <f>'QTR Raw'!AF26+'QTR Raw'!AF31+'QTR Raw'!AF32+'QTR Raw'!AF33+'QTR Raw'!AF36+'QTR Raw'!AF37+'QTR Raw'!AF39</f>
        <v>0</v>
      </c>
      <c r="BM60" s="74">
        <f>'QTR Raw'!AG26+'QTR Raw'!AG31+'QTR Raw'!AG32+'QTR Raw'!AG33+'QTR Raw'!AG36+'QTR Raw'!AG37+'QTR Raw'!AG39</f>
        <v>0</v>
      </c>
      <c r="BN60" s="74">
        <f>'QTR Raw'!AH26+'QTR Raw'!AH31+'QTR Raw'!AH32+'QTR Raw'!AH33+'QTR Raw'!AH36+'QTR Raw'!AH37+'QTR Raw'!AH39</f>
        <v>0</v>
      </c>
      <c r="BO60" s="74">
        <f>'QTR Raw'!AI26+'QTR Raw'!AI31+'QTR Raw'!AI32+'QTR Raw'!AI33+'QTR Raw'!AI36+'QTR Raw'!AI37+'QTR Raw'!AI39</f>
        <v>0</v>
      </c>
      <c r="BP60" s="74">
        <f>'QTR Raw'!AJ26+'QTR Raw'!AJ31+'QTR Raw'!AJ32+'QTR Raw'!AJ33+'QTR Raw'!AJ36+'QTR Raw'!AJ37+'QTR Raw'!AJ39</f>
        <v>0</v>
      </c>
      <c r="BQ60" s="74">
        <f>'QTR Raw'!AK26+'QTR Raw'!AK31+'QTR Raw'!AK32+'QTR Raw'!AK33+'QTR Raw'!AK36+'QTR Raw'!AK37+'QTR Raw'!AK39</f>
        <v>0</v>
      </c>
      <c r="BR60" s="74">
        <f>'QTR Raw'!AL26+'QTR Raw'!AL31+'QTR Raw'!AL32+'QTR Raw'!AL33+'QTR Raw'!AL36+'QTR Raw'!AL37+'QTR Raw'!AL39</f>
        <v>0</v>
      </c>
      <c r="BS60" s="74">
        <f>'QTR Raw'!AM26+'QTR Raw'!AM31+'QTR Raw'!AM32+'QTR Raw'!AM33+'QTR Raw'!AM36+'QTR Raw'!AM37+'QTR Raw'!AM39</f>
        <v>0</v>
      </c>
      <c r="BT60" s="74">
        <f>'QTR Raw'!AN26+'QTR Raw'!AN31+'QTR Raw'!AN32+'QTR Raw'!AN33+'QTR Raw'!AN36+'QTR Raw'!AN37+'QTR Raw'!AN39</f>
        <v>0</v>
      </c>
      <c r="BU60" s="74">
        <f>'QTR Raw'!AO26+'QTR Raw'!AO31+'QTR Raw'!AO32+'QTR Raw'!AO33+'QTR Raw'!AO36+'QTR Raw'!AO37+'QTR Raw'!AO39</f>
        <v>0</v>
      </c>
      <c r="BV60" s="74">
        <f>'QTR Raw'!AP26+'QTR Raw'!AP31+'QTR Raw'!AP32+'QTR Raw'!AP33+'QTR Raw'!AP36+'QTR Raw'!AP37+'QTR Raw'!AP39</f>
        <v>0</v>
      </c>
      <c r="BW60" s="74">
        <f>'QTR Raw'!AQ26+'QTR Raw'!AQ31+'QTR Raw'!AQ32+'QTR Raw'!AQ33+'QTR Raw'!AQ36+'QTR Raw'!AQ37+'QTR Raw'!AQ39</f>
        <v>14.98</v>
      </c>
      <c r="BX60" s="74">
        <f>'QTR Raw'!AR26+'QTR Raw'!AR31+'QTR Raw'!AR32+'QTR Raw'!AR33+'QTR Raw'!AR36+'QTR Raw'!AR37+'QTR Raw'!AR39</f>
        <v>0</v>
      </c>
      <c r="BY60" s="74">
        <f>'QTR Raw'!AS26+'QTR Raw'!AS31+'QTR Raw'!AS32+'QTR Raw'!AS33+'QTR Raw'!AS36+'QTR Raw'!AS37+'QTR Raw'!AS39</f>
        <v>0</v>
      </c>
      <c r="BZ60" s="74">
        <f>'QTR Raw'!AT26+'QTR Raw'!AT31+'QTR Raw'!AT32+'QTR Raw'!AT33+'QTR Raw'!AT36+'QTR Raw'!AT37+'QTR Raw'!AT39</f>
        <v>0</v>
      </c>
      <c r="CA60" s="74">
        <f>'QTR Raw'!AU26+'QTR Raw'!AU31+'QTR Raw'!AU32+'QTR Raw'!AU33+'QTR Raw'!AU36+'QTR Raw'!AU37+'QTR Raw'!AU39</f>
        <v>0</v>
      </c>
      <c r="CB60" s="74">
        <f>'QTR Raw'!AV26+'QTR Raw'!AV31+'QTR Raw'!AV32+'QTR Raw'!AV33+'QTR Raw'!AV36+'QTR Raw'!AV37+'QTR Raw'!AV39</f>
        <v>0</v>
      </c>
      <c r="CC60" s="74">
        <f>'QTR Raw'!AW26+'QTR Raw'!AW31+'QTR Raw'!AW32+'QTR Raw'!AW33+'QTR Raw'!AW36+'QTR Raw'!AW37+'QTR Raw'!AW39</f>
        <v>-4.7</v>
      </c>
      <c r="CD60" s="74">
        <f>'QTR Raw'!AX26+'QTR Raw'!AX31+'QTR Raw'!AX32+'QTR Raw'!AX33+'QTR Raw'!AX36+'QTR Raw'!AX37+'QTR Raw'!AX39</f>
        <v>0</v>
      </c>
      <c r="CE60" s="74">
        <f>'QTR Raw'!AY26+'QTR Raw'!AY31+'QTR Raw'!AY32+'QTR Raw'!AY33+'QTR Raw'!AY36+'QTR Raw'!AY37+'QTR Raw'!AY39</f>
        <v>0</v>
      </c>
      <c r="CF60" s="74">
        <f>'QTR Raw'!AZ26+'QTR Raw'!AZ31+'QTR Raw'!AZ32+'QTR Raw'!AZ33+'QTR Raw'!AZ36+'QTR Raw'!AZ37+'QTR Raw'!AZ39</f>
        <v>0</v>
      </c>
      <c r="CG60" s="74">
        <f>'QTR Raw'!BA26+'QTR Raw'!BA31+'QTR Raw'!BA32+'QTR Raw'!BA33+'QTR Raw'!BA36+'QTR Raw'!BA37+'QTR Raw'!BA39</f>
        <v>0</v>
      </c>
      <c r="CH60" s="74">
        <f>'QTR Raw'!BB26+'QTR Raw'!BB31+'QTR Raw'!BB32+'QTR Raw'!BB33+'QTR Raw'!BB36+'QTR Raw'!BB37+'QTR Raw'!BB39</f>
        <v>0</v>
      </c>
      <c r="CI60" s="74">
        <f>'QTR Raw'!BC26+'QTR Raw'!BC31+'QTR Raw'!BC32+'QTR Raw'!BC33+'QTR Raw'!BC36+'QTR Raw'!BC37+'QTR Raw'!BC39</f>
        <v>0</v>
      </c>
      <c r="CJ60" s="74">
        <f>'QTR Raw'!BD26+'QTR Raw'!BD31+'QTR Raw'!BD32+'QTR Raw'!BD33+'QTR Raw'!BD36+'QTR Raw'!BD37+'QTR Raw'!BD39</f>
        <v>0</v>
      </c>
      <c r="CK60" s="74"/>
      <c r="CL60" s="74">
        <f>'QTR Raw'!BF26+'QTR Raw'!BF31+'QTR Raw'!BF32+'QTR Raw'!BF33+'QTR Raw'!BF36+'QTR Raw'!BF37+'QTR Raw'!BF39</f>
        <v>0</v>
      </c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D60" s="122"/>
      <c r="DE60" s="22">
        <v>0</v>
      </c>
    </row>
    <row r="61" spans="1:109" s="25" customFormat="1" x14ac:dyDescent="0.2">
      <c r="A61" s="34" t="s">
        <v>25</v>
      </c>
      <c r="B61" s="25">
        <f>B54+B58+B59+B60</f>
        <v>0</v>
      </c>
      <c r="C61" s="25">
        <f>C54+C58+C59+C60</f>
        <v>0</v>
      </c>
      <c r="D61" s="25">
        <f>D54+D58+D59+D60</f>
        <v>19.769999999999978</v>
      </c>
      <c r="E61" s="25">
        <f t="shared" ref="E61:U61" si="694">E54+E58+E59+E60</f>
        <v>23.159999999999997</v>
      </c>
      <c r="F61" s="25">
        <f t="shared" si="694"/>
        <v>30.880000000000042</v>
      </c>
      <c r="G61" s="25">
        <f t="shared" si="694"/>
        <v>47.890000000000015</v>
      </c>
      <c r="H61" s="25">
        <f t="shared" si="694"/>
        <v>73.69999999999996</v>
      </c>
      <c r="I61" s="25">
        <f t="shared" si="694"/>
        <v>79.53000000000003</v>
      </c>
      <c r="J61" s="25">
        <f t="shared" si="694"/>
        <v>95.72</v>
      </c>
      <c r="K61" s="25">
        <f t="shared" si="694"/>
        <v>65.540000000000049</v>
      </c>
      <c r="L61" s="25">
        <f t="shared" si="694"/>
        <v>121.49999999999991</v>
      </c>
      <c r="M61" s="25">
        <f t="shared" si="694"/>
        <v>175.96999999999991</v>
      </c>
      <c r="N61" s="25">
        <f t="shared" si="694"/>
        <v>159.18000000000006</v>
      </c>
      <c r="O61" s="25">
        <f t="shared" si="694"/>
        <v>121.83000000000011</v>
      </c>
      <c r="P61" s="25">
        <f t="shared" si="694"/>
        <v>152.87999999999994</v>
      </c>
      <c r="Q61" s="25">
        <f t="shared" si="694"/>
        <v>197.48000000000008</v>
      </c>
      <c r="R61" s="25">
        <f t="shared" si="694"/>
        <v>195.06000000000012</v>
      </c>
      <c r="S61" s="25">
        <f t="shared" si="694"/>
        <v>388.48999999999944</v>
      </c>
      <c r="T61" s="25">
        <f t="shared" si="694"/>
        <v>419.80000000000035</v>
      </c>
      <c r="U61" s="25">
        <f t="shared" si="694"/>
        <v>367.63999999999902</v>
      </c>
      <c r="V61" s="25">
        <f t="shared" ref="V61:AA61" si="695">V54+V58+V59+V60</f>
        <v>290.97000000000025</v>
      </c>
      <c r="W61" s="25">
        <f t="shared" si="695"/>
        <v>629.12000000000023</v>
      </c>
      <c r="X61" s="25">
        <f t="shared" si="695"/>
        <v>879.21000000000026</v>
      </c>
      <c r="Y61" s="25">
        <f t="shared" si="695"/>
        <v>899.0199999999993</v>
      </c>
      <c r="Z61" s="25">
        <f t="shared" si="695"/>
        <v>938.86</v>
      </c>
      <c r="AA61" s="25">
        <f t="shared" si="695"/>
        <v>1150.3500000000001</v>
      </c>
      <c r="AB61" s="26">
        <f t="shared" ref="AB61:AD61" si="696">AB54+AB58+AB59+AB60</f>
        <v>1404.4446743708897</v>
      </c>
      <c r="AC61" s="26">
        <f t="shared" si="696"/>
        <v>1716.6185754853361</v>
      </c>
      <c r="AD61" s="26">
        <f t="shared" si="696"/>
        <v>1928.2723191310788</v>
      </c>
      <c r="AE61" s="26">
        <f t="shared" ref="AE61" si="697">AE54+AE58+AE59+AE60</f>
        <v>2284.1350189228551</v>
      </c>
      <c r="AI61" s="25">
        <f t="shared" ref="AI61" si="698">AI54+AI58+AI59+AI60</f>
        <v>46.240000000000009</v>
      </c>
      <c r="AJ61" s="25">
        <f t="shared" ref="AJ61" si="699">AJ54+AJ58+AJ59+AJ60</f>
        <v>36.940000000000033</v>
      </c>
      <c r="AK61" s="25">
        <f t="shared" ref="AK61:AM61" si="700">AK54+AK58+AK59+AK60</f>
        <v>29.690000000000012</v>
      </c>
      <c r="AL61" s="25">
        <f t="shared" si="700"/>
        <v>25.449999999999946</v>
      </c>
      <c r="AM61" s="25">
        <f t="shared" si="700"/>
        <v>25.579999999999966</v>
      </c>
      <c r="AN61" s="25">
        <f t="shared" ref="AN61:AO61" si="701">AN54+AN58+AN59+AN60</f>
        <v>35.89</v>
      </c>
      <c r="AO61" s="25">
        <f t="shared" si="701"/>
        <v>34.909999999999975</v>
      </c>
      <c r="AP61" s="25">
        <f t="shared" ref="AP61:CD61" si="702">AP54+AP58+AP59+AP60</f>
        <v>34.679999999999986</v>
      </c>
      <c r="AQ61" s="25">
        <f t="shared" si="702"/>
        <v>40.770000000000067</v>
      </c>
      <c r="AR61" s="25">
        <f t="shared" si="702"/>
        <v>37.510000000000019</v>
      </c>
      <c r="AS61" s="25">
        <f t="shared" si="702"/>
        <v>39.920000000000044</v>
      </c>
      <c r="AT61" s="25">
        <f t="shared" si="702"/>
        <v>41.399999999999935</v>
      </c>
      <c r="AU61" s="25">
        <f t="shared" si="702"/>
        <v>49.270000000000024</v>
      </c>
      <c r="AV61" s="25">
        <f t="shared" si="702"/>
        <v>50.600000000000009</v>
      </c>
      <c r="AW61" s="25">
        <f t="shared" si="702"/>
        <v>56.20999999999998</v>
      </c>
      <c r="AX61" s="25">
        <f t="shared" si="702"/>
        <v>41.460000000000008</v>
      </c>
      <c r="AY61" s="25">
        <f t="shared" si="702"/>
        <v>46.34</v>
      </c>
      <c r="AZ61" s="25">
        <f t="shared" si="702"/>
        <v>52.519999999999982</v>
      </c>
      <c r="BA61" s="25">
        <f t="shared" si="702"/>
        <v>54.740000000000023</v>
      </c>
      <c r="BB61" s="25">
        <f t="shared" si="702"/>
        <v>57.480000000000047</v>
      </c>
      <c r="BC61" s="25">
        <f t="shared" si="702"/>
        <v>53.980000000000075</v>
      </c>
      <c r="BD61" s="25">
        <f t="shared" si="702"/>
        <v>95.479999999999919</v>
      </c>
      <c r="BE61" s="25">
        <f t="shared" si="702"/>
        <v>103.94999999999999</v>
      </c>
      <c r="BF61" s="25">
        <f t="shared" si="702"/>
        <v>110.54000000000002</v>
      </c>
      <c r="BG61" s="25">
        <f t="shared" si="702"/>
        <v>111.44</v>
      </c>
      <c r="BH61" s="25">
        <f t="shared" si="702"/>
        <v>90.660000000000124</v>
      </c>
      <c r="BI61" s="25">
        <f t="shared" si="702"/>
        <v>107.14999999999993</v>
      </c>
      <c r="BJ61" s="25">
        <f t="shared" si="702"/>
        <v>106.17999999999994</v>
      </c>
      <c r="BK61" s="25">
        <f t="shared" si="702"/>
        <v>82.480000000000018</v>
      </c>
      <c r="BL61" s="25">
        <f t="shared" si="702"/>
        <v>94.430000000000149</v>
      </c>
      <c r="BM61" s="25">
        <f t="shared" si="702"/>
        <v>84.550000000000068</v>
      </c>
      <c r="BN61" s="25">
        <f t="shared" si="702"/>
        <v>78.349999999999937</v>
      </c>
      <c r="BO61" s="25">
        <f t="shared" si="702"/>
        <v>-42.470000000000041</v>
      </c>
      <c r="BP61" s="25">
        <f t="shared" si="702"/>
        <v>113.47000000000017</v>
      </c>
      <c r="BQ61" s="25">
        <f t="shared" si="702"/>
        <v>141.62</v>
      </c>
      <c r="BR61" s="25">
        <f t="shared" si="702"/>
        <v>139.53999999999988</v>
      </c>
      <c r="BS61" s="25">
        <f t="shared" si="702"/>
        <v>128.13000000000011</v>
      </c>
      <c r="BT61" s="25">
        <f t="shared" si="702"/>
        <v>170.80999999999983</v>
      </c>
      <c r="BU61" s="25">
        <f t="shared" si="702"/>
        <v>190.64000000000004</v>
      </c>
      <c r="BV61" s="25">
        <f t="shared" si="702"/>
        <v>207.12000000000006</v>
      </c>
      <c r="BW61" s="25">
        <f t="shared" si="702"/>
        <v>225.74999999999991</v>
      </c>
      <c r="BX61" s="25">
        <f t="shared" si="702"/>
        <v>215.35999999999996</v>
      </c>
      <c r="BY61" s="25">
        <f t="shared" si="702"/>
        <v>230.9800000000001</v>
      </c>
      <c r="BZ61" s="25">
        <f t="shared" si="702"/>
        <v>219.36999999999978</v>
      </c>
      <c r="CA61" s="25">
        <f t="shared" si="702"/>
        <v>237.28000000000009</v>
      </c>
      <c r="CB61" s="25">
        <f t="shared" si="702"/>
        <v>232.7600000000001</v>
      </c>
      <c r="CC61" s="25">
        <f t="shared" si="702"/>
        <v>209.6100000000001</v>
      </c>
      <c r="CD61" s="25">
        <f t="shared" si="702"/>
        <v>219.72000000000037</v>
      </c>
      <c r="CE61" s="25">
        <f t="shared" ref="CE61:CF61" si="703">CE54+CE58+CE59+CE60</f>
        <v>245.45</v>
      </c>
      <c r="CF61" s="25">
        <f t="shared" si="703"/>
        <v>236.40999999999985</v>
      </c>
      <c r="CG61" s="25">
        <f t="shared" ref="CG61:CH61" si="704">CG54+CG58+CG59+CG60</f>
        <v>237.27999999999997</v>
      </c>
      <c r="CH61" s="25">
        <f t="shared" si="704"/>
        <v>251.61999999999955</v>
      </c>
      <c r="CI61" s="25">
        <f t="shared" ref="CI61:CJ61" si="705">CI54+CI58+CI59+CI60</f>
        <v>287.11000000000007</v>
      </c>
      <c r="CJ61" s="25">
        <f t="shared" si="705"/>
        <v>289.26000000000033</v>
      </c>
      <c r="CK61" s="25">
        <f>CK54+CK58+CK59+CK60</f>
        <v>322.3599999999999</v>
      </c>
      <c r="CL61" s="25">
        <f t="shared" ref="CL61" si="706">CL54+CL58+CL59+CL60</f>
        <v>316.06999999999971</v>
      </c>
      <c r="CM61" s="26">
        <f t="shared" ref="CM61:DA61" si="707">CM54+CM58+CM59+CM60</f>
        <v>329.59668126947781</v>
      </c>
      <c r="CN61" s="26">
        <f t="shared" si="707"/>
        <v>353.42032667050029</v>
      </c>
      <c r="CO61" s="26">
        <f t="shared" si="707"/>
        <v>405.35766643091131</v>
      </c>
      <c r="CP61" s="26">
        <f t="shared" si="707"/>
        <v>384.73979901326504</v>
      </c>
      <c r="CQ61" s="26">
        <f t="shared" si="707"/>
        <v>404.82133809462448</v>
      </c>
      <c r="CR61" s="26">
        <f t="shared" si="707"/>
        <v>433.63699714377458</v>
      </c>
      <c r="CS61" s="26">
        <f t="shared" si="707"/>
        <v>493.42044123367066</v>
      </c>
      <c r="CT61" s="26">
        <f t="shared" si="707"/>
        <v>436.20961698458052</v>
      </c>
      <c r="CU61" s="26">
        <f t="shared" si="707"/>
        <v>456.10631188727973</v>
      </c>
      <c r="CV61" s="26">
        <f t="shared" si="707"/>
        <v>487.44310794141421</v>
      </c>
      <c r="CW61" s="26">
        <f t="shared" si="707"/>
        <v>548.51328231780474</v>
      </c>
      <c r="CX61" s="26">
        <f t="shared" si="707"/>
        <v>515.86826625145477</v>
      </c>
      <c r="CY61" s="26">
        <f t="shared" si="707"/>
        <v>537.74222772833355</v>
      </c>
      <c r="CZ61" s="26">
        <f t="shared" si="707"/>
        <v>578.54149968528077</v>
      </c>
      <c r="DA61" s="26">
        <f t="shared" si="707"/>
        <v>651.9830252577849</v>
      </c>
      <c r="DD61" s="120"/>
      <c r="DE61" s="25">
        <v>1150.3499999999985</v>
      </c>
    </row>
    <row r="62" spans="1:109" s="24" customFormat="1" x14ac:dyDescent="0.2">
      <c r="A62" s="150" t="s">
        <v>486</v>
      </c>
      <c r="AB62" s="16"/>
      <c r="AC62" s="16"/>
      <c r="AD62" s="16"/>
      <c r="AE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D62" s="118"/>
    </row>
    <row r="63" spans="1:109" s="1" customFormat="1" x14ac:dyDescent="0.2">
      <c r="A63" s="1" t="s">
        <v>484</v>
      </c>
      <c r="AB63" s="19"/>
      <c r="AC63" s="19"/>
      <c r="AD63" s="19"/>
      <c r="AE63" s="19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D63" s="118"/>
    </row>
    <row r="64" spans="1:109" s="21" customFormat="1" x14ac:dyDescent="0.2">
      <c r="A64" s="21" t="s">
        <v>433</v>
      </c>
      <c r="B64" s="21">
        <f>'Annual Raw'!C35</f>
        <v>0</v>
      </c>
      <c r="C64" s="21">
        <f>'Annual Raw'!D35</f>
        <v>0</v>
      </c>
      <c r="D64" s="21">
        <f>'Annual Raw'!E35</f>
        <v>19.77</v>
      </c>
      <c r="E64" s="21">
        <f>'Annual Raw'!F35</f>
        <v>23.16</v>
      </c>
      <c r="F64" s="21">
        <f>'Annual Raw'!G35</f>
        <v>30.88</v>
      </c>
      <c r="G64" s="21">
        <f>'Annual Raw'!H35</f>
        <v>47.89</v>
      </c>
      <c r="H64" s="21">
        <f>'Annual Raw'!I35</f>
        <v>73.7</v>
      </c>
      <c r="I64" s="21">
        <f>'Annual Raw'!J35</f>
        <v>79.53</v>
      </c>
      <c r="J64" s="21">
        <f>'Annual Raw'!K35</f>
        <v>95.72</v>
      </c>
      <c r="K64" s="21">
        <f>'Annual Raw'!L35</f>
        <v>65.540000000000006</v>
      </c>
      <c r="L64" s="21">
        <f>'Annual Raw'!M35</f>
        <v>121.5</v>
      </c>
      <c r="M64" s="21">
        <f>'Annual Raw'!N35</f>
        <v>175.97</v>
      </c>
      <c r="N64" s="21">
        <f>'Annual Raw'!O35</f>
        <v>159.18</v>
      </c>
      <c r="O64" s="21">
        <f>'Annual Raw'!P35</f>
        <v>121.83</v>
      </c>
      <c r="P64" s="21">
        <f>'Annual Raw'!Q35</f>
        <v>152.88</v>
      </c>
      <c r="Q64" s="21">
        <f>'Annual Raw'!R35</f>
        <v>197.48</v>
      </c>
      <c r="R64" s="21">
        <f>'Annual Raw'!S35</f>
        <v>195.06</v>
      </c>
      <c r="S64" s="21">
        <f>'Annual Raw'!T35</f>
        <v>388.49</v>
      </c>
      <c r="T64" s="21">
        <f>'Annual Raw'!U35</f>
        <v>419.8</v>
      </c>
      <c r="U64" s="21">
        <f>'Annual Raw'!V35</f>
        <v>367.64</v>
      </c>
      <c r="V64" s="21">
        <f>'Annual Raw'!W35</f>
        <v>290.97000000000003</v>
      </c>
      <c r="W64" s="21">
        <f>'Annual Raw'!X35</f>
        <v>629.12</v>
      </c>
      <c r="X64" s="21">
        <f>'Annual Raw'!Y35</f>
        <v>879.21</v>
      </c>
      <c r="Y64" s="21">
        <f>'Annual Raw'!Z35</f>
        <v>899.02</v>
      </c>
      <c r="Z64" s="21">
        <f>'Annual Raw'!AA35</f>
        <v>938.86</v>
      </c>
      <c r="AA64" s="21">
        <f>'Annual Raw'!AB35</f>
        <v>1150.3499999999999</v>
      </c>
      <c r="AB64" s="20">
        <f t="shared" ref="AB64:AD64" si="708">+AB61</f>
        <v>1404.4446743708897</v>
      </c>
      <c r="AC64" s="20">
        <f t="shared" si="708"/>
        <v>1716.6185754853361</v>
      </c>
      <c r="AD64" s="20">
        <f t="shared" si="708"/>
        <v>1928.2723191310788</v>
      </c>
      <c r="AE64" s="20">
        <f t="shared" ref="AE64" si="709">+AE61</f>
        <v>2284.1350189228551</v>
      </c>
      <c r="AI64" s="21">
        <f>'QTR Raw'!C42</f>
        <v>46.24</v>
      </c>
      <c r="AJ64" s="21">
        <f>'QTR Raw'!D42</f>
        <v>36.94</v>
      </c>
      <c r="AK64" s="21">
        <f>'QTR Raw'!E42</f>
        <v>29.69</v>
      </c>
      <c r="AL64" s="21">
        <f>'QTR Raw'!F42</f>
        <v>25.45</v>
      </c>
      <c r="AM64" s="21">
        <f>'QTR Raw'!G42</f>
        <v>25.58</v>
      </c>
      <c r="AN64" s="21">
        <f>'QTR Raw'!H42</f>
        <v>35.89</v>
      </c>
      <c r="AO64" s="21">
        <f>'QTR Raw'!I42</f>
        <v>34.909999999999997</v>
      </c>
      <c r="AP64" s="21">
        <f>'QTR Raw'!J42</f>
        <v>34.68</v>
      </c>
      <c r="AQ64" s="21">
        <f>'QTR Raw'!K42</f>
        <v>40.770000000000003</v>
      </c>
      <c r="AR64" s="21">
        <f>'QTR Raw'!L42</f>
        <v>37.51</v>
      </c>
      <c r="AS64" s="21">
        <f>'QTR Raw'!M42</f>
        <v>39.92</v>
      </c>
      <c r="AT64" s="21">
        <f>'QTR Raw'!N42</f>
        <v>41.4</v>
      </c>
      <c r="AU64" s="21">
        <f>'QTR Raw'!O42</f>
        <v>49.27</v>
      </c>
      <c r="AV64" s="21">
        <f>'QTR Raw'!P42</f>
        <v>50.6</v>
      </c>
      <c r="AW64" s="21">
        <f>'QTR Raw'!Q42</f>
        <v>56.21</v>
      </c>
      <c r="AX64" s="21">
        <f>'QTR Raw'!R42</f>
        <v>41.46</v>
      </c>
      <c r="AY64" s="21">
        <f>'QTR Raw'!S42</f>
        <v>46.34</v>
      </c>
      <c r="AZ64" s="21">
        <f>'QTR Raw'!T42</f>
        <v>52.52</v>
      </c>
      <c r="BA64" s="21">
        <f>'QTR Raw'!U42</f>
        <v>54.74</v>
      </c>
      <c r="BB64" s="21">
        <f>'QTR Raw'!V42</f>
        <v>57.48</v>
      </c>
      <c r="BC64" s="21">
        <f>'QTR Raw'!W42</f>
        <v>53.98</v>
      </c>
      <c r="BD64" s="21">
        <f>'QTR Raw'!X42</f>
        <v>95.48</v>
      </c>
      <c r="BE64" s="21">
        <f>'QTR Raw'!Y42</f>
        <v>103.94</v>
      </c>
      <c r="BF64" s="21">
        <f>'QTR Raw'!Z42</f>
        <v>110.54</v>
      </c>
      <c r="BG64" s="21">
        <f>'QTR Raw'!AA42</f>
        <v>111.44</v>
      </c>
      <c r="BH64" s="21">
        <f>'QTR Raw'!AB42</f>
        <v>90.66</v>
      </c>
      <c r="BI64" s="21">
        <f>'QTR Raw'!AC42</f>
        <v>107.15</v>
      </c>
      <c r="BJ64" s="21">
        <f>'QTR Raw'!AD42</f>
        <v>106.18</v>
      </c>
      <c r="BK64" s="21">
        <f>'QTR Raw'!AE42</f>
        <v>82.48</v>
      </c>
      <c r="BL64" s="21">
        <f>'QTR Raw'!AF42</f>
        <v>94.43</v>
      </c>
      <c r="BM64" s="21">
        <f>'QTR Raw'!AG42</f>
        <v>84.550000000000097</v>
      </c>
      <c r="BN64" s="21">
        <f>'QTR Raw'!AH42</f>
        <v>78.350000000000094</v>
      </c>
      <c r="BO64" s="21">
        <f>'QTR Raw'!AI42</f>
        <v>-42.47</v>
      </c>
      <c r="BP64" s="21">
        <f>'QTR Raw'!AJ42</f>
        <v>113.47</v>
      </c>
      <c r="BQ64" s="21">
        <f>'QTR Raw'!AK42</f>
        <v>141.62</v>
      </c>
      <c r="BR64" s="21">
        <f>'QTR Raw'!AL42</f>
        <v>139.54</v>
      </c>
      <c r="BS64" s="21">
        <f>'QTR Raw'!AM42</f>
        <v>128.13</v>
      </c>
      <c r="BT64" s="21">
        <f>'QTR Raw'!AN42</f>
        <v>170.81</v>
      </c>
      <c r="BU64" s="21">
        <f>'QTR Raw'!AO42</f>
        <v>190.64</v>
      </c>
      <c r="BV64" s="21">
        <f>'QTR Raw'!AP42</f>
        <v>207.12</v>
      </c>
      <c r="BW64" s="21">
        <f>'QTR Raw'!AQ42</f>
        <v>225.75</v>
      </c>
      <c r="BX64" s="21">
        <f>'QTR Raw'!AR42</f>
        <v>215.36</v>
      </c>
      <c r="BY64" s="21">
        <f>'QTR Raw'!AS42</f>
        <v>230.98</v>
      </c>
      <c r="BZ64" s="21">
        <f>'QTR Raw'!AT42</f>
        <v>219.37</v>
      </c>
      <c r="CA64" s="21">
        <f>'QTR Raw'!AU42</f>
        <v>237.28</v>
      </c>
      <c r="CB64" s="21">
        <f>'QTR Raw'!AV42</f>
        <v>232.76</v>
      </c>
      <c r="CC64" s="21">
        <f>'QTR Raw'!AW42</f>
        <v>209.61</v>
      </c>
      <c r="CD64" s="21">
        <f>'QTR Raw'!AX42</f>
        <v>219.72</v>
      </c>
      <c r="CE64" s="21">
        <f>'QTR Raw'!AY42</f>
        <v>245.45</v>
      </c>
      <c r="CF64" s="21">
        <f>'QTR Raw'!AZ42</f>
        <v>236.41</v>
      </c>
      <c r="CG64" s="21">
        <f>'QTR Raw'!BA42</f>
        <v>237.28</v>
      </c>
      <c r="CH64" s="21">
        <f>'QTR Raw'!BB42</f>
        <v>251.62</v>
      </c>
      <c r="CI64" s="21">
        <f>'QTR Raw'!BC42</f>
        <v>287.11</v>
      </c>
      <c r="CJ64" s="21">
        <f>'QTR Raw'!BD42</f>
        <v>289.26</v>
      </c>
      <c r="CK64" s="21">
        <f>'QTR Raw'!BE42</f>
        <v>322.36</v>
      </c>
      <c r="CL64" s="21">
        <f>'QTR Raw'!BF42</f>
        <v>316.07</v>
      </c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D64" s="118"/>
      <c r="DE64" s="21">
        <v>1150.3499999999985</v>
      </c>
    </row>
    <row r="65" spans="1:109" s="24" customFormat="1" x14ac:dyDescent="0.2">
      <c r="A65" s="35" t="s">
        <v>434</v>
      </c>
      <c r="B65" s="24">
        <f t="shared" ref="B65:V65" si="710">B64-B61</f>
        <v>0</v>
      </c>
      <c r="C65" s="24">
        <f>C64-C61</f>
        <v>0</v>
      </c>
      <c r="D65" s="24">
        <f t="shared" si="710"/>
        <v>0</v>
      </c>
      <c r="E65" s="24">
        <f t="shared" si="710"/>
        <v>0</v>
      </c>
      <c r="F65" s="24">
        <f t="shared" si="710"/>
        <v>-4.2632564145606011E-14</v>
      </c>
      <c r="G65" s="24">
        <f t="shared" si="710"/>
        <v>0</v>
      </c>
      <c r="H65" s="24">
        <f t="shared" si="710"/>
        <v>0</v>
      </c>
      <c r="I65" s="24">
        <f t="shared" si="710"/>
        <v>0</v>
      </c>
      <c r="J65" s="24">
        <f t="shared" si="710"/>
        <v>0</v>
      </c>
      <c r="K65" s="24">
        <f t="shared" si="710"/>
        <v>0</v>
      </c>
      <c r="L65" s="24">
        <f t="shared" si="710"/>
        <v>0</v>
      </c>
      <c r="M65" s="24">
        <f t="shared" si="710"/>
        <v>0</v>
      </c>
      <c r="N65" s="24">
        <f t="shared" si="710"/>
        <v>0</v>
      </c>
      <c r="O65" s="24">
        <f t="shared" si="710"/>
        <v>-1.1368683772161603E-13</v>
      </c>
      <c r="P65" s="24">
        <f t="shared" si="710"/>
        <v>0</v>
      </c>
      <c r="Q65" s="24">
        <f t="shared" si="710"/>
        <v>0</v>
      </c>
      <c r="R65" s="24">
        <f t="shared" si="710"/>
        <v>0</v>
      </c>
      <c r="S65" s="24">
        <f t="shared" si="710"/>
        <v>5.6843418860808015E-13</v>
      </c>
      <c r="T65" s="24">
        <f t="shared" si="710"/>
        <v>0</v>
      </c>
      <c r="U65" s="24">
        <f t="shared" si="710"/>
        <v>9.6633812063373625E-13</v>
      </c>
      <c r="V65" s="24">
        <f t="shared" si="710"/>
        <v>0</v>
      </c>
      <c r="W65" s="24">
        <f t="shared" ref="W65" si="711">W64-W61</f>
        <v>0</v>
      </c>
      <c r="X65" s="24">
        <f t="shared" ref="X65:Y65" si="712">X64-X61</f>
        <v>0</v>
      </c>
      <c r="Y65" s="24">
        <f t="shared" si="712"/>
        <v>0</v>
      </c>
      <c r="Z65" s="24">
        <f t="shared" ref="Z65:AA65" si="713">Z64-Z61</f>
        <v>0</v>
      </c>
      <c r="AA65" s="24">
        <f t="shared" ref="AA65" si="714">AA64-AA61</f>
        <v>0</v>
      </c>
      <c r="AB65" s="16">
        <f t="shared" ref="AB65:AD65" si="715">AB64-AB61</f>
        <v>0</v>
      </c>
      <c r="AC65" s="16">
        <f t="shared" si="715"/>
        <v>0</v>
      </c>
      <c r="AD65" s="16">
        <f t="shared" si="715"/>
        <v>0</v>
      </c>
      <c r="AE65" s="16">
        <f t="shared" ref="AE65" si="716">AE64-AE61</f>
        <v>0</v>
      </c>
      <c r="AI65" s="24">
        <f t="shared" ref="AI65" si="717">AI64-AI61</f>
        <v>0</v>
      </c>
      <c r="AJ65" s="24">
        <f t="shared" ref="AJ65" si="718">AJ64-AJ61</f>
        <v>0</v>
      </c>
      <c r="AK65" s="24">
        <f t="shared" ref="AK65:AM65" si="719">AK64-AK61</f>
        <v>0</v>
      </c>
      <c r="AL65" s="24">
        <f t="shared" si="719"/>
        <v>5.3290705182007514E-14</v>
      </c>
      <c r="AM65" s="24">
        <f t="shared" si="719"/>
        <v>3.1974423109204508E-14</v>
      </c>
      <c r="AN65" s="24">
        <f t="shared" ref="AN65:AO65" si="720">AN64-AN61</f>
        <v>0</v>
      </c>
      <c r="AO65" s="24">
        <f t="shared" si="720"/>
        <v>0</v>
      </c>
      <c r="AP65" s="24">
        <f t="shared" ref="AP65:CD65" si="721">AP64-AP61</f>
        <v>0</v>
      </c>
      <c r="AQ65" s="24">
        <f t="shared" si="721"/>
        <v>-6.3948846218409017E-14</v>
      </c>
      <c r="AR65" s="24">
        <f t="shared" si="721"/>
        <v>0</v>
      </c>
      <c r="AS65" s="24">
        <f t="shared" si="721"/>
        <v>0</v>
      </c>
      <c r="AT65" s="24">
        <f t="shared" si="721"/>
        <v>6.3948846218409017E-14</v>
      </c>
      <c r="AU65" s="24">
        <f t="shared" si="721"/>
        <v>0</v>
      </c>
      <c r="AV65" s="24">
        <f t="shared" si="721"/>
        <v>0</v>
      </c>
      <c r="AW65" s="24">
        <f t="shared" si="721"/>
        <v>0</v>
      </c>
      <c r="AX65" s="24">
        <f t="shared" si="721"/>
        <v>0</v>
      </c>
      <c r="AY65" s="24">
        <f t="shared" si="721"/>
        <v>0</v>
      </c>
      <c r="AZ65" s="24">
        <f t="shared" si="721"/>
        <v>0</v>
      </c>
      <c r="BA65" s="24">
        <f t="shared" si="721"/>
        <v>0</v>
      </c>
      <c r="BB65" s="24">
        <f t="shared" si="721"/>
        <v>0</v>
      </c>
      <c r="BC65" s="24">
        <f t="shared" si="721"/>
        <v>-7.815970093361102E-14</v>
      </c>
      <c r="BD65" s="24">
        <f t="shared" si="721"/>
        <v>0</v>
      </c>
      <c r="BE65" s="24">
        <f t="shared" si="721"/>
        <v>-9.9999999999909051E-3</v>
      </c>
      <c r="BF65" s="24">
        <f t="shared" si="721"/>
        <v>0</v>
      </c>
      <c r="BG65" s="24">
        <f t="shared" si="721"/>
        <v>0</v>
      </c>
      <c r="BH65" s="24">
        <f t="shared" si="721"/>
        <v>-1.2789769243681803E-13</v>
      </c>
      <c r="BI65" s="24">
        <f t="shared" si="721"/>
        <v>0</v>
      </c>
      <c r="BJ65" s="24">
        <f t="shared" si="721"/>
        <v>0</v>
      </c>
      <c r="BK65" s="24">
        <f t="shared" si="721"/>
        <v>0</v>
      </c>
      <c r="BL65" s="24">
        <f t="shared" si="721"/>
        <v>-1.4210854715202004E-13</v>
      </c>
      <c r="BM65" s="24">
        <f t="shared" si="721"/>
        <v>0</v>
      </c>
      <c r="BN65" s="24">
        <f t="shared" si="721"/>
        <v>1.5631940186722204E-13</v>
      </c>
      <c r="BO65" s="24">
        <f t="shared" si="721"/>
        <v>0</v>
      </c>
      <c r="BP65" s="24">
        <f t="shared" si="721"/>
        <v>-1.7053025658242404E-13</v>
      </c>
      <c r="BQ65" s="24">
        <f t="shared" si="721"/>
        <v>0</v>
      </c>
      <c r="BR65" s="24">
        <f t="shared" si="721"/>
        <v>0</v>
      </c>
      <c r="BS65" s="24">
        <f t="shared" si="721"/>
        <v>0</v>
      </c>
      <c r="BT65" s="24">
        <f t="shared" si="721"/>
        <v>0</v>
      </c>
      <c r="BU65" s="24">
        <f t="shared" si="721"/>
        <v>0</v>
      </c>
      <c r="BV65" s="24">
        <f t="shared" si="721"/>
        <v>0</v>
      </c>
      <c r="BW65" s="24">
        <f t="shared" si="721"/>
        <v>0</v>
      </c>
      <c r="BX65" s="24">
        <f t="shared" si="721"/>
        <v>0</v>
      </c>
      <c r="BY65" s="24">
        <f t="shared" si="721"/>
        <v>0</v>
      </c>
      <c r="BZ65" s="24">
        <f t="shared" si="721"/>
        <v>2.2737367544323206E-13</v>
      </c>
      <c r="CA65" s="24">
        <f t="shared" si="721"/>
        <v>0</v>
      </c>
      <c r="CB65" s="24">
        <f t="shared" si="721"/>
        <v>0</v>
      </c>
      <c r="CC65" s="24">
        <f t="shared" si="721"/>
        <v>0</v>
      </c>
      <c r="CD65" s="24">
        <f t="shared" si="721"/>
        <v>-3.694822225952521E-13</v>
      </c>
      <c r="CE65" s="24">
        <f t="shared" ref="CE65:CF65" si="722">CE64-CE61</f>
        <v>0</v>
      </c>
      <c r="CF65" s="24">
        <f t="shared" si="722"/>
        <v>0</v>
      </c>
      <c r="CG65" s="24">
        <f t="shared" ref="CG65:CH65" si="723">CG64-CG61</f>
        <v>0</v>
      </c>
      <c r="CH65" s="24">
        <f t="shared" si="723"/>
        <v>4.5474735088646412E-13</v>
      </c>
      <c r="CI65" s="24">
        <f t="shared" ref="CI65:CK65" si="724">CI64-CI61</f>
        <v>0</v>
      </c>
      <c r="CJ65" s="24">
        <f t="shared" si="724"/>
        <v>0</v>
      </c>
      <c r="CK65" s="24">
        <f t="shared" si="724"/>
        <v>0</v>
      </c>
      <c r="CL65" s="24">
        <f t="shared" ref="CL65" si="725">CL64-CL61</f>
        <v>0</v>
      </c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D65" s="118"/>
      <c r="DE65" s="24">
        <v>0</v>
      </c>
    </row>
    <row r="66" spans="1:109" s="1" customFormat="1" x14ac:dyDescent="0.2">
      <c r="A66" s="149" t="s">
        <v>487</v>
      </c>
      <c r="AB66" s="19"/>
      <c r="AC66" s="19"/>
      <c r="AD66" s="19"/>
      <c r="AE66" s="19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D66" s="118"/>
    </row>
    <row r="67" spans="1:109" s="37" customFormat="1" x14ac:dyDescent="0.2">
      <c r="A67" s="37" t="s">
        <v>350</v>
      </c>
      <c r="B67" s="38" t="e">
        <f t="shared" ref="B67:AE67" si="726">(B61-B60)/B133</f>
        <v>#DIV/0!</v>
      </c>
      <c r="C67" s="38" t="e">
        <f t="shared" si="726"/>
        <v>#DIV/0!</v>
      </c>
      <c r="D67" s="38">
        <f t="shared" si="726"/>
        <v>0.19310412189880813</v>
      </c>
      <c r="E67" s="38">
        <f t="shared" si="726"/>
        <v>0.19932868577330232</v>
      </c>
      <c r="F67" s="38">
        <f t="shared" si="726"/>
        <v>0.21989603361105206</v>
      </c>
      <c r="G67" s="38">
        <f t="shared" si="726"/>
        <v>0.26375502560995767</v>
      </c>
      <c r="H67" s="38">
        <f t="shared" si="726"/>
        <v>0.29762145135888207</v>
      </c>
      <c r="I67" s="38">
        <f t="shared" si="726"/>
        <v>0.25001571832757002</v>
      </c>
      <c r="J67" s="38">
        <f t="shared" si="726"/>
        <v>0.23633984346065529</v>
      </c>
      <c r="K67" s="38">
        <f t="shared" si="726"/>
        <v>0.14194135227617283</v>
      </c>
      <c r="L67" s="38">
        <f t="shared" si="726"/>
        <v>0.21187179576605153</v>
      </c>
      <c r="M67" s="38">
        <f t="shared" si="726"/>
        <v>0.24104158676236909</v>
      </c>
      <c r="N67" s="38">
        <f t="shared" si="726"/>
        <v>0.18098919840818653</v>
      </c>
      <c r="O67" s="38">
        <f t="shared" si="726"/>
        <v>0.1231165681370321</v>
      </c>
      <c r="P67" s="38">
        <f t="shared" si="726"/>
        <v>0.13804187848197272</v>
      </c>
      <c r="Q67" s="38">
        <f t="shared" si="726"/>
        <v>0.15317551425646125</v>
      </c>
      <c r="R67" s="38">
        <f t="shared" si="726"/>
        <v>0.13222972423330359</v>
      </c>
      <c r="S67" s="38">
        <f t="shared" si="726"/>
        <v>0.16902922809613075</v>
      </c>
      <c r="T67" s="38">
        <f t="shared" si="726"/>
        <v>0.17109366916470825</v>
      </c>
      <c r="U67" s="38">
        <f t="shared" si="726"/>
        <v>0.12422691549409855</v>
      </c>
      <c r="V67" s="38">
        <f t="shared" si="726"/>
        <v>9.2657047597514947E-2</v>
      </c>
      <c r="W67" s="38">
        <f t="shared" si="726"/>
        <v>0.17218851182509648</v>
      </c>
      <c r="X67" s="38">
        <f t="shared" si="726"/>
        <v>0.20164492871975551</v>
      </c>
      <c r="Y67" s="38">
        <f t="shared" si="726"/>
        <v>0.1880653854557939</v>
      </c>
      <c r="Z67" s="38">
        <f t="shared" si="726"/>
        <v>0.17600005998766502</v>
      </c>
      <c r="AA67" s="38">
        <f t="shared" ref="AA67" si="727">(AA61-AA60)/AA133</f>
        <v>0.19020463098300916</v>
      </c>
      <c r="AB67" s="39">
        <f t="shared" si="726"/>
        <v>0.18845523501975542</v>
      </c>
      <c r="AC67" s="39">
        <f t="shared" si="726"/>
        <v>0.18721935027400588</v>
      </c>
      <c r="AD67" s="39">
        <f t="shared" si="726"/>
        <v>0.17376056239502738</v>
      </c>
      <c r="AE67" s="39">
        <f t="shared" si="726"/>
        <v>0.17069438158477043</v>
      </c>
      <c r="AF67" s="38"/>
      <c r="AG67" s="38"/>
      <c r="AH67" s="38"/>
      <c r="AI67" s="38"/>
      <c r="AJ67" s="38"/>
      <c r="AK67" s="38"/>
      <c r="AL67" s="38">
        <f t="shared" ref="AL67:BQ67" si="728">(SUM(AI61:AL61)-SUM(AI60:AL60))/AL133</f>
        <v>0.15284822365876569</v>
      </c>
      <c r="AM67" s="38">
        <f t="shared" si="728"/>
        <v>0.12645630024504531</v>
      </c>
      <c r="AN67" s="38">
        <f t="shared" si="728"/>
        <v>0.1206730619974542</v>
      </c>
      <c r="AO67" s="38">
        <f t="shared" si="728"/>
        <v>0.12311656813703188</v>
      </c>
      <c r="AP67" s="38">
        <f t="shared" si="728"/>
        <v>0.12795954033761942</v>
      </c>
      <c r="AQ67" s="38">
        <f t="shared" si="728"/>
        <v>0.13732781205104375</v>
      </c>
      <c r="AR67" s="38">
        <f t="shared" si="728"/>
        <v>0.13412488208402881</v>
      </c>
      <c r="AS67" s="38">
        <f t="shared" si="728"/>
        <v>0.13804187848197289</v>
      </c>
      <c r="AT67" s="38">
        <f t="shared" si="728"/>
        <v>0.138916693504165</v>
      </c>
      <c r="AU67" s="38">
        <f t="shared" si="728"/>
        <v>0.13910841519020867</v>
      </c>
      <c r="AV67" s="38">
        <f t="shared" si="728"/>
        <v>0.1439146631083153</v>
      </c>
      <c r="AW67" s="38">
        <f t="shared" si="728"/>
        <v>0.15317551425646117</v>
      </c>
      <c r="AX67" s="38">
        <f t="shared" si="728"/>
        <v>0.1484481851657023</v>
      </c>
      <c r="AY67" s="38">
        <f t="shared" si="728"/>
        <v>0.14137106909101474</v>
      </c>
      <c r="AZ67" s="38">
        <f t="shared" si="728"/>
        <v>0.13751915527846001</v>
      </c>
      <c r="BA67" s="38">
        <f t="shared" si="728"/>
        <v>0.13222972423330351</v>
      </c>
      <c r="BB67" s="38">
        <f t="shared" si="728"/>
        <v>0.13772314437832764</v>
      </c>
      <c r="BC67" s="38">
        <f t="shared" si="728"/>
        <v>0.13957703156309437</v>
      </c>
      <c r="BD67" s="38">
        <f t="shared" si="728"/>
        <v>0.15764210526315792</v>
      </c>
      <c r="BE67" s="38">
        <f t="shared" si="728"/>
        <v>0.18605337045513534</v>
      </c>
      <c r="BF67" s="38">
        <f t="shared" si="728"/>
        <v>0.20596834749094614</v>
      </c>
      <c r="BG67" s="38">
        <f t="shared" si="728"/>
        <v>0.2406604169581642</v>
      </c>
      <c r="BH67" s="38">
        <f t="shared" si="728"/>
        <v>0.24710638592529074</v>
      </c>
      <c r="BI67" s="38">
        <f t="shared" si="728"/>
        <v>0.17108997383708041</v>
      </c>
      <c r="BJ67" s="38">
        <f t="shared" si="728"/>
        <v>0.1619670732140952</v>
      </c>
      <c r="BK67" s="38">
        <f t="shared" si="728"/>
        <v>0.15306965846366147</v>
      </c>
      <c r="BL67" s="38">
        <f t="shared" si="728"/>
        <v>0.13575239386198143</v>
      </c>
      <c r="BM67" s="38">
        <f t="shared" si="728"/>
        <v>0.12422691549409895</v>
      </c>
      <c r="BN67" s="38">
        <f t="shared" si="728"/>
        <v>0.11176085590904163</v>
      </c>
      <c r="BO67" s="38">
        <f t="shared" si="728"/>
        <v>7.4417863612276258E-2</v>
      </c>
      <c r="BP67" s="38">
        <f t="shared" si="728"/>
        <v>7.7948998227068578E-2</v>
      </c>
      <c r="BQ67" s="38">
        <f t="shared" si="728"/>
        <v>9.2657047597514891E-2</v>
      </c>
      <c r="BR67" s="38">
        <f t="shared" ref="BR67:CW67" si="729">(SUM(BO61:BR61)-SUM(BO60:BR60))/BR133</f>
        <v>0.10737141864060025</v>
      </c>
      <c r="BS67" s="38">
        <f t="shared" si="729"/>
        <v>0.15859137752671965</v>
      </c>
      <c r="BT67" s="38">
        <f t="shared" si="729"/>
        <v>0.16731658917590586</v>
      </c>
      <c r="BU67" s="38">
        <f t="shared" si="729"/>
        <v>0.17218851182509637</v>
      </c>
      <c r="BV67" s="38">
        <f t="shared" si="729"/>
        <v>0.18045529541881325</v>
      </c>
      <c r="BW67" s="38">
        <f t="shared" si="729"/>
        <v>0.20292511710623268</v>
      </c>
      <c r="BX67" s="38">
        <f t="shared" si="729"/>
        <v>0.20313420728865916</v>
      </c>
      <c r="BY67" s="38">
        <f t="shared" si="729"/>
        <v>0.20164492871975548</v>
      </c>
      <c r="BZ67" s="38">
        <f t="shared" si="729"/>
        <v>0.19454549893791043</v>
      </c>
      <c r="CA67" s="38">
        <f t="shared" si="729"/>
        <v>0.20678670962748205</v>
      </c>
      <c r="CB67" s="38">
        <f t="shared" si="729"/>
        <v>0.20010522814287546</v>
      </c>
      <c r="CC67" s="38">
        <f t="shared" si="729"/>
        <v>0.18806538545579407</v>
      </c>
      <c r="CD67" s="38">
        <f t="shared" si="729"/>
        <v>0.17991192162497252</v>
      </c>
      <c r="CE67" s="38">
        <f t="shared" si="729"/>
        <v>0.18746647760549934</v>
      </c>
      <c r="CF67" s="38">
        <f t="shared" si="729"/>
        <v>0.17949617446928606</v>
      </c>
      <c r="CG67" s="38">
        <f t="shared" si="729"/>
        <v>0.17600005998766505</v>
      </c>
      <c r="CH67" s="38">
        <f t="shared" si="729"/>
        <v>0.17378290563099139</v>
      </c>
      <c r="CI67" s="38">
        <f t="shared" si="729"/>
        <v>0.18628228458086382</v>
      </c>
      <c r="CJ67" s="38">
        <f t="shared" si="729"/>
        <v>0.18610164339384325</v>
      </c>
      <c r="CK67" s="38">
        <f t="shared" si="729"/>
        <v>0.19020463098300913</v>
      </c>
      <c r="CL67" s="38">
        <f t="shared" si="729"/>
        <v>0.19088533523569184</v>
      </c>
      <c r="CM67" s="39">
        <f t="shared" si="729"/>
        <v>0.18783340349525252</v>
      </c>
      <c r="CN67" s="39">
        <f t="shared" si="729"/>
        <v>0.18751783640028091</v>
      </c>
      <c r="CO67" s="39">
        <f t="shared" si="729"/>
        <v>0.18845523501975533</v>
      </c>
      <c r="CP67" s="39">
        <f t="shared" si="729"/>
        <v>0.18796571613385729</v>
      </c>
      <c r="CQ67" s="39">
        <f t="shared" si="729"/>
        <v>0.18786041651045104</v>
      </c>
      <c r="CR67" s="39">
        <f t="shared" si="729"/>
        <v>0.18771673122978591</v>
      </c>
      <c r="CS67" s="39">
        <f t="shared" si="729"/>
        <v>0.18721935027400577</v>
      </c>
      <c r="CT67" s="39">
        <f t="shared" si="729"/>
        <v>0.18407553652972294</v>
      </c>
      <c r="CU67" s="39">
        <f t="shared" si="729"/>
        <v>0.18082815169335179</v>
      </c>
      <c r="CV67" s="39">
        <f t="shared" si="729"/>
        <v>0.17757305318681979</v>
      </c>
      <c r="CW67" s="39">
        <f t="shared" si="729"/>
        <v>0.17376056239502741</v>
      </c>
      <c r="CX67" s="39">
        <f t="shared" ref="CX67:DA67" si="730">(SUM(CU61:CX61)-SUM(CU60:CX60))/CX133</f>
        <v>0.17290128658179499</v>
      </c>
      <c r="CY67" s="39">
        <f t="shared" si="730"/>
        <v>0.17196798933434951</v>
      </c>
      <c r="CZ67" s="39">
        <f t="shared" si="730"/>
        <v>0.17130871275049267</v>
      </c>
      <c r="DA67" s="39">
        <f t="shared" si="730"/>
        <v>0.17069438158477038</v>
      </c>
      <c r="DD67" s="121"/>
      <c r="DE67" s="37">
        <v>0.19020463098300891</v>
      </c>
    </row>
    <row r="68" spans="1:109" s="37" customFormat="1" x14ac:dyDescent="0.2">
      <c r="A68" s="37" t="s">
        <v>351</v>
      </c>
      <c r="B68" s="38" t="e">
        <f t="shared" ref="B68:AE68" si="731">+B47/B142</f>
        <v>#DIV/0!</v>
      </c>
      <c r="C68" s="38" t="e">
        <f t="shared" si="731"/>
        <v>#DIV/0!</v>
      </c>
      <c r="D68" s="38">
        <f t="shared" si="731"/>
        <v>0.17299604944564789</v>
      </c>
      <c r="E68" s="38">
        <f t="shared" si="731"/>
        <v>0.18111575813425956</v>
      </c>
      <c r="F68" s="38">
        <f t="shared" si="731"/>
        <v>0.25485868868797634</v>
      </c>
      <c r="G68" s="38">
        <f t="shared" si="731"/>
        <v>0.32034654492633335</v>
      </c>
      <c r="H68" s="38">
        <f t="shared" si="731"/>
        <v>0.40318216694261583</v>
      </c>
      <c r="I68" s="38">
        <f t="shared" si="731"/>
        <v>0.35073876139578758</v>
      </c>
      <c r="J68" s="38">
        <f t="shared" si="731"/>
        <v>0.31149848151897486</v>
      </c>
      <c r="K68" s="38">
        <f t="shared" si="731"/>
        <v>0.15253172781218879</v>
      </c>
      <c r="L68" s="38">
        <f t="shared" si="731"/>
        <v>0.27464862414117791</v>
      </c>
      <c r="M68" s="38">
        <f t="shared" si="731"/>
        <v>0.31765382718755131</v>
      </c>
      <c r="N68" s="38">
        <f t="shared" si="731"/>
        <v>0.21677089255258677</v>
      </c>
      <c r="O68" s="38">
        <f t="shared" si="731"/>
        <v>0.1422565812743167</v>
      </c>
      <c r="P68" s="38">
        <f t="shared" si="731"/>
        <v>0.17419570379867988</v>
      </c>
      <c r="Q68" s="38">
        <f t="shared" si="731"/>
        <v>0.18638112376283708</v>
      </c>
      <c r="R68" s="38">
        <f t="shared" si="731"/>
        <v>0.15808454676102937</v>
      </c>
      <c r="S68" s="38">
        <f t="shared" si="731"/>
        <v>0.22583043089695695</v>
      </c>
      <c r="T68" s="38">
        <f t="shared" si="731"/>
        <v>0.19845433560310591</v>
      </c>
      <c r="U68" s="38">
        <f t="shared" si="731"/>
        <v>0.16054163178221265</v>
      </c>
      <c r="V68" s="38">
        <f t="shared" si="731"/>
        <v>0.10917781478780629</v>
      </c>
      <c r="W68" s="38">
        <f t="shared" si="731"/>
        <v>0.21229612964498715</v>
      </c>
      <c r="X68" s="38">
        <f t="shared" si="731"/>
        <v>0.25417998553396021</v>
      </c>
      <c r="Y68" s="38">
        <f t="shared" si="731"/>
        <v>0.22865764200318378</v>
      </c>
      <c r="Z68" s="38">
        <f t="shared" si="731"/>
        <v>0.21826511923485731</v>
      </c>
      <c r="AA68" s="38">
        <f t="shared" ref="AA68" si="732">+AA47/AA142</f>
        <v>0.23470062632689373</v>
      </c>
      <c r="AB68" s="39">
        <f t="shared" si="731"/>
        <v>0.22886357059011078</v>
      </c>
      <c r="AC68" s="39">
        <f t="shared" si="731"/>
        <v>0.22353616840829721</v>
      </c>
      <c r="AD68" s="39">
        <f t="shared" si="731"/>
        <v>0.20216865947514498</v>
      </c>
      <c r="AE68" s="39">
        <f t="shared" si="731"/>
        <v>0.19336852743569602</v>
      </c>
      <c r="AF68" s="38"/>
      <c r="AG68" s="38"/>
      <c r="AH68" s="38"/>
      <c r="AI68" s="38"/>
      <c r="AJ68" s="38"/>
      <c r="AK68" s="38"/>
      <c r="AL68" s="38">
        <f t="shared" ref="AL68:BQ68" si="733">+SUM(AI47:AL47)/AL142</f>
        <v>0.18196585446709762</v>
      </c>
      <c r="AM68" s="38">
        <f t="shared" si="733"/>
        <v>0.14888654829972908</v>
      </c>
      <c r="AN68" s="38">
        <f t="shared" si="733"/>
        <v>0.13963138886301768</v>
      </c>
      <c r="AO68" s="38">
        <f t="shared" si="733"/>
        <v>0.14182204032135809</v>
      </c>
      <c r="AP68" s="38">
        <f t="shared" si="733"/>
        <v>0.14856038194546142</v>
      </c>
      <c r="AQ68" s="38">
        <f t="shared" si="733"/>
        <v>0.16183554466323</v>
      </c>
      <c r="AR68" s="38">
        <f t="shared" si="733"/>
        <v>0.16371272041216176</v>
      </c>
      <c r="AS68" s="38">
        <f t="shared" si="733"/>
        <v>0.17371714417285944</v>
      </c>
      <c r="AT68" s="38">
        <f t="shared" si="733"/>
        <v>0.17375901957541637</v>
      </c>
      <c r="AU68" s="38">
        <f t="shared" si="733"/>
        <v>0.17442755356211886</v>
      </c>
      <c r="AV68" s="38">
        <f t="shared" si="733"/>
        <v>0.17954583363118645</v>
      </c>
      <c r="AW68" s="38">
        <f t="shared" si="733"/>
        <v>0.18597778536191861</v>
      </c>
      <c r="AX68" s="38">
        <f t="shared" si="733"/>
        <v>0.18447433681521008</v>
      </c>
      <c r="AY68" s="38">
        <f t="shared" si="733"/>
        <v>0.17322514328885144</v>
      </c>
      <c r="AZ68" s="38">
        <f t="shared" si="733"/>
        <v>0.16805564302258047</v>
      </c>
      <c r="BA68" s="38">
        <f t="shared" si="733"/>
        <v>0.15784050543669842</v>
      </c>
      <c r="BB68" s="38">
        <f t="shared" si="733"/>
        <v>0.16125769913352128</v>
      </c>
      <c r="BC68" s="38">
        <f t="shared" si="733"/>
        <v>0.1659774604025476</v>
      </c>
      <c r="BD68" s="38">
        <f t="shared" si="733"/>
        <v>0.19756992481203009</v>
      </c>
      <c r="BE68" s="38">
        <f t="shared" si="733"/>
        <v>0.24863742538281861</v>
      </c>
      <c r="BF68" s="38">
        <f t="shared" si="733"/>
        <v>0.27606791224125898</v>
      </c>
      <c r="BG68" s="38">
        <f t="shared" si="733"/>
        <v>0.32106897999160483</v>
      </c>
      <c r="BH68" s="38">
        <f t="shared" si="733"/>
        <v>0.321330982577061</v>
      </c>
      <c r="BI68" s="38">
        <f t="shared" si="733"/>
        <v>0.21236965692907744</v>
      </c>
      <c r="BJ68" s="38">
        <f t="shared" si="733"/>
        <v>0.20405290518599042</v>
      </c>
      <c r="BK68" s="38">
        <f t="shared" si="733"/>
        <v>0.20159199633332378</v>
      </c>
      <c r="BL68" s="38">
        <f t="shared" si="733"/>
        <v>0.17434840586737782</v>
      </c>
      <c r="BM68" s="38">
        <f t="shared" si="733"/>
        <v>0.16031544548572668</v>
      </c>
      <c r="BN68" s="38">
        <f t="shared" si="733"/>
        <v>0.13849650223153356</v>
      </c>
      <c r="BO68" s="38">
        <f t="shared" si="733"/>
        <v>7.983832142448942E-2</v>
      </c>
      <c r="BP68" s="38">
        <f t="shared" si="733"/>
        <v>8.9539704333684411E-2</v>
      </c>
      <c r="BQ68" s="38">
        <f t="shared" si="733"/>
        <v>0.10895490543866969</v>
      </c>
      <c r="BR68" s="38">
        <f t="shared" ref="BR68:CW68" si="734">+SUM(BO47:BR47)/BR142</f>
        <v>0.12632057149303472</v>
      </c>
      <c r="BS68" s="38">
        <f t="shared" si="734"/>
        <v>0.19495369007999955</v>
      </c>
      <c r="BT68" s="38">
        <f t="shared" si="734"/>
        <v>0.20664651522318486</v>
      </c>
      <c r="BU68" s="38">
        <f t="shared" si="734"/>
        <v>0.21195948183607163</v>
      </c>
      <c r="BV68" s="38">
        <f t="shared" si="734"/>
        <v>0.22467163456183836</v>
      </c>
      <c r="BW68" s="38">
        <f t="shared" si="734"/>
        <v>0.25498303619552504</v>
      </c>
      <c r="BX68" s="38">
        <f t="shared" si="734"/>
        <v>0.25436094174151658</v>
      </c>
      <c r="BY68" s="38">
        <f t="shared" si="734"/>
        <v>0.25383933362887601</v>
      </c>
      <c r="BZ68" s="38">
        <f t="shared" si="734"/>
        <v>0.24242276267571083</v>
      </c>
      <c r="CA68" s="38">
        <f t="shared" si="734"/>
        <v>0.25414894762032347</v>
      </c>
      <c r="CB68" s="38">
        <f t="shared" si="734"/>
        <v>0.24497068178705211</v>
      </c>
      <c r="CC68" s="38">
        <f t="shared" si="734"/>
        <v>0.22853486218485647</v>
      </c>
      <c r="CD68" s="38">
        <f t="shared" si="734"/>
        <v>0.21957107065175221</v>
      </c>
      <c r="CE68" s="38">
        <f t="shared" si="734"/>
        <v>0.23096904123382966</v>
      </c>
      <c r="CF68" s="38">
        <f t="shared" si="734"/>
        <v>0.22247852058574522</v>
      </c>
      <c r="CG68" s="38">
        <f t="shared" si="734"/>
        <v>0.21816951389370562</v>
      </c>
      <c r="CH68" s="38">
        <f t="shared" si="734"/>
        <v>0.21592180521119564</v>
      </c>
      <c r="CI68" s="38">
        <f t="shared" si="734"/>
        <v>0.22942407086094047</v>
      </c>
      <c r="CJ68" s="38">
        <f t="shared" si="734"/>
        <v>0.23051013865862585</v>
      </c>
      <c r="CK68" s="38">
        <f t="shared" si="734"/>
        <v>0.2346741711254704</v>
      </c>
      <c r="CL68" s="38">
        <f t="shared" si="734"/>
        <v>0.23529430250957337</v>
      </c>
      <c r="CM68" s="39">
        <f t="shared" si="734"/>
        <v>0.2313817559672503</v>
      </c>
      <c r="CN68" s="39">
        <f t="shared" si="734"/>
        <v>0.22808643694990044</v>
      </c>
      <c r="CO68" s="39">
        <f t="shared" si="734"/>
        <v>0.2288635705901107</v>
      </c>
      <c r="CP68" s="39">
        <f t="shared" si="734"/>
        <v>0.22729368638632369</v>
      </c>
      <c r="CQ68" s="39">
        <f t="shared" si="734"/>
        <v>0.22585172250135621</v>
      </c>
      <c r="CR68" s="39">
        <f t="shared" si="734"/>
        <v>0.22464202479893272</v>
      </c>
      <c r="CS68" s="39">
        <f t="shared" si="734"/>
        <v>0.22353616840829704</v>
      </c>
      <c r="CT68" s="39">
        <f t="shared" si="734"/>
        <v>0.218362283207509</v>
      </c>
      <c r="CU68" s="39">
        <f t="shared" si="734"/>
        <v>0.21297398367613926</v>
      </c>
      <c r="CV68" s="39">
        <f t="shared" si="734"/>
        <v>0.20777478715981054</v>
      </c>
      <c r="CW68" s="39">
        <f t="shared" si="734"/>
        <v>0.20216865947514503</v>
      </c>
      <c r="CX68" s="39">
        <f t="shared" ref="CX68:DA68" si="735">+SUM(CU47:CX47)/CX142</f>
        <v>0.19987293278930704</v>
      </c>
      <c r="CY68" s="39">
        <f t="shared" si="735"/>
        <v>0.19741784982198785</v>
      </c>
      <c r="CZ68" s="39">
        <f t="shared" si="735"/>
        <v>0.19532509748581406</v>
      </c>
      <c r="DA68" s="39">
        <f t="shared" si="735"/>
        <v>0.19336852743569594</v>
      </c>
      <c r="DD68" s="121"/>
      <c r="DE68" s="37">
        <v>0.23467417112547018</v>
      </c>
    </row>
    <row r="69" spans="1:109" s="1" customFormat="1" x14ac:dyDescent="0.2">
      <c r="A69" s="149" t="s">
        <v>488</v>
      </c>
      <c r="AB69" s="19"/>
      <c r="AC69" s="19"/>
      <c r="AD69" s="19"/>
      <c r="AE69" s="19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D69" s="118"/>
    </row>
    <row r="70" spans="1:109" s="8" customFormat="1" x14ac:dyDescent="0.2">
      <c r="A70" s="12" t="s">
        <v>26</v>
      </c>
      <c r="AB70" s="57"/>
      <c r="AC70" s="57"/>
      <c r="AD70" s="57"/>
      <c r="AE70" s="57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D70" s="131"/>
    </row>
    <row r="71" spans="1:109" s="9" customFormat="1" x14ac:dyDescent="0.2">
      <c r="A71" s="9" t="s">
        <v>452</v>
      </c>
      <c r="N71" s="9">
        <f>N23-SUM(AI23:AL23)</f>
        <v>30.630000000000337</v>
      </c>
      <c r="R71" s="9">
        <f>R23-SUM(AX23:BA23)</f>
        <v>0</v>
      </c>
      <c r="S71" s="9">
        <f>S23-SUM(BB23:BE23)</f>
        <v>986.6299999999992</v>
      </c>
      <c r="T71" s="9">
        <f>T23-SUM(BF23:BI23)</f>
        <v>0</v>
      </c>
      <c r="U71" s="9">
        <f>U23-SUM(BJ23:BM23)</f>
        <v>0</v>
      </c>
      <c r="V71" s="9">
        <f>V23-SUM(BN23:BQ23)</f>
        <v>0</v>
      </c>
      <c r="W71" s="9">
        <f>W23-SUM(BR23:BU23)</f>
        <v>0</v>
      </c>
      <c r="X71" s="9">
        <f>X23-SUM(BV23:BY23)</f>
        <v>0</v>
      </c>
      <c r="Y71" s="9">
        <f>Y23-SUM(BZ23:CC23)</f>
        <v>0</v>
      </c>
      <c r="Z71" s="9">
        <f>Z23-SUM(CD23:CG23)</f>
        <v>0</v>
      </c>
      <c r="AA71" s="9">
        <f>AA23-SUM(CE23:CH23)</f>
        <v>1152.1900000000005</v>
      </c>
      <c r="AB71" s="71">
        <f>AB23-SUM(CL23:CO23)</f>
        <v>0</v>
      </c>
      <c r="AC71" s="71">
        <f>AC23-SUM(CP23:CS23)</f>
        <v>0</v>
      </c>
      <c r="AD71" s="71">
        <f>AD23-SUM(CT23:CW23)</f>
        <v>0</v>
      </c>
      <c r="AE71" s="71">
        <f>AE23-SUM(CX23:DA23)</f>
        <v>0</v>
      </c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D71" s="132"/>
      <c r="DE71" s="9">
        <v>0</v>
      </c>
    </row>
    <row r="72" spans="1:109" s="9" customFormat="1" x14ac:dyDescent="0.2">
      <c r="A72" s="9" t="s">
        <v>453</v>
      </c>
      <c r="N72" s="9">
        <f>N29-SUM(AI29:AL29)</f>
        <v>21.870000000000005</v>
      </c>
      <c r="R72" s="9">
        <f>R29-SUM(AX29:BA29)</f>
        <v>-1.7599999999999909</v>
      </c>
      <c r="S72" s="9">
        <f>S29-SUM(BB29:BE29)</f>
        <v>368.71999999999935</v>
      </c>
      <c r="T72" s="9">
        <f>T29-SUM(BF29:BI29)</f>
        <v>1.0000000000445652E-2</v>
      </c>
      <c r="U72" s="9">
        <f>U29-SUM(BJ29:BM29)</f>
        <v>0</v>
      </c>
      <c r="V72" s="9">
        <f>V29-SUM(BN29:BQ29)</f>
        <v>0</v>
      </c>
      <c r="W72" s="9">
        <f>W29-SUM(BR29:BU29)</f>
        <v>0</v>
      </c>
      <c r="X72" s="9">
        <f>X29-SUM(BV29:BY29)</f>
        <v>0</v>
      </c>
      <c r="Y72" s="9">
        <f>Y29-SUM(BZ29:CC29)</f>
        <v>0</v>
      </c>
      <c r="Z72" s="9">
        <f>Z29-SUM(CD29:CG29)</f>
        <v>0</v>
      </c>
      <c r="AA72" s="9">
        <f>AA29-SUM(CE29:CH29)</f>
        <v>560.47000000000116</v>
      </c>
      <c r="AB72" s="71">
        <f>AB29-SUM(CL29:CO29)</f>
        <v>0</v>
      </c>
      <c r="AC72" s="71">
        <f>AC29-SUM(CP29:CS29)</f>
        <v>0</v>
      </c>
      <c r="AD72" s="71">
        <f>AD29-SUM(CT29:CW29)</f>
        <v>0</v>
      </c>
      <c r="AE72" s="71">
        <f>AE29-SUM(CX29:DA29)</f>
        <v>0</v>
      </c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D72" s="132"/>
      <c r="DE72" s="9">
        <v>0</v>
      </c>
    </row>
    <row r="73" spans="1:109" s="9" customFormat="1" x14ac:dyDescent="0.2">
      <c r="A73" s="9" t="s">
        <v>454</v>
      </c>
      <c r="N73" s="9">
        <f>N41-SUM(AI41:AL41)</f>
        <v>22.650000000000091</v>
      </c>
      <c r="R73" s="9">
        <f>R41-SUM(AX41:BA41)</f>
        <v>0.36000000000007049</v>
      </c>
      <c r="S73" s="9">
        <f>S41-SUM(BB41:BE41)</f>
        <v>152.00999999999931</v>
      </c>
      <c r="T73" s="9">
        <f>T41-SUM(BF41:BI41)</f>
        <v>-38.459999999999695</v>
      </c>
      <c r="U73" s="9">
        <f>U41-SUM(BJ41:BM41)</f>
        <v>0.66999999999893589</v>
      </c>
      <c r="V73" s="9">
        <f>V41-SUM(BN41:BQ41)</f>
        <v>0.70000000000015916</v>
      </c>
      <c r="W73" s="9">
        <f>W41-SUM(BR41:BU41)</f>
        <v>1.2300000000002456</v>
      </c>
      <c r="X73" s="9">
        <f>X41-SUM(BV41:BY41)</f>
        <v>1.4600000000002638</v>
      </c>
      <c r="Y73" s="9">
        <f>Y41-SUM(BZ41:CC41)</f>
        <v>0.58999999999923602</v>
      </c>
      <c r="Z73" s="9">
        <f>Z41-SUM(CD41:CG41)</f>
        <v>0.50999999999976353</v>
      </c>
      <c r="AA73" s="9">
        <f>AA41-SUM(CE41:CH41)</f>
        <v>254.8400000000006</v>
      </c>
      <c r="AB73" s="71">
        <f>AB41-SUM(CL41:CO41)</f>
        <v>0</v>
      </c>
      <c r="AC73" s="71">
        <f>AC41-SUM(CP41:CS41)</f>
        <v>0</v>
      </c>
      <c r="AD73" s="71">
        <f>AD41-SUM(CT41:CW41)</f>
        <v>0</v>
      </c>
      <c r="AE73" s="71">
        <f>AE41-SUM(CX41:DA41)</f>
        <v>0</v>
      </c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D73" s="132"/>
      <c r="DE73" s="9">
        <v>0</v>
      </c>
    </row>
    <row r="74" spans="1:109" s="9" customFormat="1" x14ac:dyDescent="0.2">
      <c r="A74" s="9" t="s">
        <v>455</v>
      </c>
      <c r="N74" s="9">
        <f>N61-SUM(AI61:AL61)</f>
        <v>20.86000000000007</v>
      </c>
      <c r="R74" s="9">
        <f>R54-SUM(AX54:BA54)</f>
        <v>0</v>
      </c>
      <c r="S74" s="9">
        <f>S54-SUM(BB54:BE54)</f>
        <v>77.599999999999397</v>
      </c>
      <c r="T74" s="9">
        <f>T54-SUM(BF54:BI54)</f>
        <v>1.0000000000275122E-2</v>
      </c>
      <c r="U74" s="9">
        <f>U54-SUM(BJ54:BM54)</f>
        <v>-1.1368683772161603E-12</v>
      </c>
      <c r="V74" s="9">
        <f>V54-SUM(BN54:BQ54)</f>
        <v>0</v>
      </c>
      <c r="W74" s="9">
        <f>W54-SUM(BR54:BU54)</f>
        <v>0</v>
      </c>
      <c r="X74" s="9">
        <f>X54-SUM(BV54:BY54)</f>
        <v>0</v>
      </c>
      <c r="Y74" s="9">
        <f>Y54-SUM(BZ54:CC54)</f>
        <v>0</v>
      </c>
      <c r="Z74" s="9">
        <f>Z54-SUM(CD54:CG54)</f>
        <v>0</v>
      </c>
      <c r="AA74" s="9">
        <f>AA54-SUM(CE54:CH54)</f>
        <v>179.59000000000071</v>
      </c>
      <c r="AB74" s="71">
        <f>AB54-SUM(CL54:CO54)</f>
        <v>0</v>
      </c>
      <c r="AC74" s="71">
        <f>AC54-SUM(CP54:CS54)</f>
        <v>0</v>
      </c>
      <c r="AD74" s="71">
        <f>AD54-SUM(CT54:CW54)</f>
        <v>0</v>
      </c>
      <c r="AE74" s="71">
        <f>AE54-SUM(CX54:DA54)</f>
        <v>0</v>
      </c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D74" s="132"/>
      <c r="DE74" s="9">
        <v>0</v>
      </c>
    </row>
    <row r="75" spans="1:109" s="8" customFormat="1" x14ac:dyDescent="0.2">
      <c r="A75" s="148" t="s">
        <v>489</v>
      </c>
      <c r="AB75" s="57"/>
      <c r="AC75" s="57"/>
      <c r="AD75" s="57"/>
      <c r="AE75" s="57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D75" s="131"/>
    </row>
    <row r="76" spans="1:109" s="3" customFormat="1" x14ac:dyDescent="0.2">
      <c r="A76" s="3" t="s">
        <v>27</v>
      </c>
      <c r="B76" s="3">
        <f>'Annual Raw'!C104</f>
        <v>0</v>
      </c>
      <c r="C76" s="3">
        <f>'Annual Raw'!D104</f>
        <v>0</v>
      </c>
      <c r="D76" s="3">
        <f>'Annual Raw'!E104</f>
        <v>16.62</v>
      </c>
      <c r="E76" s="3">
        <f t="shared" ref="E76:Y76" ca="1" si="736">+F76</f>
        <v>31.26</v>
      </c>
      <c r="F76" s="3">
        <f t="shared" ca="1" si="736"/>
        <v>31.26</v>
      </c>
      <c r="G76" s="3">
        <f t="shared" ca="1" si="736"/>
        <v>31.26</v>
      </c>
      <c r="H76" s="3">
        <f t="shared" ca="1" si="736"/>
        <v>31.26</v>
      </c>
      <c r="I76" s="3">
        <f t="shared" ca="1" si="736"/>
        <v>31.26</v>
      </c>
      <c r="J76" s="3">
        <f t="shared" ca="1" si="736"/>
        <v>31.26</v>
      </c>
      <c r="K76" s="3">
        <f t="shared" ca="1" si="736"/>
        <v>31.26</v>
      </c>
      <c r="L76" s="3">
        <f t="shared" ca="1" si="736"/>
        <v>31.26</v>
      </c>
      <c r="M76" s="3">
        <f t="shared" ca="1" si="736"/>
        <v>31.26</v>
      </c>
      <c r="N76" s="3">
        <f t="shared" ca="1" si="736"/>
        <v>31.26</v>
      </c>
      <c r="O76" s="3">
        <f t="shared" ca="1" si="736"/>
        <v>31.26</v>
      </c>
      <c r="P76" s="3">
        <f t="shared" ca="1" si="736"/>
        <v>31.26</v>
      </c>
      <c r="Q76" s="3">
        <f t="shared" ca="1" si="736"/>
        <v>31.26</v>
      </c>
      <c r="R76" s="3">
        <f t="shared" ca="1" si="736"/>
        <v>31.26</v>
      </c>
      <c r="S76" s="3">
        <f t="shared" ca="1" si="736"/>
        <v>31.26</v>
      </c>
      <c r="T76" s="3">
        <f t="shared" ca="1" si="736"/>
        <v>31.26</v>
      </c>
      <c r="U76" s="3">
        <f t="shared" ca="1" si="736"/>
        <v>31.26</v>
      </c>
      <c r="V76" s="3">
        <f t="shared" ca="1" si="736"/>
        <v>31.26</v>
      </c>
      <c r="W76" s="3">
        <f t="shared" ca="1" si="736"/>
        <v>31.26</v>
      </c>
      <c r="X76" s="3">
        <f t="shared" ca="1" si="736"/>
        <v>31.26</v>
      </c>
      <c r="Y76" s="3">
        <f t="shared" ca="1" si="736"/>
        <v>31.26</v>
      </c>
      <c r="Z76" s="3">
        <f ca="1">+AA76</f>
        <v>31.26</v>
      </c>
      <c r="AA76" s="3">
        <f ca="1">+AB76</f>
        <v>31.26</v>
      </c>
      <c r="AB76" s="36">
        <f t="shared" ref="AB76:AB77" ca="1" si="737">AA76</f>
        <v>31.26</v>
      </c>
      <c r="AC76" s="36">
        <f t="shared" ref="AC76:AC77" ca="1" si="738">AB76</f>
        <v>31.26</v>
      </c>
      <c r="AD76" s="36">
        <f t="shared" ref="AD76:AD77" ca="1" si="739">AC76</f>
        <v>31.26</v>
      </c>
      <c r="AE76" s="36">
        <f t="shared" ref="AE76:AE77" ca="1" si="740">AD76</f>
        <v>31.26</v>
      </c>
      <c r="AI76" s="3">
        <f t="shared" ref="AI76:CH76" si="741">+AJ76</f>
        <v>31.26</v>
      </c>
      <c r="AJ76" s="3">
        <f t="shared" si="741"/>
        <v>31.26</v>
      </c>
      <c r="AK76" s="3">
        <f t="shared" si="741"/>
        <v>31.26</v>
      </c>
      <c r="AL76" s="3">
        <f t="shared" si="741"/>
        <v>31.26</v>
      </c>
      <c r="AM76" s="3">
        <f t="shared" si="741"/>
        <v>31.26</v>
      </c>
      <c r="AN76" s="3">
        <f t="shared" si="741"/>
        <v>31.26</v>
      </c>
      <c r="AO76" s="3">
        <f t="shared" si="741"/>
        <v>31.26</v>
      </c>
      <c r="AP76" s="3">
        <f t="shared" si="741"/>
        <v>31.26</v>
      </c>
      <c r="AQ76" s="3">
        <f t="shared" si="741"/>
        <v>31.26</v>
      </c>
      <c r="AR76" s="3">
        <f t="shared" si="741"/>
        <v>31.26</v>
      </c>
      <c r="AS76" s="3">
        <f t="shared" si="741"/>
        <v>31.26</v>
      </c>
      <c r="AT76" s="3">
        <f t="shared" si="741"/>
        <v>31.26</v>
      </c>
      <c r="AU76" s="3">
        <f t="shared" si="741"/>
        <v>31.26</v>
      </c>
      <c r="AV76" s="3">
        <f t="shared" si="741"/>
        <v>31.26</v>
      </c>
      <c r="AW76" s="3">
        <f t="shared" si="741"/>
        <v>31.26</v>
      </c>
      <c r="AX76" s="3">
        <f t="shared" si="741"/>
        <v>31.26</v>
      </c>
      <c r="AY76" s="3">
        <f t="shared" si="741"/>
        <v>31.26</v>
      </c>
      <c r="AZ76" s="3">
        <f t="shared" si="741"/>
        <v>31.26</v>
      </c>
      <c r="BA76" s="3">
        <f t="shared" si="741"/>
        <v>31.26</v>
      </c>
      <c r="BB76" s="3">
        <f t="shared" si="741"/>
        <v>31.26</v>
      </c>
      <c r="BC76" s="3">
        <f t="shared" si="741"/>
        <v>31.26</v>
      </c>
      <c r="BD76" s="3">
        <f t="shared" si="741"/>
        <v>31.26</v>
      </c>
      <c r="BE76" s="3">
        <f t="shared" si="741"/>
        <v>31.26</v>
      </c>
      <c r="BF76" s="3">
        <f t="shared" si="741"/>
        <v>31.26</v>
      </c>
      <c r="BG76" s="3">
        <f t="shared" si="741"/>
        <v>31.26</v>
      </c>
      <c r="BH76" s="3">
        <f t="shared" si="741"/>
        <v>31.26</v>
      </c>
      <c r="BI76" s="3">
        <f t="shared" si="741"/>
        <v>31.26</v>
      </c>
      <c r="BJ76" s="3">
        <f t="shared" si="741"/>
        <v>31.26</v>
      </c>
      <c r="BK76" s="3">
        <f t="shared" si="741"/>
        <v>31.26</v>
      </c>
      <c r="BL76" s="3">
        <f t="shared" si="741"/>
        <v>31.26</v>
      </c>
      <c r="BM76" s="3">
        <f t="shared" si="741"/>
        <v>31.26</v>
      </c>
      <c r="BN76" s="3">
        <f t="shared" si="741"/>
        <v>31.26</v>
      </c>
      <c r="BO76" s="3">
        <f t="shared" si="741"/>
        <v>31.26</v>
      </c>
      <c r="BP76" s="3">
        <f t="shared" si="741"/>
        <v>31.26</v>
      </c>
      <c r="BQ76" s="3">
        <f t="shared" si="741"/>
        <v>31.26</v>
      </c>
      <c r="BR76" s="3">
        <f t="shared" si="741"/>
        <v>31.26</v>
      </c>
      <c r="BS76" s="3">
        <f t="shared" si="741"/>
        <v>31.26</v>
      </c>
      <c r="BT76" s="3">
        <f t="shared" si="741"/>
        <v>31.26</v>
      </c>
      <c r="BU76" s="3">
        <f t="shared" si="741"/>
        <v>31.26</v>
      </c>
      <c r="BV76" s="3">
        <f t="shared" si="741"/>
        <v>31.26</v>
      </c>
      <c r="BW76" s="3">
        <f t="shared" si="741"/>
        <v>31.26</v>
      </c>
      <c r="BX76" s="3">
        <f t="shared" si="741"/>
        <v>31.26</v>
      </c>
      <c r="BY76" s="3">
        <f t="shared" si="741"/>
        <v>31.26</v>
      </c>
      <c r="BZ76" s="3">
        <f t="shared" si="741"/>
        <v>31.26</v>
      </c>
      <c r="CA76" s="3">
        <f t="shared" si="741"/>
        <v>31.26</v>
      </c>
      <c r="CB76" s="3">
        <f t="shared" si="741"/>
        <v>31.26</v>
      </c>
      <c r="CC76" s="3">
        <f t="shared" si="741"/>
        <v>31.26</v>
      </c>
      <c r="CD76" s="3">
        <f t="shared" si="741"/>
        <v>31.26</v>
      </c>
      <c r="CE76" s="3">
        <f t="shared" si="741"/>
        <v>31.26</v>
      </c>
      <c r="CF76" s="3">
        <f t="shared" si="741"/>
        <v>31.26</v>
      </c>
      <c r="CG76" s="3">
        <f t="shared" si="741"/>
        <v>31.26</v>
      </c>
      <c r="CH76" s="3">
        <f t="shared" si="741"/>
        <v>31.26</v>
      </c>
      <c r="CI76" s="3">
        <f>+CJ76</f>
        <v>31.26</v>
      </c>
      <c r="CJ76" s="3">
        <f>'QTR Raw'!BD45</f>
        <v>31.26</v>
      </c>
      <c r="CK76" s="3">
        <f t="shared" ref="CK76" si="742">+CJ76</f>
        <v>31.26</v>
      </c>
      <c r="CL76" s="3">
        <f>'QTR Raw'!BF45</f>
        <v>31.26</v>
      </c>
      <c r="CM76" s="36">
        <f t="shared" ref="CM76:CM77" si="743">+CL76</f>
        <v>31.26</v>
      </c>
      <c r="CN76" s="36">
        <f t="shared" ref="CN76:CN77" si="744">+CM76</f>
        <v>31.26</v>
      </c>
      <c r="CO76" s="36">
        <f t="shared" ref="CO76:CO77" si="745">+CN76</f>
        <v>31.26</v>
      </c>
      <c r="CP76" s="36">
        <f t="shared" ref="CP76:CP77" si="746">+CO76</f>
        <v>31.26</v>
      </c>
      <c r="CQ76" s="36">
        <f t="shared" ref="CQ76:CQ77" si="747">+CP76</f>
        <v>31.26</v>
      </c>
      <c r="CR76" s="36">
        <f t="shared" ref="CR76:CR77" si="748">+CQ76</f>
        <v>31.26</v>
      </c>
      <c r="CS76" s="36">
        <f t="shared" ref="CS76:CS77" si="749">+CR76</f>
        <v>31.26</v>
      </c>
      <c r="CT76" s="36">
        <f t="shared" ref="CT76:CT77" si="750">+CS76</f>
        <v>31.26</v>
      </c>
      <c r="CU76" s="36">
        <f t="shared" ref="CU76:CU77" si="751">+CT76</f>
        <v>31.26</v>
      </c>
      <c r="CV76" s="36">
        <f t="shared" ref="CV76:CV77" si="752">+CU76</f>
        <v>31.26</v>
      </c>
      <c r="CW76" s="36">
        <f t="shared" ref="CW76:CW77" si="753">+CV76</f>
        <v>31.26</v>
      </c>
      <c r="CX76" s="36">
        <f t="shared" ref="CX76:CX77" si="754">+CW76</f>
        <v>31.26</v>
      </c>
      <c r="CY76" s="36">
        <f t="shared" ref="CY76:CY77" si="755">+CX76</f>
        <v>31.26</v>
      </c>
      <c r="CZ76" s="36">
        <f t="shared" ref="CZ76:CZ77" si="756">+CY76</f>
        <v>31.26</v>
      </c>
      <c r="DA76" s="36">
        <f t="shared" ref="DA76:DA77" si="757">+CZ76</f>
        <v>31.26</v>
      </c>
      <c r="DD76" s="133"/>
      <c r="DE76" s="3">
        <v>31.26</v>
      </c>
    </row>
    <row r="77" spans="1:109" s="3" customFormat="1" x14ac:dyDescent="0.2">
      <c r="A77" s="3" t="s">
        <v>28</v>
      </c>
      <c r="B77" s="3">
        <f>'Annual Raw'!C105</f>
        <v>0</v>
      </c>
      <c r="C77" s="3">
        <f>'Annual Raw'!D105</f>
        <v>0</v>
      </c>
      <c r="D77" s="3">
        <f>'Annual Raw'!E105</f>
        <v>10</v>
      </c>
      <c r="E77" s="3">
        <f t="shared" ref="E77:Y77" ca="1" si="758">+F77</f>
        <v>2</v>
      </c>
      <c r="F77" s="3">
        <f t="shared" ca="1" si="758"/>
        <v>2</v>
      </c>
      <c r="G77" s="3">
        <f t="shared" ca="1" si="758"/>
        <v>2</v>
      </c>
      <c r="H77" s="3">
        <f t="shared" ca="1" si="758"/>
        <v>2</v>
      </c>
      <c r="I77" s="3">
        <f t="shared" ca="1" si="758"/>
        <v>2</v>
      </c>
      <c r="J77" s="3">
        <f t="shared" ca="1" si="758"/>
        <v>2</v>
      </c>
      <c r="K77" s="3">
        <f t="shared" ca="1" si="758"/>
        <v>2</v>
      </c>
      <c r="L77" s="3">
        <f t="shared" ca="1" si="758"/>
        <v>2</v>
      </c>
      <c r="M77" s="3">
        <f t="shared" ca="1" si="758"/>
        <v>2</v>
      </c>
      <c r="N77" s="3">
        <f t="shared" ca="1" si="758"/>
        <v>2</v>
      </c>
      <c r="O77" s="3">
        <f t="shared" ca="1" si="758"/>
        <v>2</v>
      </c>
      <c r="P77" s="3">
        <f t="shared" ca="1" si="758"/>
        <v>2</v>
      </c>
      <c r="Q77" s="3">
        <f t="shared" ca="1" si="758"/>
        <v>2</v>
      </c>
      <c r="R77" s="3">
        <f t="shared" ca="1" si="758"/>
        <v>2</v>
      </c>
      <c r="S77" s="3">
        <f t="shared" ca="1" si="758"/>
        <v>2</v>
      </c>
      <c r="T77" s="3">
        <f t="shared" ca="1" si="758"/>
        <v>2</v>
      </c>
      <c r="U77" s="3">
        <f t="shared" ca="1" si="758"/>
        <v>2</v>
      </c>
      <c r="V77" s="3">
        <f t="shared" ca="1" si="758"/>
        <v>2</v>
      </c>
      <c r="W77" s="3">
        <f t="shared" ca="1" si="758"/>
        <v>2</v>
      </c>
      <c r="X77" s="3">
        <f t="shared" ca="1" si="758"/>
        <v>2</v>
      </c>
      <c r="Y77" s="3">
        <f t="shared" ca="1" si="758"/>
        <v>2</v>
      </c>
      <c r="Z77" s="3">
        <f ca="1">+AA77</f>
        <v>2</v>
      </c>
      <c r="AA77" s="3">
        <f ca="1">+AB77</f>
        <v>2</v>
      </c>
      <c r="AB77" s="36">
        <f t="shared" ca="1" si="737"/>
        <v>2</v>
      </c>
      <c r="AC77" s="36">
        <f t="shared" ca="1" si="738"/>
        <v>2</v>
      </c>
      <c r="AD77" s="36">
        <f t="shared" ca="1" si="739"/>
        <v>2</v>
      </c>
      <c r="AE77" s="36">
        <f t="shared" ca="1" si="740"/>
        <v>2</v>
      </c>
      <c r="AI77" s="3">
        <f t="shared" ref="AI77:CH77" si="759">AJ77</f>
        <v>2</v>
      </c>
      <c r="AJ77" s="3">
        <f t="shared" si="759"/>
        <v>2</v>
      </c>
      <c r="AK77" s="3">
        <f t="shared" si="759"/>
        <v>2</v>
      </c>
      <c r="AL77" s="3">
        <f t="shared" si="759"/>
        <v>2</v>
      </c>
      <c r="AM77" s="3">
        <f t="shared" si="759"/>
        <v>2</v>
      </c>
      <c r="AN77" s="3">
        <f t="shared" si="759"/>
        <v>2</v>
      </c>
      <c r="AO77" s="3">
        <f t="shared" si="759"/>
        <v>2</v>
      </c>
      <c r="AP77" s="3">
        <f t="shared" si="759"/>
        <v>2</v>
      </c>
      <c r="AQ77" s="3">
        <f t="shared" si="759"/>
        <v>2</v>
      </c>
      <c r="AR77" s="3">
        <f t="shared" si="759"/>
        <v>2</v>
      </c>
      <c r="AS77" s="3">
        <f t="shared" si="759"/>
        <v>2</v>
      </c>
      <c r="AT77" s="3">
        <f t="shared" si="759"/>
        <v>2</v>
      </c>
      <c r="AU77" s="3">
        <f t="shared" si="759"/>
        <v>2</v>
      </c>
      <c r="AV77" s="3">
        <f t="shared" si="759"/>
        <v>2</v>
      </c>
      <c r="AW77" s="3">
        <f t="shared" si="759"/>
        <v>2</v>
      </c>
      <c r="AX77" s="3">
        <f t="shared" si="759"/>
        <v>2</v>
      </c>
      <c r="AY77" s="3">
        <f t="shared" si="759"/>
        <v>2</v>
      </c>
      <c r="AZ77" s="3">
        <f t="shared" si="759"/>
        <v>2</v>
      </c>
      <c r="BA77" s="3">
        <f t="shared" si="759"/>
        <v>2</v>
      </c>
      <c r="BB77" s="3">
        <f t="shared" si="759"/>
        <v>2</v>
      </c>
      <c r="BC77" s="3">
        <f t="shared" si="759"/>
        <v>2</v>
      </c>
      <c r="BD77" s="3">
        <f t="shared" si="759"/>
        <v>2</v>
      </c>
      <c r="BE77" s="3">
        <f t="shared" si="759"/>
        <v>2</v>
      </c>
      <c r="BF77" s="3">
        <f t="shared" si="759"/>
        <v>2</v>
      </c>
      <c r="BG77" s="3">
        <f t="shared" si="759"/>
        <v>2</v>
      </c>
      <c r="BH77" s="3">
        <f t="shared" si="759"/>
        <v>2</v>
      </c>
      <c r="BI77" s="3">
        <f t="shared" si="759"/>
        <v>2</v>
      </c>
      <c r="BJ77" s="3">
        <f t="shared" si="759"/>
        <v>2</v>
      </c>
      <c r="BK77" s="3">
        <f t="shared" si="759"/>
        <v>2</v>
      </c>
      <c r="BL77" s="3">
        <f t="shared" si="759"/>
        <v>2</v>
      </c>
      <c r="BM77" s="3">
        <f t="shared" si="759"/>
        <v>2</v>
      </c>
      <c r="BN77" s="3">
        <f t="shared" si="759"/>
        <v>2</v>
      </c>
      <c r="BO77" s="3">
        <f t="shared" si="759"/>
        <v>2</v>
      </c>
      <c r="BP77" s="3">
        <f t="shared" si="759"/>
        <v>2</v>
      </c>
      <c r="BQ77" s="3">
        <f t="shared" si="759"/>
        <v>2</v>
      </c>
      <c r="BR77" s="3">
        <f t="shared" si="759"/>
        <v>2</v>
      </c>
      <c r="BS77" s="3">
        <f t="shared" si="759"/>
        <v>2</v>
      </c>
      <c r="BT77" s="3">
        <f t="shared" si="759"/>
        <v>2</v>
      </c>
      <c r="BU77" s="3">
        <f t="shared" si="759"/>
        <v>2</v>
      </c>
      <c r="BV77" s="3">
        <f t="shared" si="759"/>
        <v>2</v>
      </c>
      <c r="BW77" s="3">
        <f t="shared" si="759"/>
        <v>2</v>
      </c>
      <c r="BX77" s="3">
        <f t="shared" si="759"/>
        <v>2</v>
      </c>
      <c r="BY77" s="3">
        <f t="shared" si="759"/>
        <v>2</v>
      </c>
      <c r="BZ77" s="3">
        <f t="shared" si="759"/>
        <v>2</v>
      </c>
      <c r="CA77" s="3">
        <f t="shared" si="759"/>
        <v>2</v>
      </c>
      <c r="CB77" s="3">
        <f t="shared" si="759"/>
        <v>2</v>
      </c>
      <c r="CC77" s="3">
        <f t="shared" si="759"/>
        <v>2</v>
      </c>
      <c r="CD77" s="3">
        <f t="shared" si="759"/>
        <v>2</v>
      </c>
      <c r="CE77" s="3">
        <f t="shared" si="759"/>
        <v>2</v>
      </c>
      <c r="CF77" s="3">
        <f t="shared" si="759"/>
        <v>2</v>
      </c>
      <c r="CG77" s="3">
        <f t="shared" si="759"/>
        <v>2</v>
      </c>
      <c r="CH77" s="3">
        <f t="shared" si="759"/>
        <v>2</v>
      </c>
      <c r="CI77" s="3">
        <f>CJ77</f>
        <v>2</v>
      </c>
      <c r="CJ77" s="3">
        <f>'QTR Raw'!BD46</f>
        <v>2</v>
      </c>
      <c r="CK77" s="3">
        <f>+CJ77</f>
        <v>2</v>
      </c>
      <c r="CL77" s="3">
        <f>'QTR Raw'!BF46</f>
        <v>2</v>
      </c>
      <c r="CM77" s="36">
        <f t="shared" si="743"/>
        <v>2</v>
      </c>
      <c r="CN77" s="36">
        <f t="shared" si="744"/>
        <v>2</v>
      </c>
      <c r="CO77" s="36">
        <f t="shared" si="745"/>
        <v>2</v>
      </c>
      <c r="CP77" s="36">
        <f t="shared" si="746"/>
        <v>2</v>
      </c>
      <c r="CQ77" s="36">
        <f t="shared" si="747"/>
        <v>2</v>
      </c>
      <c r="CR77" s="36">
        <f t="shared" si="748"/>
        <v>2</v>
      </c>
      <c r="CS77" s="36">
        <f t="shared" si="749"/>
        <v>2</v>
      </c>
      <c r="CT77" s="36">
        <f t="shared" si="750"/>
        <v>2</v>
      </c>
      <c r="CU77" s="36">
        <f t="shared" si="751"/>
        <v>2</v>
      </c>
      <c r="CV77" s="36">
        <f t="shared" si="752"/>
        <v>2</v>
      </c>
      <c r="CW77" s="36">
        <f t="shared" si="753"/>
        <v>2</v>
      </c>
      <c r="CX77" s="36">
        <f t="shared" si="754"/>
        <v>2</v>
      </c>
      <c r="CY77" s="36">
        <f t="shared" si="755"/>
        <v>2</v>
      </c>
      <c r="CZ77" s="36">
        <f t="shared" si="756"/>
        <v>2</v>
      </c>
      <c r="DA77" s="36">
        <f t="shared" si="757"/>
        <v>2</v>
      </c>
      <c r="DD77" s="133"/>
      <c r="DE77" s="3">
        <v>2</v>
      </c>
    </row>
    <row r="78" spans="1:109" s="3" customFormat="1" x14ac:dyDescent="0.2">
      <c r="A78" s="3" t="s">
        <v>29</v>
      </c>
      <c r="B78" s="3" t="e">
        <f>B76/B77</f>
        <v>#DIV/0!</v>
      </c>
      <c r="C78" s="3" t="e">
        <f t="shared" ref="C78:W78" si="760">C76/C77</f>
        <v>#DIV/0!</v>
      </c>
      <c r="D78" s="3">
        <f t="shared" si="760"/>
        <v>1.6620000000000001</v>
      </c>
      <c r="E78" s="3">
        <f t="shared" ca="1" si="760"/>
        <v>15.63</v>
      </c>
      <c r="F78" s="3">
        <f t="shared" ca="1" si="760"/>
        <v>15.63</v>
      </c>
      <c r="G78" s="3">
        <f t="shared" ca="1" si="760"/>
        <v>15.63</v>
      </c>
      <c r="H78" s="3">
        <f t="shared" ca="1" si="760"/>
        <v>15.63</v>
      </c>
      <c r="I78" s="3">
        <f t="shared" ca="1" si="760"/>
        <v>15.63</v>
      </c>
      <c r="J78" s="3">
        <f t="shared" ca="1" si="760"/>
        <v>15.63</v>
      </c>
      <c r="K78" s="3">
        <f t="shared" ca="1" si="760"/>
        <v>15.63</v>
      </c>
      <c r="L78" s="3">
        <f t="shared" ca="1" si="760"/>
        <v>15.63</v>
      </c>
      <c r="M78" s="3">
        <f t="shared" ca="1" si="760"/>
        <v>15.63</v>
      </c>
      <c r="N78" s="3">
        <f t="shared" ca="1" si="760"/>
        <v>15.63</v>
      </c>
      <c r="O78" s="3">
        <f t="shared" ca="1" si="760"/>
        <v>15.63</v>
      </c>
      <c r="P78" s="3">
        <f t="shared" ca="1" si="760"/>
        <v>15.63</v>
      </c>
      <c r="Q78" s="3">
        <f t="shared" ca="1" si="760"/>
        <v>15.63</v>
      </c>
      <c r="R78" s="3">
        <f t="shared" ca="1" si="760"/>
        <v>15.63</v>
      </c>
      <c r="S78" s="3">
        <f t="shared" ca="1" si="760"/>
        <v>15.63</v>
      </c>
      <c r="T78" s="3">
        <f t="shared" ca="1" si="760"/>
        <v>15.63</v>
      </c>
      <c r="U78" s="3">
        <f t="shared" ca="1" si="760"/>
        <v>15.63</v>
      </c>
      <c r="V78" s="3">
        <f ca="1">V76/V77</f>
        <v>15.63</v>
      </c>
      <c r="W78" s="3">
        <f t="shared" ca="1" si="760"/>
        <v>15.63</v>
      </c>
      <c r="X78" s="3">
        <f t="shared" ref="X78:Y78" ca="1" si="761">X76/X77</f>
        <v>15.63</v>
      </c>
      <c r="Y78" s="3">
        <f t="shared" ca="1" si="761"/>
        <v>15.63</v>
      </c>
      <c r="Z78" s="3">
        <f t="shared" ref="Z78:AA78" ca="1" si="762">Z76/Z77</f>
        <v>15.63</v>
      </c>
      <c r="AA78" s="3">
        <f t="shared" ref="AA78" ca="1" si="763">AA76/AA77</f>
        <v>15.63</v>
      </c>
      <c r="AB78" s="36">
        <f t="shared" ref="AB78:AD78" ca="1" si="764">AB76/AB77</f>
        <v>15.63</v>
      </c>
      <c r="AC78" s="36">
        <f t="shared" ca="1" si="764"/>
        <v>15.63</v>
      </c>
      <c r="AD78" s="36">
        <f t="shared" ca="1" si="764"/>
        <v>15.63</v>
      </c>
      <c r="AE78" s="36">
        <f t="shared" ref="AE78" ca="1" si="765">AE76/AE77</f>
        <v>15.63</v>
      </c>
      <c r="AI78" s="3">
        <f t="shared" ref="AI78" si="766">AI76/AI77</f>
        <v>15.63</v>
      </c>
      <c r="AJ78" s="3">
        <f t="shared" ref="AJ78" si="767">AJ76/AJ77</f>
        <v>15.63</v>
      </c>
      <c r="AK78" s="3">
        <f t="shared" ref="AK78:AM78" si="768">AK76/AK77</f>
        <v>15.63</v>
      </c>
      <c r="AL78" s="3">
        <f t="shared" si="768"/>
        <v>15.63</v>
      </c>
      <c r="AM78" s="3">
        <f t="shared" si="768"/>
        <v>15.63</v>
      </c>
      <c r="AN78" s="3">
        <f t="shared" ref="AN78:AO78" si="769">AN76/AN77</f>
        <v>15.63</v>
      </c>
      <c r="AO78" s="3">
        <f t="shared" si="769"/>
        <v>15.63</v>
      </c>
      <c r="AP78" s="3">
        <f t="shared" ref="AP78:CD78" si="770">AP76/AP77</f>
        <v>15.63</v>
      </c>
      <c r="AQ78" s="3">
        <f t="shared" si="770"/>
        <v>15.63</v>
      </c>
      <c r="AR78" s="3">
        <f t="shared" si="770"/>
        <v>15.63</v>
      </c>
      <c r="AS78" s="3">
        <f t="shared" si="770"/>
        <v>15.63</v>
      </c>
      <c r="AT78" s="3">
        <f t="shared" si="770"/>
        <v>15.63</v>
      </c>
      <c r="AU78" s="3">
        <f t="shared" si="770"/>
        <v>15.63</v>
      </c>
      <c r="AV78" s="3">
        <f t="shared" si="770"/>
        <v>15.63</v>
      </c>
      <c r="AW78" s="3">
        <f t="shared" si="770"/>
        <v>15.63</v>
      </c>
      <c r="AX78" s="3">
        <f t="shared" si="770"/>
        <v>15.63</v>
      </c>
      <c r="AY78" s="3">
        <f t="shared" si="770"/>
        <v>15.63</v>
      </c>
      <c r="AZ78" s="3">
        <f t="shared" si="770"/>
        <v>15.63</v>
      </c>
      <c r="BA78" s="3">
        <f t="shared" si="770"/>
        <v>15.63</v>
      </c>
      <c r="BB78" s="3">
        <f t="shared" si="770"/>
        <v>15.63</v>
      </c>
      <c r="BC78" s="3">
        <f t="shared" si="770"/>
        <v>15.63</v>
      </c>
      <c r="BD78" s="3">
        <f t="shared" si="770"/>
        <v>15.63</v>
      </c>
      <c r="BE78" s="3">
        <f t="shared" si="770"/>
        <v>15.63</v>
      </c>
      <c r="BF78" s="3">
        <f t="shared" si="770"/>
        <v>15.63</v>
      </c>
      <c r="BG78" s="3">
        <f t="shared" si="770"/>
        <v>15.63</v>
      </c>
      <c r="BH78" s="3">
        <f t="shared" si="770"/>
        <v>15.63</v>
      </c>
      <c r="BI78" s="3">
        <f t="shared" si="770"/>
        <v>15.63</v>
      </c>
      <c r="BJ78" s="3">
        <f t="shared" si="770"/>
        <v>15.63</v>
      </c>
      <c r="BK78" s="3">
        <f t="shared" si="770"/>
        <v>15.63</v>
      </c>
      <c r="BL78" s="3">
        <f t="shared" si="770"/>
        <v>15.63</v>
      </c>
      <c r="BM78" s="3">
        <f t="shared" si="770"/>
        <v>15.63</v>
      </c>
      <c r="BN78" s="3">
        <f t="shared" si="770"/>
        <v>15.63</v>
      </c>
      <c r="BO78" s="3">
        <f t="shared" si="770"/>
        <v>15.63</v>
      </c>
      <c r="BP78" s="3">
        <f t="shared" si="770"/>
        <v>15.63</v>
      </c>
      <c r="BQ78" s="3">
        <f t="shared" si="770"/>
        <v>15.63</v>
      </c>
      <c r="BR78" s="3">
        <f t="shared" si="770"/>
        <v>15.63</v>
      </c>
      <c r="BS78" s="3">
        <f t="shared" si="770"/>
        <v>15.63</v>
      </c>
      <c r="BT78" s="3">
        <f t="shared" si="770"/>
        <v>15.63</v>
      </c>
      <c r="BU78" s="3">
        <f t="shared" si="770"/>
        <v>15.63</v>
      </c>
      <c r="BV78" s="3">
        <f t="shared" si="770"/>
        <v>15.63</v>
      </c>
      <c r="BW78" s="3">
        <f t="shared" si="770"/>
        <v>15.63</v>
      </c>
      <c r="BX78" s="3">
        <f t="shared" si="770"/>
        <v>15.63</v>
      </c>
      <c r="BY78" s="3">
        <f t="shared" si="770"/>
        <v>15.63</v>
      </c>
      <c r="BZ78" s="3">
        <f t="shared" si="770"/>
        <v>15.63</v>
      </c>
      <c r="CA78" s="3">
        <f t="shared" si="770"/>
        <v>15.63</v>
      </c>
      <c r="CB78" s="3">
        <f t="shared" si="770"/>
        <v>15.63</v>
      </c>
      <c r="CC78" s="3">
        <f t="shared" si="770"/>
        <v>15.63</v>
      </c>
      <c r="CD78" s="3">
        <f t="shared" si="770"/>
        <v>15.63</v>
      </c>
      <c r="CE78" s="3">
        <f t="shared" ref="CE78:CF78" si="771">CE76/CE77</f>
        <v>15.63</v>
      </c>
      <c r="CF78" s="3">
        <f t="shared" si="771"/>
        <v>15.63</v>
      </c>
      <c r="CG78" s="3">
        <f t="shared" ref="CG78:CH78" si="772">CG76/CG77</f>
        <v>15.63</v>
      </c>
      <c r="CH78" s="3">
        <f t="shared" si="772"/>
        <v>15.63</v>
      </c>
      <c r="CI78" s="3">
        <f t="shared" ref="CI78:CJ78" si="773">CI76/CI77</f>
        <v>15.63</v>
      </c>
      <c r="CJ78" s="3">
        <f t="shared" si="773"/>
        <v>15.63</v>
      </c>
      <c r="CK78" s="3">
        <f t="shared" ref="CK78:CL78" si="774">CK76/CK77</f>
        <v>15.63</v>
      </c>
      <c r="CL78" s="3">
        <f t="shared" si="774"/>
        <v>15.63</v>
      </c>
      <c r="CM78" s="36">
        <f t="shared" ref="CM78:DA78" si="775">CM76/CM77</f>
        <v>15.63</v>
      </c>
      <c r="CN78" s="36">
        <f t="shared" si="775"/>
        <v>15.63</v>
      </c>
      <c r="CO78" s="36">
        <f t="shared" si="775"/>
        <v>15.63</v>
      </c>
      <c r="CP78" s="36">
        <f t="shared" si="775"/>
        <v>15.63</v>
      </c>
      <c r="CQ78" s="36">
        <f t="shared" si="775"/>
        <v>15.63</v>
      </c>
      <c r="CR78" s="36">
        <f t="shared" si="775"/>
        <v>15.63</v>
      </c>
      <c r="CS78" s="36">
        <f t="shared" si="775"/>
        <v>15.63</v>
      </c>
      <c r="CT78" s="36">
        <f t="shared" si="775"/>
        <v>15.63</v>
      </c>
      <c r="CU78" s="36">
        <f t="shared" si="775"/>
        <v>15.63</v>
      </c>
      <c r="CV78" s="36">
        <f t="shared" si="775"/>
        <v>15.63</v>
      </c>
      <c r="CW78" s="36">
        <f t="shared" si="775"/>
        <v>15.63</v>
      </c>
      <c r="CX78" s="36">
        <f t="shared" si="775"/>
        <v>15.63</v>
      </c>
      <c r="CY78" s="36">
        <f t="shared" si="775"/>
        <v>15.63</v>
      </c>
      <c r="CZ78" s="36">
        <f t="shared" si="775"/>
        <v>15.63</v>
      </c>
      <c r="DA78" s="36">
        <f t="shared" si="775"/>
        <v>15.63</v>
      </c>
      <c r="DD78" s="133"/>
      <c r="DE78" s="3">
        <v>15.63</v>
      </c>
    </row>
    <row r="79" spans="1:109" s="52" customFormat="1" x14ac:dyDescent="0.2">
      <c r="A79" s="52" t="s">
        <v>30</v>
      </c>
      <c r="B79" s="52" t="e">
        <f t="shared" ref="B79:AE79" si="776">(B61-B60)/B78</f>
        <v>#DIV/0!</v>
      </c>
      <c r="C79" s="52" t="e">
        <f t="shared" si="776"/>
        <v>#DIV/0!</v>
      </c>
      <c r="D79" s="52">
        <f t="shared" si="776"/>
        <v>11.895306859205762</v>
      </c>
      <c r="E79" s="52">
        <f t="shared" ca="1" si="776"/>
        <v>1.4817658349328211</v>
      </c>
      <c r="F79" s="52">
        <f t="shared" ca="1" si="776"/>
        <v>1.9756877799104313</v>
      </c>
      <c r="G79" s="52">
        <f t="shared" ca="1" si="776"/>
        <v>3.0639795265515044</v>
      </c>
      <c r="H79" s="52">
        <f t="shared" ca="1" si="776"/>
        <v>4.7152911068458065</v>
      </c>
      <c r="I79" s="52">
        <f t="shared" ca="1" si="776"/>
        <v>5.0882917466410769</v>
      </c>
      <c r="J79" s="52">
        <f t="shared" ca="1" si="776"/>
        <v>6.1241202815099163</v>
      </c>
      <c r="K79" s="52">
        <f t="shared" ca="1" si="776"/>
        <v>4.1932181701855438</v>
      </c>
      <c r="L79" s="52">
        <f t="shared" ca="1" si="776"/>
        <v>7.7735124760076717</v>
      </c>
      <c r="M79" s="52">
        <f t="shared" ca="1" si="776"/>
        <v>11.258477287268068</v>
      </c>
      <c r="N79" s="52">
        <f t="shared" ca="1" si="776"/>
        <v>10.184261036468333</v>
      </c>
      <c r="O79" s="52">
        <f t="shared" ca="1" si="776"/>
        <v>7.7946257197696802</v>
      </c>
      <c r="P79" s="52">
        <f t="shared" ca="1" si="776"/>
        <v>9.7811900191938541</v>
      </c>
      <c r="Q79" s="52">
        <f t="shared" ca="1" si="776"/>
        <v>12.634676903390918</v>
      </c>
      <c r="R79" s="52">
        <f t="shared" ca="1" si="776"/>
        <v>12.479846449136284</v>
      </c>
      <c r="S79" s="52">
        <f t="shared" ca="1" si="776"/>
        <v>25.145233525271873</v>
      </c>
      <c r="T79" s="52">
        <f t="shared" ca="1" si="776"/>
        <v>29.622520793346151</v>
      </c>
      <c r="U79" s="52">
        <f t="shared" ca="1" si="776"/>
        <v>23.5431861804222</v>
      </c>
      <c r="V79" s="52">
        <f t="shared" ca="1" si="776"/>
        <v>18.616122840690995</v>
      </c>
      <c r="W79" s="52">
        <f t="shared" ca="1" si="776"/>
        <v>40.25079974408191</v>
      </c>
      <c r="X79" s="52">
        <f t="shared" ca="1" si="776"/>
        <v>55.2930262316059</v>
      </c>
      <c r="Y79" s="52">
        <f t="shared" ca="1" si="776"/>
        <v>57.819577735124717</v>
      </c>
      <c r="Z79" s="52">
        <f t="shared" ca="1" si="776"/>
        <v>60.067818298144594</v>
      </c>
      <c r="AA79" s="52">
        <f t="shared" ref="AA79" ca="1" si="777">(AA61-AA60)/AA78</f>
        <v>60.067818298144594</v>
      </c>
      <c r="AB79" s="53">
        <f t="shared" ca="1" si="776"/>
        <v>89.855705334030048</v>
      </c>
      <c r="AC79" s="53">
        <f t="shared" ca="1" si="776"/>
        <v>109.8284437290682</v>
      </c>
      <c r="AD79" s="53">
        <f t="shared" ca="1" si="776"/>
        <v>123.36995004037611</v>
      </c>
      <c r="AE79" s="53">
        <f t="shared" ca="1" si="776"/>
        <v>146.1378770903938</v>
      </c>
      <c r="AI79" s="52">
        <f t="shared" ref="AI79:BN79" si="778">(AI61-AI60)/AI78</f>
        <v>2.9584133077415231</v>
      </c>
      <c r="AJ79" s="52">
        <f t="shared" si="778"/>
        <v>2.3634037108125421</v>
      </c>
      <c r="AK79" s="52">
        <f t="shared" si="778"/>
        <v>1.8995521433141402</v>
      </c>
      <c r="AL79" s="52">
        <f t="shared" si="778"/>
        <v>1.6282789507357611</v>
      </c>
      <c r="AM79" s="52">
        <f t="shared" si="778"/>
        <v>1.6365962891874577</v>
      </c>
      <c r="AN79" s="52">
        <f t="shared" si="778"/>
        <v>2.2962252079334613</v>
      </c>
      <c r="AO79" s="52">
        <f t="shared" si="778"/>
        <v>2.2335252719129861</v>
      </c>
      <c r="AP79" s="52">
        <f t="shared" si="778"/>
        <v>2.218809980806141</v>
      </c>
      <c r="AQ79" s="52">
        <f t="shared" si="778"/>
        <v>2.6084452975048027</v>
      </c>
      <c r="AR79" s="52">
        <f t="shared" si="778"/>
        <v>2.3998720409468981</v>
      </c>
      <c r="AS79" s="52">
        <f t="shared" si="778"/>
        <v>2.554062699936023</v>
      </c>
      <c r="AT79" s="52">
        <f t="shared" si="778"/>
        <v>2.6487523992322415</v>
      </c>
      <c r="AU79" s="52">
        <f t="shared" si="778"/>
        <v>3.1522712731925799</v>
      </c>
      <c r="AV79" s="52">
        <f t="shared" si="778"/>
        <v>3.2373640435060786</v>
      </c>
      <c r="AW79" s="52">
        <f t="shared" si="778"/>
        <v>3.5962891874600111</v>
      </c>
      <c r="AX79" s="52">
        <f t="shared" si="778"/>
        <v>2.6525911708253362</v>
      </c>
      <c r="AY79" s="52">
        <f t="shared" si="778"/>
        <v>2.9648112603966732</v>
      </c>
      <c r="AZ79" s="52">
        <f t="shared" si="778"/>
        <v>3.3602047344849635</v>
      </c>
      <c r="BA79" s="52">
        <f t="shared" si="778"/>
        <v>3.5022392834293039</v>
      </c>
      <c r="BB79" s="52">
        <f t="shared" si="778"/>
        <v>3.6775431861804249</v>
      </c>
      <c r="BC79" s="52">
        <f t="shared" si="778"/>
        <v>3.4536148432501648</v>
      </c>
      <c r="BD79" s="52">
        <f t="shared" si="778"/>
        <v>6.1343570057581527</v>
      </c>
      <c r="BE79" s="52">
        <f t="shared" si="778"/>
        <v>6.9149072296864986</v>
      </c>
      <c r="BF79" s="52">
        <f t="shared" si="778"/>
        <v>7.2943058221369173</v>
      </c>
      <c r="BG79" s="52">
        <f t="shared" si="778"/>
        <v>7.167626359564939</v>
      </c>
      <c r="BH79" s="52">
        <f t="shared" si="778"/>
        <v>8.3045425463851643</v>
      </c>
      <c r="BI79" s="52">
        <f t="shared" si="778"/>
        <v>6.8554062699935976</v>
      </c>
      <c r="BJ79" s="52">
        <f t="shared" si="778"/>
        <v>6.8150991682661504</v>
      </c>
      <c r="BK79" s="52">
        <f t="shared" si="778"/>
        <v>5.277031349968011</v>
      </c>
      <c r="BL79" s="52">
        <f t="shared" si="778"/>
        <v>6.0415866922584867</v>
      </c>
      <c r="BM79" s="52">
        <f t="shared" si="778"/>
        <v>5.4094689699296268</v>
      </c>
      <c r="BN79" s="52">
        <f t="shared" si="778"/>
        <v>5.0127959053102966</v>
      </c>
      <c r="BO79" s="52">
        <f t="shared" ref="BO79:CT79" si="779">(BO61-BO60)/BO78</f>
        <v>-2.7172104926423568</v>
      </c>
      <c r="BP79" s="52">
        <f t="shared" si="779"/>
        <v>7.2597568777991146</v>
      </c>
      <c r="BQ79" s="52">
        <f t="shared" si="779"/>
        <v>9.060780550223928</v>
      </c>
      <c r="BR79" s="52">
        <f t="shared" si="779"/>
        <v>8.9277031349967935</v>
      </c>
      <c r="BS79" s="52">
        <f t="shared" si="779"/>
        <v>8.1976967370441525</v>
      </c>
      <c r="BT79" s="52">
        <f t="shared" si="779"/>
        <v>10.928342930262305</v>
      </c>
      <c r="BU79" s="52">
        <f t="shared" si="779"/>
        <v>12.197056941778634</v>
      </c>
      <c r="BV79" s="52">
        <f t="shared" si="779"/>
        <v>13.251439539347412</v>
      </c>
      <c r="BW79" s="52">
        <f t="shared" si="779"/>
        <v>13.484964811260392</v>
      </c>
      <c r="BX79" s="52">
        <f t="shared" si="779"/>
        <v>13.778630838131795</v>
      </c>
      <c r="BY79" s="52">
        <f t="shared" si="779"/>
        <v>14.777991042866288</v>
      </c>
      <c r="BZ79" s="52">
        <f t="shared" si="779"/>
        <v>14.035188739603312</v>
      </c>
      <c r="CA79" s="52">
        <f t="shared" si="779"/>
        <v>15.181062060140759</v>
      </c>
      <c r="CB79" s="52">
        <f t="shared" si="779"/>
        <v>14.891874600127965</v>
      </c>
      <c r="CC79" s="52">
        <f t="shared" si="779"/>
        <v>13.711452335252725</v>
      </c>
      <c r="CD79" s="52">
        <f t="shared" si="779"/>
        <v>14.057581573896377</v>
      </c>
      <c r="CE79" s="52">
        <f t="shared" si="779"/>
        <v>15.703774792066538</v>
      </c>
      <c r="CF79" s="52">
        <f t="shared" si="779"/>
        <v>15.125399872040937</v>
      </c>
      <c r="CG79" s="52">
        <f t="shared" si="779"/>
        <v>15.181062060140752</v>
      </c>
      <c r="CH79" s="52">
        <f t="shared" si="779"/>
        <v>16.098528470889285</v>
      </c>
      <c r="CI79" s="52">
        <f t="shared" si="779"/>
        <v>18.36916186820218</v>
      </c>
      <c r="CJ79" s="52">
        <f t="shared" si="779"/>
        <v>18.506717850287927</v>
      </c>
      <c r="CK79" s="52">
        <f>(CK61-CK60)/CK78</f>
        <v>20.624440179142667</v>
      </c>
      <c r="CL79" s="52">
        <f t="shared" ref="CL79" si="780">(CL61-CL60)/CL78</f>
        <v>20.222008957133699</v>
      </c>
      <c r="CM79" s="53">
        <f t="shared" si="779"/>
        <v>21.087439620567999</v>
      </c>
      <c r="CN79" s="53">
        <f t="shared" si="779"/>
        <v>22.61166517405632</v>
      </c>
      <c r="CO79" s="53">
        <f t="shared" si="779"/>
        <v>25.934591582271995</v>
      </c>
      <c r="CP79" s="53">
        <f t="shared" si="779"/>
        <v>24.615470186389317</v>
      </c>
      <c r="CQ79" s="53">
        <f t="shared" si="779"/>
        <v>25.900277549240208</v>
      </c>
      <c r="CR79" s="53">
        <f t="shared" si="779"/>
        <v>27.743889772474379</v>
      </c>
      <c r="CS79" s="53">
        <f t="shared" si="779"/>
        <v>31.568806220964213</v>
      </c>
      <c r="CT79" s="53">
        <f t="shared" si="779"/>
        <v>27.908484771886148</v>
      </c>
      <c r="CU79" s="53">
        <f t="shared" ref="CU79:DA79" si="781">(CU61-CU60)/CU78</f>
        <v>29.181465891700558</v>
      </c>
      <c r="CV79" s="53">
        <f t="shared" si="781"/>
        <v>31.186379266885105</v>
      </c>
      <c r="CW79" s="53">
        <f t="shared" si="781"/>
        <v>35.093620109904329</v>
      </c>
      <c r="CX79" s="53">
        <f t="shared" si="781"/>
        <v>33.005007437713033</v>
      </c>
      <c r="CY79" s="53">
        <f t="shared" si="781"/>
        <v>34.404493136809563</v>
      </c>
      <c r="CZ79" s="53">
        <f t="shared" si="781"/>
        <v>37.014811240261082</v>
      </c>
      <c r="DA79" s="53">
        <f t="shared" si="781"/>
        <v>41.713565275610037</v>
      </c>
      <c r="DD79" s="131"/>
      <c r="DE79" s="52">
        <v>73.598848368521971</v>
      </c>
    </row>
    <row r="80" spans="1:109" s="3" customFormat="1" x14ac:dyDescent="0.2">
      <c r="A80" s="3" t="s">
        <v>31</v>
      </c>
      <c r="B80" s="3">
        <f>'Annual Raw'!C110</f>
        <v>0</v>
      </c>
      <c r="C80" s="3">
        <f>'Annual Raw'!D110</f>
        <v>0</v>
      </c>
      <c r="D80" s="3">
        <f>'Annual Raw'!E110</f>
        <v>0.8</v>
      </c>
      <c r="E80" s="3">
        <f>'Annual Raw'!F110</f>
        <v>0.9</v>
      </c>
      <c r="F80" s="3">
        <f>'Annual Raw'!G110</f>
        <v>0.7</v>
      </c>
      <c r="G80" s="3">
        <f>'Annual Raw'!H110</f>
        <v>0.7</v>
      </c>
      <c r="H80" s="3">
        <f>'Annual Raw'!I110</f>
        <v>0.8</v>
      </c>
      <c r="I80" s="3">
        <f>'Annual Raw'!J110</f>
        <v>0.8</v>
      </c>
      <c r="J80" s="3">
        <f>'Annual Raw'!K110</f>
        <v>0.9</v>
      </c>
      <c r="K80" s="3">
        <f>'Annual Raw'!L110</f>
        <v>0.9</v>
      </c>
      <c r="L80" s="3">
        <f>'Annual Raw'!M110</f>
        <v>1</v>
      </c>
      <c r="M80" s="3">
        <f>'Annual Raw'!N110</f>
        <v>2</v>
      </c>
      <c r="N80" s="3">
        <f>'Annual Raw'!O110</f>
        <v>1</v>
      </c>
      <c r="O80" s="3">
        <f>'Annual Raw'!P110</f>
        <v>1.2</v>
      </c>
      <c r="P80" s="3">
        <f>'Annual Raw'!Q110</f>
        <v>1.5</v>
      </c>
      <c r="Q80" s="3">
        <f>'Annual Raw'!R110</f>
        <v>2</v>
      </c>
      <c r="R80" s="3">
        <f>'Annual Raw'!S110</f>
        <v>2.4</v>
      </c>
      <c r="S80" s="3">
        <f>'Annual Raw'!T110</f>
        <v>3.4</v>
      </c>
      <c r="T80" s="3">
        <f>'Annual Raw'!U110</f>
        <v>6</v>
      </c>
      <c r="U80" s="3">
        <f>'Annual Raw'!V110</f>
        <v>7</v>
      </c>
      <c r="V80" s="3">
        <f>'Annual Raw'!W110</f>
        <v>7.6</v>
      </c>
      <c r="W80" s="3">
        <f>'Annual Raw'!X110</f>
        <v>16</v>
      </c>
      <c r="X80" s="3">
        <f>'Annual Raw'!Y110</f>
        <v>24</v>
      </c>
      <c r="Y80" s="3">
        <f>'Annual Raw'!Z110</f>
        <v>26</v>
      </c>
      <c r="Z80" s="3">
        <f>'Annual Raw'!AA110</f>
        <v>28</v>
      </c>
      <c r="AA80" s="3">
        <f>'Annual Raw'!AB110</f>
        <v>35</v>
      </c>
      <c r="AB80" s="36"/>
      <c r="AC80" s="36"/>
      <c r="AD80" s="36"/>
      <c r="AE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  <c r="DE80" s="3">
        <v>35</v>
      </c>
    </row>
    <row r="81" spans="1:109" s="3" customFormat="1" x14ac:dyDescent="0.2">
      <c r="A81" s="3" t="s">
        <v>32</v>
      </c>
      <c r="B81" s="3" t="e">
        <f>B80/B79</f>
        <v>#DIV/0!</v>
      </c>
      <c r="C81" s="3" t="e">
        <f t="shared" ref="C81:U81" si="782">C80/C79</f>
        <v>#DIV/0!</v>
      </c>
      <c r="D81" s="3">
        <f t="shared" si="782"/>
        <v>6.7253414264036498E-2</v>
      </c>
      <c r="E81" s="3">
        <f t="shared" ca="1" si="782"/>
        <v>0.60738341968911935</v>
      </c>
      <c r="F81" s="3">
        <f t="shared" ca="1" si="782"/>
        <v>0.35430699481865235</v>
      </c>
      <c r="G81" s="3">
        <f t="shared" ca="1" si="782"/>
        <v>0.22846105658801411</v>
      </c>
      <c r="H81" s="3">
        <f t="shared" ca="1" si="782"/>
        <v>0.16966078697421991</v>
      </c>
      <c r="I81" s="3">
        <f t="shared" ca="1" si="782"/>
        <v>0.15722368917389659</v>
      </c>
      <c r="J81" s="3">
        <f t="shared" ca="1" si="782"/>
        <v>0.1469598829920602</v>
      </c>
      <c r="K81" s="3">
        <f t="shared" ca="1" si="782"/>
        <v>0.2146322856270978</v>
      </c>
      <c r="L81" s="3">
        <f t="shared" ca="1" si="782"/>
        <v>0.12864197530864208</v>
      </c>
      <c r="M81" s="3">
        <f t="shared" ca="1" si="782"/>
        <v>0.17764391657668929</v>
      </c>
      <c r="N81" s="3">
        <f t="shared" ca="1" si="782"/>
        <v>9.8190727478326384E-2</v>
      </c>
      <c r="O81" s="3">
        <f t="shared" ca="1" si="782"/>
        <v>0.15395222851514392</v>
      </c>
      <c r="P81" s="3">
        <f t="shared" ca="1" si="782"/>
        <v>0.1533555729984302</v>
      </c>
      <c r="Q81" s="3">
        <f t="shared" ca="1" si="782"/>
        <v>0.15829451083654036</v>
      </c>
      <c r="R81" s="3">
        <f t="shared" ca="1" si="782"/>
        <v>0.1923100584435557</v>
      </c>
      <c r="S81" s="3">
        <f t="shared" ca="1" si="782"/>
        <v>0.13521449290112483</v>
      </c>
      <c r="T81" s="3">
        <f t="shared" ca="1" si="782"/>
        <v>0.20254859611231085</v>
      </c>
      <c r="U81" s="3">
        <f t="shared" ca="1" si="782"/>
        <v>0.29732594162726317</v>
      </c>
      <c r="V81" s="3">
        <f ca="1">V80/V79</f>
        <v>0.4082482730178365</v>
      </c>
      <c r="W81" s="3">
        <f t="shared" ref="W81" ca="1" si="783">W80/W79</f>
        <v>0.3975076297049846</v>
      </c>
      <c r="X81" s="3">
        <f t="shared" ref="X81:Y81" ca="1" si="784">X80/X79</f>
        <v>0.43405112065075258</v>
      </c>
      <c r="Y81" s="3">
        <f t="shared" ca="1" si="784"/>
        <v>0.44967467799761024</v>
      </c>
      <c r="Z81" s="3">
        <f t="shared" ref="Z81:AA81" ca="1" si="785">Z80/Z79</f>
        <v>0.46613978654964533</v>
      </c>
      <c r="AA81" s="3">
        <f t="shared" ref="AA81" ca="1" si="786">AA80/AA79</f>
        <v>0.46613978654964533</v>
      </c>
      <c r="AB81" s="36">
        <f t="shared" ref="AB81:AD81" ca="1" si="787">AB80/AB79</f>
        <v>0</v>
      </c>
      <c r="AC81" s="36">
        <f t="shared" ca="1" si="787"/>
        <v>0</v>
      </c>
      <c r="AD81" s="36">
        <f t="shared" ca="1" si="787"/>
        <v>0</v>
      </c>
      <c r="AE81" s="36">
        <f t="shared" ref="AE81" ca="1" si="788">AE80/AE79</f>
        <v>0</v>
      </c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D81" s="133"/>
      <c r="DE81" s="3">
        <v>0</v>
      </c>
    </row>
    <row r="82" spans="1:109" s="3" customFormat="1" x14ac:dyDescent="0.2">
      <c r="A82" s="3" t="s">
        <v>33</v>
      </c>
      <c r="B82" s="3" t="e">
        <f>+B79</f>
        <v>#DIV/0!</v>
      </c>
      <c r="C82" s="3" t="e">
        <f t="shared" ref="C82:U82" si="789">+C79</f>
        <v>#DIV/0!</v>
      </c>
      <c r="D82" s="3">
        <f t="shared" si="789"/>
        <v>11.895306859205762</v>
      </c>
      <c r="E82" s="3">
        <f t="shared" ca="1" si="789"/>
        <v>1.4817658349328211</v>
      </c>
      <c r="F82" s="3">
        <f t="shared" ca="1" si="789"/>
        <v>1.9756877799104313</v>
      </c>
      <c r="G82" s="3">
        <f t="shared" ca="1" si="789"/>
        <v>3.0639795265515044</v>
      </c>
      <c r="H82" s="3">
        <f t="shared" ca="1" si="789"/>
        <v>4.7152911068458065</v>
      </c>
      <c r="I82" s="3">
        <f t="shared" ca="1" si="789"/>
        <v>5.0882917466410769</v>
      </c>
      <c r="J82" s="3">
        <f t="shared" ca="1" si="789"/>
        <v>6.1241202815099163</v>
      </c>
      <c r="K82" s="3">
        <f t="shared" ca="1" si="789"/>
        <v>4.1932181701855438</v>
      </c>
      <c r="L82" s="3">
        <f t="shared" ca="1" si="789"/>
        <v>7.7735124760076717</v>
      </c>
      <c r="M82" s="3">
        <f t="shared" ca="1" si="789"/>
        <v>11.258477287268068</v>
      </c>
      <c r="N82" s="3">
        <f t="shared" ca="1" si="789"/>
        <v>10.184261036468333</v>
      </c>
      <c r="O82" s="3">
        <f t="shared" ca="1" si="789"/>
        <v>7.7946257197696802</v>
      </c>
      <c r="P82" s="3">
        <f t="shared" ca="1" si="789"/>
        <v>9.7811900191938541</v>
      </c>
      <c r="Q82" s="3">
        <f t="shared" ca="1" si="789"/>
        <v>12.634676903390918</v>
      </c>
      <c r="R82" s="3">
        <f t="shared" ca="1" si="789"/>
        <v>12.479846449136284</v>
      </c>
      <c r="S82" s="3">
        <f t="shared" ca="1" si="789"/>
        <v>25.145233525271873</v>
      </c>
      <c r="T82" s="3">
        <f ca="1">+T79</f>
        <v>29.622520793346151</v>
      </c>
      <c r="U82" s="3">
        <f t="shared" ca="1" si="789"/>
        <v>23.5431861804222</v>
      </c>
      <c r="V82" s="3">
        <f ca="1">+V79</f>
        <v>18.616122840690995</v>
      </c>
      <c r="W82" s="3">
        <f t="shared" ref="W82" ca="1" si="790">+W79</f>
        <v>40.25079974408191</v>
      </c>
      <c r="X82" s="3">
        <f t="shared" ref="X82:Y82" ca="1" si="791">+X79</f>
        <v>55.2930262316059</v>
      </c>
      <c r="Y82" s="3">
        <f t="shared" ca="1" si="791"/>
        <v>57.819577735124717</v>
      </c>
      <c r="Z82" s="3">
        <f t="shared" ref="Z82:AA82" ca="1" si="792">+Z79</f>
        <v>60.067818298144594</v>
      </c>
      <c r="AA82" s="3">
        <f t="shared" ref="AA82" ca="1" si="793">+AA79</f>
        <v>60.067818298144594</v>
      </c>
      <c r="AB82" s="36">
        <f t="shared" ref="AB82:AD82" ca="1" si="794">+AB79</f>
        <v>89.855705334030048</v>
      </c>
      <c r="AC82" s="36">
        <f t="shared" ca="1" si="794"/>
        <v>109.8284437290682</v>
      </c>
      <c r="AD82" s="36">
        <f t="shared" ca="1" si="794"/>
        <v>123.36995004037611</v>
      </c>
      <c r="AE82" s="36">
        <f t="shared" ref="AE82" ca="1" si="795">+AE79</f>
        <v>146.1378770903938</v>
      </c>
      <c r="AL82" s="3">
        <f>SUM(AI79:AL79)</f>
        <v>8.8496481126039654</v>
      </c>
      <c r="AM82" s="3">
        <f t="shared" ref="AM82" si="796">SUM(AJ79:AM79)</f>
        <v>7.5278310940499011</v>
      </c>
      <c r="AN82" s="3">
        <f t="shared" ref="AN82" si="797">SUM(AK79:AN79)</f>
        <v>7.4606525911708204</v>
      </c>
      <c r="AO82" s="3">
        <f t="shared" ref="AO82" si="798">SUM(AL79:AO79)</f>
        <v>7.794625719769666</v>
      </c>
      <c r="AP82" s="3">
        <f t="shared" ref="AP82" si="799">SUM(AM79:AP79)</f>
        <v>8.3851567498400463</v>
      </c>
      <c r="AQ82" s="3">
        <f t="shared" ref="AQ82" si="800">SUM(AN79:AQ79)</f>
        <v>9.3570057581573902</v>
      </c>
      <c r="AR82" s="3">
        <f t="shared" ref="AR82" si="801">SUM(AO79:AR79)</f>
        <v>9.4606525911708275</v>
      </c>
      <c r="AS82" s="3">
        <f t="shared" ref="AS82" si="802">SUM(AP79:AS79)</f>
        <v>9.7811900191938648</v>
      </c>
      <c r="AT82" s="3">
        <f t="shared" ref="AT82" si="803">SUM(AQ79:AT79)</f>
        <v>10.211132437619964</v>
      </c>
      <c r="AU82" s="3">
        <f t="shared" ref="AU82" si="804">SUM(AR79:AU79)</f>
        <v>10.754958413307744</v>
      </c>
      <c r="AV82" s="3">
        <f t="shared" ref="AV82" si="805">SUM(AS79:AV79)</f>
        <v>11.592450415866923</v>
      </c>
      <c r="AW82" s="3">
        <f t="shared" ref="AW82" si="806">SUM(AT79:AW79)</f>
        <v>12.634676903390911</v>
      </c>
      <c r="AX82" s="3">
        <f t="shared" ref="AX82" si="807">SUM(AU79:AX79)</f>
        <v>12.638515674984006</v>
      </c>
      <c r="AY82" s="3">
        <f t="shared" ref="AY82" si="808">SUM(AV79:AY79)</f>
        <v>12.4510556621881</v>
      </c>
      <c r="AZ82" s="3">
        <f t="shared" ref="AZ82" si="809">SUM(AW79:AZ79)</f>
        <v>12.573896353166983</v>
      </c>
      <c r="BA82" s="3">
        <f t="shared" ref="BA82" si="810">SUM(AX79:BA79)</f>
        <v>12.479846449136277</v>
      </c>
      <c r="BB82" s="3">
        <f t="shared" ref="BB82" si="811">SUM(AY79:BB79)</f>
        <v>13.504798464491365</v>
      </c>
      <c r="BC82" s="3">
        <f t="shared" ref="BC82" si="812">SUM(AZ79:BC79)</f>
        <v>13.993602047344858</v>
      </c>
      <c r="BD82" s="3">
        <f t="shared" ref="BD82" si="813">SUM(BA79:BD79)</f>
        <v>16.767754318618046</v>
      </c>
      <c r="BE82" s="3">
        <f t="shared" ref="BE82" si="814">SUM(BB79:BE79)</f>
        <v>20.18042226487524</v>
      </c>
      <c r="BF82" s="3">
        <f t="shared" ref="BF82" si="815">SUM(BC79:BF79)</f>
        <v>23.797184900831734</v>
      </c>
      <c r="BG82" s="3">
        <f t="shared" ref="BG82" si="816">SUM(BD79:BG79)</f>
        <v>27.511196417146508</v>
      </c>
      <c r="BH82" s="3">
        <f t="shared" ref="BH82" si="817">SUM(BE79:BH79)</f>
        <v>29.681381957773517</v>
      </c>
      <c r="BI82" s="3">
        <f t="shared" ref="BI82" si="818">SUM(BF79:BI79)</f>
        <v>29.621880998080616</v>
      </c>
      <c r="BJ82" s="3">
        <f t="shared" ref="BJ82" si="819">SUM(BG79:BJ79)</f>
        <v>29.142674344209851</v>
      </c>
      <c r="BK82" s="3">
        <f t="shared" ref="BK82" si="820">SUM(BH79:BK79)</f>
        <v>27.252079334612922</v>
      </c>
      <c r="BL82" s="3">
        <f t="shared" ref="BL82" si="821">SUM(BI79:BL79)</f>
        <v>24.989123480486246</v>
      </c>
      <c r="BM82" s="3">
        <f t="shared" ref="BM82" si="822">SUM(BJ79:BM79)</f>
        <v>23.543186180422275</v>
      </c>
      <c r="BN82" s="3">
        <f t="shared" ref="BN82" si="823">SUM(BK79:BN79)</f>
        <v>21.740882917466422</v>
      </c>
      <c r="BO82" s="3">
        <f t="shared" ref="BO82" si="824">SUM(BL79:BO79)</f>
        <v>13.746641074856052</v>
      </c>
      <c r="BP82" s="3">
        <f t="shared" ref="BP82" si="825">SUM(BM79:BP79)</f>
        <v>14.964811260396681</v>
      </c>
      <c r="BQ82" s="3">
        <f t="shared" ref="BQ82" si="826">SUM(BN79:BQ79)</f>
        <v>18.616122840690984</v>
      </c>
      <c r="BR82" s="3">
        <f t="shared" ref="BR82" si="827">SUM(BO79:BR79)</f>
        <v>22.531030070377479</v>
      </c>
      <c r="BS82" s="3">
        <f t="shared" ref="BS82" si="828">SUM(BP79:BS79)</f>
        <v>33.445937300063989</v>
      </c>
      <c r="BT82" s="3">
        <f t="shared" ref="BT82" si="829">SUM(BQ79:BT79)</f>
        <v>37.114523352527179</v>
      </c>
      <c r="BU82" s="3">
        <f t="shared" ref="BU82" si="830">SUM(BR79:BU79)</f>
        <v>40.250799744081881</v>
      </c>
      <c r="BV82" s="3">
        <f t="shared" ref="BV82" si="831">SUM(BS79:BV79)</f>
        <v>44.5745361484325</v>
      </c>
      <c r="BW82" s="3">
        <f t="shared" ref="BW82" si="832">SUM(BT79:BW79)</f>
        <v>49.861804222648736</v>
      </c>
      <c r="BX82" s="3">
        <f t="shared" ref="BX82" si="833">SUM(BU79:BX79)</f>
        <v>52.712092130518236</v>
      </c>
      <c r="BY82" s="3">
        <f t="shared" ref="BY82" si="834">SUM(BV79:BY79)</f>
        <v>55.293026231605893</v>
      </c>
      <c r="BZ82" s="3">
        <f t="shared" ref="BZ82" si="835">SUM(BW79:BZ79)</f>
        <v>56.07677543186179</v>
      </c>
      <c r="CA82" s="3">
        <f t="shared" ref="CA82" si="836">SUM(BX79:CA79)</f>
        <v>57.772872680742154</v>
      </c>
      <c r="CB82" s="3">
        <f t="shared" ref="CB82" si="837">SUM(BY79:CB79)</f>
        <v>58.88611644273832</v>
      </c>
      <c r="CC82" s="3">
        <f t="shared" ref="CC82" si="838">SUM(BZ79:CC79)</f>
        <v>57.81957773512476</v>
      </c>
      <c r="CD82" s="3">
        <f t="shared" ref="CD82" si="839">SUM(CA79:CD79)</f>
        <v>57.841970569417825</v>
      </c>
      <c r="CE82" s="3">
        <f t="shared" ref="CE82" si="840">SUM(CB79:CE79)</f>
        <v>58.364683301343604</v>
      </c>
      <c r="CF82" s="3">
        <f t="shared" ref="CF82" si="841">SUM(CC79:CF79)</f>
        <v>58.598208573256578</v>
      </c>
      <c r="CG82" s="3">
        <f t="shared" ref="CG82" si="842">SUM(CD79:CG79)</f>
        <v>60.067818298144608</v>
      </c>
      <c r="CH82" s="3">
        <f t="shared" ref="CH82:CL82" si="843">SUM(CE79:CH79)</f>
        <v>62.108765195137515</v>
      </c>
      <c r="CI82" s="3">
        <f t="shared" si="843"/>
        <v>64.774152271273152</v>
      </c>
      <c r="CJ82" s="3">
        <f t="shared" si="843"/>
        <v>68.15547024952015</v>
      </c>
      <c r="CK82" s="3">
        <f t="shared" si="843"/>
        <v>73.598848368522056</v>
      </c>
      <c r="CL82" s="3">
        <f t="shared" si="843"/>
        <v>77.722328854766474</v>
      </c>
      <c r="CM82" s="36">
        <f t="shared" ref="CM82" si="844">SUM(CJ79:CM79)</f>
        <v>80.440606607132281</v>
      </c>
      <c r="CN82" s="36">
        <f t="shared" ref="CN82" si="845">SUM(CK79:CN79)</f>
        <v>84.545553930900681</v>
      </c>
      <c r="CO82" s="36">
        <f t="shared" ref="CO82" si="846">SUM(CL79:CO79)</f>
        <v>89.85570533403002</v>
      </c>
      <c r="CP82" s="36">
        <f t="shared" ref="CP82" si="847">SUM(CM79:CP79)</f>
        <v>94.249166563285627</v>
      </c>
      <c r="CQ82" s="36">
        <f t="shared" ref="CQ82" si="848">SUM(CN79:CQ79)</f>
        <v>99.06200449195785</v>
      </c>
      <c r="CR82" s="36">
        <f t="shared" ref="CR82" si="849">SUM(CO79:CR79)</f>
        <v>104.1942290903759</v>
      </c>
      <c r="CS82" s="36">
        <f t="shared" ref="CS82" si="850">SUM(CP79:CS79)</f>
        <v>109.82844372906811</v>
      </c>
      <c r="CT82" s="36">
        <f t="shared" ref="CT82" si="851">SUM(CQ79:CT79)</f>
        <v>113.12145831456496</v>
      </c>
      <c r="CU82" s="36">
        <f t="shared" ref="CU82" si="852">SUM(CR79:CU79)</f>
        <v>116.4026466570253</v>
      </c>
      <c r="CV82" s="36">
        <f t="shared" ref="CV82" si="853">SUM(CS79:CV79)</f>
        <v>119.84513615143601</v>
      </c>
      <c r="CW82" s="36">
        <f t="shared" ref="CW82" si="854">SUM(CT79:CW79)</f>
        <v>123.36995004037612</v>
      </c>
      <c r="CX82" s="36">
        <f t="shared" ref="CX82" si="855">SUM(CU79:CX79)</f>
        <v>128.46647270620304</v>
      </c>
      <c r="CY82" s="36">
        <f t="shared" ref="CY82" si="856">SUM(CV79:CY79)</f>
        <v>133.68949995131203</v>
      </c>
      <c r="CZ82" s="36">
        <f t="shared" ref="CZ82" si="857">SUM(CW79:CZ79)</f>
        <v>139.51793192468801</v>
      </c>
      <c r="DA82" s="36">
        <f t="shared" ref="DA82" si="858">SUM(CX79:DA79)</f>
        <v>146.13787709039372</v>
      </c>
      <c r="DD82" s="133"/>
      <c r="DE82" s="3">
        <v>73.598848368521971</v>
      </c>
    </row>
    <row r="83" spans="1:109" s="96" customFormat="1" x14ac:dyDescent="0.2">
      <c r="A83" s="96" t="s">
        <v>424</v>
      </c>
      <c r="C83" s="100" t="e">
        <f t="shared" ref="C83:AA83" si="859">+C82/B82-1</f>
        <v>#DIV/0!</v>
      </c>
      <c r="D83" s="100" t="e">
        <f t="shared" si="859"/>
        <v>#DIV/0!</v>
      </c>
      <c r="E83" s="100">
        <f t="shared" ca="1" si="859"/>
        <v>-0.87543273557620882</v>
      </c>
      <c r="F83" s="100">
        <f t="shared" ca="1" si="859"/>
        <v>0.33333333333333548</v>
      </c>
      <c r="G83" s="100">
        <f t="shared" ca="1" si="859"/>
        <v>0.5508419689119155</v>
      </c>
      <c r="H83" s="100">
        <f t="shared" ca="1" si="859"/>
        <v>0.53894341198579943</v>
      </c>
      <c r="I83" s="100">
        <f t="shared" ca="1" si="859"/>
        <v>7.9104477611941393E-2</v>
      </c>
      <c r="J83" s="100">
        <f t="shared" ca="1" si="859"/>
        <v>0.2035709795045888</v>
      </c>
      <c r="K83" s="100">
        <f t="shared" ca="1" si="859"/>
        <v>-0.31529460927705755</v>
      </c>
      <c r="L83" s="100">
        <f t="shared" ca="1" si="859"/>
        <v>0.85382972230698528</v>
      </c>
      <c r="M83" s="100">
        <f t="shared" ca="1" si="859"/>
        <v>0.44831275720164632</v>
      </c>
      <c r="N83" s="100">
        <f t="shared" ca="1" si="859"/>
        <v>-9.5413991021195965E-2</v>
      </c>
      <c r="O83" s="100">
        <f t="shared" ca="1" si="859"/>
        <v>-0.2346400301545416</v>
      </c>
      <c r="P83" s="100">
        <f t="shared" ca="1" si="859"/>
        <v>0.25486333415414775</v>
      </c>
      <c r="Q83" s="100">
        <f t="shared" ca="1" si="859"/>
        <v>0.29173207744636409</v>
      </c>
      <c r="R83" s="100">
        <f t="shared" ca="1" si="859"/>
        <v>-1.2254405509418365E-2</v>
      </c>
      <c r="S83" s="100">
        <f t="shared" ca="1" si="859"/>
        <v>1.0148672203424542</v>
      </c>
      <c r="T83" s="100">
        <f t="shared" ca="1" si="859"/>
        <v>0.17805709633097822</v>
      </c>
      <c r="U83" s="100">
        <f t="shared" ca="1" si="859"/>
        <v>-0.20522678185745413</v>
      </c>
      <c r="V83" s="100">
        <f t="shared" ca="1" si="859"/>
        <v>-0.20927767813467835</v>
      </c>
      <c r="W83" s="100">
        <f t="shared" ca="1" si="859"/>
        <v>1.162147300408976</v>
      </c>
      <c r="X83" s="100">
        <f t="shared" ca="1" si="859"/>
        <v>0.37371248728382489</v>
      </c>
      <c r="Y83" s="100">
        <f t="shared" ca="1" si="859"/>
        <v>4.5693854645174392E-2</v>
      </c>
      <c r="Z83" s="100">
        <f t="shared" ca="1" si="859"/>
        <v>3.8883725047581974E-2</v>
      </c>
      <c r="AA83" s="100">
        <f t="shared" ca="1" si="859"/>
        <v>3.8883725047581974E-2</v>
      </c>
      <c r="AB83" s="173">
        <f t="shared" ref="AB83" ca="1" si="860">+AB82/AA82-1</f>
        <v>0.22088466498969139</v>
      </c>
      <c r="AC83" s="173">
        <f t="shared" ref="AC83" ca="1" si="861">+AC82/AB82-1</f>
        <v>0.22227568434070366</v>
      </c>
      <c r="AD83" s="173">
        <f t="shared" ref="AD83" ca="1" si="862">+AD82/AC82-1</f>
        <v>0.12329689697427537</v>
      </c>
      <c r="AE83" s="173">
        <f t="shared" ref="AE83" ca="1" si="863">+AE82/AD82-1</f>
        <v>0.18455002245333074</v>
      </c>
      <c r="AL83" s="175"/>
      <c r="AM83" s="175"/>
      <c r="AN83" s="175"/>
      <c r="AO83" s="175"/>
      <c r="AP83" s="175">
        <f t="shared" ref="AP83:CL83" si="864">+IF(AL82&lt;0,1-AP82/AL82,AP82/AL82-1)</f>
        <v>-5.2486986697513394E-2</v>
      </c>
      <c r="AQ83" s="175">
        <f t="shared" si="864"/>
        <v>0.24298827129015854</v>
      </c>
      <c r="AR83" s="175">
        <f t="shared" si="864"/>
        <v>0.26807306405968734</v>
      </c>
      <c r="AS83" s="175">
        <f t="shared" si="864"/>
        <v>0.2548633341541513</v>
      </c>
      <c r="AT83" s="175">
        <f t="shared" si="864"/>
        <v>0.2177628567068528</v>
      </c>
      <c r="AU83" s="175">
        <f t="shared" si="864"/>
        <v>0.14940170940170949</v>
      </c>
      <c r="AV83" s="175">
        <f t="shared" si="864"/>
        <v>0.22533306282545462</v>
      </c>
      <c r="AW83" s="175">
        <f t="shared" si="864"/>
        <v>0.29173207744636187</v>
      </c>
      <c r="AX83" s="175">
        <f t="shared" si="864"/>
        <v>0.23771929824561377</v>
      </c>
      <c r="AY83" s="175">
        <f t="shared" si="864"/>
        <v>0.15770374776918472</v>
      </c>
      <c r="AZ83" s="175">
        <f t="shared" si="864"/>
        <v>8.4662508968485817E-2</v>
      </c>
      <c r="BA83" s="175">
        <f t="shared" si="864"/>
        <v>-1.2254405509418365E-2</v>
      </c>
      <c r="BB83" s="175">
        <f t="shared" si="864"/>
        <v>6.854307988255548E-2</v>
      </c>
      <c r="BC83" s="175">
        <f t="shared" si="864"/>
        <v>0.12388880324752138</v>
      </c>
      <c r="BD83" s="175">
        <f t="shared" si="864"/>
        <v>0.33353686460082499</v>
      </c>
      <c r="BE83" s="175">
        <f t="shared" si="864"/>
        <v>0.61704091048908016</v>
      </c>
      <c r="BF83" s="175">
        <f t="shared" si="864"/>
        <v>0.76212810308887602</v>
      </c>
      <c r="BG83" s="175">
        <f t="shared" si="864"/>
        <v>0.96598390636429987</v>
      </c>
      <c r="BH83" s="175">
        <f t="shared" si="864"/>
        <v>0.77014652014652007</v>
      </c>
      <c r="BI83" s="175">
        <f t="shared" si="864"/>
        <v>0.46785238729313305</v>
      </c>
      <c r="BJ83" s="175">
        <f t="shared" si="864"/>
        <v>0.22462696599005239</v>
      </c>
      <c r="BK83" s="175">
        <f t="shared" si="864"/>
        <v>-9.4186046511626209E-3</v>
      </c>
      <c r="BL83" s="175">
        <f t="shared" si="864"/>
        <v>-0.15808760131057087</v>
      </c>
      <c r="BM83" s="175">
        <f t="shared" si="864"/>
        <v>-0.20520961575843943</v>
      </c>
      <c r="BN83" s="175">
        <f t="shared" si="864"/>
        <v>-0.25398463227222789</v>
      </c>
      <c r="BO83" s="175">
        <f t="shared" si="864"/>
        <v>-0.49557459795750647</v>
      </c>
      <c r="BP83" s="175">
        <f t="shared" si="864"/>
        <v>-0.40114701213579773</v>
      </c>
      <c r="BQ83" s="175">
        <f t="shared" si="864"/>
        <v>-0.20927767813468134</v>
      </c>
      <c r="BR83" s="175">
        <f t="shared" si="864"/>
        <v>3.6343839204260764E-2</v>
      </c>
      <c r="BS83" s="175">
        <f t="shared" si="864"/>
        <v>1.4330261565670663</v>
      </c>
      <c r="BT83" s="175">
        <f t="shared" si="864"/>
        <v>1.4801197092774667</v>
      </c>
      <c r="BU83" s="175">
        <f t="shared" si="864"/>
        <v>1.1621473004089755</v>
      </c>
      <c r="BV83" s="175">
        <f t="shared" si="864"/>
        <v>0.978362108132667</v>
      </c>
      <c r="BW83" s="175">
        <f t="shared" si="864"/>
        <v>0.49081796617950779</v>
      </c>
      <c r="BX83" s="175">
        <f t="shared" si="864"/>
        <v>0.42025512842613399</v>
      </c>
      <c r="BY83" s="175">
        <f t="shared" si="864"/>
        <v>0.37371248728382556</v>
      </c>
      <c r="BZ83" s="175">
        <f t="shared" si="864"/>
        <v>0.25804506961389384</v>
      </c>
      <c r="CA83" s="175">
        <f t="shared" si="864"/>
        <v>0.15865989170323624</v>
      </c>
      <c r="CB83" s="175">
        <f t="shared" si="864"/>
        <v>0.11712728640959336</v>
      </c>
      <c r="CC83" s="175">
        <f t="shared" si="864"/>
        <v>4.569385464517528E-2</v>
      </c>
      <c r="CD83" s="175">
        <f t="shared" si="864"/>
        <v>3.1478185469150155E-2</v>
      </c>
      <c r="CE83" s="175">
        <f t="shared" si="864"/>
        <v>1.0243745777916313E-2</v>
      </c>
      <c r="CF83" s="175">
        <f t="shared" si="864"/>
        <v>-4.8892317387190243E-3</v>
      </c>
      <c r="CG83" s="175">
        <f t="shared" si="864"/>
        <v>3.8883725047581308E-2</v>
      </c>
      <c r="CH83" s="175">
        <f t="shared" si="864"/>
        <v>7.376641189288291E-2</v>
      </c>
      <c r="CI83" s="175">
        <f t="shared" si="864"/>
        <v>0.10981759186178941</v>
      </c>
      <c r="CJ83" s="175">
        <f t="shared" si="864"/>
        <v>0.1630981886471079</v>
      </c>
      <c r="CK83" s="175">
        <f t="shared" si="864"/>
        <v>0.2252625524572347</v>
      </c>
      <c r="CL83" s="175">
        <f t="shared" si="864"/>
        <v>0.25139066298570278</v>
      </c>
      <c r="CM83" s="101">
        <f t="shared" ref="CM83:DA83" si="865">+IF(CI82&lt;0,1-CM82/CI82,CM82/CI82-1)</f>
        <v>0.24186274596459811</v>
      </c>
      <c r="CN83" s="101">
        <f t="shared" si="865"/>
        <v>0.24048082452333941</v>
      </c>
      <c r="CO83" s="101">
        <f t="shared" si="865"/>
        <v>0.22088466498968962</v>
      </c>
      <c r="CP83" s="101">
        <f t="shared" si="865"/>
        <v>0.21263950723094704</v>
      </c>
      <c r="CQ83" s="101">
        <f t="shared" si="865"/>
        <v>0.23149250944577671</v>
      </c>
      <c r="CR83" s="101">
        <f t="shared" si="865"/>
        <v>0.23240341148553045</v>
      </c>
      <c r="CS83" s="101">
        <f t="shared" si="865"/>
        <v>0.22227568434070322</v>
      </c>
      <c r="CT83" s="101">
        <f t="shared" si="865"/>
        <v>0.20023828792806486</v>
      </c>
      <c r="CU83" s="101">
        <f t="shared" si="865"/>
        <v>0.17504836747448627</v>
      </c>
      <c r="CV83" s="101">
        <f t="shared" si="865"/>
        <v>0.15020896260468364</v>
      </c>
      <c r="CW83" s="101">
        <f t="shared" si="865"/>
        <v>0.12329689697427626</v>
      </c>
      <c r="CX83" s="101">
        <f t="shared" si="865"/>
        <v>0.13565078297494271</v>
      </c>
      <c r="CY83" s="101">
        <f t="shared" si="865"/>
        <v>0.14850910860490663</v>
      </c>
      <c r="CZ83" s="101">
        <f t="shared" si="865"/>
        <v>0.16415180794983208</v>
      </c>
      <c r="DA83" s="101">
        <f t="shared" si="865"/>
        <v>0.18455002245332985</v>
      </c>
      <c r="DD83" s="134"/>
      <c r="DE83" s="96">
        <v>0.22526255245723359</v>
      </c>
    </row>
    <row r="84" spans="1:109" s="143" customFormat="1" x14ac:dyDescent="0.2">
      <c r="AB84" s="144"/>
      <c r="AC84" s="144"/>
      <c r="AD84" s="144"/>
      <c r="AE84" s="144"/>
      <c r="CM84" s="144"/>
      <c r="CN84" s="144"/>
      <c r="CO84" s="144">
        <v>87.3</v>
      </c>
      <c r="CP84" s="144"/>
      <c r="CQ84" s="144"/>
      <c r="CR84" s="144"/>
      <c r="CS84" s="144">
        <v>100.1</v>
      </c>
      <c r="CT84" s="144"/>
      <c r="CU84" s="144"/>
      <c r="CV84" s="144"/>
      <c r="CW84" s="144">
        <v>111.6</v>
      </c>
      <c r="CX84" s="144"/>
      <c r="CY84" s="144"/>
      <c r="CZ84" s="144"/>
      <c r="DA84" s="144"/>
      <c r="DD84" s="145"/>
    </row>
    <row r="85" spans="1:109" s="143" customFormat="1" x14ac:dyDescent="0.2">
      <c r="A85" s="143" t="s">
        <v>435</v>
      </c>
      <c r="AB85" s="144"/>
      <c r="AC85" s="144"/>
      <c r="AD85" s="144"/>
      <c r="AE85" s="144"/>
      <c r="CM85" s="144"/>
      <c r="CN85" s="144"/>
      <c r="CO85" s="144">
        <f>CO82/CO84-1</f>
        <v>2.9274975189347296E-2</v>
      </c>
      <c r="CP85" s="144"/>
      <c r="CQ85" s="144"/>
      <c r="CR85" s="144"/>
      <c r="CS85" s="144">
        <f>CS82/CS84-1</f>
        <v>9.7187250040640549E-2</v>
      </c>
      <c r="CT85" s="144"/>
      <c r="CU85" s="144"/>
      <c r="CV85" s="144"/>
      <c r="CW85" s="144">
        <f>CW82/CW84-1</f>
        <v>0.10546550215390793</v>
      </c>
      <c r="CX85" s="144"/>
      <c r="CY85" s="144"/>
      <c r="CZ85" s="144"/>
      <c r="DA85" s="144"/>
      <c r="DD85" s="145"/>
    </row>
    <row r="86" spans="1:109" s="3" customFormat="1" x14ac:dyDescent="0.2">
      <c r="A86" s="3" t="s">
        <v>34</v>
      </c>
      <c r="B86" s="3">
        <f>'Annual Raw'!C112</f>
        <v>0</v>
      </c>
      <c r="C86" s="3">
        <f>'Annual Raw'!D112</f>
        <v>0</v>
      </c>
      <c r="D86" s="3">
        <f>'Annual Raw'!E112</f>
        <v>51</v>
      </c>
      <c r="E86" s="3">
        <f>'Annual Raw'!F112</f>
        <v>51</v>
      </c>
      <c r="F86" s="3">
        <f>'Annual Raw'!G112</f>
        <v>51.33</v>
      </c>
      <c r="G86" s="3">
        <f>'Annual Raw'!H112</f>
        <v>51.33</v>
      </c>
      <c r="H86" s="3">
        <f>'Annual Raw'!I112</f>
        <v>51.33</v>
      </c>
      <c r="I86" s="3">
        <f>'Annual Raw'!J112</f>
        <v>51.33</v>
      </c>
      <c r="J86" s="3">
        <f>'Annual Raw'!K112</f>
        <v>51.33</v>
      </c>
      <c r="K86" s="3">
        <f>'Annual Raw'!L112</f>
        <v>51.33</v>
      </c>
      <c r="L86" s="3">
        <f>'Annual Raw'!M112</f>
        <v>51.33</v>
      </c>
      <c r="M86" s="3">
        <f>'Annual Raw'!N112</f>
        <v>51.33</v>
      </c>
      <c r="N86" s="3">
        <f>'Annual Raw'!O112</f>
        <v>51.33</v>
      </c>
      <c r="O86" s="3">
        <f>'Annual Raw'!P112</f>
        <v>51.33</v>
      </c>
      <c r="P86" s="3">
        <f>'Annual Raw'!Q112</f>
        <v>51.33</v>
      </c>
      <c r="Q86" s="3">
        <f>'Annual Raw'!R112</f>
        <v>51.33</v>
      </c>
      <c r="R86" s="3">
        <f>'Annual Raw'!S112</f>
        <v>51.33</v>
      </c>
      <c r="S86" s="3">
        <f>'Annual Raw'!T112</f>
        <v>51.33</v>
      </c>
      <c r="T86" s="3">
        <f>'Annual Raw'!U112</f>
        <v>74.13</v>
      </c>
      <c r="U86" s="3">
        <f>'Annual Raw'!V112</f>
        <v>74.13</v>
      </c>
      <c r="V86" s="3">
        <f>'Annual Raw'!W112</f>
        <v>74.13</v>
      </c>
      <c r="W86" s="3">
        <f>'Annual Raw'!X112</f>
        <v>74.13</v>
      </c>
      <c r="X86" s="3">
        <f>'Annual Raw'!Y112</f>
        <v>74.13</v>
      </c>
      <c r="Y86" s="3">
        <f>'Annual Raw'!Z112</f>
        <v>74.13</v>
      </c>
      <c r="Z86" s="3">
        <f>'Annual Raw'!AA112</f>
        <v>74.13</v>
      </c>
      <c r="AA86" s="3">
        <f>'Annual Raw'!AB112</f>
        <v>74.13</v>
      </c>
      <c r="AB86" s="36"/>
      <c r="AC86" s="36"/>
      <c r="AD86" s="36"/>
      <c r="AE86" s="36"/>
      <c r="AI86" s="3">
        <f>'QTR Raw'!C49</f>
        <v>51.33</v>
      </c>
      <c r="AJ86" s="3">
        <f>'QTR Raw'!D49</f>
        <v>51.33</v>
      </c>
      <c r="AK86" s="3">
        <f>'QTR Raw'!E49</f>
        <v>51.33</v>
      </c>
      <c r="AL86" s="3">
        <f>'QTR Raw'!F49</f>
        <v>51.33</v>
      </c>
      <c r="AM86" s="3">
        <f>'QTR Raw'!G49</f>
        <v>51.33</v>
      </c>
      <c r="AN86" s="3">
        <f>'QTR Raw'!H49</f>
        <v>51.33</v>
      </c>
      <c r="AO86" s="3">
        <f>'QTR Raw'!I49</f>
        <v>51.33</v>
      </c>
      <c r="AP86" s="3">
        <f>'QTR Raw'!J49</f>
        <v>51.33</v>
      </c>
      <c r="AQ86" s="3">
        <f>'QTR Raw'!K49</f>
        <v>51.33</v>
      </c>
      <c r="AR86" s="3">
        <f>'QTR Raw'!L49</f>
        <v>51.33</v>
      </c>
      <c r="AS86" s="3">
        <f>'QTR Raw'!M49</f>
        <v>51.33</v>
      </c>
      <c r="AT86" s="3">
        <f>'QTR Raw'!N49</f>
        <v>51.33</v>
      </c>
      <c r="AU86" s="3">
        <f>'QTR Raw'!O49</f>
        <v>51.33</v>
      </c>
      <c r="AV86" s="3">
        <f>'QTR Raw'!P49</f>
        <v>51.33</v>
      </c>
      <c r="AW86" s="3">
        <f>'QTR Raw'!Q49</f>
        <v>51.33</v>
      </c>
      <c r="AX86" s="3">
        <f>'QTR Raw'!R49</f>
        <v>51.33</v>
      </c>
      <c r="AY86" s="3">
        <f>'QTR Raw'!S49</f>
        <v>51.33</v>
      </c>
      <c r="AZ86" s="3">
        <f>'QTR Raw'!T49</f>
        <v>51.33</v>
      </c>
      <c r="BA86" s="3">
        <f>'QTR Raw'!U49</f>
        <v>51.33</v>
      </c>
      <c r="BB86" s="3">
        <f>'QTR Raw'!V49</f>
        <v>51.33</v>
      </c>
      <c r="BC86" s="3">
        <f>'QTR Raw'!W49</f>
        <v>51.33</v>
      </c>
      <c r="BD86" s="3">
        <f>'QTR Raw'!X49</f>
        <v>51.33</v>
      </c>
      <c r="BE86" s="3">
        <f>'QTR Raw'!Y49</f>
        <v>51.33</v>
      </c>
      <c r="BF86" s="3">
        <f>'QTR Raw'!Z49</f>
        <v>51.33</v>
      </c>
      <c r="BG86" s="3">
        <f>'QTR Raw'!AA49</f>
        <v>51.33</v>
      </c>
      <c r="BH86" s="3">
        <f>'QTR Raw'!AB49</f>
        <v>51.33</v>
      </c>
      <c r="BI86" s="3">
        <f>'QTR Raw'!AC49</f>
        <v>74.13</v>
      </c>
      <c r="BJ86" s="3">
        <f>'QTR Raw'!AD49</f>
        <v>74.13</v>
      </c>
      <c r="BK86" s="3">
        <f>'QTR Raw'!AE49</f>
        <v>74.13</v>
      </c>
      <c r="BL86" s="3">
        <f>'QTR Raw'!AF49</f>
        <v>74.13</v>
      </c>
      <c r="BM86" s="3">
        <f>'QTR Raw'!AG49</f>
        <v>74.13</v>
      </c>
      <c r="BN86" s="3">
        <f>'QTR Raw'!AH49</f>
        <v>74.13</v>
      </c>
      <c r="BO86" s="3">
        <f>'QTR Raw'!AI49</f>
        <v>74.13</v>
      </c>
      <c r="BP86" s="3">
        <f>'QTR Raw'!AJ49</f>
        <v>74.13</v>
      </c>
      <c r="BQ86" s="3">
        <f>'QTR Raw'!AK49</f>
        <v>74.13</v>
      </c>
      <c r="BR86" s="3">
        <f>'QTR Raw'!AL49</f>
        <v>74.13</v>
      </c>
      <c r="BS86" s="3">
        <f>'QTR Raw'!AM49</f>
        <v>74.13</v>
      </c>
      <c r="BT86" s="3">
        <f>'QTR Raw'!AN49</f>
        <v>74.13</v>
      </c>
      <c r="BU86" s="3">
        <f>'QTR Raw'!AO49</f>
        <v>74.13</v>
      </c>
      <c r="BV86" s="3">
        <f>'QTR Raw'!AP49</f>
        <v>74.13</v>
      </c>
      <c r="BW86" s="3">
        <f>'QTR Raw'!AQ49</f>
        <v>74.13</v>
      </c>
      <c r="BX86" s="3">
        <f>'QTR Raw'!AR49</f>
        <v>74.13</v>
      </c>
      <c r="BY86" s="3">
        <f>'QTR Raw'!AS49</f>
        <v>74.13</v>
      </c>
      <c r="BZ86" s="3">
        <f>'QTR Raw'!AT49</f>
        <v>74.13</v>
      </c>
      <c r="CA86" s="3">
        <f>'QTR Raw'!AU49</f>
        <v>74.13</v>
      </c>
      <c r="CB86" s="3">
        <f>'QTR Raw'!AV49</f>
        <v>74.13</v>
      </c>
      <c r="CC86" s="3">
        <f>'QTR Raw'!AW49</f>
        <v>74.13</v>
      </c>
      <c r="CD86" s="3">
        <f>'QTR Raw'!AX49</f>
        <v>74.13</v>
      </c>
      <c r="CE86" s="3">
        <f>'QTR Raw'!AY49</f>
        <v>74.13</v>
      </c>
      <c r="CF86" s="3">
        <f>'QTR Raw'!AZ49</f>
        <v>74.13</v>
      </c>
      <c r="CG86" s="3">
        <f>'QTR Raw'!BA49</f>
        <v>74.13</v>
      </c>
      <c r="CH86" s="3">
        <f>'QTR Raw'!BB49</f>
        <v>74.13</v>
      </c>
      <c r="CI86" s="3">
        <f>'QTR Raw'!BC49</f>
        <v>74.13</v>
      </c>
      <c r="CJ86" s="3">
        <f>'QTR Raw'!BD49</f>
        <v>74.13</v>
      </c>
      <c r="CK86" s="3">
        <f>'QTR Raw'!BE49</f>
        <v>74.13</v>
      </c>
      <c r="CL86" s="3">
        <f>'QTR Raw'!BF49</f>
        <v>74.13</v>
      </c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D86" s="133"/>
      <c r="DE86" s="3">
        <v>74.13</v>
      </c>
    </row>
    <row r="87" spans="1:109" s="3" customFormat="1" x14ac:dyDescent="0.2">
      <c r="A87" s="3" t="s">
        <v>35</v>
      </c>
      <c r="B87" s="3">
        <f>'Annual Raw'!C113</f>
        <v>0</v>
      </c>
      <c r="C87" s="3">
        <f>'Annual Raw'!D113</f>
        <v>0</v>
      </c>
      <c r="D87" s="3">
        <f>'Annual Raw'!E113</f>
        <v>0</v>
      </c>
      <c r="E87" s="3">
        <f>'Annual Raw'!F113</f>
        <v>0</v>
      </c>
      <c r="F87" s="3">
        <f>'Annual Raw'!G113</f>
        <v>0</v>
      </c>
      <c r="G87" s="3">
        <f>'Annual Raw'!H113</f>
        <v>0</v>
      </c>
      <c r="H87" s="3">
        <f>'Annual Raw'!I113</f>
        <v>0</v>
      </c>
      <c r="I87" s="3">
        <f>'Annual Raw'!J113</f>
        <v>0</v>
      </c>
      <c r="J87" s="3">
        <f>'Annual Raw'!K113</f>
        <v>0</v>
      </c>
      <c r="K87" s="3">
        <f>'Annual Raw'!L113</f>
        <v>0</v>
      </c>
      <c r="L87" s="3">
        <f>'Annual Raw'!M113</f>
        <v>0</v>
      </c>
      <c r="M87" s="3">
        <f>'Annual Raw'!N113</f>
        <v>0</v>
      </c>
      <c r="N87" s="3">
        <f>'Annual Raw'!O113</f>
        <v>0</v>
      </c>
      <c r="O87" s="3">
        <f>'Annual Raw'!P113</f>
        <v>0</v>
      </c>
      <c r="P87" s="3">
        <f>'Annual Raw'!Q113</f>
        <v>0</v>
      </c>
      <c r="Q87" s="3">
        <f>'Annual Raw'!R113</f>
        <v>0</v>
      </c>
      <c r="R87" s="3">
        <f>'Annual Raw'!S113</f>
        <v>0</v>
      </c>
      <c r="S87" s="3">
        <f>'Annual Raw'!T113</f>
        <v>0</v>
      </c>
      <c r="T87" s="3">
        <f>'Annual Raw'!U113</f>
        <v>0</v>
      </c>
      <c r="U87" s="3">
        <f>'Annual Raw'!V113</f>
        <v>0</v>
      </c>
      <c r="V87" s="3">
        <f>'Annual Raw'!W113</f>
        <v>0</v>
      </c>
      <c r="W87" s="3">
        <f>'Annual Raw'!X113</f>
        <v>0</v>
      </c>
      <c r="X87" s="3">
        <f>'Annual Raw'!Y113</f>
        <v>0</v>
      </c>
      <c r="Y87" s="3">
        <f>'Annual Raw'!Z113</f>
        <v>0</v>
      </c>
      <c r="Z87" s="3">
        <f>'Annual Raw'!AA113</f>
        <v>0</v>
      </c>
      <c r="AA87" s="3">
        <f>'Annual Raw'!AB113</f>
        <v>0</v>
      </c>
      <c r="AB87" s="36"/>
      <c r="AC87" s="36"/>
      <c r="AD87" s="36"/>
      <c r="AE87" s="36"/>
      <c r="AI87" s="3">
        <f>'QTR Raw'!C50</f>
        <v>0</v>
      </c>
      <c r="AJ87" s="3">
        <f>'QTR Raw'!D50</f>
        <v>0</v>
      </c>
      <c r="AK87" s="3">
        <f>'QTR Raw'!E50</f>
        <v>0</v>
      </c>
      <c r="AL87" s="3">
        <f>'QTR Raw'!F50</f>
        <v>0</v>
      </c>
      <c r="AM87" s="3">
        <f>'QTR Raw'!G50</f>
        <v>0</v>
      </c>
      <c r="AN87" s="3">
        <f>'QTR Raw'!H50</f>
        <v>0</v>
      </c>
      <c r="AO87" s="3">
        <f>'QTR Raw'!I50</f>
        <v>0</v>
      </c>
      <c r="AP87" s="3">
        <f>'QTR Raw'!J50</f>
        <v>0</v>
      </c>
      <c r="AQ87" s="3">
        <f>'QTR Raw'!K50</f>
        <v>0</v>
      </c>
      <c r="AR87" s="3">
        <f>'QTR Raw'!L50</f>
        <v>0</v>
      </c>
      <c r="AS87" s="3">
        <f>'QTR Raw'!M50</f>
        <v>0</v>
      </c>
      <c r="AT87" s="3">
        <f>'QTR Raw'!N50</f>
        <v>0</v>
      </c>
      <c r="AU87" s="3">
        <f>'QTR Raw'!O50</f>
        <v>0</v>
      </c>
      <c r="AV87" s="3">
        <f>'QTR Raw'!P50</f>
        <v>0</v>
      </c>
      <c r="AW87" s="3">
        <f>'QTR Raw'!Q50</f>
        <v>0</v>
      </c>
      <c r="AX87" s="3">
        <f>'QTR Raw'!R50</f>
        <v>0</v>
      </c>
      <c r="AY87" s="3">
        <f>'QTR Raw'!S50</f>
        <v>0</v>
      </c>
      <c r="AZ87" s="3">
        <f>'QTR Raw'!T50</f>
        <v>0</v>
      </c>
      <c r="BA87" s="3">
        <f>'QTR Raw'!U50</f>
        <v>0</v>
      </c>
      <c r="BB87" s="3">
        <f>'QTR Raw'!V50</f>
        <v>0</v>
      </c>
      <c r="BC87" s="3">
        <f>'QTR Raw'!W50</f>
        <v>0</v>
      </c>
      <c r="BD87" s="3">
        <f>'QTR Raw'!X50</f>
        <v>0</v>
      </c>
      <c r="BE87" s="3">
        <f>'QTR Raw'!Y50</f>
        <v>0</v>
      </c>
      <c r="BF87" s="3">
        <f>'QTR Raw'!Z50</f>
        <v>0</v>
      </c>
      <c r="BG87" s="3">
        <f>'QTR Raw'!AA50</f>
        <v>0</v>
      </c>
      <c r="BH87" s="3">
        <f>'QTR Raw'!AB50</f>
        <v>0</v>
      </c>
      <c r="BI87" s="3">
        <f>'QTR Raw'!AC50</f>
        <v>0</v>
      </c>
      <c r="BJ87" s="3">
        <f>'QTR Raw'!AD50</f>
        <v>0</v>
      </c>
      <c r="BK87" s="3">
        <f>'QTR Raw'!AE50</f>
        <v>0</v>
      </c>
      <c r="BL87" s="3">
        <f>'QTR Raw'!AF50</f>
        <v>0</v>
      </c>
      <c r="BM87" s="3">
        <f>'QTR Raw'!AG50</f>
        <v>0</v>
      </c>
      <c r="BN87" s="3">
        <f>'QTR Raw'!AH50</f>
        <v>0</v>
      </c>
      <c r="BO87" s="3">
        <f>'QTR Raw'!AI50</f>
        <v>0</v>
      </c>
      <c r="BP87" s="3">
        <f>'QTR Raw'!AJ50</f>
        <v>0</v>
      </c>
      <c r="BQ87" s="3">
        <f>'QTR Raw'!AK50</f>
        <v>0</v>
      </c>
      <c r="BR87" s="3">
        <f>'QTR Raw'!AL50</f>
        <v>0</v>
      </c>
      <c r="BS87" s="3">
        <f>'QTR Raw'!AM50</f>
        <v>0</v>
      </c>
      <c r="BT87" s="3">
        <f>'QTR Raw'!AN50</f>
        <v>0</v>
      </c>
      <c r="BU87" s="3">
        <f>'QTR Raw'!AO50</f>
        <v>0</v>
      </c>
      <c r="BV87" s="3">
        <f>'QTR Raw'!AP50</f>
        <v>0</v>
      </c>
      <c r="BW87" s="3">
        <f>'QTR Raw'!AQ50</f>
        <v>0</v>
      </c>
      <c r="BX87" s="3">
        <f>'QTR Raw'!AR50</f>
        <v>0</v>
      </c>
      <c r="BY87" s="3">
        <f>'QTR Raw'!AS50</f>
        <v>0</v>
      </c>
      <c r="BZ87" s="3">
        <f>'QTR Raw'!AT50</f>
        <v>0</v>
      </c>
      <c r="CA87" s="3">
        <f>'QTR Raw'!AU50</f>
        <v>0</v>
      </c>
      <c r="CB87" s="3">
        <f>'QTR Raw'!AV50</f>
        <v>0</v>
      </c>
      <c r="CC87" s="3">
        <f>'QTR Raw'!AW50</f>
        <v>0</v>
      </c>
      <c r="CD87" s="3">
        <f>'QTR Raw'!AX50</f>
        <v>0</v>
      </c>
      <c r="CE87" s="3">
        <f>'QTR Raw'!AY50</f>
        <v>0</v>
      </c>
      <c r="CF87" s="3">
        <f>'QTR Raw'!AZ50</f>
        <v>0</v>
      </c>
      <c r="CG87" s="3">
        <f>'QTR Raw'!BA50</f>
        <v>0</v>
      </c>
      <c r="CH87" s="3">
        <f>'QTR Raw'!BB50</f>
        <v>0</v>
      </c>
      <c r="CI87" s="3">
        <f>'QTR Raw'!BC50</f>
        <v>0</v>
      </c>
      <c r="CJ87" s="3">
        <f>'QTR Raw'!BD50</f>
        <v>0</v>
      </c>
      <c r="CK87" s="3">
        <f>'QTR Raw'!BE50</f>
        <v>0</v>
      </c>
      <c r="CL87" s="3">
        <f>'QTR Raw'!BF50</f>
        <v>0</v>
      </c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D87" s="133"/>
      <c r="DE87" s="3">
        <v>0</v>
      </c>
    </row>
    <row r="88" spans="1:109" s="3" customFormat="1" x14ac:dyDescent="0.2">
      <c r="AB88" s="36"/>
      <c r="AC88" s="36"/>
      <c r="AD88" s="36"/>
      <c r="AE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D88" s="133"/>
    </row>
    <row r="89" spans="1:109" s="13" customFormat="1" x14ac:dyDescent="0.2">
      <c r="A89" s="13" t="s">
        <v>36</v>
      </c>
      <c r="AB89" s="36"/>
      <c r="AC89" s="36"/>
      <c r="AD89" s="36"/>
      <c r="AE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</row>
    <row r="90" spans="1:109" s="13" customFormat="1" x14ac:dyDescent="0.2">
      <c r="A90" s="13" t="s">
        <v>456</v>
      </c>
      <c r="B90" s="13">
        <f>'Annual Raw'!C106</f>
        <v>0</v>
      </c>
      <c r="C90" s="13">
        <f>'Annual Raw'!D106</f>
        <v>0</v>
      </c>
      <c r="D90" s="13">
        <f>'Annual Raw'!E106</f>
        <v>10.88</v>
      </c>
      <c r="E90" s="13">
        <f>'Annual Raw'!F106</f>
        <v>25.47</v>
      </c>
      <c r="F90" s="13">
        <f>'Annual Raw'!G106</f>
        <v>32.340000000000003</v>
      </c>
      <c r="G90" s="13">
        <f>'Annual Raw'!H106</f>
        <v>80.099999999999994</v>
      </c>
      <c r="H90" s="13">
        <f>'Annual Raw'!I106</f>
        <v>128.82</v>
      </c>
      <c r="I90" s="13">
        <f>'Annual Raw'!J106</f>
        <v>139.57</v>
      </c>
      <c r="J90" s="13">
        <f>'Annual Raw'!K106</f>
        <v>45</v>
      </c>
      <c r="K90" s="13">
        <f>'Annual Raw'!L106</f>
        <v>121.55</v>
      </c>
      <c r="L90" s="13">
        <f>'Annual Raw'!M106</f>
        <v>175.32</v>
      </c>
      <c r="M90" s="13">
        <f>'Annual Raw'!N106</f>
        <v>209.34</v>
      </c>
      <c r="N90" s="13">
        <f>'Annual Raw'!O106</f>
        <v>339.94</v>
      </c>
      <c r="O90" s="13">
        <f>'Annual Raw'!P106</f>
        <v>322.79000000000002</v>
      </c>
      <c r="P90" s="13">
        <f>'Annual Raw'!Q106</f>
        <v>714.02</v>
      </c>
      <c r="Q90" s="13">
        <f>'Annual Raw'!R106</f>
        <v>877.42</v>
      </c>
      <c r="R90" s="13">
        <f>'Annual Raw'!S106</f>
        <v>773.14</v>
      </c>
      <c r="S90" s="13">
        <f>'Annual Raw'!T106</f>
        <v>1168.83</v>
      </c>
      <c r="T90" s="13">
        <f>'Annual Raw'!U106</f>
        <v>1138.25</v>
      </c>
      <c r="U90" s="13">
        <f>'Annual Raw'!V106</f>
        <v>939.69</v>
      </c>
      <c r="V90" s="13">
        <f>'Annual Raw'!W106</f>
        <v>907.71</v>
      </c>
      <c r="W90" s="13">
        <f>'Annual Raw'!X106</f>
        <v>1758.09</v>
      </c>
      <c r="X90" s="13">
        <f>'Annual Raw'!Y106</f>
        <v>2744.5</v>
      </c>
      <c r="Y90" s="13">
        <f>'Annual Raw'!Z106</f>
        <v>3202.2</v>
      </c>
      <c r="Z90" s="13">
        <f>'Annual Raw'!AA106</f>
        <v>3405.45</v>
      </c>
      <c r="AA90" s="13">
        <f>'Annual Raw'!AB106</f>
        <v>3885.25</v>
      </c>
      <c r="AB90" s="36">
        <f>+CO90</f>
        <v>3844.7</v>
      </c>
      <c r="AC90" s="36">
        <f>+CS90</f>
        <v>3844.7</v>
      </c>
      <c r="AD90" s="36">
        <f>+CW90</f>
        <v>3844.7</v>
      </c>
      <c r="AE90" s="36">
        <f>+DA90</f>
        <v>3844.7</v>
      </c>
      <c r="AJ90" s="13">
        <f>'QTR Share Price'!HP21</f>
        <v>352.06</v>
      </c>
      <c r="AK90" s="13">
        <f>'QTR Share Price'!HQ21</f>
        <v>339.94</v>
      </c>
      <c r="AL90" s="13">
        <f>'QTR Share Price'!HR21</f>
        <v>293.93</v>
      </c>
      <c r="AM90" s="13">
        <f>'QTR Share Price'!HS21</f>
        <v>284</v>
      </c>
      <c r="AN90" s="13">
        <f>'QTR Share Price'!HT21</f>
        <v>249.7</v>
      </c>
      <c r="AO90" s="13">
        <f>'QTR Share Price'!HU21</f>
        <v>322.79000000000002</v>
      </c>
      <c r="AP90" s="13">
        <f>'QTR Share Price'!HV21</f>
        <v>375.5</v>
      </c>
      <c r="AQ90" s="13">
        <f>'QTR Share Price'!HW21</f>
        <v>497.28</v>
      </c>
      <c r="AR90" s="13">
        <f>'QTR Share Price'!HX21</f>
        <v>575.97</v>
      </c>
      <c r="AS90" s="13">
        <f>'QTR Share Price'!HY21</f>
        <v>714.02</v>
      </c>
      <c r="AT90" s="13">
        <f>'QTR Share Price'!HZ21</f>
        <v>828.63</v>
      </c>
      <c r="AU90" s="13">
        <f>'QTR Share Price'!IA21</f>
        <v>824.52</v>
      </c>
      <c r="AV90" s="13">
        <f>'QTR Share Price'!IB21</f>
        <v>806.75</v>
      </c>
      <c r="AW90" s="13">
        <f>'QTR Share Price'!IC21</f>
        <v>877.42</v>
      </c>
      <c r="AX90" s="13">
        <f>'QTR Share Price'!ID21</f>
        <v>764.09</v>
      </c>
      <c r="AY90" s="13">
        <f>'QTR Share Price'!IE21</f>
        <v>822.08</v>
      </c>
      <c r="AZ90" s="13">
        <f>'QTR Share Price'!IF21</f>
        <v>816.76</v>
      </c>
      <c r="BA90" s="13">
        <f>'QTR Share Price'!IG21</f>
        <v>773.14</v>
      </c>
      <c r="BB90" s="13">
        <f>'QTR Share Price'!IH21</f>
        <v>911.96</v>
      </c>
      <c r="BC90" s="13">
        <f>'QTR Share Price'!II21</f>
        <v>892.68</v>
      </c>
      <c r="BD90" s="13">
        <f>'QTR Share Price'!IJ21</f>
        <v>979.1</v>
      </c>
      <c r="BE90" s="13">
        <f>'QTR Share Price'!IK21</f>
        <v>1168.83</v>
      </c>
      <c r="BF90" s="13">
        <f>'QTR Share Price'!IL21</f>
        <v>1033.03</v>
      </c>
      <c r="BG90" s="13">
        <f>'QTR Share Price'!IM21</f>
        <v>1106.28</v>
      </c>
      <c r="BH90" s="13">
        <f>'QTR Share Price'!IN21</f>
        <v>1079.03</v>
      </c>
      <c r="BI90" s="13">
        <f>'QTR Share Price'!IO21</f>
        <v>1138.25</v>
      </c>
      <c r="BJ90" s="13">
        <f>'QTR Share Price'!IP21</f>
        <v>1101.3399999999999</v>
      </c>
      <c r="BK90" s="13">
        <f>'QTR Share Price'!IQ21</f>
        <v>975.34</v>
      </c>
      <c r="BL90" s="13">
        <f>'QTR Share Price'!IR21</f>
        <v>877.07</v>
      </c>
      <c r="BM90" s="13">
        <f>'QTR Share Price'!IS21</f>
        <v>939.69</v>
      </c>
      <c r="BN90" s="13">
        <f>'QTR Share Price'!IT21</f>
        <v>739.82</v>
      </c>
      <c r="BO90" s="13">
        <f>'QTR Share Price'!IU21</f>
        <v>715.26</v>
      </c>
      <c r="BP90" s="13">
        <f>'QTR Share Price'!IV21</f>
        <v>710.68</v>
      </c>
      <c r="BQ90" s="13">
        <f>'QTR Share Price'!IW21</f>
        <v>907.71</v>
      </c>
      <c r="BR90" s="13">
        <f>'QTR Share Price'!IX21</f>
        <v>1082.1400000000001</v>
      </c>
      <c r="BS90" s="13">
        <f>'QTR Share Price'!IY21</f>
        <v>1128.25</v>
      </c>
      <c r="BT90" s="13">
        <f>'QTR Share Price'!IZ21</f>
        <v>1522.08</v>
      </c>
      <c r="BU90" s="13">
        <f>'QTR Share Price'!JA21</f>
        <v>1758.09</v>
      </c>
      <c r="BV90" s="13">
        <f>'QTR Share Price'!JB21</f>
        <v>1950.6</v>
      </c>
      <c r="BW90" s="13">
        <f>'QTR Share Price'!JC21</f>
        <v>2290.8000000000002</v>
      </c>
      <c r="BX90" s="13">
        <f>'QTR Share Price'!JD21</f>
        <v>3213.3</v>
      </c>
      <c r="BY90" s="13">
        <f>'QTR Share Price'!JE21</f>
        <v>2744.5</v>
      </c>
      <c r="BZ90" s="13">
        <f>'QTR Share Price'!JF21</f>
        <v>2873.9</v>
      </c>
      <c r="CA90" s="13">
        <f>'QTR Share Price'!JG21</f>
        <v>3099.6</v>
      </c>
      <c r="CB90" s="13">
        <f>'QTR Share Price'!JH21</f>
        <v>3313.95</v>
      </c>
      <c r="CC90" s="13">
        <f>'QTR Share Price'!JI21</f>
        <v>3202.2</v>
      </c>
      <c r="CD90" s="13">
        <f>'QTR Share Price'!JJ21</f>
        <v>2812.3</v>
      </c>
      <c r="CE90" s="13">
        <f>'QTR Share Price'!JK21</f>
        <v>4738.8999999999996</v>
      </c>
      <c r="CF90" s="13">
        <f>'QTR Share Price'!JL21</f>
        <v>3908.55</v>
      </c>
      <c r="CG90" s="13">
        <f>'QTR Share Price'!JM21</f>
        <v>3405.45</v>
      </c>
      <c r="CH90" s="13">
        <f>'QTR Share Price'!JN21</f>
        <v>3370.3</v>
      </c>
      <c r="CI90" s="13">
        <f>'QTR Share Price'!JO21</f>
        <v>4048.15</v>
      </c>
      <c r="CJ90" s="13">
        <f>'QTR Share Price'!JP21</f>
        <v>4210.25</v>
      </c>
      <c r="CK90" s="13">
        <f>'QTR Share Price'!JQ21</f>
        <v>3885.25</v>
      </c>
      <c r="CL90" s="13">
        <f>'QTR Share Price'!JR21</f>
        <v>3844.7</v>
      </c>
      <c r="CM90" s="36">
        <f t="shared" ref="CM90" si="866">+CL90</f>
        <v>3844.7</v>
      </c>
      <c r="CN90" s="36">
        <f t="shared" ref="CN90" si="867">+CM90</f>
        <v>3844.7</v>
      </c>
      <c r="CO90" s="36">
        <f t="shared" ref="CO90" si="868">+CN90</f>
        <v>3844.7</v>
      </c>
      <c r="CP90" s="36">
        <f t="shared" ref="CP90" si="869">+CO90</f>
        <v>3844.7</v>
      </c>
      <c r="CQ90" s="36">
        <f t="shared" ref="CQ90" si="870">+CP90</f>
        <v>3844.7</v>
      </c>
      <c r="CR90" s="36">
        <f t="shared" ref="CR90" si="871">+CQ90</f>
        <v>3844.7</v>
      </c>
      <c r="CS90" s="36">
        <f t="shared" ref="CS90" si="872">+CR90</f>
        <v>3844.7</v>
      </c>
      <c r="CT90" s="36">
        <f t="shared" ref="CT90" si="873">+CS90</f>
        <v>3844.7</v>
      </c>
      <c r="CU90" s="36">
        <f t="shared" ref="CU90" si="874">+CT90</f>
        <v>3844.7</v>
      </c>
      <c r="CV90" s="36">
        <f t="shared" ref="CV90" si="875">+CU90</f>
        <v>3844.7</v>
      </c>
      <c r="CW90" s="36">
        <f t="shared" ref="CW90" si="876">+CV90</f>
        <v>3844.7</v>
      </c>
      <c r="CX90" s="36">
        <f t="shared" ref="CX90" si="877">+CW90</f>
        <v>3844.7</v>
      </c>
      <c r="CY90" s="36">
        <f t="shared" ref="CY90" si="878">+CX90</f>
        <v>3844.7</v>
      </c>
      <c r="CZ90" s="36">
        <f t="shared" ref="CZ90" si="879">+CY90</f>
        <v>3844.7</v>
      </c>
      <c r="DA90" s="36">
        <f t="shared" ref="DA90" si="880">+CZ90</f>
        <v>3844.7</v>
      </c>
      <c r="DD90" s="133"/>
      <c r="DE90" s="13">
        <v>3885.25</v>
      </c>
    </row>
    <row r="91" spans="1:109" s="13" customFormat="1" x14ac:dyDescent="0.2">
      <c r="A91" s="13" t="s">
        <v>457</v>
      </c>
      <c r="B91" s="13">
        <f>'Annual Raw'!C107</f>
        <v>0</v>
      </c>
      <c r="C91" s="13">
        <f>'Annual Raw'!D107</f>
        <v>0</v>
      </c>
      <c r="D91" s="13">
        <f>'Annual Raw'!E107</f>
        <v>13.78</v>
      </c>
      <c r="E91" s="13">
        <f>'Annual Raw'!F107</f>
        <v>29</v>
      </c>
      <c r="F91" s="13">
        <f>'Annual Raw'!G107</f>
        <v>34.200000000000003</v>
      </c>
      <c r="G91" s="13">
        <f>'Annual Raw'!H107</f>
        <v>95.77</v>
      </c>
      <c r="H91" s="13">
        <f>'Annual Raw'!I107</f>
        <v>155</v>
      </c>
      <c r="I91" s="13">
        <f>'Annual Raw'!J107</f>
        <v>145</v>
      </c>
      <c r="J91" s="13">
        <f>'Annual Raw'!K107</f>
        <v>140</v>
      </c>
      <c r="K91" s="13">
        <f>'Annual Raw'!L107</f>
        <v>135.97999999999999</v>
      </c>
      <c r="L91" s="13">
        <f>'Annual Raw'!M107</f>
        <v>196</v>
      </c>
      <c r="M91" s="13">
        <f>'Annual Raw'!N107</f>
        <v>286.95999999999998</v>
      </c>
      <c r="N91" s="13">
        <f>'Annual Raw'!O107</f>
        <v>365.37</v>
      </c>
      <c r="O91" s="13">
        <f>'Annual Raw'!P107</f>
        <v>340</v>
      </c>
      <c r="P91" s="13">
        <f>'Annual Raw'!Q107</f>
        <v>765</v>
      </c>
      <c r="Q91" s="13">
        <f>'Annual Raw'!R107</f>
        <v>978</v>
      </c>
      <c r="R91" s="13">
        <f>'Annual Raw'!S107</f>
        <v>999.6</v>
      </c>
      <c r="S91" s="13">
        <f>'Annual Raw'!T107</f>
        <v>1192</v>
      </c>
      <c r="T91" s="13">
        <f>'Annual Raw'!U107</f>
        <v>1183.4100000000001</v>
      </c>
      <c r="U91" s="13">
        <f>'Annual Raw'!V107</f>
        <v>1167.26</v>
      </c>
      <c r="V91" s="13">
        <f>'Annual Raw'!W107</f>
        <v>990</v>
      </c>
      <c r="W91" s="13">
        <f>'Annual Raw'!X107</f>
        <v>1773.99</v>
      </c>
      <c r="X91" s="13">
        <f>'Annual Raw'!Y107</f>
        <v>3968.75</v>
      </c>
      <c r="Y91" s="13">
        <f>'Annual Raw'!Z107</f>
        <v>3719.2</v>
      </c>
      <c r="Z91" s="13">
        <f>'Annual Raw'!AA107</f>
        <v>4950</v>
      </c>
      <c r="AA91" s="13">
        <f>'Annual Raw'!AB107</f>
        <v>4392.8500000000004</v>
      </c>
      <c r="AB91" s="36">
        <f>+MAX(CL91:CO91)</f>
        <v>5162.039406541011</v>
      </c>
      <c r="AC91" s="36">
        <f>+MAX(CP91:CS91)</f>
        <v>6309.4352482235918</v>
      </c>
      <c r="AD91" s="36">
        <f>+MAX(CT91:CW91)</f>
        <v>7087.3690359896837</v>
      </c>
      <c r="AE91" s="36">
        <f>+MAX(CX91:DA91)</f>
        <v>8395.3431507166133</v>
      </c>
      <c r="AJ91" s="13">
        <f>'QTR Share Price'!HP19</f>
        <v>360</v>
      </c>
      <c r="AK91" s="13">
        <f>'QTR Share Price'!HQ19</f>
        <v>365.37</v>
      </c>
      <c r="AL91" s="13">
        <f>'QTR Share Price'!HR19</f>
        <v>340</v>
      </c>
      <c r="AM91" s="13">
        <f>'QTR Share Price'!HS19</f>
        <v>308</v>
      </c>
      <c r="AN91" s="13">
        <f>'QTR Share Price'!HT19</f>
        <v>293.8</v>
      </c>
      <c r="AO91" s="13">
        <f>'QTR Share Price'!HU19</f>
        <v>329.79</v>
      </c>
      <c r="AP91" s="13">
        <f>'QTR Share Price'!HV19</f>
        <v>383</v>
      </c>
      <c r="AQ91" s="13">
        <f>'QTR Share Price'!HW19</f>
        <v>522</v>
      </c>
      <c r="AR91" s="13">
        <f>'QTR Share Price'!HX19</f>
        <v>607.84</v>
      </c>
      <c r="AS91" s="13">
        <f>'QTR Share Price'!HY19</f>
        <v>765</v>
      </c>
      <c r="AT91" s="13">
        <f>'QTR Share Price'!HZ19</f>
        <v>886.21</v>
      </c>
      <c r="AU91" s="13">
        <f>'QTR Share Price'!IA19</f>
        <v>916</v>
      </c>
      <c r="AV91" s="13">
        <f>'QTR Share Price'!IB19</f>
        <v>978</v>
      </c>
      <c r="AW91" s="13">
        <f>'QTR Share Price'!IC19</f>
        <v>879.99</v>
      </c>
      <c r="AX91" s="13">
        <f>'QTR Share Price'!ID19</f>
        <v>887.6</v>
      </c>
      <c r="AY91" s="13">
        <f>'QTR Share Price'!IE19</f>
        <v>862.97</v>
      </c>
      <c r="AZ91" s="13">
        <f>'QTR Share Price'!IF19</f>
        <v>852</v>
      </c>
      <c r="BA91" s="13">
        <f>'QTR Share Price'!IG19</f>
        <v>999.6</v>
      </c>
      <c r="BB91" s="13">
        <f>'QTR Share Price'!IH19</f>
        <v>929.2</v>
      </c>
      <c r="BC91" s="13">
        <f>'QTR Share Price'!II19</f>
        <v>994.67</v>
      </c>
      <c r="BD91" s="13">
        <f>'QTR Share Price'!IJ19</f>
        <v>1029.8</v>
      </c>
      <c r="BE91" s="13">
        <f>'QTR Share Price'!IK19</f>
        <v>1192</v>
      </c>
      <c r="BF91" s="13">
        <f>'QTR Share Price'!IL19</f>
        <v>1183.4100000000001</v>
      </c>
      <c r="BG91" s="13">
        <f>'QTR Share Price'!IM19</f>
        <v>1130</v>
      </c>
      <c r="BH91" s="13">
        <f>'QTR Share Price'!IN19</f>
        <v>1159.99</v>
      </c>
      <c r="BI91" s="13">
        <f>'QTR Share Price'!IO19</f>
        <v>1144.8399999999999</v>
      </c>
      <c r="BJ91" s="13">
        <f>'QTR Share Price'!IP19</f>
        <v>1167.26</v>
      </c>
      <c r="BK91" s="13">
        <f>'QTR Share Price'!IQ19</f>
        <v>1139.99</v>
      </c>
      <c r="BL91" s="13">
        <f>'QTR Share Price'!IR19</f>
        <v>980</v>
      </c>
      <c r="BM91" s="13">
        <f>'QTR Share Price'!IS19</f>
        <v>950</v>
      </c>
      <c r="BN91" s="13">
        <f>'QTR Share Price'!IT19</f>
        <v>990</v>
      </c>
      <c r="BO91" s="13">
        <f>'QTR Share Price'!IU19</f>
        <v>752</v>
      </c>
      <c r="BP91" s="13">
        <f>'QTR Share Price'!IV19</f>
        <v>851</v>
      </c>
      <c r="BQ91" s="13">
        <f>'QTR Share Price'!IW19</f>
        <v>949.31</v>
      </c>
      <c r="BR91" s="13">
        <f>'QTR Share Price'!IX19</f>
        <v>1099.99</v>
      </c>
      <c r="BS91" s="13">
        <f>'QTR Share Price'!IY19</f>
        <v>1149</v>
      </c>
      <c r="BT91" s="13">
        <f>'QTR Share Price'!IZ19</f>
        <v>1536.76</v>
      </c>
      <c r="BU91" s="13">
        <f>'QTR Share Price'!JA19</f>
        <v>1773.99</v>
      </c>
      <c r="BV91" s="13">
        <f>'QTR Share Price'!JB19</f>
        <v>1965.4</v>
      </c>
      <c r="BW91" s="13">
        <f>'QTR Share Price'!JC19</f>
        <v>2489.4</v>
      </c>
      <c r="BX91" s="13">
        <f>'QTR Share Price'!JD19</f>
        <v>3968.75</v>
      </c>
      <c r="BY91" s="13">
        <f>'QTR Share Price'!JE19</f>
        <v>3420</v>
      </c>
      <c r="BZ91" s="13">
        <f>'QTR Share Price'!JF19</f>
        <v>3135.5</v>
      </c>
      <c r="CA91" s="13">
        <f>'QTR Share Price'!JG19</f>
        <v>3293.5</v>
      </c>
      <c r="CB91" s="13">
        <f>'QTR Share Price'!JH19</f>
        <v>3719.2</v>
      </c>
      <c r="CC91" s="13">
        <f>'QTR Share Price'!JI19</f>
        <v>3335.7</v>
      </c>
      <c r="CD91" s="13">
        <f>'QTR Share Price'!JJ19</f>
        <v>3433.85</v>
      </c>
      <c r="CE91" s="13">
        <f>'QTR Share Price'!JK19</f>
        <v>4950</v>
      </c>
      <c r="CF91" s="13">
        <f>'QTR Share Price'!JL19</f>
        <v>4794.8999999999996</v>
      </c>
      <c r="CG91" s="13">
        <f>'QTR Share Price'!JM19</f>
        <v>4079.95</v>
      </c>
      <c r="CH91" s="13">
        <f>'QTR Share Price'!JN19</f>
        <v>3737.3</v>
      </c>
      <c r="CI91" s="13">
        <f>'QTR Share Price'!JO19</f>
        <v>4360.7</v>
      </c>
      <c r="CJ91" s="13">
        <f>'QTR Share Price'!JP19</f>
        <v>4372.7</v>
      </c>
      <c r="CK91" s="13">
        <f>'QTR Share Price'!JQ19</f>
        <v>4392.8500000000004</v>
      </c>
      <c r="CL91" s="13">
        <f>'QTR Share Price'!JR19</f>
        <v>4465</v>
      </c>
      <c r="CM91" s="36">
        <f t="shared" ref="CM91:DA91" si="881">+CM82*CM99</f>
        <v>4621.1598879389348</v>
      </c>
      <c r="CN91" s="36">
        <f t="shared" si="881"/>
        <v>4856.9813059367798</v>
      </c>
      <c r="CO91" s="36">
        <f t="shared" si="881"/>
        <v>5162.039406541011</v>
      </c>
      <c r="CP91" s="36">
        <f t="shared" si="881"/>
        <v>5414.4353997861781</v>
      </c>
      <c r="CQ91" s="36">
        <f t="shared" si="881"/>
        <v>5690.9237869480821</v>
      </c>
      <c r="CR91" s="36">
        <f t="shared" si="881"/>
        <v>5985.7603309579345</v>
      </c>
      <c r="CS91" s="36">
        <f t="shared" si="881"/>
        <v>6309.4352482235918</v>
      </c>
      <c r="CT91" s="36">
        <f t="shared" si="881"/>
        <v>6498.6126743364703</v>
      </c>
      <c r="CU91" s="36">
        <f t="shared" si="881"/>
        <v>6687.1107052750649</v>
      </c>
      <c r="CV91" s="36">
        <f t="shared" si="881"/>
        <v>6884.8751806713935</v>
      </c>
      <c r="CW91" s="36">
        <f t="shared" si="881"/>
        <v>7087.3690359896837</v>
      </c>
      <c r="CX91" s="36">
        <f t="shared" si="881"/>
        <v>7380.1545718610987</v>
      </c>
      <c r="CY91" s="36">
        <f t="shared" si="881"/>
        <v>7680.2075552577926</v>
      </c>
      <c r="CZ91" s="36">
        <f t="shared" si="881"/>
        <v>8015.0398890875304</v>
      </c>
      <c r="DA91" s="36">
        <f t="shared" si="881"/>
        <v>8395.3431507166133</v>
      </c>
      <c r="DD91" s="133"/>
      <c r="DE91" s="13">
        <v>4392.8500000000004</v>
      </c>
    </row>
    <row r="92" spans="1:109" s="13" customFormat="1" x14ac:dyDescent="0.2">
      <c r="A92" s="13" t="s">
        <v>458</v>
      </c>
      <c r="B92" s="13">
        <f>'Annual Raw'!C108</f>
        <v>0</v>
      </c>
      <c r="C92" s="13">
        <f>'Annual Raw'!D108</f>
        <v>0</v>
      </c>
      <c r="D92" s="13">
        <f>'Annual Raw'!E108</f>
        <v>7.6</v>
      </c>
      <c r="E92" s="13">
        <f>'Annual Raw'!F108</f>
        <v>9.9</v>
      </c>
      <c r="F92" s="13">
        <f>'Annual Raw'!G108</f>
        <v>17.27</v>
      </c>
      <c r="G92" s="13">
        <f>'Annual Raw'!H108</f>
        <v>29.23</v>
      </c>
      <c r="H92" s="13">
        <f>'Annual Raw'!I108</f>
        <v>74.94</v>
      </c>
      <c r="I92" s="13">
        <f>'Annual Raw'!J108</f>
        <v>105.4</v>
      </c>
      <c r="J92" s="13">
        <f>'Annual Raw'!K108</f>
        <v>43.22</v>
      </c>
      <c r="K92" s="13">
        <f>'Annual Raw'!L108</f>
        <v>44</v>
      </c>
      <c r="L92" s="13">
        <f>'Annual Raw'!M108</f>
        <v>100.04</v>
      </c>
      <c r="M92" s="13">
        <f>'Annual Raw'!N108</f>
        <v>150.4</v>
      </c>
      <c r="N92" s="13">
        <f>'Annual Raw'!O108</f>
        <v>204.65</v>
      </c>
      <c r="O92" s="13">
        <f>'Annual Raw'!P108</f>
        <v>220</v>
      </c>
      <c r="P92" s="13">
        <f>'Annual Raw'!Q108</f>
        <v>293.54000000000002</v>
      </c>
      <c r="Q92" s="13">
        <f>'Annual Raw'!R108</f>
        <v>680.98</v>
      </c>
      <c r="R92" s="13">
        <f>'Annual Raw'!S108</f>
        <v>741.3</v>
      </c>
      <c r="S92" s="13">
        <f>'Annual Raw'!T108</f>
        <v>760.52</v>
      </c>
      <c r="T92" s="13">
        <f>'Annual Raw'!U108</f>
        <v>919.8</v>
      </c>
      <c r="U92" s="13">
        <f>'Annual Raw'!V108</f>
        <v>768.2</v>
      </c>
      <c r="V92" s="13">
        <f>'Annual Raw'!W108</f>
        <v>608.82000000000005</v>
      </c>
      <c r="W92" s="13">
        <f>'Annual Raw'!X108</f>
        <v>852</v>
      </c>
      <c r="X92" s="13">
        <f>'Annual Raw'!Y108</f>
        <v>1600</v>
      </c>
      <c r="Y92" s="13">
        <f>'Annual Raw'!Z108</f>
        <v>2554.75</v>
      </c>
      <c r="Z92" s="13">
        <f>'Annual Raw'!AA108</f>
        <v>2699.55</v>
      </c>
      <c r="AA92" s="13">
        <f>'Annual Raw'!AB108</f>
        <v>2836.55</v>
      </c>
      <c r="AB92" s="36">
        <f>+MIN(CL92:CO92)</f>
        <v>3519</v>
      </c>
      <c r="AC92" s="36">
        <f>+MIN(CP92:CS92)</f>
        <v>4267.2784259457021</v>
      </c>
      <c r="AD92" s="36">
        <f>+MIN(CT92:CW92)</f>
        <v>5121.7509520694375</v>
      </c>
      <c r="AE92" s="36">
        <f>+MIN(CX92:DA92)</f>
        <v>5816.5204789203144</v>
      </c>
      <c r="AJ92" s="13">
        <f>+'QTR Share Price'!HP20</f>
        <v>283</v>
      </c>
      <c r="AK92" s="13">
        <f>+'QTR Share Price'!HQ20</f>
        <v>325</v>
      </c>
      <c r="AL92" s="13">
        <f>+'QTR Share Price'!HR20</f>
        <v>269.8</v>
      </c>
      <c r="AM92" s="13">
        <f>+'QTR Share Price'!HS20</f>
        <v>257.94</v>
      </c>
      <c r="AN92" s="13">
        <f>+'QTR Share Price'!HT20</f>
        <v>220</v>
      </c>
      <c r="AO92" s="13">
        <f>+'QTR Share Price'!HU20</f>
        <v>250.04</v>
      </c>
      <c r="AP92" s="13">
        <f>+'QTR Share Price'!HV20</f>
        <v>293.54000000000002</v>
      </c>
      <c r="AQ92" s="13">
        <f>+'QTR Share Price'!HW20</f>
        <v>366</v>
      </c>
      <c r="AR92" s="13">
        <f>+'QTR Share Price'!HX20</f>
        <v>500</v>
      </c>
      <c r="AS92" s="13">
        <f>+'QTR Share Price'!HY20</f>
        <v>550.04999999999995</v>
      </c>
      <c r="AT92" s="13">
        <f>+'QTR Share Price'!HZ20</f>
        <v>680.98</v>
      </c>
      <c r="AU92" s="13">
        <f>+'QTR Share Price'!IA20</f>
        <v>776</v>
      </c>
      <c r="AV92" s="13">
        <f>+'QTR Share Price'!IB20</f>
        <v>802</v>
      </c>
      <c r="AW92" s="13">
        <f>+'QTR Share Price'!IC20</f>
        <v>745</v>
      </c>
      <c r="AX92" s="13">
        <f>+'QTR Share Price'!ID20</f>
        <v>741.3</v>
      </c>
      <c r="AY92" s="13">
        <f>+'QTR Share Price'!IE20</f>
        <v>754</v>
      </c>
      <c r="AZ92" s="13">
        <f>+'QTR Share Price'!IF20</f>
        <v>793.13</v>
      </c>
      <c r="BA92" s="13">
        <f>+'QTR Share Price'!IG20</f>
        <v>756</v>
      </c>
      <c r="BB92" s="13">
        <f>+'QTR Share Price'!IH20</f>
        <v>760.52</v>
      </c>
      <c r="BC92" s="13">
        <f>+'QTR Share Price'!II20</f>
        <v>880</v>
      </c>
      <c r="BD92" s="13">
        <f>+'QTR Share Price'!IJ20</f>
        <v>827.21</v>
      </c>
      <c r="BE92" s="13">
        <f>+'QTR Share Price'!IK20</f>
        <v>952</v>
      </c>
      <c r="BF92" s="13">
        <f>+'QTR Share Price'!IL20</f>
        <v>1030</v>
      </c>
      <c r="BG92" s="13">
        <f>+'QTR Share Price'!IM20</f>
        <v>1040</v>
      </c>
      <c r="BH92" s="13">
        <f>+'QTR Share Price'!IN20</f>
        <v>1035.47</v>
      </c>
      <c r="BI92" s="13">
        <f>+'QTR Share Price'!IO20</f>
        <v>919.8</v>
      </c>
      <c r="BJ92" s="13">
        <f>+'QTR Share Price'!IP20</f>
        <v>1028.2</v>
      </c>
      <c r="BK92" s="13">
        <f>+'QTR Share Price'!IQ20</f>
        <v>934.21</v>
      </c>
      <c r="BL92" s="13">
        <f>+'QTR Share Price'!IR20</f>
        <v>768.2</v>
      </c>
      <c r="BM92" s="13">
        <f>+'QTR Share Price'!IS20</f>
        <v>793.4</v>
      </c>
      <c r="BN92" s="13">
        <f>+'QTR Share Price'!IT20</f>
        <v>641.20000000000005</v>
      </c>
      <c r="BO92" s="13">
        <f>+'QTR Share Price'!IU20</f>
        <v>608.82000000000005</v>
      </c>
      <c r="BP92" s="13">
        <f>+'QTR Share Price'!IV20</f>
        <v>687.4</v>
      </c>
      <c r="BQ92" s="13">
        <f>+'QTR Share Price'!IW20</f>
        <v>690</v>
      </c>
      <c r="BR92" s="13">
        <f>+'QTR Share Price'!IX20</f>
        <v>852</v>
      </c>
      <c r="BS92" s="13">
        <f>+'QTR Share Price'!IY20</f>
        <v>964.95</v>
      </c>
      <c r="BT92" s="13">
        <f>+'QTR Share Price'!IZ20</f>
        <v>1065</v>
      </c>
      <c r="BU92" s="13">
        <f>+'QTR Share Price'!JA20</f>
        <v>1416</v>
      </c>
      <c r="BV92" s="13">
        <f>+'QTR Share Price'!JB20</f>
        <v>1600</v>
      </c>
      <c r="BW92" s="13">
        <f>+'QTR Share Price'!JC20</f>
        <v>1913.8</v>
      </c>
      <c r="BX92" s="13">
        <f>+'QTR Share Price'!JD20</f>
        <v>2241</v>
      </c>
      <c r="BY92" s="13">
        <f>+'QTR Share Price'!JE20</f>
        <v>2602.5</v>
      </c>
      <c r="BZ92" s="13">
        <f>+'QTR Share Price'!JF20</f>
        <v>2554.75</v>
      </c>
      <c r="CA92" s="13">
        <f>+'QTR Share Price'!JG20</f>
        <v>2685.9</v>
      </c>
      <c r="CB92" s="13">
        <f>+'QTR Share Price'!JH20</f>
        <v>2928.4</v>
      </c>
      <c r="CC92" s="13">
        <f>+'QTR Share Price'!JI20</f>
        <v>2616.0500000000002</v>
      </c>
      <c r="CD92" s="13">
        <f>+'QTR Share Price'!JJ20</f>
        <v>2699.55</v>
      </c>
      <c r="CE92" s="13">
        <f>+'QTR Share Price'!JK20</f>
        <v>2840</v>
      </c>
      <c r="CF92" s="13">
        <f>+'QTR Share Price'!JL20</f>
        <v>3755</v>
      </c>
      <c r="CG92" s="13">
        <f>+'QTR Share Price'!JM20</f>
        <v>3258.7</v>
      </c>
      <c r="CH92" s="13">
        <f>+'QTR Share Price'!JN20</f>
        <v>2836.55</v>
      </c>
      <c r="CI92" s="13">
        <f>+'QTR Share Price'!JO20</f>
        <v>2851</v>
      </c>
      <c r="CJ92" s="13">
        <f>+'QTR Share Price'!JP20</f>
        <v>3760.85</v>
      </c>
      <c r="CK92" s="13">
        <f>+'QTR Share Price'!JQ20</f>
        <v>3703.05</v>
      </c>
      <c r="CL92" s="13">
        <f>+'QTR Share Price'!JR20</f>
        <v>3519</v>
      </c>
      <c r="CM92" s="36">
        <f t="shared" ref="CM92:DA92" si="882">+CM100*CM82</f>
        <v>3642.0742767429133</v>
      </c>
      <c r="CN92" s="36">
        <f t="shared" si="882"/>
        <v>3827.9321871425595</v>
      </c>
      <c r="CO92" s="36">
        <f t="shared" si="882"/>
        <v>4068.357597226835</v>
      </c>
      <c r="CP92" s="36">
        <f t="shared" si="882"/>
        <v>4267.2784259457021</v>
      </c>
      <c r="CQ92" s="36">
        <f t="shared" si="882"/>
        <v>4485.1871906540428</v>
      </c>
      <c r="CR92" s="36">
        <f t="shared" si="882"/>
        <v>4717.5566863697577</v>
      </c>
      <c r="CS92" s="36">
        <f t="shared" si="882"/>
        <v>4972.6545662931285</v>
      </c>
      <c r="CT92" s="36">
        <f t="shared" si="882"/>
        <v>5121.7509520694375</v>
      </c>
      <c r="CU92" s="36">
        <f t="shared" si="882"/>
        <v>5270.3118861955099</v>
      </c>
      <c r="CV92" s="36">
        <f t="shared" si="882"/>
        <v>5426.175982258148</v>
      </c>
      <c r="CW92" s="36">
        <f t="shared" si="882"/>
        <v>5585.7674440420369</v>
      </c>
      <c r="CX92" s="36">
        <f t="shared" si="882"/>
        <v>5816.5204789203144</v>
      </c>
      <c r="CY92" s="36">
        <f t="shared" si="882"/>
        <v>6053.0012064842485</v>
      </c>
      <c r="CZ92" s="36">
        <f t="shared" si="882"/>
        <v>6316.8925799997796</v>
      </c>
      <c r="DA92" s="36">
        <f t="shared" si="882"/>
        <v>6616.6209512590731</v>
      </c>
      <c r="DD92" s="133"/>
      <c r="DE92" s="13">
        <v>2836.55</v>
      </c>
    </row>
    <row r="93" spans="1:109" s="14" customFormat="1" x14ac:dyDescent="0.2">
      <c r="AB93" s="15"/>
      <c r="AC93" s="15"/>
      <c r="AD93" s="15"/>
      <c r="AE93" s="15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D93" s="133"/>
    </row>
    <row r="94" spans="1:109" s="50" customFormat="1" x14ac:dyDescent="0.2">
      <c r="A94" s="50" t="s">
        <v>346</v>
      </c>
      <c r="AB94" s="47">
        <f t="shared" ref="AB94:AD94" si="883">+AB91/AB90-1</f>
        <v>0.34263776277499192</v>
      </c>
      <c r="AC94" s="47">
        <f t="shared" si="883"/>
        <v>0.64107349031747396</v>
      </c>
      <c r="AD94" s="47">
        <f t="shared" si="883"/>
        <v>0.84341275938036353</v>
      </c>
      <c r="AE94" s="47">
        <f t="shared" ref="AE94" si="884">+AE91/AE90-1</f>
        <v>1.1836146255147639</v>
      </c>
      <c r="CM94" s="47">
        <f t="shared" ref="CM94:DA94" si="885">+CM91/CM90-1</f>
        <v>0.20195591019817805</v>
      </c>
      <c r="CN94" s="47">
        <f t="shared" si="885"/>
        <v>0.26329266417061925</v>
      </c>
      <c r="CO94" s="47">
        <f t="shared" si="885"/>
        <v>0.34263776277499192</v>
      </c>
      <c r="CP94" s="47">
        <f t="shared" si="885"/>
        <v>0.40828553587696792</v>
      </c>
      <c r="CQ94" s="47">
        <f t="shared" si="885"/>
        <v>0.48019970009313662</v>
      </c>
      <c r="CR94" s="47">
        <f t="shared" si="885"/>
        <v>0.55688618902851572</v>
      </c>
      <c r="CS94" s="47">
        <f t="shared" si="885"/>
        <v>0.64107349031747396</v>
      </c>
      <c r="CT94" s="47">
        <f t="shared" si="885"/>
        <v>0.69027822049482945</v>
      </c>
      <c r="CU94" s="47">
        <f t="shared" si="885"/>
        <v>0.73930624113066434</v>
      </c>
      <c r="CV94" s="47">
        <f t="shared" si="885"/>
        <v>0.79074444837604863</v>
      </c>
      <c r="CW94" s="47">
        <f t="shared" si="885"/>
        <v>0.84341275938036353</v>
      </c>
      <c r="CX94" s="47">
        <f t="shared" si="885"/>
        <v>0.91956578455044591</v>
      </c>
      <c r="CY94" s="47">
        <f t="shared" si="885"/>
        <v>0.99760906059192989</v>
      </c>
      <c r="CZ94" s="47">
        <f t="shared" si="885"/>
        <v>1.084698387153102</v>
      </c>
      <c r="DA94" s="47">
        <f t="shared" si="885"/>
        <v>1.1836146255147639</v>
      </c>
      <c r="DD94" s="128"/>
      <c r="DE94" s="50">
        <v>0.13064796345151541</v>
      </c>
    </row>
    <row r="95" spans="1:109" s="50" customFormat="1" x14ac:dyDescent="0.2">
      <c r="A95" s="50" t="s">
        <v>347</v>
      </c>
      <c r="AB95" s="47">
        <f t="shared" ref="AB95:AD95" si="886">+AB92/AB90-1</f>
        <v>-8.4714021900278214E-2</v>
      </c>
      <c r="AC95" s="47">
        <f t="shared" si="886"/>
        <v>0.10991193745824179</v>
      </c>
      <c r="AD95" s="47">
        <f t="shared" si="886"/>
        <v>0.33215880356580163</v>
      </c>
      <c r="AE95" s="47">
        <f t="shared" ref="AE95" si="887">+AE92/AE90-1</f>
        <v>0.51286718831646549</v>
      </c>
      <c r="CM95" s="47">
        <f t="shared" ref="CM95:DA95" si="888">+CM92/CM90-1</f>
        <v>-5.2702609633283881E-2</v>
      </c>
      <c r="CN95" s="47">
        <f t="shared" si="888"/>
        <v>-4.3612799067391794E-3</v>
      </c>
      <c r="CO95" s="47">
        <f t="shared" si="888"/>
        <v>5.817296465961852E-2</v>
      </c>
      <c r="CP95" s="47">
        <f t="shared" si="888"/>
        <v>0.10991193745824179</v>
      </c>
      <c r="CQ95" s="47">
        <f t="shared" si="888"/>
        <v>0.16658964045414293</v>
      </c>
      <c r="CR95" s="47">
        <f t="shared" si="888"/>
        <v>0.22702855525002152</v>
      </c>
      <c r="CS95" s="47">
        <f t="shared" si="888"/>
        <v>0.29337908453016581</v>
      </c>
      <c r="CT95" s="47">
        <f t="shared" si="888"/>
        <v>0.33215880356580163</v>
      </c>
      <c r="CU95" s="47">
        <f t="shared" si="888"/>
        <v>0.37079925252828838</v>
      </c>
      <c r="CV95" s="47">
        <f t="shared" si="888"/>
        <v>0.4113392416204511</v>
      </c>
      <c r="CW95" s="47">
        <f t="shared" si="888"/>
        <v>0.45284871226416556</v>
      </c>
      <c r="CX95" s="47">
        <f t="shared" si="888"/>
        <v>0.51286718831646549</v>
      </c>
      <c r="CY95" s="47">
        <f t="shared" si="888"/>
        <v>0.57437542759753657</v>
      </c>
      <c r="CZ95" s="47">
        <f t="shared" si="888"/>
        <v>0.6430131297629933</v>
      </c>
      <c r="DA95" s="47">
        <f t="shared" si="888"/>
        <v>0.72097197473380836</v>
      </c>
      <c r="DD95" s="128"/>
      <c r="DE95" s="50">
        <v>-0.26991828067691903</v>
      </c>
    </row>
    <row r="96" spans="1:109" s="14" customFormat="1" x14ac:dyDescent="0.2">
      <c r="AB96" s="15"/>
      <c r="AC96" s="15"/>
      <c r="AD96" s="15"/>
      <c r="AE96" s="15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D96" s="133"/>
    </row>
    <row r="97" spans="1:109" s="13" customFormat="1" x14ac:dyDescent="0.2">
      <c r="A97" s="13" t="s">
        <v>40</v>
      </c>
      <c r="AB97" s="36"/>
      <c r="AC97" s="36"/>
      <c r="AD97" s="36"/>
      <c r="AE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D97" s="133"/>
    </row>
    <row r="98" spans="1:109" s="13" customFormat="1" x14ac:dyDescent="0.2">
      <c r="A98" s="13" t="s">
        <v>459</v>
      </c>
      <c r="B98" s="13" t="e">
        <f t="shared" ref="B98:D98" si="889">+B90/B82</f>
        <v>#DIV/0!</v>
      </c>
      <c r="C98" s="13" t="e">
        <f t="shared" si="889"/>
        <v>#DIV/0!</v>
      </c>
      <c r="D98" s="13">
        <f t="shared" si="889"/>
        <v>0.9146464339908964</v>
      </c>
      <c r="E98" s="13">
        <f t="shared" ref="E98:AE98" ca="1" si="890">+E90/E82</f>
        <v>17.188950777202077</v>
      </c>
      <c r="F98" s="13">
        <f t="shared" ca="1" si="890"/>
        <v>16.368983160621742</v>
      </c>
      <c r="G98" s="13">
        <f t="shared" ca="1" si="890"/>
        <v>26.142472332428472</v>
      </c>
      <c r="H98" s="13">
        <f t="shared" ca="1" si="890"/>
        <v>27.319628222523761</v>
      </c>
      <c r="I98" s="13">
        <f t="shared" ca="1" si="890"/>
        <v>27.42963787250093</v>
      </c>
      <c r="J98" s="13">
        <f t="shared" ca="1" si="890"/>
        <v>7.347994149603009</v>
      </c>
      <c r="K98" s="13">
        <f t="shared" ca="1" si="890"/>
        <v>28.987282575526375</v>
      </c>
      <c r="L98" s="13">
        <f t="shared" ca="1" si="890"/>
        <v>22.553511111111128</v>
      </c>
      <c r="M98" s="13">
        <f t="shared" ca="1" si="890"/>
        <v>18.593988748082069</v>
      </c>
      <c r="N98" s="13">
        <f t="shared" ca="1" si="890"/>
        <v>33.378955898982277</v>
      </c>
      <c r="O98" s="13">
        <f t="shared" ca="1" si="890"/>
        <v>41.411866535336095</v>
      </c>
      <c r="P98" s="13">
        <f t="shared" ca="1" si="890"/>
        <v>72.999297488226091</v>
      </c>
      <c r="Q98" s="13">
        <f t="shared" ca="1" si="890"/>
        <v>69.445384849098616</v>
      </c>
      <c r="R98" s="13">
        <f t="shared" ca="1" si="890"/>
        <v>61.95108274377111</v>
      </c>
      <c r="S98" s="13">
        <f t="shared" ca="1" si="890"/>
        <v>46.483163452241683</v>
      </c>
      <c r="T98" s="13">
        <f t="shared" ca="1" si="890"/>
        <v>38.425156587472976</v>
      </c>
      <c r="U98" s="13">
        <f t="shared" ca="1" si="890"/>
        <v>39.913459155388992</v>
      </c>
      <c r="V98" s="13">
        <f t="shared" ca="1" si="890"/>
        <v>48.759347355397423</v>
      </c>
      <c r="W98" s="13">
        <f t="shared" ca="1" si="890"/>
        <v>43.678386794252269</v>
      </c>
      <c r="X98" s="13">
        <f t="shared" ca="1" si="890"/>
        <v>49.635554192749602</v>
      </c>
      <c r="Y98" s="13">
        <f t="shared" ca="1" si="890"/>
        <v>55.382625149382591</v>
      </c>
      <c r="Z98" s="13">
        <f t="shared" ref="Z98:AA98" ca="1" si="891">+Z90/Z82</f>
        <v>56.693419146624628</v>
      </c>
      <c r="AA98" s="13">
        <f t="shared" ref="AA98" ca="1" si="892">+AA90/AA82</f>
        <v>56.693419146624628</v>
      </c>
      <c r="AB98" s="36">
        <f t="shared" ca="1" si="890"/>
        <v>42.78748896030244</v>
      </c>
      <c r="AC98" s="36">
        <f t="shared" ca="1" si="890"/>
        <v>35.006414271737754</v>
      </c>
      <c r="AD98" s="36">
        <f t="shared" ca="1" si="890"/>
        <v>31.163990896824707</v>
      </c>
      <c r="AE98" s="36">
        <f t="shared" ca="1" si="890"/>
        <v>26.308716648606129</v>
      </c>
      <c r="AL98" s="13">
        <f t="shared" ref="AL98:BQ98" si="893">+AL90/AL82</f>
        <v>33.213750000000005</v>
      </c>
      <c r="AM98" s="13">
        <f t="shared" si="893"/>
        <v>37.726670066292719</v>
      </c>
      <c r="AN98" s="13">
        <f t="shared" si="893"/>
        <v>33.468922047851834</v>
      </c>
      <c r="AO98" s="13">
        <f t="shared" si="893"/>
        <v>41.411866535336166</v>
      </c>
      <c r="AP98" s="13">
        <f t="shared" si="893"/>
        <v>44.781512284449896</v>
      </c>
      <c r="AQ98" s="13">
        <f t="shared" si="893"/>
        <v>53.145206153846146</v>
      </c>
      <c r="AR98" s="13">
        <f t="shared" si="893"/>
        <v>60.880578210590372</v>
      </c>
      <c r="AS98" s="13">
        <f t="shared" si="893"/>
        <v>72.999297488226006</v>
      </c>
      <c r="AT98" s="13">
        <f t="shared" si="893"/>
        <v>81.149667293233065</v>
      </c>
      <c r="AU98" s="13">
        <f t="shared" si="893"/>
        <v>76.664173706127286</v>
      </c>
      <c r="AV98" s="13">
        <f t="shared" si="893"/>
        <v>69.592706551134171</v>
      </c>
      <c r="AW98" s="13">
        <f t="shared" si="893"/>
        <v>69.445384849098659</v>
      </c>
      <c r="AX98" s="13">
        <f t="shared" si="893"/>
        <v>60.45725777057811</v>
      </c>
      <c r="AY98" s="13">
        <f t="shared" si="893"/>
        <v>66.024923693540927</v>
      </c>
      <c r="AZ98" s="13">
        <f t="shared" si="893"/>
        <v>64.956794382537041</v>
      </c>
      <c r="BA98" s="13">
        <f t="shared" si="893"/>
        <v>61.951082743771146</v>
      </c>
      <c r="BB98" s="13">
        <f t="shared" si="893"/>
        <v>67.528590108015905</v>
      </c>
      <c r="BC98" s="13">
        <f t="shared" si="893"/>
        <v>63.792009875640048</v>
      </c>
      <c r="BD98" s="13">
        <f t="shared" si="893"/>
        <v>58.391838369963359</v>
      </c>
      <c r="BE98" s="13">
        <f t="shared" si="893"/>
        <v>57.919006087121929</v>
      </c>
      <c r="BF98" s="13">
        <f t="shared" si="893"/>
        <v>43.409756418873499</v>
      </c>
      <c r="BG98" s="13">
        <f t="shared" si="893"/>
        <v>40.211991627906983</v>
      </c>
      <c r="BH98" s="13">
        <f t="shared" si="893"/>
        <v>36.353765519917218</v>
      </c>
      <c r="BI98" s="13">
        <f t="shared" si="893"/>
        <v>38.425986522387092</v>
      </c>
      <c r="BJ98" s="13">
        <f t="shared" si="893"/>
        <v>37.791315477497257</v>
      </c>
      <c r="BK98" s="13">
        <f t="shared" si="893"/>
        <v>35.789562624721214</v>
      </c>
      <c r="BL98" s="13">
        <f t="shared" si="893"/>
        <v>35.098069793640228</v>
      </c>
      <c r="BM98" s="13">
        <f t="shared" si="893"/>
        <v>39.913459155388864</v>
      </c>
      <c r="BN98" s="13">
        <f t="shared" si="893"/>
        <v>34.02897678114239</v>
      </c>
      <c r="BO98" s="13">
        <f t="shared" si="893"/>
        <v>52.031619659313016</v>
      </c>
      <c r="BP98" s="13">
        <f t="shared" si="893"/>
        <v>47.490074390765258</v>
      </c>
      <c r="BQ98" s="13">
        <f t="shared" si="893"/>
        <v>48.759347355397452</v>
      </c>
      <c r="BR98" s="13">
        <f t="shared" ref="BR98:DA98" si="894">+BR90/BR82</f>
        <v>48.028873807360299</v>
      </c>
      <c r="BS98" s="13">
        <f t="shared" si="894"/>
        <v>33.733544073762332</v>
      </c>
      <c r="BT98" s="13">
        <f t="shared" si="894"/>
        <v>41.010360972246175</v>
      </c>
      <c r="BU98" s="13">
        <f t="shared" si="894"/>
        <v>43.678386794252297</v>
      </c>
      <c r="BV98" s="13">
        <f t="shared" si="894"/>
        <v>43.760410506674319</v>
      </c>
      <c r="BW98" s="13">
        <f t="shared" si="894"/>
        <v>45.942982523673898</v>
      </c>
      <c r="BX98" s="13">
        <f t="shared" si="894"/>
        <v>60.959447256308486</v>
      </c>
      <c r="BY98" s="13">
        <f t="shared" si="894"/>
        <v>49.635554192749609</v>
      </c>
      <c r="BZ98" s="13">
        <f t="shared" si="894"/>
        <v>51.249380476451272</v>
      </c>
      <c r="CA98" s="13">
        <f t="shared" si="894"/>
        <v>53.65147786797197</v>
      </c>
      <c r="CB98" s="13">
        <f t="shared" si="894"/>
        <v>56.277272134638579</v>
      </c>
      <c r="CC98" s="13">
        <f t="shared" si="894"/>
        <v>55.382625149382548</v>
      </c>
      <c r="CD98" s="13">
        <f t="shared" si="894"/>
        <v>48.62040439346508</v>
      </c>
      <c r="CE98" s="13">
        <f t="shared" si="894"/>
        <v>81.19464943435932</v>
      </c>
      <c r="CF98" s="13">
        <f t="shared" si="894"/>
        <v>66.700844533732194</v>
      </c>
      <c r="CG98" s="13">
        <f t="shared" si="894"/>
        <v>56.693419146624613</v>
      </c>
      <c r="CH98" s="13">
        <f t="shared" si="894"/>
        <v>54.264482467345211</v>
      </c>
      <c r="CI98" s="13">
        <f t="shared" ref="CI98:CJ98" si="895">+CI90/CI82</f>
        <v>62.496379467019658</v>
      </c>
      <c r="CJ98" s="13">
        <f t="shared" si="895"/>
        <v>61.774205131093531</v>
      </c>
      <c r="CK98" s="13">
        <f t="shared" ref="CK98:CL98" si="896">+CK90/CK82</f>
        <v>52.789548832963895</v>
      </c>
      <c r="CL98" s="13">
        <f t="shared" si="896"/>
        <v>49.467122983207112</v>
      </c>
      <c r="CM98" s="36">
        <f t="shared" si="894"/>
        <v>47.795512268788741</v>
      </c>
      <c r="CN98" s="36">
        <f t="shared" si="894"/>
        <v>45.474892779604758</v>
      </c>
      <c r="CO98" s="36">
        <f t="shared" si="894"/>
        <v>42.787488960302454</v>
      </c>
      <c r="CP98" s="36">
        <f t="shared" si="894"/>
        <v>40.79293366926904</v>
      </c>
      <c r="CQ98" s="36">
        <f t="shared" si="894"/>
        <v>38.811045866855281</v>
      </c>
      <c r="CR98" s="36">
        <f t="shared" si="894"/>
        <v>36.899356457306162</v>
      </c>
      <c r="CS98" s="36">
        <f t="shared" si="894"/>
        <v>35.006414271737782</v>
      </c>
      <c r="CT98" s="36">
        <f t="shared" si="894"/>
        <v>33.987362409250125</v>
      </c>
      <c r="CU98" s="36">
        <f t="shared" si="894"/>
        <v>33.029317720998392</v>
      </c>
      <c r="CV98" s="36">
        <f t="shared" si="894"/>
        <v>32.080567668110007</v>
      </c>
      <c r="CW98" s="36">
        <f t="shared" si="894"/>
        <v>31.163990896824703</v>
      </c>
      <c r="CX98" s="36">
        <f t="shared" si="894"/>
        <v>29.927652865449598</v>
      </c>
      <c r="CY98" s="36">
        <f t="shared" si="894"/>
        <v>28.758429056883219</v>
      </c>
      <c r="CZ98" s="36">
        <f t="shared" si="894"/>
        <v>27.557031178439303</v>
      </c>
      <c r="DA98" s="36">
        <f t="shared" si="894"/>
        <v>26.308716648606147</v>
      </c>
      <c r="DD98" s="133"/>
      <c r="DE98" s="13">
        <v>52.789548832963952</v>
      </c>
    </row>
    <row r="99" spans="1:109" s="13" customFormat="1" x14ac:dyDescent="0.2">
      <c r="A99" s="13" t="s">
        <v>460</v>
      </c>
      <c r="B99" s="13" t="e">
        <f t="shared" ref="B99:D99" si="897">+B91/B82</f>
        <v>#DIV/0!</v>
      </c>
      <c r="C99" s="13" t="e">
        <f t="shared" si="897"/>
        <v>#DIV/0!</v>
      </c>
      <c r="D99" s="13">
        <f t="shared" si="897"/>
        <v>1.1584400606980285</v>
      </c>
      <c r="E99" s="13">
        <f t="shared" ref="E99:AE99" ca="1" si="898">+E91/E82</f>
        <v>19.571243523316067</v>
      </c>
      <c r="F99" s="13">
        <f t="shared" ca="1" si="898"/>
        <v>17.310427461139874</v>
      </c>
      <c r="G99" s="13">
        <f t="shared" ca="1" si="898"/>
        <v>31.256736270620159</v>
      </c>
      <c r="H99" s="13">
        <f t="shared" ca="1" si="898"/>
        <v>32.871777476255104</v>
      </c>
      <c r="I99" s="13">
        <f t="shared" ca="1" si="898"/>
        <v>28.496793662768756</v>
      </c>
      <c r="J99" s="13">
        <f t="shared" ca="1" si="898"/>
        <v>22.860426243209364</v>
      </c>
      <c r="K99" s="13">
        <f t="shared" ca="1" si="898"/>
        <v>32.428553555080839</v>
      </c>
      <c r="L99" s="13">
        <f t="shared" ca="1" si="898"/>
        <v>25.213827160493846</v>
      </c>
      <c r="M99" s="13">
        <f t="shared" ca="1" si="898"/>
        <v>25.488349150423378</v>
      </c>
      <c r="N99" s="13">
        <f t="shared" ca="1" si="898"/>
        <v>35.875946098756117</v>
      </c>
      <c r="O99" s="13">
        <f t="shared" ca="1" si="898"/>
        <v>43.619798079290781</v>
      </c>
      <c r="P99" s="13">
        <f t="shared" ca="1" si="898"/>
        <v>78.211342229199403</v>
      </c>
      <c r="Q99" s="13">
        <f t="shared" ca="1" si="898"/>
        <v>77.406015799068243</v>
      </c>
      <c r="R99" s="13">
        <f t="shared" ca="1" si="898"/>
        <v>80.097139341740956</v>
      </c>
      <c r="S99" s="13">
        <f t="shared" ca="1" si="898"/>
        <v>47.404610452394358</v>
      </c>
      <c r="T99" s="13">
        <f t="shared" ca="1" si="898"/>
        <v>39.949672354211636</v>
      </c>
      <c r="U99" s="13">
        <f t="shared" ca="1" si="898"/>
        <v>49.579525517691316</v>
      </c>
      <c r="V99" s="13">
        <f t="shared" ca="1" si="898"/>
        <v>53.179709248376078</v>
      </c>
      <c r="W99" s="13">
        <f t="shared" ca="1" si="898"/>
        <v>44.073410001271597</v>
      </c>
      <c r="X99" s="13">
        <f t="shared" ca="1" si="898"/>
        <v>71.776682711778093</v>
      </c>
      <c r="Y99" s="13">
        <f t="shared" ca="1" si="898"/>
        <v>64.324233169565844</v>
      </c>
      <c r="Z99" s="13">
        <f t="shared" ref="Z99:AA99" ca="1" si="899">+Z91/Z82</f>
        <v>82.406855122169432</v>
      </c>
      <c r="AA99" s="13">
        <f t="shared" ref="AA99" ca="1" si="900">+AA91/AA82</f>
        <v>82.406855122169432</v>
      </c>
      <c r="AB99" s="59">
        <f t="shared" ca="1" si="898"/>
        <v>57.448098452420133</v>
      </c>
      <c r="AC99" s="59">
        <f t="shared" ca="1" si="898"/>
        <v>57.448098452420112</v>
      </c>
      <c r="AD99" s="59">
        <f t="shared" ca="1" si="898"/>
        <v>57.448098452420162</v>
      </c>
      <c r="AE99" s="59">
        <f t="shared" ca="1" si="898"/>
        <v>57.448098452420119</v>
      </c>
      <c r="AL99" s="13">
        <f t="shared" ref="AL99:BQ99" si="901">+AL91/AL82</f>
        <v>38.419606709080398</v>
      </c>
      <c r="AM99" s="13">
        <f t="shared" si="901"/>
        <v>40.914839367669572</v>
      </c>
      <c r="AN99" s="13">
        <f t="shared" si="901"/>
        <v>39.379933110367922</v>
      </c>
      <c r="AO99" s="13">
        <f t="shared" si="901"/>
        <v>42.309921201674506</v>
      </c>
      <c r="AP99" s="13">
        <f t="shared" si="901"/>
        <v>45.675949946589377</v>
      </c>
      <c r="AQ99" s="13">
        <f t="shared" si="901"/>
        <v>55.787076923076917</v>
      </c>
      <c r="AR99" s="13">
        <f t="shared" si="901"/>
        <v>64.249267599918838</v>
      </c>
      <c r="AS99" s="13">
        <f t="shared" si="901"/>
        <v>78.211342229199317</v>
      </c>
      <c r="AT99" s="13">
        <f t="shared" si="901"/>
        <v>86.788610902255613</v>
      </c>
      <c r="AU99" s="13">
        <f t="shared" si="901"/>
        <v>85.170017846519912</v>
      </c>
      <c r="AV99" s="13">
        <f t="shared" si="901"/>
        <v>84.365251945471599</v>
      </c>
      <c r="AW99" s="13">
        <f t="shared" si="901"/>
        <v>69.648793295523618</v>
      </c>
      <c r="AX99" s="13">
        <f t="shared" si="901"/>
        <v>70.229766123316793</v>
      </c>
      <c r="AY99" s="13">
        <f t="shared" si="901"/>
        <v>69.308982580545702</v>
      </c>
      <c r="AZ99" s="13">
        <f t="shared" si="901"/>
        <v>67.759426041825691</v>
      </c>
      <c r="BA99" s="13">
        <f t="shared" si="901"/>
        <v>80.097139341740998</v>
      </c>
      <c r="BB99" s="13">
        <f t="shared" si="901"/>
        <v>68.805173393973845</v>
      </c>
      <c r="BC99" s="13">
        <f t="shared" si="901"/>
        <v>71.080340618141875</v>
      </c>
      <c r="BD99" s="13">
        <f t="shared" si="901"/>
        <v>61.41549908424907</v>
      </c>
      <c r="BE99" s="13">
        <f t="shared" si="901"/>
        <v>59.067148563819671</v>
      </c>
      <c r="BF99" s="13">
        <f t="shared" si="901"/>
        <v>49.728991262266433</v>
      </c>
      <c r="BG99" s="13">
        <f t="shared" si="901"/>
        <v>41.074186046511635</v>
      </c>
      <c r="BH99" s="13">
        <f t="shared" si="901"/>
        <v>39.081401319192956</v>
      </c>
      <c r="BI99" s="13">
        <f t="shared" si="901"/>
        <v>38.648457202099394</v>
      </c>
      <c r="BJ99" s="13">
        <f t="shared" si="901"/>
        <v>40.053290450054888</v>
      </c>
      <c r="BK99" s="13">
        <f t="shared" si="901"/>
        <v>41.831303439370821</v>
      </c>
      <c r="BL99" s="13">
        <f t="shared" si="901"/>
        <v>39.217061805519997</v>
      </c>
      <c r="BM99" s="13">
        <f t="shared" si="901"/>
        <v>40.3513777922713</v>
      </c>
      <c r="BN99" s="13">
        <f t="shared" si="901"/>
        <v>45.5363291250993</v>
      </c>
      <c r="BO99" s="13">
        <f t="shared" si="901"/>
        <v>54.704272549567136</v>
      </c>
      <c r="BP99" s="13">
        <f t="shared" si="901"/>
        <v>56.866737922188939</v>
      </c>
      <c r="BQ99" s="13">
        <f t="shared" si="901"/>
        <v>50.993969481389819</v>
      </c>
      <c r="BR99" s="13">
        <f t="shared" ref="BR99:CH99" si="902">+BR91/BR82</f>
        <v>48.821114550204456</v>
      </c>
      <c r="BS99" s="13">
        <f t="shared" si="902"/>
        <v>34.353948274542802</v>
      </c>
      <c r="BT99" s="13">
        <f t="shared" si="902"/>
        <v>41.405893466643697</v>
      </c>
      <c r="BU99" s="13">
        <f t="shared" si="902"/>
        <v>44.073410001271633</v>
      </c>
      <c r="BV99" s="13">
        <f t="shared" si="902"/>
        <v>44.092438639299559</v>
      </c>
      <c r="BW99" s="13">
        <f t="shared" si="902"/>
        <v>49.925991223342848</v>
      </c>
      <c r="BX99" s="13">
        <f t="shared" si="902"/>
        <v>75.291073444270467</v>
      </c>
      <c r="BY99" s="13">
        <f t="shared" si="902"/>
        <v>61.852284692732255</v>
      </c>
      <c r="BZ99" s="13">
        <f t="shared" si="902"/>
        <v>55.914413335158834</v>
      </c>
      <c r="CA99" s="13">
        <f t="shared" si="902"/>
        <v>57.007724338032546</v>
      </c>
      <c r="CB99" s="13">
        <f t="shared" si="902"/>
        <v>63.159199904388359</v>
      </c>
      <c r="CC99" s="13">
        <f t="shared" si="902"/>
        <v>57.691531669101046</v>
      </c>
      <c r="CD99" s="13">
        <f t="shared" si="902"/>
        <v>59.366061809373129</v>
      </c>
      <c r="CE99" s="13">
        <f t="shared" si="902"/>
        <v>84.811562746645578</v>
      </c>
      <c r="CF99" s="13">
        <f t="shared" si="902"/>
        <v>81.826733559706923</v>
      </c>
      <c r="CG99" s="13">
        <f t="shared" si="902"/>
        <v>67.922393647615166</v>
      </c>
      <c r="CH99" s="13">
        <f t="shared" si="902"/>
        <v>60.173471300836503</v>
      </c>
      <c r="CI99" s="13">
        <f t="shared" ref="CI99:CJ99" si="903">+CI91/CI82</f>
        <v>67.32160664546339</v>
      </c>
      <c r="CJ99" s="13">
        <f t="shared" si="903"/>
        <v>64.157726210256556</v>
      </c>
      <c r="CK99" s="13">
        <f t="shared" ref="CK99:CL99" si="904">+CK91/CK82</f>
        <v>59.686395879514947</v>
      </c>
      <c r="CL99" s="13">
        <f t="shared" si="904"/>
        <v>57.448098452420155</v>
      </c>
      <c r="CM99" s="59">
        <f t="shared" ref="CM99:CM100" si="905">+CL99</f>
        <v>57.448098452420155</v>
      </c>
      <c r="CN99" s="59">
        <f t="shared" ref="CN99:CN100" si="906">+CM99</f>
        <v>57.448098452420155</v>
      </c>
      <c r="CO99" s="59">
        <f t="shared" ref="CO99:CO100" si="907">+CN99</f>
        <v>57.448098452420155</v>
      </c>
      <c r="CP99" s="59">
        <f t="shared" ref="CP99:CP100" si="908">+CO99</f>
        <v>57.448098452420155</v>
      </c>
      <c r="CQ99" s="59">
        <f t="shared" ref="CQ99:CQ100" si="909">+CP99</f>
        <v>57.448098452420155</v>
      </c>
      <c r="CR99" s="59">
        <f t="shared" ref="CR99:CR100" si="910">+CQ99</f>
        <v>57.448098452420155</v>
      </c>
      <c r="CS99" s="59">
        <f t="shared" ref="CS99:CS100" si="911">+CR99</f>
        <v>57.448098452420155</v>
      </c>
      <c r="CT99" s="59">
        <f t="shared" ref="CT99:CT100" si="912">+CS99</f>
        <v>57.448098452420155</v>
      </c>
      <c r="CU99" s="59">
        <f t="shared" ref="CU99:CU100" si="913">+CT99</f>
        <v>57.448098452420155</v>
      </c>
      <c r="CV99" s="59">
        <f t="shared" ref="CV99:CV100" si="914">+CU99</f>
        <v>57.448098452420155</v>
      </c>
      <c r="CW99" s="59">
        <f t="shared" ref="CW99:CW100" si="915">+CV99</f>
        <v>57.448098452420155</v>
      </c>
      <c r="CX99" s="59">
        <f t="shared" ref="CX99:CX100" si="916">+CW99</f>
        <v>57.448098452420155</v>
      </c>
      <c r="CY99" s="59">
        <f t="shared" ref="CY99:CY100" si="917">+CX99</f>
        <v>57.448098452420155</v>
      </c>
      <c r="CZ99" s="59">
        <f t="shared" ref="CZ99:CZ100" si="918">+CY99</f>
        <v>57.448098452420155</v>
      </c>
      <c r="DA99" s="59">
        <f t="shared" ref="DA99:DA100" si="919">+CZ99</f>
        <v>57.448098452420155</v>
      </c>
      <c r="DD99" s="135"/>
      <c r="DE99" s="13">
        <v>59.686395879515018</v>
      </c>
    </row>
    <row r="100" spans="1:109" s="13" customFormat="1" x14ac:dyDescent="0.2">
      <c r="A100" s="13" t="s">
        <v>461</v>
      </c>
      <c r="B100" s="13" t="e">
        <f t="shared" ref="B100:D100" si="920">+B92/B82</f>
        <v>#DIV/0!</v>
      </c>
      <c r="C100" s="13" t="e">
        <f t="shared" si="920"/>
        <v>#DIV/0!</v>
      </c>
      <c r="D100" s="13">
        <f t="shared" si="920"/>
        <v>0.63890743550834672</v>
      </c>
      <c r="E100" s="13">
        <f t="shared" ref="E100:AE100" ca="1" si="921">+E92/E82</f>
        <v>6.6812176165803132</v>
      </c>
      <c r="F100" s="13">
        <f t="shared" ca="1" si="921"/>
        <v>8.7412597150258939</v>
      </c>
      <c r="G100" s="13">
        <f t="shared" ca="1" si="921"/>
        <v>9.5398809772395055</v>
      </c>
      <c r="H100" s="13">
        <f t="shared" ca="1" si="921"/>
        <v>15.89297421981005</v>
      </c>
      <c r="I100" s="13">
        <f t="shared" ca="1" si="921"/>
        <v>20.714221048660875</v>
      </c>
      <c r="J100" s="13">
        <f t="shared" ca="1" si="921"/>
        <v>7.0573401587964906</v>
      </c>
      <c r="K100" s="13">
        <f t="shared" ca="1" si="921"/>
        <v>10.493133963991447</v>
      </c>
      <c r="L100" s="13">
        <f t="shared" ca="1" si="921"/>
        <v>12.869343209876554</v>
      </c>
      <c r="M100" s="13">
        <f t="shared" ca="1" si="921"/>
        <v>13.358822526567037</v>
      </c>
      <c r="N100" s="13">
        <f t="shared" ca="1" si="921"/>
        <v>20.094732378439495</v>
      </c>
      <c r="O100" s="13">
        <f t="shared" ca="1" si="921"/>
        <v>28.224575227776388</v>
      </c>
      <c r="P100" s="13">
        <f t="shared" ca="1" si="921"/>
        <v>30.010663265306135</v>
      </c>
      <c r="Q100" s="13">
        <f t="shared" ca="1" si="921"/>
        <v>53.897697994733633</v>
      </c>
      <c r="R100" s="13">
        <f t="shared" ca="1" si="921"/>
        <v>59.399769301753267</v>
      </c>
      <c r="S100" s="13">
        <f t="shared" ca="1" si="921"/>
        <v>30.245095923871606</v>
      </c>
      <c r="T100" s="13">
        <f t="shared" ca="1" si="921"/>
        <v>31.050699784017255</v>
      </c>
      <c r="U100" s="13">
        <f t="shared" ca="1" si="921"/>
        <v>32.629398336866224</v>
      </c>
      <c r="V100" s="13">
        <f t="shared" ca="1" si="921"/>
        <v>32.70390968141043</v>
      </c>
      <c r="W100" s="13">
        <f t="shared" ca="1" si="921"/>
        <v>21.16728128179043</v>
      </c>
      <c r="X100" s="13">
        <f t="shared" ca="1" si="921"/>
        <v>28.936741376716839</v>
      </c>
      <c r="Y100" s="13">
        <f t="shared" ca="1" si="921"/>
        <v>44.184860908245952</v>
      </c>
      <c r="Z100" s="13">
        <f t="shared" ref="Z100:AA100" ca="1" si="922">+Z92/Z82</f>
        <v>44.941702170717683</v>
      </c>
      <c r="AA100" s="13">
        <f t="shared" ref="AA100" ca="1" si="923">+AA92/AA82</f>
        <v>44.941702170717683</v>
      </c>
      <c r="AB100" s="59">
        <f t="shared" ca="1" si="921"/>
        <v>39.162788683461464</v>
      </c>
      <c r="AC100" s="59">
        <f t="shared" ca="1" si="921"/>
        <v>38.854037087810298</v>
      </c>
      <c r="AD100" s="59">
        <f t="shared" ca="1" si="921"/>
        <v>41.515384827449537</v>
      </c>
      <c r="AE100" s="59">
        <f t="shared" ca="1" si="921"/>
        <v>39.801594184391341</v>
      </c>
      <c r="AL100" s="13">
        <f t="shared" ref="AL100:BQ100" si="924">+AL92/AL82</f>
        <v>30.487087912087919</v>
      </c>
      <c r="AM100" s="13">
        <f t="shared" si="924"/>
        <v>34.264849566547696</v>
      </c>
      <c r="AN100" s="13">
        <f t="shared" si="924"/>
        <v>29.488037046565495</v>
      </c>
      <c r="AO100" s="13">
        <f t="shared" si="924"/>
        <v>32.078512681605545</v>
      </c>
      <c r="AP100" s="13">
        <f t="shared" si="924"/>
        <v>35.007097512589674</v>
      </c>
      <c r="AQ100" s="13">
        <f t="shared" si="924"/>
        <v>39.11507692307692</v>
      </c>
      <c r="AR100" s="13">
        <f t="shared" si="924"/>
        <v>52.85047677013592</v>
      </c>
      <c r="AS100" s="13">
        <f t="shared" si="924"/>
        <v>56.235488618524286</v>
      </c>
      <c r="AT100" s="13">
        <f t="shared" si="924"/>
        <v>66.689958646616532</v>
      </c>
      <c r="AU100" s="13">
        <f t="shared" si="924"/>
        <v>72.152766210588922</v>
      </c>
      <c r="AV100" s="13">
        <f t="shared" si="924"/>
        <v>69.182957116838679</v>
      </c>
      <c r="AW100" s="13">
        <f t="shared" si="924"/>
        <v>58.96470528661132</v>
      </c>
      <c r="AX100" s="13">
        <f t="shared" si="924"/>
        <v>58.65403968816441</v>
      </c>
      <c r="AY100" s="13">
        <f t="shared" si="924"/>
        <v>60.557114228456911</v>
      </c>
      <c r="AZ100" s="13">
        <f t="shared" si="924"/>
        <v>63.077504197832411</v>
      </c>
      <c r="BA100" s="13">
        <f t="shared" si="924"/>
        <v>60.577668409720083</v>
      </c>
      <c r="BB100" s="13">
        <f t="shared" si="924"/>
        <v>56.314798180784521</v>
      </c>
      <c r="BC100" s="13">
        <f t="shared" si="924"/>
        <v>62.885881492318909</v>
      </c>
      <c r="BD100" s="13">
        <f t="shared" si="924"/>
        <v>49.333380265567754</v>
      </c>
      <c r="BE100" s="13">
        <f t="shared" si="924"/>
        <v>47.174434087882823</v>
      </c>
      <c r="BF100" s="13">
        <f t="shared" si="924"/>
        <v>43.282430434198147</v>
      </c>
      <c r="BG100" s="13">
        <f t="shared" si="924"/>
        <v>37.802790697674425</v>
      </c>
      <c r="BH100" s="13">
        <f t="shared" si="924"/>
        <v>34.886178867046034</v>
      </c>
      <c r="BI100" s="13">
        <f t="shared" si="924"/>
        <v>31.051370439966302</v>
      </c>
      <c r="BJ100" s="13">
        <f t="shared" si="924"/>
        <v>35.281593852908898</v>
      </c>
      <c r="BK100" s="13">
        <f t="shared" si="924"/>
        <v>34.280319990609229</v>
      </c>
      <c r="BL100" s="13">
        <f t="shared" si="924"/>
        <v>30.741374366327001</v>
      </c>
      <c r="BM100" s="13">
        <f t="shared" si="924"/>
        <v>33.699771726724265</v>
      </c>
      <c r="BN100" s="13">
        <f t="shared" si="924"/>
        <v>29.492822459609769</v>
      </c>
      <c r="BO100" s="13">
        <f t="shared" si="924"/>
        <v>44.288637252164186</v>
      </c>
      <c r="BP100" s="13">
        <f t="shared" si="924"/>
        <v>45.934424967934987</v>
      </c>
      <c r="BQ100" s="13">
        <f t="shared" si="924"/>
        <v>37.064645839777285</v>
      </c>
      <c r="BR100" s="13">
        <f t="shared" ref="BR100:CH100" si="925">+BR92/BR82</f>
        <v>37.814516129032256</v>
      </c>
      <c r="BS100" s="13">
        <f t="shared" si="925"/>
        <v>28.851037761114082</v>
      </c>
      <c r="BT100" s="13">
        <f t="shared" si="925"/>
        <v>28.694966385106024</v>
      </c>
      <c r="BU100" s="13">
        <f t="shared" si="925"/>
        <v>35.179425228891162</v>
      </c>
      <c r="BV100" s="13">
        <f t="shared" si="925"/>
        <v>35.894933256781975</v>
      </c>
      <c r="BW100" s="13">
        <f t="shared" si="925"/>
        <v>38.382084841019335</v>
      </c>
      <c r="BX100" s="13">
        <f t="shared" si="925"/>
        <v>42.513964242799403</v>
      </c>
      <c r="BY100" s="13">
        <f t="shared" si="925"/>
        <v>47.067418395565987</v>
      </c>
      <c r="BZ100" s="13">
        <f t="shared" si="925"/>
        <v>45.558076054216876</v>
      </c>
      <c r="CA100" s="13">
        <f t="shared" si="925"/>
        <v>46.490677637626121</v>
      </c>
      <c r="CB100" s="13">
        <f t="shared" si="925"/>
        <v>49.729888416866764</v>
      </c>
      <c r="CC100" s="13">
        <f t="shared" si="925"/>
        <v>45.245055437524897</v>
      </c>
      <c r="CD100" s="13">
        <f t="shared" si="925"/>
        <v>46.67112778877739</v>
      </c>
      <c r="CE100" s="13">
        <f t="shared" si="925"/>
        <v>48.659563272822915</v>
      </c>
      <c r="CF100" s="13">
        <f t="shared" si="925"/>
        <v>64.080457260151306</v>
      </c>
      <c r="CG100" s="13">
        <f t="shared" si="925"/>
        <v>54.250347229618882</v>
      </c>
      <c r="CH100" s="13">
        <f t="shared" si="925"/>
        <v>45.670687399563263</v>
      </c>
      <c r="CI100" s="13">
        <f t="shared" ref="CI100:CJ100" si="926">+CI92/CI82</f>
        <v>44.014470279133192</v>
      </c>
      <c r="CJ100" s="13">
        <f t="shared" si="926"/>
        <v>55.180457067222399</v>
      </c>
      <c r="CK100" s="13">
        <f t="shared" ref="CK100:CL100" si="927">+CK92/CK82</f>
        <v>50.313966618855147</v>
      </c>
      <c r="CL100" s="13">
        <f t="shared" si="927"/>
        <v>45.276564043463942</v>
      </c>
      <c r="CM100" s="59">
        <f t="shared" si="905"/>
        <v>45.276564043463942</v>
      </c>
      <c r="CN100" s="59">
        <f t="shared" si="906"/>
        <v>45.276564043463942</v>
      </c>
      <c r="CO100" s="59">
        <f t="shared" si="907"/>
        <v>45.276564043463942</v>
      </c>
      <c r="CP100" s="59">
        <f t="shared" si="908"/>
        <v>45.276564043463942</v>
      </c>
      <c r="CQ100" s="59">
        <f t="shared" si="909"/>
        <v>45.276564043463942</v>
      </c>
      <c r="CR100" s="59">
        <f t="shared" si="910"/>
        <v>45.276564043463942</v>
      </c>
      <c r="CS100" s="59">
        <f t="shared" si="911"/>
        <v>45.276564043463942</v>
      </c>
      <c r="CT100" s="59">
        <f t="shared" si="912"/>
        <v>45.276564043463942</v>
      </c>
      <c r="CU100" s="59">
        <f t="shared" si="913"/>
        <v>45.276564043463942</v>
      </c>
      <c r="CV100" s="59">
        <f t="shared" si="914"/>
        <v>45.276564043463942</v>
      </c>
      <c r="CW100" s="59">
        <f t="shared" si="915"/>
        <v>45.276564043463942</v>
      </c>
      <c r="CX100" s="59">
        <f t="shared" si="916"/>
        <v>45.276564043463942</v>
      </c>
      <c r="CY100" s="59">
        <f t="shared" si="917"/>
        <v>45.276564043463942</v>
      </c>
      <c r="CZ100" s="59">
        <f t="shared" si="918"/>
        <v>45.276564043463942</v>
      </c>
      <c r="DA100" s="59">
        <f t="shared" si="919"/>
        <v>45.276564043463942</v>
      </c>
      <c r="DD100" s="135"/>
      <c r="DE100" s="13">
        <v>38.540684574260062</v>
      </c>
    </row>
    <row r="101" spans="1:109" s="13" customFormat="1" x14ac:dyDescent="0.2">
      <c r="AB101" s="59"/>
      <c r="AC101" s="59"/>
      <c r="AD101" s="59"/>
      <c r="AE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D101" s="135"/>
    </row>
    <row r="102" spans="1:109" s="13" customFormat="1" x14ac:dyDescent="0.2">
      <c r="A102" s="13" t="s">
        <v>462</v>
      </c>
      <c r="B102" s="13" t="e">
        <f t="shared" ref="B102:AD102" si="928">+B91/C82</f>
        <v>#DIV/0!</v>
      </c>
      <c r="C102" s="13">
        <f t="shared" si="928"/>
        <v>0</v>
      </c>
      <c r="D102" s="13">
        <f t="shared" ca="1" si="928"/>
        <v>9.2997150259067372</v>
      </c>
      <c r="E102" s="13">
        <f t="shared" ca="1" si="928"/>
        <v>14.678432642487026</v>
      </c>
      <c r="F102" s="13">
        <f t="shared" ca="1" si="928"/>
        <v>11.161954479014407</v>
      </c>
      <c r="G102" s="13">
        <f t="shared" ca="1" si="928"/>
        <v>20.310516960651299</v>
      </c>
      <c r="H102" s="13">
        <f t="shared" ca="1" si="928"/>
        <v>30.462089777442461</v>
      </c>
      <c r="I102" s="13">
        <f t="shared" ca="1" si="928"/>
        <v>23.676870037609696</v>
      </c>
      <c r="J102" s="13">
        <f t="shared" ca="1" si="928"/>
        <v>33.387244430881879</v>
      </c>
      <c r="K102" s="13">
        <f t="shared" ca="1" si="928"/>
        <v>17.492735802469149</v>
      </c>
      <c r="L102" s="13">
        <f t="shared" ca="1" si="928"/>
        <v>17.409103824515551</v>
      </c>
      <c r="M102" s="13">
        <f t="shared" ca="1" si="928"/>
        <v>28.176811157180538</v>
      </c>
      <c r="N102" s="13">
        <f t="shared" ca="1" si="928"/>
        <v>46.874604777148448</v>
      </c>
      <c r="O102" s="13">
        <f t="shared" ca="1" si="928"/>
        <v>34.760596546310843</v>
      </c>
      <c r="P102" s="13">
        <f t="shared" ca="1" si="928"/>
        <v>60.547650394976692</v>
      </c>
      <c r="Q102" s="13">
        <f t="shared" ca="1" si="928"/>
        <v>78.36634881574895</v>
      </c>
      <c r="R102" s="13">
        <f t="shared" ca="1" si="928"/>
        <v>39.753060912930707</v>
      </c>
      <c r="S102" s="13">
        <f t="shared" ca="1" si="928"/>
        <v>40.23965442764576</v>
      </c>
      <c r="T102" s="13">
        <f t="shared" ca="1" si="928"/>
        <v>50.265498940159929</v>
      </c>
      <c r="U102" s="13">
        <f t="shared" ca="1" si="928"/>
        <v>62.701563047736826</v>
      </c>
      <c r="V102" s="13">
        <f t="shared" ca="1" si="928"/>
        <v>24.595784587995922</v>
      </c>
      <c r="W102" s="13">
        <f t="shared" ca="1" si="928"/>
        <v>32.083431146801189</v>
      </c>
      <c r="X102" s="13">
        <f t="shared" ca="1" si="928"/>
        <v>68.640245319346747</v>
      </c>
      <c r="Y102" s="13">
        <f t="shared" ca="1" si="928"/>
        <v>61.916681933408597</v>
      </c>
      <c r="Z102" s="13">
        <f t="shared" ref="Z102:AA102" ca="1" si="929">+Z91/AA82</f>
        <v>67.256487156083026</v>
      </c>
      <c r="AA102" s="13">
        <f t="shared" ca="1" si="929"/>
        <v>67.256487156083026</v>
      </c>
      <c r="AB102" s="36">
        <f t="shared" ca="1" si="928"/>
        <v>47.000933740580521</v>
      </c>
      <c r="AC102" s="36">
        <f t="shared" ca="1" si="928"/>
        <v>51.142399313274105</v>
      </c>
      <c r="AD102" s="36">
        <f t="shared" ca="1" si="928"/>
        <v>48.497823952963138</v>
      </c>
      <c r="AE102" s="36"/>
      <c r="AL102" s="13">
        <f t="shared" ref="AL102:BQ102" si="930">+AL91/AP82</f>
        <v>40.547840683656361</v>
      </c>
      <c r="AM102" s="13">
        <f t="shared" si="930"/>
        <v>32.916512820512821</v>
      </c>
      <c r="AN102" s="13">
        <f t="shared" si="930"/>
        <v>31.054940150131866</v>
      </c>
      <c r="AO102" s="13">
        <f t="shared" si="930"/>
        <v>33.716756279434833</v>
      </c>
      <c r="AP102" s="13">
        <f t="shared" si="930"/>
        <v>37.508082706766906</v>
      </c>
      <c r="AQ102" s="13">
        <f t="shared" si="930"/>
        <v>48.535752528256978</v>
      </c>
      <c r="AR102" s="13">
        <f t="shared" si="930"/>
        <v>52.434125503614993</v>
      </c>
      <c r="AS102" s="13">
        <f t="shared" si="930"/>
        <v>60.547650394976728</v>
      </c>
      <c r="AT102" s="13">
        <f t="shared" si="930"/>
        <v>70.119784853700509</v>
      </c>
      <c r="AU102" s="13">
        <f t="shared" si="930"/>
        <v>73.568059195313708</v>
      </c>
      <c r="AV102" s="13">
        <f t="shared" si="930"/>
        <v>77.780186231109781</v>
      </c>
      <c r="AW102" s="13">
        <f t="shared" si="930"/>
        <v>70.512886804060287</v>
      </c>
      <c r="AX102" s="13">
        <f t="shared" si="930"/>
        <v>65.724786810687874</v>
      </c>
      <c r="AY102" s="13">
        <f t="shared" si="930"/>
        <v>61.668896762984602</v>
      </c>
      <c r="AZ102" s="13">
        <f t="shared" si="930"/>
        <v>50.811813186813175</v>
      </c>
      <c r="BA102" s="13">
        <f t="shared" si="930"/>
        <v>49.533155792276965</v>
      </c>
      <c r="BB102" s="13">
        <f t="shared" si="930"/>
        <v>39.046635300443612</v>
      </c>
      <c r="BC102" s="13">
        <f t="shared" si="930"/>
        <v>36.155097906976749</v>
      </c>
      <c r="BD102" s="13">
        <f t="shared" si="930"/>
        <v>34.695150025866525</v>
      </c>
      <c r="BE102" s="13">
        <f t="shared" si="930"/>
        <v>40.240523553424474</v>
      </c>
      <c r="BF102" s="13">
        <f t="shared" si="930"/>
        <v>40.607460592755217</v>
      </c>
      <c r="BG102" s="13">
        <f t="shared" si="930"/>
        <v>41.464725906796573</v>
      </c>
      <c r="BH102" s="13">
        <f t="shared" si="930"/>
        <v>46.419795432433816</v>
      </c>
      <c r="BI102" s="13">
        <f t="shared" si="930"/>
        <v>48.627233001793549</v>
      </c>
      <c r="BJ102" s="13">
        <f t="shared" si="930"/>
        <v>53.689631853094347</v>
      </c>
      <c r="BK102" s="13">
        <f t="shared" si="930"/>
        <v>82.928621893325854</v>
      </c>
      <c r="BL102" s="13">
        <f t="shared" si="930"/>
        <v>65.486960239418522</v>
      </c>
      <c r="BM102" s="13">
        <f t="shared" si="930"/>
        <v>51.031034127229596</v>
      </c>
      <c r="BN102" s="13">
        <f t="shared" si="930"/>
        <v>43.939402544298048</v>
      </c>
      <c r="BO102" s="13">
        <f t="shared" si="930"/>
        <v>22.484046216236891</v>
      </c>
      <c r="BP102" s="13">
        <f t="shared" si="930"/>
        <v>22.92902947767627</v>
      </c>
      <c r="BQ102" s="13">
        <f t="shared" si="930"/>
        <v>23.584872997202446</v>
      </c>
      <c r="BR102" s="13">
        <f t="shared" ref="BR102:CL102" si="931">+BR91/BV82</f>
        <v>24.677542270704752</v>
      </c>
      <c r="BS102" s="13">
        <f t="shared" si="931"/>
        <v>23.043690815305265</v>
      </c>
      <c r="BT102" s="13">
        <f t="shared" si="931"/>
        <v>29.153841896369659</v>
      </c>
      <c r="BU102" s="13">
        <f t="shared" si="931"/>
        <v>32.083431146801196</v>
      </c>
      <c r="BV102" s="13">
        <f t="shared" si="931"/>
        <v>35.048377601314357</v>
      </c>
      <c r="BW102" s="13">
        <f t="shared" si="931"/>
        <v>43.08942734692522</v>
      </c>
      <c r="BX102" s="13">
        <f t="shared" si="931"/>
        <v>67.397040928302133</v>
      </c>
      <c r="BY102" s="13">
        <f t="shared" si="931"/>
        <v>59.149515336608687</v>
      </c>
      <c r="BZ102" s="13">
        <f t="shared" si="931"/>
        <v>54.208042518831469</v>
      </c>
      <c r="CA102" s="13">
        <f t="shared" si="931"/>
        <v>56.429673112338826</v>
      </c>
      <c r="CB102" s="13">
        <f t="shared" si="931"/>
        <v>63.4695170817456</v>
      </c>
      <c r="CC102" s="13">
        <f t="shared" si="931"/>
        <v>55.532231642630407</v>
      </c>
      <c r="CD102" s="13">
        <f t="shared" si="931"/>
        <v>55.287687481972924</v>
      </c>
      <c r="CE102" s="13">
        <f t="shared" si="931"/>
        <v>76.419371407123577</v>
      </c>
      <c r="CF102" s="13">
        <f t="shared" si="931"/>
        <v>70.352386718860004</v>
      </c>
      <c r="CG102" s="13">
        <f t="shared" si="931"/>
        <v>55.434970661103151</v>
      </c>
      <c r="CH102" s="13">
        <f t="shared" si="931"/>
        <v>48.085280704642742</v>
      </c>
      <c r="CI102" s="13">
        <f t="shared" si="931"/>
        <v>54.210182940283268</v>
      </c>
      <c r="CJ102" s="13">
        <f t="shared" si="931"/>
        <v>51.720046728581607</v>
      </c>
      <c r="CK102" s="13">
        <f t="shared" si="931"/>
        <v>48.887825026468818</v>
      </c>
      <c r="CL102" s="13">
        <f t="shared" si="931"/>
        <v>47.374424229012995</v>
      </c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D102" s="133"/>
      <c r="DE102" s="13">
        <v>48.887825026468803</v>
      </c>
    </row>
    <row r="103" spans="1:109" s="97" customFormat="1" x14ac:dyDescent="0.2">
      <c r="A103" s="97" t="s">
        <v>425</v>
      </c>
      <c r="AB103" s="98"/>
      <c r="AC103" s="98"/>
      <c r="AD103" s="98"/>
      <c r="AE103" s="98"/>
      <c r="AL103" s="174"/>
      <c r="AM103" s="174"/>
      <c r="AN103" s="174"/>
      <c r="AO103" s="174">
        <f t="shared" ref="AO103:CI103" si="932">+CORREL(AL82:AO82,AL99:AO99)</f>
        <v>-0.55046245400184957</v>
      </c>
      <c r="AP103" s="174">
        <f t="shared" si="932"/>
        <v>0.98394364573368642</v>
      </c>
      <c r="AQ103" s="174">
        <f t="shared" si="932"/>
        <v>0.9928570341115015</v>
      </c>
      <c r="AR103" s="174">
        <f t="shared" si="932"/>
        <v>0.9432378828158281</v>
      </c>
      <c r="AS103" s="174">
        <f t="shared" si="932"/>
        <v>0.90622596871956673</v>
      </c>
      <c r="AT103" s="174">
        <f t="shared" si="932"/>
        <v>0.96806593580215905</v>
      </c>
      <c r="AU103" s="174">
        <f t="shared" si="932"/>
        <v>0.84054029711075195</v>
      </c>
      <c r="AV103" s="174">
        <f t="shared" si="932"/>
        <v>0.47508098254407105</v>
      </c>
      <c r="AW103" s="174">
        <f t="shared" si="932"/>
        <v>-0.90110926212756481</v>
      </c>
      <c r="AX103" s="174">
        <f t="shared" si="932"/>
        <v>-0.94022900443051516</v>
      </c>
      <c r="AY103" s="174">
        <f t="shared" si="932"/>
        <v>-0.97596969731237415</v>
      </c>
      <c r="AZ103" s="174">
        <f t="shared" si="932"/>
        <v>0.28997077378585479</v>
      </c>
      <c r="BA103" s="174">
        <f t="shared" si="932"/>
        <v>-0.39280421612397043</v>
      </c>
      <c r="BB103" s="174">
        <f t="shared" si="932"/>
        <v>-0.34839396183888688</v>
      </c>
      <c r="BC103" s="174">
        <f t="shared" si="932"/>
        <v>-0.39575690966882532</v>
      </c>
      <c r="BD103" s="174">
        <f t="shared" si="932"/>
        <v>-0.91639082327810928</v>
      </c>
      <c r="BE103" s="174">
        <f t="shared" si="932"/>
        <v>-0.92956319758038919</v>
      </c>
      <c r="BF103" s="174">
        <f t="shared" si="932"/>
        <v>-0.97242198928003587</v>
      </c>
      <c r="BG103" s="174">
        <f t="shared" si="932"/>
        <v>-0.97875721504290147</v>
      </c>
      <c r="BH103" s="174">
        <f t="shared" si="932"/>
        <v>-0.99038460879096901</v>
      </c>
      <c r="BI103" s="174">
        <f t="shared" si="932"/>
        <v>-0.98446372256816184</v>
      </c>
      <c r="BJ103" s="174">
        <f t="shared" si="932"/>
        <v>-0.9338979351826554</v>
      </c>
      <c r="BK103" s="174">
        <f t="shared" si="932"/>
        <v>-0.96965834120207284</v>
      </c>
      <c r="BL103" s="174">
        <f t="shared" si="932"/>
        <v>-0.13742521750807241</v>
      </c>
      <c r="BM103" s="174">
        <f t="shared" si="932"/>
        <v>0.25411569525206829</v>
      </c>
      <c r="BN103" s="174">
        <f t="shared" si="932"/>
        <v>-0.52678374762577085</v>
      </c>
      <c r="BO103" s="174">
        <f t="shared" si="932"/>
        <v>-0.98691961714803578</v>
      </c>
      <c r="BP103" s="174">
        <f t="shared" si="932"/>
        <v>-0.9689068749595624</v>
      </c>
      <c r="BQ103" s="174">
        <f t="shared" si="932"/>
        <v>-0.94431498564355798</v>
      </c>
      <c r="BR103" s="174">
        <f t="shared" si="932"/>
        <v>-0.91865538881183773</v>
      </c>
      <c r="BS103" s="174">
        <f t="shared" si="932"/>
        <v>-0.99410154973216414</v>
      </c>
      <c r="BT103" s="174">
        <f t="shared" si="932"/>
        <v>-0.84471194048648501</v>
      </c>
      <c r="BU103" s="174">
        <f t="shared" si="932"/>
        <v>-0.44617982359611669</v>
      </c>
      <c r="BV103" s="174">
        <f t="shared" si="932"/>
        <v>0.87866506696729829</v>
      </c>
      <c r="BW103" s="174">
        <f t="shared" si="932"/>
        <v>0.93934554256018521</v>
      </c>
      <c r="BX103" s="174">
        <f t="shared" si="932"/>
        <v>0.81032700912898126</v>
      </c>
      <c r="BY103" s="174">
        <f t="shared" si="932"/>
        <v>0.75831376316644084</v>
      </c>
      <c r="BZ103" s="174">
        <f t="shared" si="932"/>
        <v>0.19055923012882672</v>
      </c>
      <c r="CA103" s="174">
        <f t="shared" si="932"/>
        <v>-0.92133700228215332</v>
      </c>
      <c r="CB103" s="174">
        <f t="shared" si="932"/>
        <v>0.24621308428860722</v>
      </c>
      <c r="CC103" s="174">
        <f t="shared" si="932"/>
        <v>0.84503193331716819</v>
      </c>
      <c r="CD103" s="174">
        <f t="shared" si="932"/>
        <v>0.94910624739759353</v>
      </c>
      <c r="CE103" s="174">
        <f t="shared" si="932"/>
        <v>0.348664222927486</v>
      </c>
      <c r="CF103" s="174">
        <f t="shared" si="932"/>
        <v>0.94470387086522256</v>
      </c>
      <c r="CG103" s="174">
        <f t="shared" si="932"/>
        <v>-4.1261236048910459E-3</v>
      </c>
      <c r="CH103" s="174">
        <f t="shared" si="932"/>
        <v>-0.97293955393410347</v>
      </c>
      <c r="CI103" s="174">
        <f t="shared" si="932"/>
        <v>-0.63789144667297015</v>
      </c>
      <c r="CJ103" s="174">
        <f>+CORREL(CG82:CJ82,CG99:CJ99)</f>
        <v>-0.11157380853171971</v>
      </c>
      <c r="CK103" s="174">
        <f>+CORREL(CH82:CK82,CH99:CK99)</f>
        <v>-0.30305334849213528</v>
      </c>
      <c r="CL103" s="174">
        <f>+CORREL(CI82:CL82,CI99:CL99)</f>
        <v>-0.99486472994251052</v>
      </c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D103" s="136"/>
    </row>
    <row r="104" spans="1:109" s="4" customFormat="1" x14ac:dyDescent="0.2">
      <c r="A104" s="3"/>
      <c r="AB104" s="16"/>
      <c r="AC104" s="16"/>
      <c r="AD104" s="16"/>
      <c r="AE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D104" s="118"/>
    </row>
    <row r="105" spans="1:109" s="161" customFormat="1" hidden="1" outlineLevel="1" x14ac:dyDescent="0.2">
      <c r="A105" s="48" t="s">
        <v>505</v>
      </c>
      <c r="E105" s="161">
        <f t="shared" ref="E105:AE105" ca="1" si="933">+E$133/E$78</f>
        <v>7.433781190019193</v>
      </c>
      <c r="F105" s="161">
        <f t="shared" ca="1" si="933"/>
        <v>8.9846449136276387</v>
      </c>
      <c r="G105" s="161">
        <f t="shared" ca="1" si="933"/>
        <v>11.616762635956492</v>
      </c>
      <c r="H105" s="161">
        <f t="shared" ca="1" si="933"/>
        <v>15.843250159948814</v>
      </c>
      <c r="I105" s="161">
        <f t="shared" ca="1" si="933"/>
        <v>20.35188739603327</v>
      </c>
      <c r="J105" s="161">
        <f t="shared" ca="1" si="933"/>
        <v>25.912348048624438</v>
      </c>
      <c r="K105" s="161">
        <f t="shared" ca="1" si="933"/>
        <v>29.541906589891234</v>
      </c>
      <c r="L105" s="161">
        <f t="shared" ca="1" si="933"/>
        <v>36.689699296225207</v>
      </c>
      <c r="M105" s="161">
        <f t="shared" ca="1" si="933"/>
        <v>46.707613563659628</v>
      </c>
      <c r="N105" s="161">
        <f t="shared" ca="1" si="933"/>
        <v>56.269993602047343</v>
      </c>
      <c r="O105" s="161">
        <f t="shared" ca="1" si="933"/>
        <v>63.310940499040299</v>
      </c>
      <c r="P105" s="161">
        <f t="shared" ca="1" si="933"/>
        <v>70.856685860524621</v>
      </c>
      <c r="Q105" s="161">
        <f t="shared" ca="1" si="933"/>
        <v>82.484964811260383</v>
      </c>
      <c r="R105" s="161">
        <f t="shared" ca="1" si="933"/>
        <v>94.380038387715913</v>
      </c>
      <c r="S105" s="161">
        <f t="shared" ca="1" si="933"/>
        <v>148.76263595649394</v>
      </c>
      <c r="T105" s="161">
        <f t="shared" ca="1" si="933"/>
        <v>173.1362763915547</v>
      </c>
      <c r="U105" s="161">
        <f t="shared" ca="1" si="933"/>
        <v>189.51759436980169</v>
      </c>
      <c r="V105" s="161">
        <f t="shared" ca="1" si="933"/>
        <v>200.91426743442099</v>
      </c>
      <c r="W105" s="161">
        <f t="shared" ca="1" si="933"/>
        <v>233.76007677543186</v>
      </c>
      <c r="X105" s="161">
        <f t="shared" ca="1" si="933"/>
        <v>274.20985284708894</v>
      </c>
      <c r="Y105" s="161">
        <f t="shared" ca="1" si="933"/>
        <v>307.44401791426742</v>
      </c>
      <c r="Z105" s="161">
        <f t="shared" ca="1" si="933"/>
        <v>341.29430582213689</v>
      </c>
      <c r="AA105" s="161">
        <f t="shared" ca="1" si="933"/>
        <v>341.29430582213689</v>
      </c>
      <c r="AB105" s="20">
        <f t="shared" ca="1" si="933"/>
        <v>476.8013227364612</v>
      </c>
      <c r="AC105" s="20">
        <f t="shared" ca="1" si="933"/>
        <v>586.62976646552931</v>
      </c>
      <c r="AD105" s="20">
        <f t="shared" ca="1" si="933"/>
        <v>709.99971650590533</v>
      </c>
      <c r="AE105" s="20">
        <f t="shared" ca="1" si="933"/>
        <v>856.1375935962991</v>
      </c>
      <c r="AL105" s="161">
        <f t="shared" ref="AL105:BQ105" si="934">+AL$133/AL$78</f>
        <v>57.898272552783105</v>
      </c>
      <c r="AM105" s="161">
        <f t="shared" si="934"/>
        <v>59.529110684580935</v>
      </c>
      <c r="AN105" s="161">
        <f t="shared" si="934"/>
        <v>61.825335892514396</v>
      </c>
      <c r="AO105" s="161">
        <f t="shared" si="934"/>
        <v>63.310940499040299</v>
      </c>
      <c r="AP105" s="161">
        <f t="shared" si="934"/>
        <v>65.529750479846427</v>
      </c>
      <c r="AQ105" s="161">
        <f t="shared" si="934"/>
        <v>68.136276391554688</v>
      </c>
      <c r="AR105" s="161">
        <f t="shared" si="934"/>
        <v>70.536148432501577</v>
      </c>
      <c r="AS105" s="161">
        <f t="shared" si="934"/>
        <v>70.856685860524621</v>
      </c>
      <c r="AT105" s="161">
        <f t="shared" si="934"/>
        <v>73.505438259756858</v>
      </c>
      <c r="AU105" s="161">
        <f t="shared" si="934"/>
        <v>77.313499680102353</v>
      </c>
      <c r="AV105" s="161">
        <f t="shared" si="934"/>
        <v>80.55086372360843</v>
      </c>
      <c r="AW105" s="161">
        <f t="shared" si="934"/>
        <v>82.484964811260383</v>
      </c>
      <c r="AX105" s="161">
        <f t="shared" si="934"/>
        <v>85.137555982085715</v>
      </c>
      <c r="AY105" s="161">
        <f t="shared" si="934"/>
        <v>88.073576455534223</v>
      </c>
      <c r="AZ105" s="161">
        <f t="shared" si="934"/>
        <v>91.433781190019189</v>
      </c>
      <c r="BA105" s="161">
        <f t="shared" si="934"/>
        <v>94.380038387715913</v>
      </c>
      <c r="BB105" s="161">
        <f t="shared" si="934"/>
        <v>98.057581573896343</v>
      </c>
      <c r="BC105" s="161">
        <f t="shared" si="934"/>
        <v>100.25719769673704</v>
      </c>
      <c r="BD105" s="161">
        <f t="shared" si="934"/>
        <v>106.36596289187459</v>
      </c>
      <c r="BE105" s="161">
        <f t="shared" si="934"/>
        <v>108.46577095329494</v>
      </c>
      <c r="BF105" s="161">
        <f t="shared" si="934"/>
        <v>115.53806781829813</v>
      </c>
      <c r="BG105" s="161">
        <f t="shared" si="934"/>
        <v>114.31541906589891</v>
      </c>
      <c r="BH105" s="161">
        <f t="shared" si="934"/>
        <v>120.11580294305823</v>
      </c>
      <c r="BI105" s="161">
        <f t="shared" si="934"/>
        <v>173.1362763915547</v>
      </c>
      <c r="BJ105" s="161">
        <f t="shared" si="934"/>
        <v>179.92962252079334</v>
      </c>
      <c r="BK105" s="161">
        <f t="shared" si="934"/>
        <v>178.03710812539987</v>
      </c>
      <c r="BL105" s="161">
        <f t="shared" si="934"/>
        <v>184.07869481765837</v>
      </c>
      <c r="BM105" s="161">
        <f t="shared" si="934"/>
        <v>189.51759436980169</v>
      </c>
      <c r="BN105" s="161">
        <f t="shared" si="934"/>
        <v>194.53039027511196</v>
      </c>
      <c r="BO105" s="161">
        <f t="shared" si="934"/>
        <v>184.72232885476646</v>
      </c>
      <c r="BP105" s="161">
        <f t="shared" si="934"/>
        <v>191.98208573256559</v>
      </c>
      <c r="BQ105" s="161">
        <f t="shared" si="934"/>
        <v>200.91426743442099</v>
      </c>
      <c r="BR105" s="161">
        <f t="shared" ref="BR105:DA105" si="935">+BR$133/BR$78</f>
        <v>209.84197056941781</v>
      </c>
      <c r="BS105" s="161">
        <f t="shared" si="935"/>
        <v>210.89379398592453</v>
      </c>
      <c r="BT105" s="161">
        <f t="shared" si="935"/>
        <v>221.82213691618682</v>
      </c>
      <c r="BU105" s="161">
        <f t="shared" si="935"/>
        <v>233.76007677543186</v>
      </c>
      <c r="BV105" s="161">
        <f t="shared" si="935"/>
        <v>247.01151631477924</v>
      </c>
      <c r="BW105" s="161">
        <f t="shared" si="935"/>
        <v>245.7152911068458</v>
      </c>
      <c r="BX105" s="161">
        <f t="shared" si="935"/>
        <v>259.49392194497761</v>
      </c>
      <c r="BY105" s="161">
        <f t="shared" si="935"/>
        <v>274.20985284708894</v>
      </c>
      <c r="BZ105" s="161">
        <f t="shared" si="935"/>
        <v>288.24504158669225</v>
      </c>
      <c r="CA105" s="161">
        <f t="shared" si="935"/>
        <v>279.38387715930901</v>
      </c>
      <c r="CB105" s="161">
        <f t="shared" si="935"/>
        <v>294.27575175943701</v>
      </c>
      <c r="CC105" s="161">
        <f t="shared" si="935"/>
        <v>307.44401791426742</v>
      </c>
      <c r="CD105" s="161">
        <f t="shared" si="935"/>
        <v>321.50159948816383</v>
      </c>
      <c r="CE105" s="161">
        <f t="shared" si="935"/>
        <v>311.33397312859887</v>
      </c>
      <c r="CF105" s="161">
        <f t="shared" si="935"/>
        <v>326.4593730006398</v>
      </c>
      <c r="CG105" s="161">
        <f t="shared" si="935"/>
        <v>341.29430582213689</v>
      </c>
      <c r="CH105" s="161">
        <f t="shared" si="935"/>
        <v>357.39283429302623</v>
      </c>
      <c r="CI105" s="161">
        <f t="shared" si="935"/>
        <v>347.72040946896993</v>
      </c>
      <c r="CJ105" s="161">
        <f t="shared" si="935"/>
        <v>366.22712731925782</v>
      </c>
      <c r="CK105" s="161">
        <f t="shared" si="935"/>
        <v>386.9456174024312</v>
      </c>
      <c r="CL105" s="161">
        <f t="shared" si="935"/>
        <v>407.16762635956491</v>
      </c>
      <c r="CM105" s="20">
        <f t="shared" si="935"/>
        <v>428.25506598013288</v>
      </c>
      <c r="CN105" s="20">
        <f t="shared" si="935"/>
        <v>450.86673115418921</v>
      </c>
      <c r="CO105" s="20">
        <f t="shared" si="935"/>
        <v>476.8013227364612</v>
      </c>
      <c r="CP105" s="20">
        <f t="shared" si="935"/>
        <v>501.4167929228505</v>
      </c>
      <c r="CQ105" s="20">
        <f t="shared" si="935"/>
        <v>527.31707047209068</v>
      </c>
      <c r="CR105" s="20">
        <f t="shared" si="935"/>
        <v>555.06096024456508</v>
      </c>
      <c r="CS105" s="20">
        <f t="shared" si="935"/>
        <v>586.62976646552931</v>
      </c>
      <c r="CT105" s="20">
        <f t="shared" si="935"/>
        <v>614.53825123741547</v>
      </c>
      <c r="CU105" s="20">
        <f t="shared" si="935"/>
        <v>643.71971712911602</v>
      </c>
      <c r="CV105" s="20">
        <f t="shared" si="935"/>
        <v>674.90609639600109</v>
      </c>
      <c r="CW105" s="20">
        <f t="shared" si="935"/>
        <v>709.99971650590533</v>
      </c>
      <c r="CX105" s="20">
        <f t="shared" si="935"/>
        <v>743.00472394361839</v>
      </c>
      <c r="CY105" s="20">
        <f t="shared" si="935"/>
        <v>777.40921708042799</v>
      </c>
      <c r="CZ105" s="20">
        <f t="shared" si="935"/>
        <v>814.4240283206891</v>
      </c>
      <c r="DA105" s="20">
        <f t="shared" si="935"/>
        <v>856.1375935962991</v>
      </c>
      <c r="DD105" s="21"/>
      <c r="DE105" s="161">
        <v>386.9456174024312</v>
      </c>
    </row>
    <row r="106" spans="1:109" s="161" customFormat="1" hidden="1" outlineLevel="1" x14ac:dyDescent="0.2">
      <c r="A106" s="48" t="s">
        <v>501</v>
      </c>
      <c r="AB106" s="20"/>
      <c r="AC106" s="20"/>
      <c r="AD106" s="20"/>
      <c r="AE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D106" s="21"/>
    </row>
    <row r="107" spans="1:109" s="161" customFormat="1" hidden="1" outlineLevel="1" x14ac:dyDescent="0.2">
      <c r="A107" s="48" t="s">
        <v>502</v>
      </c>
      <c r="E107" s="161">
        <f t="shared" ref="E107:AE109" ca="1" si="936">+E90/E$105</f>
        <v>3.4262509682416735</v>
      </c>
      <c r="F107" s="161">
        <f t="shared" ca="1" si="936"/>
        <v>3.5994744712668241</v>
      </c>
      <c r="G107" s="161">
        <f t="shared" ca="1" si="936"/>
        <v>6.8952084595472822</v>
      </c>
      <c r="H107" s="161">
        <f t="shared" ca="1" si="936"/>
        <v>8.1309074021725962</v>
      </c>
      <c r="I107" s="161">
        <f t="shared" ca="1" si="936"/>
        <v>6.8578406161584402</v>
      </c>
      <c r="J107" s="161">
        <f t="shared" ca="1" si="936"/>
        <v>1.7366237870669863</v>
      </c>
      <c r="K107" s="161">
        <f t="shared" ca="1" si="936"/>
        <v>4.1144940875817557</v>
      </c>
      <c r="L107" s="161">
        <f t="shared" ca="1" si="936"/>
        <v>4.778452899940711</v>
      </c>
      <c r="M107" s="161">
        <f t="shared" ca="1" si="936"/>
        <v>4.481924552079338</v>
      </c>
      <c r="N107" s="161">
        <f t="shared" ca="1" si="936"/>
        <v>6.0412304718590111</v>
      </c>
      <c r="O107" s="161">
        <f t="shared" ca="1" si="936"/>
        <v>5.0984868879793854</v>
      </c>
      <c r="P107" s="161">
        <f t="shared" ca="1" si="936"/>
        <v>10.076960153139082</v>
      </c>
      <c r="Q107" s="161">
        <f t="shared" ca="1" si="936"/>
        <v>10.637332536998542</v>
      </c>
      <c r="R107" s="161">
        <f t="shared" ca="1" si="936"/>
        <v>8.1917745871634278</v>
      </c>
      <c r="S107" s="161">
        <f t="shared" ca="1" si="936"/>
        <v>7.8570132377986877</v>
      </c>
      <c r="T107" s="161">
        <f t="shared" ca="1" si="936"/>
        <v>6.5743010287792112</v>
      </c>
      <c r="U107" s="161">
        <f t="shared" ca="1" si="936"/>
        <v>4.9583259175736618</v>
      </c>
      <c r="V107" s="161">
        <f t="shared" ca="1" si="936"/>
        <v>4.5178971687328238</v>
      </c>
      <c r="W107" s="161">
        <f t="shared" ca="1" si="936"/>
        <v>7.5209164210232453</v>
      </c>
      <c r="X107" s="161">
        <f t="shared" ca="1" si="936"/>
        <v>10.008757787162557</v>
      </c>
      <c r="Y107" s="161">
        <f t="shared" ca="1" si="936"/>
        <v>10.415554746272385</v>
      </c>
      <c r="Z107" s="161">
        <f t="shared" ca="1" si="936"/>
        <v>9.9780451707117734</v>
      </c>
      <c r="AA107" s="161">
        <f t="shared" ref="AA107" ca="1" si="937">+AA90/AA$105</f>
        <v>9.9780451707117734</v>
      </c>
      <c r="AB107" s="20">
        <f t="shared" ca="1" si="936"/>
        <v>8.063526287918986</v>
      </c>
      <c r="AC107" s="20">
        <f t="shared" ca="1" si="936"/>
        <v>6.5538781353774285</v>
      </c>
      <c r="AD107" s="20">
        <f t="shared" ca="1" si="936"/>
        <v>5.4150725847057748</v>
      </c>
      <c r="AE107" s="20">
        <f t="shared" ca="1" si="936"/>
        <v>4.4907501186227776</v>
      </c>
      <c r="AL107" s="161">
        <f t="shared" ref="AL107:CI109" si="938">+AL90/AL$105</f>
        <v>5.0766626885463291</v>
      </c>
      <c r="AM107" s="161">
        <f t="shared" si="938"/>
        <v>4.7707751171488759</v>
      </c>
      <c r="AN107" s="161">
        <f t="shared" si="938"/>
        <v>4.0387973052683863</v>
      </c>
      <c r="AO107" s="161">
        <f t="shared" si="938"/>
        <v>5.0984868879793854</v>
      </c>
      <c r="AP107" s="161">
        <f t="shared" si="938"/>
        <v>5.7302217275416671</v>
      </c>
      <c r="AQ107" s="161">
        <f t="shared" si="938"/>
        <v>7.2983148821093566</v>
      </c>
      <c r="AR107" s="161">
        <f t="shared" si="938"/>
        <v>8.1656003737029277</v>
      </c>
      <c r="AS107" s="161">
        <f t="shared" si="938"/>
        <v>10.076960153139082</v>
      </c>
      <c r="AT107" s="161">
        <f t="shared" si="938"/>
        <v>11.273043459339018</v>
      </c>
      <c r="AU107" s="161">
        <f t="shared" si="938"/>
        <v>10.664631706126233</v>
      </c>
      <c r="AV107" s="161">
        <f t="shared" si="938"/>
        <v>10.015410918102321</v>
      </c>
      <c r="AW107" s="161">
        <f t="shared" si="938"/>
        <v>10.637332536998542</v>
      </c>
      <c r="AX107" s="161">
        <f t="shared" si="938"/>
        <v>8.9747701961373743</v>
      </c>
      <c r="AY107" s="161">
        <f t="shared" si="938"/>
        <v>9.3340140492085535</v>
      </c>
      <c r="AZ107" s="161">
        <f t="shared" si="938"/>
        <v>8.9328034930831084</v>
      </c>
      <c r="BA107" s="161">
        <f t="shared" si="938"/>
        <v>8.1917745871634278</v>
      </c>
      <c r="BB107" s="161">
        <f t="shared" si="938"/>
        <v>9.3002497651111824</v>
      </c>
      <c r="BC107" s="161">
        <f t="shared" si="938"/>
        <v>8.9038993758854392</v>
      </c>
      <c r="BD107" s="161">
        <f t="shared" si="938"/>
        <v>9.2050123308270688</v>
      </c>
      <c r="BE107" s="161">
        <f t="shared" si="938"/>
        <v>10.776026295920534</v>
      </c>
      <c r="BF107" s="161">
        <f t="shared" si="938"/>
        <v>8.941035794579868</v>
      </c>
      <c r="BG107" s="161">
        <f t="shared" si="938"/>
        <v>9.6774346718903033</v>
      </c>
      <c r="BH107" s="161">
        <f t="shared" si="938"/>
        <v>8.9832476124021916</v>
      </c>
      <c r="BI107" s="161">
        <f t="shared" si="938"/>
        <v>6.5743010287792112</v>
      </c>
      <c r="BJ107" s="161">
        <f t="shared" si="938"/>
        <v>6.1209487608007676</v>
      </c>
      <c r="BK107" s="161">
        <f t="shared" si="938"/>
        <v>5.4782961275298989</v>
      </c>
      <c r="BL107" s="161">
        <f t="shared" si="938"/>
        <v>4.7646469944215628</v>
      </c>
      <c r="BM107" s="161">
        <f t="shared" si="938"/>
        <v>4.9583259175736618</v>
      </c>
      <c r="BN107" s="161">
        <f t="shared" si="938"/>
        <v>3.8031075707693778</v>
      </c>
      <c r="BO107" s="161">
        <f t="shared" si="938"/>
        <v>3.8720819753325877</v>
      </c>
      <c r="BP107" s="161">
        <f t="shared" si="938"/>
        <v>3.7018037244891153</v>
      </c>
      <c r="BQ107" s="161">
        <f t="shared" si="938"/>
        <v>4.5178971687328238</v>
      </c>
      <c r="BR107" s="161">
        <f t="shared" si="938"/>
        <v>5.1569283164066428</v>
      </c>
      <c r="BS107" s="161">
        <f t="shared" si="938"/>
        <v>5.3498492235162765</v>
      </c>
      <c r="BT107" s="161">
        <f t="shared" si="938"/>
        <v>6.8617137187489181</v>
      </c>
      <c r="BU107" s="161">
        <f t="shared" si="938"/>
        <v>7.5209164210232453</v>
      </c>
      <c r="BV107" s="161">
        <f t="shared" si="938"/>
        <v>7.8967978056304542</v>
      </c>
      <c r="BW107" s="161">
        <f t="shared" si="938"/>
        <v>9.322985108826126</v>
      </c>
      <c r="BX107" s="161">
        <f t="shared" si="938"/>
        <v>12.382948995165057</v>
      </c>
      <c r="BY107" s="161">
        <f t="shared" si="938"/>
        <v>10.008757787162557</v>
      </c>
      <c r="BZ107" s="161">
        <f t="shared" si="938"/>
        <v>9.9703362950500196</v>
      </c>
      <c r="CA107" s="161">
        <f t="shared" si="938"/>
        <v>11.094412574969601</v>
      </c>
      <c r="CB107" s="161">
        <f t="shared" si="938"/>
        <v>11.261376379760538</v>
      </c>
      <c r="CC107" s="161">
        <f t="shared" si="938"/>
        <v>10.415554746272385</v>
      </c>
      <c r="CD107" s="161">
        <f t="shared" si="938"/>
        <v>8.7473903846115562</v>
      </c>
      <c r="CE107" s="161">
        <f t="shared" si="938"/>
        <v>15.22127492987269</v>
      </c>
      <c r="CF107" s="161">
        <f t="shared" si="938"/>
        <v>11.972546427675519</v>
      </c>
      <c r="CG107" s="161">
        <f t="shared" si="938"/>
        <v>9.9780451707117734</v>
      </c>
      <c r="CH107" s="161">
        <f t="shared" si="938"/>
        <v>9.4302394357372386</v>
      </c>
      <c r="CI107" s="161">
        <f t="shared" si="938"/>
        <v>11.64196834514901</v>
      </c>
      <c r="CJ107" s="161">
        <f>+CJ90/CJ$105</f>
        <v>11.496281094244891</v>
      </c>
      <c r="CK107" s="161">
        <f>+CK90/CK$105</f>
        <v>10.040816655533437</v>
      </c>
      <c r="CL107" s="161">
        <f>+CL90/CL$105</f>
        <v>9.4425483537946864</v>
      </c>
      <c r="CM107" s="20">
        <f t="shared" ref="CM107:DA107" si="939">+CM90/CM$105</f>
        <v>8.9775937412456877</v>
      </c>
      <c r="CN107" s="20">
        <f t="shared" si="939"/>
        <v>8.5273535045662392</v>
      </c>
      <c r="CO107" s="20">
        <f t="shared" si="939"/>
        <v>8.063526287918986</v>
      </c>
      <c r="CP107" s="20">
        <f t="shared" si="939"/>
        <v>7.6676729903450935</v>
      </c>
      <c r="CQ107" s="20">
        <f t="shared" si="939"/>
        <v>7.2910592417536542</v>
      </c>
      <c r="CR107" s="20">
        <f t="shared" si="939"/>
        <v>6.9266265786482064</v>
      </c>
      <c r="CS107" s="20">
        <f t="shared" si="939"/>
        <v>6.5538781353774285</v>
      </c>
      <c r="CT107" s="20">
        <f t="shared" si="939"/>
        <v>6.2562419707128551</v>
      </c>
      <c r="CU107" s="20">
        <f t="shared" si="939"/>
        <v>5.9726304751806092</v>
      </c>
      <c r="CV107" s="20">
        <f t="shared" si="939"/>
        <v>5.6966443487926686</v>
      </c>
      <c r="CW107" s="20">
        <f t="shared" si="939"/>
        <v>5.4150725847057748</v>
      </c>
      <c r="CX107" s="20">
        <f t="shared" si="939"/>
        <v>5.1745296848095785</v>
      </c>
      <c r="CY107" s="20">
        <f t="shared" si="939"/>
        <v>4.9455292213267406</v>
      </c>
      <c r="CZ107" s="20">
        <f t="shared" si="939"/>
        <v>4.7207595384036285</v>
      </c>
      <c r="DA107" s="20">
        <f t="shared" si="939"/>
        <v>4.4907501186227776</v>
      </c>
      <c r="DD107" s="21"/>
      <c r="DE107" s="161">
        <v>10.040816655533437</v>
      </c>
    </row>
    <row r="108" spans="1:109" s="161" customFormat="1" hidden="1" outlineLevel="1" x14ac:dyDescent="0.2">
      <c r="A108" s="48" t="s">
        <v>503</v>
      </c>
      <c r="E108" s="161">
        <f t="shared" ca="1" si="936"/>
        <v>3.9011102504518465</v>
      </c>
      <c r="F108" s="161">
        <f t="shared" ca="1" si="936"/>
        <v>3.8064943388164929</v>
      </c>
      <c r="G108" s="161">
        <f t="shared" ca="1" si="936"/>
        <v>8.2441212755411151</v>
      </c>
      <c r="H108" s="161">
        <f t="shared" ca="1" si="936"/>
        <v>9.7833461212292541</v>
      </c>
      <c r="I108" s="161">
        <f t="shared" ca="1" si="936"/>
        <v>7.1246463376296765</v>
      </c>
      <c r="J108" s="161">
        <f t="shared" ca="1" si="936"/>
        <v>5.4028295597639566</v>
      </c>
      <c r="K108" s="161">
        <f t="shared" ca="1" si="936"/>
        <v>4.6029527439684665</v>
      </c>
      <c r="L108" s="161">
        <f t="shared" ca="1" si="936"/>
        <v>5.342098838628675</v>
      </c>
      <c r="M108" s="161">
        <f t="shared" ca="1" si="936"/>
        <v>6.1437521231713328</v>
      </c>
      <c r="N108" s="161">
        <f t="shared" ca="1" si="936"/>
        <v>6.4931587265491757</v>
      </c>
      <c r="O108" s="161">
        <f t="shared" ca="1" si="936"/>
        <v>5.3703198423525853</v>
      </c>
      <c r="P108" s="161">
        <f t="shared" ca="1" si="936"/>
        <v>10.796440599915124</v>
      </c>
      <c r="Q108" s="161">
        <f t="shared" ca="1" si="936"/>
        <v>11.85670627656604</v>
      </c>
      <c r="R108" s="161">
        <f t="shared" ca="1" si="936"/>
        <v>10.5912226470349</v>
      </c>
      <c r="S108" s="161">
        <f t="shared" ca="1" si="936"/>
        <v>8.0127647129659891</v>
      </c>
      <c r="T108" s="161">
        <f t="shared" ca="1" si="936"/>
        <v>6.8351360250099775</v>
      </c>
      <c r="U108" s="161">
        <f t="shared" ca="1" si="936"/>
        <v>6.1591115267237413</v>
      </c>
      <c r="V108" s="161">
        <f t="shared" ca="1" si="936"/>
        <v>4.927474851048788</v>
      </c>
      <c r="W108" s="161">
        <f t="shared" ca="1" si="936"/>
        <v>7.5889348791762803</v>
      </c>
      <c r="X108" s="161">
        <f t="shared" ca="1" si="936"/>
        <v>14.473404069157002</v>
      </c>
      <c r="Y108" s="161">
        <f t="shared" ca="1" si="936"/>
        <v>12.097161705182765</v>
      </c>
      <c r="Z108" s="161">
        <f t="shared" ca="1" si="936"/>
        <v>14.503611444896643</v>
      </c>
      <c r="AA108" s="161">
        <f t="shared" ref="AA108" ca="1" si="940">+AA91/AA$105</f>
        <v>14.503611444896643</v>
      </c>
      <c r="AB108" s="20">
        <f t="shared" ca="1" si="936"/>
        <v>10.826394895288884</v>
      </c>
      <c r="AC108" s="20">
        <f t="shared" ca="1" si="936"/>
        <v>10.755395666739215</v>
      </c>
      <c r="AD108" s="20">
        <f t="shared" ca="1" si="936"/>
        <v>9.9822138956174289</v>
      </c>
      <c r="AE108" s="20">
        <f t="shared" ca="1" si="936"/>
        <v>9.8060676385568595</v>
      </c>
      <c r="AL108" s="161">
        <f t="shared" si="938"/>
        <v>5.8723686391513343</v>
      </c>
      <c r="AM108" s="161">
        <f t="shared" si="938"/>
        <v>5.1739392115558234</v>
      </c>
      <c r="AN108" s="161">
        <f t="shared" si="938"/>
        <v>4.752097109683028</v>
      </c>
      <c r="AO108" s="161">
        <f t="shared" si="938"/>
        <v>5.2090522964984096</v>
      </c>
      <c r="AP108" s="161">
        <f t="shared" si="938"/>
        <v>5.8446735596496904</v>
      </c>
      <c r="AQ108" s="161">
        <f t="shared" si="938"/>
        <v>7.6611172145694262</v>
      </c>
      <c r="AR108" s="161">
        <f t="shared" si="938"/>
        <v>8.6174254408243272</v>
      </c>
      <c r="AS108" s="161">
        <f t="shared" si="938"/>
        <v>10.796440599915124</v>
      </c>
      <c r="AT108" s="161">
        <f t="shared" si="938"/>
        <v>12.056386860360874</v>
      </c>
      <c r="AU108" s="161">
        <f t="shared" si="938"/>
        <v>11.847866204351174</v>
      </c>
      <c r="AV108" s="161">
        <f t="shared" si="938"/>
        <v>12.141396811780687</v>
      </c>
      <c r="AW108" s="161">
        <f t="shared" si="938"/>
        <v>10.668489730383794</v>
      </c>
      <c r="AX108" s="161">
        <f t="shared" si="938"/>
        <v>10.425481325618097</v>
      </c>
      <c r="AY108" s="161">
        <f t="shared" si="938"/>
        <v>9.7982849650222654</v>
      </c>
      <c r="AZ108" s="161">
        <f t="shared" si="938"/>
        <v>9.3182190314251532</v>
      </c>
      <c r="BA108" s="161">
        <f t="shared" si="938"/>
        <v>10.5912226470349</v>
      </c>
      <c r="BB108" s="161">
        <f t="shared" si="938"/>
        <v>9.4760648293141259</v>
      </c>
      <c r="BC108" s="161">
        <f t="shared" si="938"/>
        <v>9.9211829459738876</v>
      </c>
      <c r="BD108" s="161">
        <f t="shared" si="938"/>
        <v>9.6816685714285722</v>
      </c>
      <c r="BE108" s="161">
        <f t="shared" si="938"/>
        <v>10.989642073472856</v>
      </c>
      <c r="BF108" s="161">
        <f t="shared" si="938"/>
        <v>10.242598152680719</v>
      </c>
      <c r="BG108" s="161">
        <f t="shared" si="938"/>
        <v>9.8849307401707005</v>
      </c>
      <c r="BH108" s="161">
        <f t="shared" si="938"/>
        <v>9.6572638368816612</v>
      </c>
      <c r="BI108" s="161">
        <f t="shared" si="938"/>
        <v>6.6123635315507068</v>
      </c>
      <c r="BJ108" s="161">
        <f t="shared" si="938"/>
        <v>6.4873142267894606</v>
      </c>
      <c r="BK108" s="161">
        <f t="shared" si="938"/>
        <v>6.4031033305542779</v>
      </c>
      <c r="BL108" s="161">
        <f t="shared" si="938"/>
        <v>5.32381002033262</v>
      </c>
      <c r="BM108" s="161">
        <f t="shared" si="938"/>
        <v>5.0127271990709472</v>
      </c>
      <c r="BN108" s="161">
        <f t="shared" si="938"/>
        <v>5.0891791179769186</v>
      </c>
      <c r="BO108" s="161">
        <f t="shared" si="938"/>
        <v>4.0709750936024749</v>
      </c>
      <c r="BP108" s="161">
        <f t="shared" si="938"/>
        <v>4.4327052534758788</v>
      </c>
      <c r="BQ108" s="161">
        <f t="shared" si="938"/>
        <v>4.7249506574233582</v>
      </c>
      <c r="BR108" s="161">
        <f t="shared" si="938"/>
        <v>5.2419923288707029</v>
      </c>
      <c r="BS108" s="161">
        <f t="shared" si="938"/>
        <v>5.4482399803414152</v>
      </c>
      <c r="BT108" s="161">
        <f t="shared" si="938"/>
        <v>6.9278928666197492</v>
      </c>
      <c r="BU108" s="161">
        <f t="shared" si="938"/>
        <v>7.5889348791762803</v>
      </c>
      <c r="BV108" s="161">
        <f t="shared" si="938"/>
        <v>7.9567140403906986</v>
      </c>
      <c r="BW108" s="161">
        <f t="shared" si="938"/>
        <v>10.131237615641592</v>
      </c>
      <c r="BX108" s="161">
        <f t="shared" si="938"/>
        <v>15.294192520014102</v>
      </c>
      <c r="BY108" s="161">
        <f t="shared" si="938"/>
        <v>12.472199538020019</v>
      </c>
      <c r="BZ108" s="161">
        <f t="shared" si="938"/>
        <v>10.877897440109027</v>
      </c>
      <c r="CA108" s="161">
        <f t="shared" si="938"/>
        <v>11.788439739212279</v>
      </c>
      <c r="CB108" s="161">
        <f t="shared" si="938"/>
        <v>12.638486106189109</v>
      </c>
      <c r="CC108" s="161">
        <f t="shared" si="938"/>
        <v>10.849780140884638</v>
      </c>
      <c r="CD108" s="161">
        <f t="shared" si="938"/>
        <v>10.680662259431211</v>
      </c>
      <c r="CE108" s="161">
        <f t="shared" si="938"/>
        <v>15.899324928331431</v>
      </c>
      <c r="CF108" s="161">
        <f t="shared" si="938"/>
        <v>14.687585643284939</v>
      </c>
      <c r="CG108" s="161">
        <f t="shared" si="938"/>
        <v>11.954345356486073</v>
      </c>
      <c r="CH108" s="161">
        <f t="shared" si="938"/>
        <v>10.457120684562437</v>
      </c>
      <c r="CI108" s="161">
        <f t="shared" si="938"/>
        <v>12.540822687571183</v>
      </c>
      <c r="CJ108" s="161">
        <f t="shared" ref="CJ108:CK109" si="941">+CJ91/CJ$105</f>
        <v>11.939858284140996</v>
      </c>
      <c r="CK108" s="161">
        <f t="shared" si="941"/>
        <v>11.352628902968936</v>
      </c>
      <c r="CL108" s="161">
        <f t="shared" ref="CL108" si="942">+CL91/CL$105</f>
        <v>10.965999531743252</v>
      </c>
      <c r="CM108" s="93">
        <f t="shared" ref="CM108:DA108" si="943">+CL108</f>
        <v>10.965999531743252</v>
      </c>
      <c r="CN108" s="93">
        <f t="shared" si="943"/>
        <v>10.965999531743252</v>
      </c>
      <c r="CO108" s="93">
        <f t="shared" si="943"/>
        <v>10.965999531743252</v>
      </c>
      <c r="CP108" s="93">
        <f t="shared" si="943"/>
        <v>10.965999531743252</v>
      </c>
      <c r="CQ108" s="93">
        <f t="shared" si="943"/>
        <v>10.965999531743252</v>
      </c>
      <c r="CR108" s="93">
        <f t="shared" si="943"/>
        <v>10.965999531743252</v>
      </c>
      <c r="CS108" s="93">
        <f t="shared" si="943"/>
        <v>10.965999531743252</v>
      </c>
      <c r="CT108" s="93">
        <f t="shared" si="943"/>
        <v>10.965999531743252</v>
      </c>
      <c r="CU108" s="93">
        <f t="shared" si="943"/>
        <v>10.965999531743252</v>
      </c>
      <c r="CV108" s="93">
        <f t="shared" si="943"/>
        <v>10.965999531743252</v>
      </c>
      <c r="CW108" s="93">
        <f t="shared" si="943"/>
        <v>10.965999531743252</v>
      </c>
      <c r="CX108" s="93">
        <f t="shared" si="943"/>
        <v>10.965999531743252</v>
      </c>
      <c r="CY108" s="93">
        <f t="shared" si="943"/>
        <v>10.965999531743252</v>
      </c>
      <c r="CZ108" s="93">
        <f t="shared" si="943"/>
        <v>10.965999531743252</v>
      </c>
      <c r="DA108" s="93">
        <f t="shared" si="943"/>
        <v>10.965999531743252</v>
      </c>
      <c r="DB108" s="93"/>
      <c r="DD108" s="21"/>
      <c r="DE108" s="161">
        <v>11.352628902968936</v>
      </c>
    </row>
    <row r="109" spans="1:109" s="161" customFormat="1" hidden="1" outlineLevel="1" x14ac:dyDescent="0.2">
      <c r="A109" s="48" t="s">
        <v>504</v>
      </c>
      <c r="E109" s="161">
        <f t="shared" ca="1" si="936"/>
        <v>1.331758326878389</v>
      </c>
      <c r="F109" s="161">
        <f t="shared" ca="1" si="936"/>
        <v>1.9221683400982696</v>
      </c>
      <c r="G109" s="161">
        <f t="shared" ca="1" si="936"/>
        <v>2.5161915514677538</v>
      </c>
      <c r="H109" s="161">
        <f t="shared" ca="1" si="936"/>
        <v>4.730090053709163</v>
      </c>
      <c r="I109" s="161">
        <f t="shared" ca="1" si="936"/>
        <v>5.1788808550770202</v>
      </c>
      <c r="J109" s="161">
        <f t="shared" ca="1" si="936"/>
        <v>1.6679306683785586</v>
      </c>
      <c r="K109" s="161">
        <f t="shared" ca="1" si="936"/>
        <v>1.4894096244639841</v>
      </c>
      <c r="L109" s="161">
        <f t="shared" ca="1" si="936"/>
        <v>2.7266508562061871</v>
      </c>
      <c r="M109" s="161">
        <f t="shared" ca="1" si="936"/>
        <v>3.2200317790805983</v>
      </c>
      <c r="N109" s="161">
        <f t="shared" ca="1" si="936"/>
        <v>3.6369295054007962</v>
      </c>
      <c r="O109" s="161">
        <f t="shared" ca="1" si="936"/>
        <v>3.47491283916932</v>
      </c>
      <c r="P109" s="161">
        <f t="shared" ca="1" si="936"/>
        <v>4.1427283316327923</v>
      </c>
      <c r="Q109" s="161">
        <f t="shared" ca="1" si="936"/>
        <v>8.2558076075827636</v>
      </c>
      <c r="R109" s="161">
        <f t="shared" ca="1" si="936"/>
        <v>7.8544151142926877</v>
      </c>
      <c r="S109" s="161">
        <f t="shared" ca="1" si="936"/>
        <v>5.1123052177054475</v>
      </c>
      <c r="T109" s="161">
        <f t="shared" ca="1" si="936"/>
        <v>5.3125781561793266</v>
      </c>
      <c r="U109" s="161">
        <f t="shared" ca="1" si="936"/>
        <v>4.0534495098171606</v>
      </c>
      <c r="V109" s="161">
        <f t="shared" ca="1" si="936"/>
        <v>3.0302477159752765</v>
      </c>
      <c r="W109" s="161">
        <f t="shared" ca="1" si="936"/>
        <v>3.6447626632947148</v>
      </c>
      <c r="X109" s="161">
        <f t="shared" ca="1" si="936"/>
        <v>5.8349471522900673</v>
      </c>
      <c r="Y109" s="161">
        <f t="shared" ca="1" si="936"/>
        <v>8.3096428980199164</v>
      </c>
      <c r="Z109" s="161">
        <f t="shared" ca="1" si="936"/>
        <v>7.9097422779940887</v>
      </c>
      <c r="AA109" s="161">
        <f t="shared" ref="AA109" ca="1" si="944">+AA92/AA$105</f>
        <v>7.9097422779940887</v>
      </c>
      <c r="AB109" s="20">
        <f t="shared" ca="1" si="936"/>
        <v>7.3804325453707484</v>
      </c>
      <c r="AC109" s="20">
        <f t="shared" ca="1" si="936"/>
        <v>7.2742275791019715</v>
      </c>
      <c r="AD109" s="20">
        <f t="shared" ca="1" si="936"/>
        <v>7.2137366156636178</v>
      </c>
      <c r="AE109" s="20">
        <f t="shared" ca="1" si="936"/>
        <v>6.7939085053926753</v>
      </c>
      <c r="AL109" s="161">
        <f t="shared" si="938"/>
        <v>4.6598972318912653</v>
      </c>
      <c r="AM109" s="161">
        <f t="shared" si="938"/>
        <v>4.3330061046386659</v>
      </c>
      <c r="AN109" s="161">
        <f t="shared" si="938"/>
        <v>3.5584117227034242</v>
      </c>
      <c r="AO109" s="161">
        <f t="shared" si="938"/>
        <v>3.9493963922995303</v>
      </c>
      <c r="AP109" s="161">
        <f t="shared" si="938"/>
        <v>4.4794921062651962</v>
      </c>
      <c r="AQ109" s="161">
        <f t="shared" si="938"/>
        <v>5.3715879320544255</v>
      </c>
      <c r="AR109" s="161">
        <f t="shared" si="938"/>
        <v>7.0885639648791834</v>
      </c>
      <c r="AS109" s="161">
        <f t="shared" si="938"/>
        <v>7.7628524862526982</v>
      </c>
      <c r="AT109" s="161">
        <f t="shared" si="938"/>
        <v>9.2643485451174641</v>
      </c>
      <c r="AU109" s="161">
        <f t="shared" si="938"/>
        <v>10.037056959144662</v>
      </c>
      <c r="AV109" s="161">
        <f t="shared" si="938"/>
        <v>9.956441966306862</v>
      </c>
      <c r="AW109" s="161">
        <f t="shared" si="938"/>
        <v>9.0319490552573622</v>
      </c>
      <c r="AX109" s="161">
        <f t="shared" si="938"/>
        <v>8.7070857443450826</v>
      </c>
      <c r="AY109" s="161">
        <f t="shared" si="938"/>
        <v>8.5610239795436556</v>
      </c>
      <c r="AZ109" s="161">
        <f t="shared" si="938"/>
        <v>8.6743650943594268</v>
      </c>
      <c r="BA109" s="161">
        <f t="shared" si="938"/>
        <v>8.0101683885137902</v>
      </c>
      <c r="BB109" s="161">
        <f t="shared" si="938"/>
        <v>7.7558510804885694</v>
      </c>
      <c r="BC109" s="161">
        <f t="shared" si="938"/>
        <v>8.777424665926409</v>
      </c>
      <c r="BD109" s="161">
        <f t="shared" si="938"/>
        <v>7.7770179248120312</v>
      </c>
      <c r="BE109" s="161">
        <f t="shared" si="938"/>
        <v>8.7769624613642279</v>
      </c>
      <c r="BF109" s="161">
        <f t="shared" si="938"/>
        <v>8.9148106719236271</v>
      </c>
      <c r="BG109" s="161">
        <f t="shared" si="938"/>
        <v>9.0976353714845395</v>
      </c>
      <c r="BH109" s="161">
        <f t="shared" si="938"/>
        <v>8.6205975785789999</v>
      </c>
      <c r="BI109" s="161">
        <f t="shared" si="938"/>
        <v>5.3125781561793266</v>
      </c>
      <c r="BJ109" s="161">
        <f t="shared" si="938"/>
        <v>5.7144564946840664</v>
      </c>
      <c r="BK109" s="161">
        <f t="shared" si="938"/>
        <v>5.2472768729875812</v>
      </c>
      <c r="BL109" s="161">
        <f t="shared" si="938"/>
        <v>4.1732151608362438</v>
      </c>
      <c r="BM109" s="161">
        <f t="shared" si="938"/>
        <v>4.1864186944661999</v>
      </c>
      <c r="BN109" s="161">
        <f t="shared" si="938"/>
        <v>3.2961430812593946</v>
      </c>
      <c r="BO109" s="161">
        <f t="shared" si="938"/>
        <v>3.2958657666051314</v>
      </c>
      <c r="BP109" s="161">
        <f t="shared" si="938"/>
        <v>3.5805424103869785</v>
      </c>
      <c r="BQ109" s="161">
        <f t="shared" si="938"/>
        <v>3.4343006537612766</v>
      </c>
      <c r="BR109" s="161">
        <f t="shared" si="938"/>
        <v>4.0601982419820537</v>
      </c>
      <c r="BS109" s="161">
        <f t="shared" si="938"/>
        <v>4.575525821610487</v>
      </c>
      <c r="BT109" s="161">
        <f t="shared" si="938"/>
        <v>4.8011439020732141</v>
      </c>
      <c r="BU109" s="161">
        <f t="shared" si="938"/>
        <v>6.0574928770250187</v>
      </c>
      <c r="BV109" s="161">
        <f t="shared" si="938"/>
        <v>6.4774307848911761</v>
      </c>
      <c r="BW109" s="161">
        <f t="shared" si="938"/>
        <v>7.7886890611452069</v>
      </c>
      <c r="BX109" s="161">
        <f t="shared" si="938"/>
        <v>8.6360404251594591</v>
      </c>
      <c r="BY109" s="161">
        <f t="shared" si="938"/>
        <v>9.4909062273968132</v>
      </c>
      <c r="BZ109" s="161">
        <f t="shared" si="938"/>
        <v>8.8631186366188928</v>
      </c>
      <c r="CA109" s="161">
        <f t="shared" si="938"/>
        <v>9.6136542570366661</v>
      </c>
      <c r="CB109" s="161">
        <f t="shared" si="938"/>
        <v>9.9512106671768628</v>
      </c>
      <c r="CC109" s="161">
        <f t="shared" si="938"/>
        <v>8.5090287908268927</v>
      </c>
      <c r="CD109" s="161">
        <f t="shared" si="938"/>
        <v>8.3966922848835939</v>
      </c>
      <c r="CE109" s="161">
        <f t="shared" si="938"/>
        <v>9.1220369285780336</v>
      </c>
      <c r="CF109" s="161">
        <f t="shared" si="938"/>
        <v>11.502196936439748</v>
      </c>
      <c r="CG109" s="161">
        <f t="shared" si="938"/>
        <v>9.548064366764585</v>
      </c>
      <c r="CH109" s="161">
        <f t="shared" si="938"/>
        <v>7.9367847584608091</v>
      </c>
      <c r="CI109" s="161">
        <f t="shared" si="938"/>
        <v>8.1991160782134624</v>
      </c>
      <c r="CJ109" s="161">
        <f t="shared" si="941"/>
        <v>10.2691737434335</v>
      </c>
      <c r="CK109" s="161">
        <f t="shared" si="941"/>
        <v>9.5699494540307821</v>
      </c>
      <c r="CL109" s="161">
        <f t="shared" ref="CL109" si="945">+CL92/CL$105</f>
        <v>8.6426321057568867</v>
      </c>
      <c r="CM109" s="93">
        <f t="shared" ref="CM109:DA109" si="946">+CL109</f>
        <v>8.6426321057568867</v>
      </c>
      <c r="CN109" s="93">
        <f t="shared" si="946"/>
        <v>8.6426321057568867</v>
      </c>
      <c r="CO109" s="93">
        <f t="shared" si="946"/>
        <v>8.6426321057568867</v>
      </c>
      <c r="CP109" s="93">
        <f t="shared" si="946"/>
        <v>8.6426321057568867</v>
      </c>
      <c r="CQ109" s="93">
        <f t="shared" si="946"/>
        <v>8.6426321057568867</v>
      </c>
      <c r="CR109" s="93">
        <f t="shared" si="946"/>
        <v>8.6426321057568867</v>
      </c>
      <c r="CS109" s="93">
        <f t="shared" si="946"/>
        <v>8.6426321057568867</v>
      </c>
      <c r="CT109" s="93">
        <f t="shared" si="946"/>
        <v>8.6426321057568867</v>
      </c>
      <c r="CU109" s="93">
        <f t="shared" si="946"/>
        <v>8.6426321057568867</v>
      </c>
      <c r="CV109" s="93">
        <f t="shared" si="946"/>
        <v>8.6426321057568867</v>
      </c>
      <c r="CW109" s="93">
        <f t="shared" si="946"/>
        <v>8.6426321057568867</v>
      </c>
      <c r="CX109" s="93">
        <f t="shared" si="946"/>
        <v>8.6426321057568867</v>
      </c>
      <c r="CY109" s="93">
        <f t="shared" si="946"/>
        <v>8.6426321057568867</v>
      </c>
      <c r="CZ109" s="93">
        <f t="shared" si="946"/>
        <v>8.6426321057568867</v>
      </c>
      <c r="DA109" s="93">
        <f t="shared" si="946"/>
        <v>8.6426321057568867</v>
      </c>
      <c r="DB109" s="93"/>
      <c r="DD109" s="21"/>
      <c r="DE109" s="161">
        <v>7.3306166872796785</v>
      </c>
    </row>
    <row r="110" spans="1:109" s="4" customFormat="1" hidden="1" outlineLevel="1" x14ac:dyDescent="0.2">
      <c r="A110" s="3"/>
      <c r="AB110" s="16"/>
      <c r="AC110" s="16"/>
      <c r="AD110" s="16"/>
      <c r="AE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D110" s="118"/>
    </row>
    <row r="111" spans="1:109" s="176" customFormat="1" hidden="1" outlineLevel="1" x14ac:dyDescent="0.2">
      <c r="A111" s="176" t="s">
        <v>510</v>
      </c>
      <c r="E111" s="176">
        <f t="shared" ref="E111:AE111" si="947">+E23</f>
        <v>266.90999999999997</v>
      </c>
      <c r="F111" s="176">
        <f t="shared" si="947"/>
        <v>323.12</v>
      </c>
      <c r="G111" s="176">
        <f t="shared" si="947"/>
        <v>408.32</v>
      </c>
      <c r="H111" s="176">
        <f t="shared" si="947"/>
        <v>542.04</v>
      </c>
      <c r="I111" s="176">
        <f t="shared" si="947"/>
        <v>641.30000000000007</v>
      </c>
      <c r="J111" s="176">
        <f t="shared" si="947"/>
        <v>744.41</v>
      </c>
      <c r="K111" s="176">
        <f t="shared" si="947"/>
        <v>797.69</v>
      </c>
      <c r="L111" s="176">
        <f t="shared" si="947"/>
        <v>1040.08</v>
      </c>
      <c r="M111" s="176">
        <f t="shared" si="947"/>
        <v>1308.55</v>
      </c>
      <c r="N111" s="176">
        <f t="shared" si="947"/>
        <v>1446.65</v>
      </c>
      <c r="O111" s="176">
        <f t="shared" si="947"/>
        <v>1402.42</v>
      </c>
      <c r="P111" s="176">
        <f t="shared" si="947"/>
        <v>1632.1499999999999</v>
      </c>
      <c r="Q111" s="176">
        <f t="shared" si="947"/>
        <v>1724.43</v>
      </c>
      <c r="R111" s="176">
        <f t="shared" si="947"/>
        <v>1796.3200000000002</v>
      </c>
      <c r="S111" s="176">
        <f t="shared" si="947"/>
        <v>3933.1399999999994</v>
      </c>
      <c r="T111" s="176">
        <f t="shared" si="947"/>
        <v>4561.51</v>
      </c>
      <c r="U111" s="176">
        <f t="shared" si="947"/>
        <v>4360.6299999999992</v>
      </c>
      <c r="V111" s="176">
        <f t="shared" si="947"/>
        <v>3761.84</v>
      </c>
      <c r="W111" s="176">
        <f t="shared" si="947"/>
        <v>5560.51</v>
      </c>
      <c r="X111" s="176">
        <f t="shared" si="947"/>
        <v>6867.42</v>
      </c>
      <c r="Y111" s="176">
        <f t="shared" si="947"/>
        <v>7250.91</v>
      </c>
      <c r="Z111" s="176">
        <f t="shared" si="947"/>
        <v>8232.3799999999992</v>
      </c>
      <c r="AA111" s="176">
        <f t="shared" ref="AA111" si="948">+AA23</f>
        <v>9685.85</v>
      </c>
      <c r="AB111" s="177">
        <f t="shared" si="947"/>
        <v>11274.016573323584</v>
      </c>
      <c r="AC111" s="177">
        <f t="shared" si="947"/>
        <v>13169.367055630151</v>
      </c>
      <c r="AD111" s="177">
        <f t="shared" si="947"/>
        <v>14834.816278594535</v>
      </c>
      <c r="AE111" s="177">
        <f t="shared" si="947"/>
        <v>16765.959654335853</v>
      </c>
      <c r="AL111" s="176">
        <f t="shared" ref="AL111:BQ111" si="949">+SUM(AI21:AL21)</f>
        <v>1416.0199999999998</v>
      </c>
      <c r="AM111" s="176">
        <f t="shared" si="949"/>
        <v>1340.4899999999998</v>
      </c>
      <c r="AN111" s="176">
        <f t="shared" si="949"/>
        <v>1355.69</v>
      </c>
      <c r="AO111" s="176">
        <f t="shared" si="949"/>
        <v>1402.4199999999998</v>
      </c>
      <c r="AP111" s="176">
        <f t="shared" si="949"/>
        <v>1470.51</v>
      </c>
      <c r="AQ111" s="176">
        <f t="shared" si="949"/>
        <v>1557.69</v>
      </c>
      <c r="AR111" s="176">
        <f t="shared" si="949"/>
        <v>1596.5</v>
      </c>
      <c r="AS111" s="176">
        <f t="shared" si="949"/>
        <v>1632.15</v>
      </c>
      <c r="AT111" s="176">
        <f t="shared" si="949"/>
        <v>1640.49</v>
      </c>
      <c r="AU111" s="176">
        <f t="shared" si="949"/>
        <v>1680.8400000000001</v>
      </c>
      <c r="AV111" s="176">
        <f t="shared" si="949"/>
        <v>1708.9699999999998</v>
      </c>
      <c r="AW111" s="176">
        <f t="shared" si="949"/>
        <v>1724.43</v>
      </c>
      <c r="AX111" s="176">
        <f t="shared" si="949"/>
        <v>1763.8300000000002</v>
      </c>
      <c r="AY111" s="176">
        <f t="shared" si="949"/>
        <v>1817.3200000000002</v>
      </c>
      <c r="AZ111" s="176">
        <f t="shared" si="949"/>
        <v>1890.44</v>
      </c>
      <c r="BA111" s="176">
        <f t="shared" si="949"/>
        <v>1945.16</v>
      </c>
      <c r="BB111" s="176">
        <f t="shared" si="949"/>
        <v>1994.18</v>
      </c>
      <c r="BC111" s="176">
        <f t="shared" si="949"/>
        <v>2003.92</v>
      </c>
      <c r="BD111" s="176">
        <f t="shared" si="949"/>
        <v>2496.5299999999997</v>
      </c>
      <c r="BE111" s="176">
        <f t="shared" si="949"/>
        <v>3018.8599999999997</v>
      </c>
      <c r="BF111" s="176">
        <f t="shared" si="949"/>
        <v>3604.87</v>
      </c>
      <c r="BG111" s="176">
        <f t="shared" si="949"/>
        <v>4209.78</v>
      </c>
      <c r="BH111" s="176">
        <f t="shared" si="949"/>
        <v>4397.2299999999996</v>
      </c>
      <c r="BI111" s="176">
        <f t="shared" si="949"/>
        <v>4561.51</v>
      </c>
      <c r="BJ111" s="176">
        <f t="shared" si="949"/>
        <v>4650.33</v>
      </c>
      <c r="BK111" s="176">
        <f t="shared" si="949"/>
        <v>4666.7699999999995</v>
      </c>
      <c r="BL111" s="176">
        <f t="shared" si="949"/>
        <v>4510.45</v>
      </c>
      <c r="BM111" s="176">
        <f t="shared" si="949"/>
        <v>4360.63</v>
      </c>
      <c r="BN111" s="176">
        <f t="shared" si="949"/>
        <v>4116.88</v>
      </c>
      <c r="BO111" s="176">
        <f t="shared" si="949"/>
        <v>3439.0600000000004</v>
      </c>
      <c r="BP111" s="176">
        <f t="shared" si="949"/>
        <v>3524.54</v>
      </c>
      <c r="BQ111" s="176">
        <f t="shared" si="949"/>
        <v>3761.84</v>
      </c>
      <c r="BR111" s="176">
        <f t="shared" ref="BR111:CW111" si="950">+SUM(BO21:BR21)</f>
        <v>4150.12</v>
      </c>
      <c r="BS111" s="176">
        <f t="shared" si="950"/>
        <v>4944.13</v>
      </c>
      <c r="BT111" s="176">
        <f t="shared" si="950"/>
        <v>5311.06</v>
      </c>
      <c r="BU111" s="176">
        <f t="shared" si="950"/>
        <v>5560.51</v>
      </c>
      <c r="BV111" s="176">
        <f t="shared" si="950"/>
        <v>5811.2000000000007</v>
      </c>
      <c r="BW111" s="176">
        <f t="shared" si="950"/>
        <v>6327.14</v>
      </c>
      <c r="BX111" s="176">
        <f t="shared" si="950"/>
        <v>6595.99</v>
      </c>
      <c r="BY111" s="176">
        <f t="shared" si="950"/>
        <v>6867.42</v>
      </c>
      <c r="BZ111" s="176">
        <f t="shared" si="950"/>
        <v>6993.53</v>
      </c>
      <c r="CA111" s="176">
        <f t="shared" si="950"/>
        <v>7073.84</v>
      </c>
      <c r="CB111" s="176">
        <f t="shared" si="950"/>
        <v>7171.01</v>
      </c>
      <c r="CC111" s="176">
        <f t="shared" si="950"/>
        <v>7250.9100000000008</v>
      </c>
      <c r="CD111" s="176">
        <f t="shared" si="950"/>
        <v>7430.42</v>
      </c>
      <c r="CE111" s="176">
        <f t="shared" si="950"/>
        <v>7708.12</v>
      </c>
      <c r="CF111" s="176">
        <f t="shared" si="950"/>
        <v>7970.8700000000008</v>
      </c>
      <c r="CG111" s="176">
        <f t="shared" si="950"/>
        <v>8232.3799999999992</v>
      </c>
      <c r="CH111" s="176">
        <f t="shared" si="950"/>
        <v>8533.66</v>
      </c>
      <c r="CI111" s="176">
        <f t="shared" si="950"/>
        <v>8779.41</v>
      </c>
      <c r="CJ111" s="176">
        <f t="shared" si="950"/>
        <v>9097.7099999999991</v>
      </c>
      <c r="CK111" s="176">
        <f t="shared" si="950"/>
        <v>9685.8499999999985</v>
      </c>
      <c r="CL111" s="176">
        <f t="shared" si="950"/>
        <v>10097.08</v>
      </c>
      <c r="CM111" s="177">
        <f t="shared" si="950"/>
        <v>10425.833666329123</v>
      </c>
      <c r="CN111" s="177">
        <f t="shared" si="950"/>
        <v>10812.195487808576</v>
      </c>
      <c r="CO111" s="177">
        <f t="shared" si="950"/>
        <v>11274.016573323584</v>
      </c>
      <c r="CP111" s="177">
        <f t="shared" si="950"/>
        <v>11708.719637789385</v>
      </c>
      <c r="CQ111" s="177">
        <f t="shared" si="950"/>
        <v>12148.500147400913</v>
      </c>
      <c r="CR111" s="177">
        <f t="shared" si="950"/>
        <v>12630.41088626332</v>
      </c>
      <c r="CS111" s="177">
        <f t="shared" si="950"/>
        <v>13169.367055630151</v>
      </c>
      <c r="CT111" s="177">
        <f t="shared" si="950"/>
        <v>13563.431224804835</v>
      </c>
      <c r="CU111" s="177">
        <f t="shared" si="950"/>
        <v>13950.310487839586</v>
      </c>
      <c r="CV111" s="177">
        <f t="shared" si="950"/>
        <v>14372.400092083506</v>
      </c>
      <c r="CW111" s="177">
        <f t="shared" si="950"/>
        <v>14834.816278594535</v>
      </c>
      <c r="CX111" s="177">
        <f t="shared" ref="CX111:DA111" si="951">+SUM(CU21:CX21)</f>
        <v>15284.305075103443</v>
      </c>
      <c r="CY111" s="177">
        <f t="shared" si="951"/>
        <v>15728.100019957652</v>
      </c>
      <c r="CZ111" s="177">
        <f t="shared" si="951"/>
        <v>16218.014732208194</v>
      </c>
      <c r="DA111" s="177">
        <f t="shared" si="951"/>
        <v>16765.959654335853</v>
      </c>
      <c r="DD111" s="178"/>
      <c r="DE111" s="176">
        <v>9685.8499999999985</v>
      </c>
    </row>
    <row r="112" spans="1:109" s="162" customFormat="1" hidden="1" outlineLevel="1" x14ac:dyDescent="0.2">
      <c r="A112" s="162" t="s">
        <v>511</v>
      </c>
      <c r="E112" s="162">
        <f t="shared" ref="E112:AE112" ca="1" si="952">+E111/E78</f>
        <v>17.076775431861801</v>
      </c>
      <c r="F112" s="162">
        <f t="shared" ca="1" si="952"/>
        <v>20.673064619321817</v>
      </c>
      <c r="G112" s="162">
        <f t="shared" ca="1" si="952"/>
        <v>26.124120281509914</v>
      </c>
      <c r="H112" s="162">
        <f t="shared" ca="1" si="952"/>
        <v>34.679462571976963</v>
      </c>
      <c r="I112" s="162">
        <f t="shared" ca="1" si="952"/>
        <v>41.030070377479205</v>
      </c>
      <c r="J112" s="162">
        <f t="shared" ca="1" si="952"/>
        <v>47.626999360204728</v>
      </c>
      <c r="K112" s="162">
        <f t="shared" ca="1" si="952"/>
        <v>51.035828534868841</v>
      </c>
      <c r="L112" s="162">
        <f t="shared" ca="1" si="952"/>
        <v>66.543825975687767</v>
      </c>
      <c r="M112" s="162">
        <f t="shared" ca="1" si="952"/>
        <v>83.720409468969919</v>
      </c>
      <c r="N112" s="162">
        <f t="shared" ca="1" si="952"/>
        <v>92.555982085732566</v>
      </c>
      <c r="O112" s="162">
        <f t="shared" ca="1" si="952"/>
        <v>89.726167626359569</v>
      </c>
      <c r="P112" s="162">
        <f t="shared" ca="1" si="952"/>
        <v>104.42418426103646</v>
      </c>
      <c r="Q112" s="162">
        <f t="shared" ca="1" si="952"/>
        <v>110.32821497120921</v>
      </c>
      <c r="R112" s="162">
        <f t="shared" ca="1" si="952"/>
        <v>114.9277031349968</v>
      </c>
      <c r="S112" s="162">
        <f t="shared" ca="1" si="952"/>
        <v>251.6404350607805</v>
      </c>
      <c r="T112" s="162">
        <f t="shared" ca="1" si="952"/>
        <v>291.84325015994881</v>
      </c>
      <c r="U112" s="162">
        <f t="shared" ca="1" si="952"/>
        <v>278.99104286628273</v>
      </c>
      <c r="V112" s="162">
        <f t="shared" ca="1" si="952"/>
        <v>240.68074216250798</v>
      </c>
      <c r="W112" s="162">
        <f t="shared" ca="1" si="952"/>
        <v>355.7587971849008</v>
      </c>
      <c r="X112" s="162">
        <f t="shared" ca="1" si="952"/>
        <v>439.37428023032629</v>
      </c>
      <c r="Y112" s="162">
        <f t="shared" ca="1" si="952"/>
        <v>463.90978886756233</v>
      </c>
      <c r="Z112" s="162">
        <f t="shared" ref="Z112:AA112" ca="1" si="953">+Z111/Z78</f>
        <v>526.7037747920665</v>
      </c>
      <c r="AA112" s="162">
        <f t="shared" ref="AA112" ca="1" si="954">+AA111/AA78</f>
        <v>526.7037747920665</v>
      </c>
      <c r="AB112" s="93">
        <f t="shared" ca="1" si="952"/>
        <v>721.30624269504699</v>
      </c>
      <c r="AC112" s="93">
        <f t="shared" ca="1" si="952"/>
        <v>842.56986920218492</v>
      </c>
      <c r="AD112" s="93">
        <f t="shared" ca="1" si="952"/>
        <v>949.1245219830156</v>
      </c>
      <c r="AE112" s="93">
        <f t="shared" ca="1" si="952"/>
        <v>1072.6781608660174</v>
      </c>
      <c r="AL112" s="162">
        <f t="shared" ref="AL112:BQ112" si="955">+AL111/AL78</f>
        <v>90.596289187459988</v>
      </c>
      <c r="AM112" s="162">
        <f t="shared" si="955"/>
        <v>85.763915547024936</v>
      </c>
      <c r="AN112" s="162">
        <f t="shared" si="955"/>
        <v>86.736404350607799</v>
      </c>
      <c r="AO112" s="162">
        <f t="shared" si="955"/>
        <v>89.726167626359555</v>
      </c>
      <c r="AP112" s="162">
        <f t="shared" si="955"/>
        <v>94.08253358925144</v>
      </c>
      <c r="AQ112" s="162">
        <f t="shared" si="955"/>
        <v>99.660268714011508</v>
      </c>
      <c r="AR112" s="162">
        <f t="shared" si="955"/>
        <v>102.14331413947536</v>
      </c>
      <c r="AS112" s="162">
        <f t="shared" si="955"/>
        <v>104.42418426103647</v>
      </c>
      <c r="AT112" s="162">
        <f t="shared" si="955"/>
        <v>104.95777351247601</v>
      </c>
      <c r="AU112" s="162">
        <f t="shared" si="955"/>
        <v>107.53934740882917</v>
      </c>
      <c r="AV112" s="162">
        <f t="shared" si="955"/>
        <v>109.33909149072295</v>
      </c>
      <c r="AW112" s="162">
        <f t="shared" si="955"/>
        <v>110.32821497120921</v>
      </c>
      <c r="AX112" s="162">
        <f t="shared" si="955"/>
        <v>112.84900831733846</v>
      </c>
      <c r="AY112" s="162">
        <f t="shared" si="955"/>
        <v>116.27127319257838</v>
      </c>
      <c r="AZ112" s="162">
        <f t="shared" si="955"/>
        <v>120.94945617402431</v>
      </c>
      <c r="BA112" s="162">
        <f t="shared" si="955"/>
        <v>124.45041586692258</v>
      </c>
      <c r="BB112" s="162">
        <f t="shared" si="955"/>
        <v>127.58669225847729</v>
      </c>
      <c r="BC112" s="162">
        <f t="shared" si="955"/>
        <v>128.20985284708894</v>
      </c>
      <c r="BD112" s="162">
        <f t="shared" si="955"/>
        <v>159.72680742162507</v>
      </c>
      <c r="BE112" s="162">
        <f t="shared" si="955"/>
        <v>193.14523352527189</v>
      </c>
      <c r="BF112" s="162">
        <f t="shared" si="955"/>
        <v>230.63787587971848</v>
      </c>
      <c r="BG112" s="162">
        <f t="shared" si="955"/>
        <v>269.33973128598848</v>
      </c>
      <c r="BH112" s="162">
        <f t="shared" si="955"/>
        <v>281.33269353806776</v>
      </c>
      <c r="BI112" s="162">
        <f t="shared" si="955"/>
        <v>291.84325015994881</v>
      </c>
      <c r="BJ112" s="162">
        <f t="shared" si="955"/>
        <v>297.52591170825332</v>
      </c>
      <c r="BK112" s="162">
        <f t="shared" si="955"/>
        <v>298.57773512476001</v>
      </c>
      <c r="BL112" s="162">
        <f t="shared" si="955"/>
        <v>288.57645553422901</v>
      </c>
      <c r="BM112" s="162">
        <f t="shared" si="955"/>
        <v>278.99104286628278</v>
      </c>
      <c r="BN112" s="162">
        <f t="shared" si="955"/>
        <v>263.39603326935378</v>
      </c>
      <c r="BO112" s="162">
        <f t="shared" si="955"/>
        <v>220.02943058221371</v>
      </c>
      <c r="BP112" s="162">
        <f t="shared" si="955"/>
        <v>225.49840051183619</v>
      </c>
      <c r="BQ112" s="162">
        <f t="shared" si="955"/>
        <v>240.68074216250798</v>
      </c>
      <c r="BR112" s="162">
        <f t="shared" ref="BR112:CW112" si="956">+BR111/BR78</f>
        <v>265.52271273192576</v>
      </c>
      <c r="BS112" s="162">
        <f t="shared" si="956"/>
        <v>316.3230966090851</v>
      </c>
      <c r="BT112" s="162">
        <f t="shared" si="956"/>
        <v>339.79910428662828</v>
      </c>
      <c r="BU112" s="162">
        <f t="shared" si="956"/>
        <v>355.7587971849008</v>
      </c>
      <c r="BV112" s="162">
        <f t="shared" si="956"/>
        <v>371.79782469609728</v>
      </c>
      <c r="BW112" s="162">
        <f t="shared" si="956"/>
        <v>404.80742162508</v>
      </c>
      <c r="BX112" s="162">
        <f t="shared" si="956"/>
        <v>422.00831733845166</v>
      </c>
      <c r="BY112" s="162">
        <f t="shared" si="956"/>
        <v>439.37428023032629</v>
      </c>
      <c r="BZ112" s="162">
        <f t="shared" si="956"/>
        <v>447.44273832373636</v>
      </c>
      <c r="CA112" s="162">
        <f t="shared" si="956"/>
        <v>452.58093410108762</v>
      </c>
      <c r="CB112" s="162">
        <f t="shared" si="956"/>
        <v>458.79782469609722</v>
      </c>
      <c r="CC112" s="162">
        <f t="shared" si="956"/>
        <v>463.90978886756238</v>
      </c>
      <c r="CD112" s="162">
        <f t="shared" si="956"/>
        <v>475.39475367882278</v>
      </c>
      <c r="CE112" s="162">
        <f t="shared" si="956"/>
        <v>493.1618682021753</v>
      </c>
      <c r="CF112" s="162">
        <f t="shared" si="956"/>
        <v>509.97248880358291</v>
      </c>
      <c r="CG112" s="162">
        <f t="shared" si="956"/>
        <v>526.7037747920665</v>
      </c>
      <c r="CH112" s="162">
        <f t="shared" si="956"/>
        <v>545.97952655150345</v>
      </c>
      <c r="CI112" s="162">
        <f t="shared" si="956"/>
        <v>561.7024952015355</v>
      </c>
      <c r="CJ112" s="162">
        <f t="shared" si="956"/>
        <v>582.06717850287896</v>
      </c>
      <c r="CK112" s="162">
        <f t="shared" ref="CK112:CL112" si="957">+CK111/CK78</f>
        <v>619.69609724888028</v>
      </c>
      <c r="CL112" s="162">
        <f t="shared" si="957"/>
        <v>646.00639795265511</v>
      </c>
      <c r="CM112" s="49">
        <f t="shared" si="956"/>
        <v>667.03990187646332</v>
      </c>
      <c r="CN112" s="49">
        <f t="shared" si="956"/>
        <v>691.75914829229532</v>
      </c>
      <c r="CO112" s="49">
        <f t="shared" si="956"/>
        <v>721.30624269504699</v>
      </c>
      <c r="CP112" s="49">
        <f t="shared" si="956"/>
        <v>749.11833895005657</v>
      </c>
      <c r="CQ112" s="49">
        <f t="shared" si="956"/>
        <v>777.25528774158113</v>
      </c>
      <c r="CR112" s="49">
        <f t="shared" si="956"/>
        <v>808.08770865408314</v>
      </c>
      <c r="CS112" s="49">
        <f t="shared" si="956"/>
        <v>842.56986920218492</v>
      </c>
      <c r="CT112" s="49">
        <f t="shared" si="956"/>
        <v>867.78190817689278</v>
      </c>
      <c r="CU112" s="49">
        <f t="shared" si="956"/>
        <v>892.53426025845079</v>
      </c>
      <c r="CV112" s="49">
        <f t="shared" si="956"/>
        <v>919.53935330028821</v>
      </c>
      <c r="CW112" s="49">
        <f t="shared" si="956"/>
        <v>949.1245219830156</v>
      </c>
      <c r="CX112" s="49">
        <f t="shared" ref="CX112:DA112" si="958">+CX111/CX78</f>
        <v>977.88260237386066</v>
      </c>
      <c r="CY112" s="49">
        <f t="shared" si="958"/>
        <v>1006.2763928315836</v>
      </c>
      <c r="CZ112" s="49">
        <f t="shared" si="958"/>
        <v>1037.6209041719894</v>
      </c>
      <c r="DA112" s="49">
        <f t="shared" si="958"/>
        <v>1072.6781608660174</v>
      </c>
      <c r="DD112" s="163"/>
      <c r="DE112" s="162">
        <v>619.69609724888028</v>
      </c>
    </row>
    <row r="113" spans="1:109" s="162" customFormat="1" hidden="1" outlineLevel="1" x14ac:dyDescent="0.2">
      <c r="AB113" s="93"/>
      <c r="AC113" s="93"/>
      <c r="AD113" s="93"/>
      <c r="AE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D113" s="163"/>
    </row>
    <row r="114" spans="1:109" s="162" customFormat="1" hidden="1" outlineLevel="1" x14ac:dyDescent="0.2">
      <c r="A114" s="162" t="s">
        <v>506</v>
      </c>
      <c r="AB114" s="93"/>
      <c r="AC114" s="93"/>
      <c r="AD114" s="93"/>
      <c r="AE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D114" s="163"/>
    </row>
    <row r="115" spans="1:109" s="162" customFormat="1" hidden="1" outlineLevel="1" x14ac:dyDescent="0.2">
      <c r="A115" s="162" t="s">
        <v>507</v>
      </c>
      <c r="E115" s="162">
        <f t="shared" ref="E115:AE117" ca="1" si="959">+E90/E$112</f>
        <v>1.4914993818140949</v>
      </c>
      <c r="F115" s="162">
        <f t="shared" ca="1" si="959"/>
        <v>1.5643544194107455</v>
      </c>
      <c r="G115" s="162">
        <f t="shared" ca="1" si="959"/>
        <v>3.0661319553291539</v>
      </c>
      <c r="H115" s="162">
        <f t="shared" ca="1" si="959"/>
        <v>3.7145904361301754</v>
      </c>
      <c r="I115" s="162">
        <f t="shared" ca="1" si="959"/>
        <v>3.4016514891626382</v>
      </c>
      <c r="J115" s="162">
        <f t="shared" ca="1" si="959"/>
        <v>0.94484222404320217</v>
      </c>
      <c r="K115" s="162">
        <f t="shared" ca="1" si="959"/>
        <v>2.3816601687372287</v>
      </c>
      <c r="L115" s="162">
        <f t="shared" ca="1" si="959"/>
        <v>2.6346546419506196</v>
      </c>
      <c r="M115" s="162">
        <f t="shared" ca="1" si="959"/>
        <v>2.5004655534752209</v>
      </c>
      <c r="N115" s="162">
        <f t="shared" ca="1" si="959"/>
        <v>3.6728042028133965</v>
      </c>
      <c r="O115" s="162">
        <f t="shared" ca="1" si="959"/>
        <v>3.5975012478430144</v>
      </c>
      <c r="P115" s="162">
        <f t="shared" ca="1" si="959"/>
        <v>6.8376880801396931</v>
      </c>
      <c r="Q115" s="162">
        <f t="shared" ca="1" si="959"/>
        <v>7.9528160609592735</v>
      </c>
      <c r="R115" s="162">
        <f t="shared" ca="1" si="959"/>
        <v>6.7271856907455243</v>
      </c>
      <c r="S115" s="162">
        <f t="shared" ca="1" si="959"/>
        <v>4.6448417549337178</v>
      </c>
      <c r="T115" s="162">
        <f t="shared" ca="1" si="959"/>
        <v>3.9002101277866323</v>
      </c>
      <c r="U115" s="162">
        <f t="shared" ca="1" si="959"/>
        <v>3.3681726493648863</v>
      </c>
      <c r="V115" s="162">
        <f t="shared" ca="1" si="959"/>
        <v>3.7714276258426733</v>
      </c>
      <c r="W115" s="162">
        <f t="shared" ca="1" si="959"/>
        <v>4.9418033058118773</v>
      </c>
      <c r="X115" s="162">
        <f t="shared" ca="1" si="959"/>
        <v>6.2463829210970063</v>
      </c>
      <c r="Y115" s="162">
        <f t="shared" ca="1" si="959"/>
        <v>6.9026351175231806</v>
      </c>
      <c r="Z115" s="162">
        <f ca="1">+Z90/Z$112</f>
        <v>6.4655887483328032</v>
      </c>
      <c r="AA115" s="162">
        <f ca="1">+AA90/AA$112</f>
        <v>6.4655887483328032</v>
      </c>
      <c r="AB115" s="49">
        <f t="shared" ref="AB115:AE115" ca="1" si="960">+AB90/AB$112</f>
        <v>5.33019094030697</v>
      </c>
      <c r="AC115" s="49">
        <f t="shared" ca="1" si="960"/>
        <v>4.5630637179566849</v>
      </c>
      <c r="AD115" s="49">
        <f t="shared" ca="1" si="960"/>
        <v>4.0507856566251483</v>
      </c>
      <c r="AE115" s="49">
        <f t="shared" ca="1" si="960"/>
        <v>3.5842064658946864</v>
      </c>
      <c r="AL115" s="162">
        <f t="shared" ref="AL115:BQ115" si="961">+AL90/AL112</f>
        <v>3.24439337015014</v>
      </c>
      <c r="AM115" s="162">
        <f t="shared" si="961"/>
        <v>3.3114159747555005</v>
      </c>
      <c r="AN115" s="162">
        <f t="shared" si="961"/>
        <v>2.8788373448207185</v>
      </c>
      <c r="AO115" s="162">
        <f t="shared" si="961"/>
        <v>3.5975012478430148</v>
      </c>
      <c r="AP115" s="162">
        <f t="shared" si="961"/>
        <v>3.9911765305914275</v>
      </c>
      <c r="AQ115" s="162">
        <f t="shared" si="961"/>
        <v>4.9897517477803675</v>
      </c>
      <c r="AR115" s="162">
        <f t="shared" si="961"/>
        <v>5.6388419041653624</v>
      </c>
      <c r="AS115" s="162">
        <f t="shared" si="961"/>
        <v>6.8376880801396922</v>
      </c>
      <c r="AT115" s="162">
        <f t="shared" si="961"/>
        <v>7.8948892708885756</v>
      </c>
      <c r="AU115" s="162">
        <f t="shared" si="961"/>
        <v>7.6671471407153566</v>
      </c>
      <c r="AV115" s="162">
        <f t="shared" si="961"/>
        <v>7.3784223830728459</v>
      </c>
      <c r="AW115" s="162">
        <f t="shared" si="961"/>
        <v>7.9528160609592735</v>
      </c>
      <c r="AX115" s="162">
        <f t="shared" si="961"/>
        <v>6.7709057562236721</v>
      </c>
      <c r="AY115" s="162">
        <f t="shared" si="961"/>
        <v>7.0703620716219486</v>
      </c>
      <c r="AZ115" s="162">
        <f t="shared" si="961"/>
        <v>6.7529034510484331</v>
      </c>
      <c r="BA115" s="162">
        <f t="shared" si="961"/>
        <v>6.2124340414156158</v>
      </c>
      <c r="BB115" s="162">
        <f t="shared" si="961"/>
        <v>7.1477674031431473</v>
      </c>
      <c r="BC115" s="162">
        <f t="shared" si="961"/>
        <v>6.9626474110742933</v>
      </c>
      <c r="BD115" s="162">
        <f t="shared" si="961"/>
        <v>6.1298414198908091</v>
      </c>
      <c r="BE115" s="162">
        <f t="shared" si="961"/>
        <v>6.0515601584704166</v>
      </c>
      <c r="BF115" s="162">
        <f t="shared" si="961"/>
        <v>4.4790128076740636</v>
      </c>
      <c r="BG115" s="162">
        <f t="shared" si="961"/>
        <v>4.1073776776933713</v>
      </c>
      <c r="BH115" s="162">
        <f t="shared" si="961"/>
        <v>3.8354234142858123</v>
      </c>
      <c r="BI115" s="162">
        <f t="shared" si="961"/>
        <v>3.9002101277866323</v>
      </c>
      <c r="BJ115" s="162">
        <f t="shared" si="961"/>
        <v>3.7016607853636194</v>
      </c>
      <c r="BK115" s="162">
        <f t="shared" si="961"/>
        <v>3.2666199962715119</v>
      </c>
      <c r="BL115" s="162">
        <f t="shared" si="961"/>
        <v>3.0392985400569792</v>
      </c>
      <c r="BM115" s="162">
        <f t="shared" si="961"/>
        <v>3.3681726493648858</v>
      </c>
      <c r="BN115" s="162">
        <f t="shared" si="961"/>
        <v>2.8087742659489714</v>
      </c>
      <c r="BO115" s="162">
        <f t="shared" si="961"/>
        <v>3.2507469482940103</v>
      </c>
      <c r="BP115" s="162">
        <f t="shared" si="961"/>
        <v>3.1515966338869754</v>
      </c>
      <c r="BQ115" s="162">
        <f t="shared" si="961"/>
        <v>3.7714276258426733</v>
      </c>
      <c r="BR115" s="162">
        <f t="shared" ref="BR115:DA115" si="962">+BR90/BR112</f>
        <v>4.0755082262681563</v>
      </c>
      <c r="BS115" s="162">
        <f t="shared" si="962"/>
        <v>3.5667645268227171</v>
      </c>
      <c r="BT115" s="162">
        <f t="shared" si="962"/>
        <v>4.479352596280215</v>
      </c>
      <c r="BU115" s="162">
        <f t="shared" si="962"/>
        <v>4.9418033058118773</v>
      </c>
      <c r="BV115" s="162">
        <f t="shared" si="962"/>
        <v>5.2463997109030833</v>
      </c>
      <c r="BW115" s="162">
        <f t="shared" si="962"/>
        <v>5.6589871569144989</v>
      </c>
      <c r="BX115" s="162">
        <f t="shared" si="962"/>
        <v>7.6143049034337542</v>
      </c>
      <c r="BY115" s="162">
        <f t="shared" si="962"/>
        <v>6.2463829210970063</v>
      </c>
      <c r="BZ115" s="162">
        <f t="shared" si="962"/>
        <v>6.4229447789599821</v>
      </c>
      <c r="CA115" s="162">
        <f t="shared" si="962"/>
        <v>6.8487197900998611</v>
      </c>
      <c r="CB115" s="162">
        <f t="shared" si="962"/>
        <v>7.223116199810069</v>
      </c>
      <c r="CC115" s="162">
        <f t="shared" si="962"/>
        <v>6.9026351175231797</v>
      </c>
      <c r="CD115" s="162">
        <f t="shared" si="962"/>
        <v>5.9157152623943201</v>
      </c>
      <c r="CE115" s="162">
        <f t="shared" si="962"/>
        <v>9.6092182010658878</v>
      </c>
      <c r="CF115" s="162">
        <f t="shared" si="962"/>
        <v>7.6642369653500806</v>
      </c>
      <c r="CG115" s="162">
        <f t="shared" si="962"/>
        <v>6.4655887483328032</v>
      </c>
      <c r="CH115" s="162">
        <f t="shared" si="962"/>
        <v>6.1729420904980996</v>
      </c>
      <c r="CI115" s="162">
        <f t="shared" si="962"/>
        <v>7.2069289963676377</v>
      </c>
      <c r="CJ115" s="162">
        <f t="shared" si="962"/>
        <v>7.2332716145051901</v>
      </c>
      <c r="CK115" s="162">
        <f t="shared" ref="CK115:CL115" si="963">+CK90/CK112</f>
        <v>6.2696054037590923</v>
      </c>
      <c r="CL115" s="162">
        <f t="shared" si="963"/>
        <v>5.9514890443573787</v>
      </c>
      <c r="CM115" s="49">
        <f t="shared" si="962"/>
        <v>5.7638231074099124</v>
      </c>
      <c r="CN115" s="49">
        <f t="shared" si="962"/>
        <v>5.5578592773094249</v>
      </c>
      <c r="CO115" s="49">
        <f t="shared" si="962"/>
        <v>5.33019094030697</v>
      </c>
      <c r="CP115" s="49">
        <f t="shared" si="962"/>
        <v>5.1322999319288121</v>
      </c>
      <c r="CQ115" s="49">
        <f t="shared" si="962"/>
        <v>4.9465086447610904</v>
      </c>
      <c r="CR115" s="49">
        <f t="shared" si="962"/>
        <v>4.7577756211681157</v>
      </c>
      <c r="CS115" s="49">
        <f t="shared" si="962"/>
        <v>4.5630637179566849</v>
      </c>
      <c r="CT115" s="49">
        <f t="shared" si="962"/>
        <v>4.430491075894011</v>
      </c>
      <c r="CU115" s="49">
        <f t="shared" si="962"/>
        <v>4.3076217588405976</v>
      </c>
      <c r="CV115" s="49">
        <f t="shared" si="962"/>
        <v>4.1811152357983534</v>
      </c>
      <c r="CW115" s="49">
        <f t="shared" si="962"/>
        <v>4.0507856566251483</v>
      </c>
      <c r="CX115" s="49">
        <f t="shared" si="962"/>
        <v>3.931658044295697</v>
      </c>
      <c r="CY115" s="49">
        <f t="shared" si="962"/>
        <v>3.8207196624988016</v>
      </c>
      <c r="CZ115" s="49">
        <f t="shared" si="962"/>
        <v>3.7053031454373309</v>
      </c>
      <c r="DA115" s="49">
        <f t="shared" si="962"/>
        <v>3.5842064658946864</v>
      </c>
      <c r="DD115" s="105"/>
      <c r="DE115" s="162">
        <v>6.2696054037590923</v>
      </c>
    </row>
    <row r="116" spans="1:109" s="162" customFormat="1" hidden="1" outlineLevel="1" x14ac:dyDescent="0.2">
      <c r="A116" s="162" t="s">
        <v>508</v>
      </c>
      <c r="E116" s="162">
        <f t="shared" ca="1" si="959"/>
        <v>1.6982128807463193</v>
      </c>
      <c r="F116" s="162">
        <f t="shared" ca="1" si="959"/>
        <v>1.6543265659816788</v>
      </c>
      <c r="G116" s="162">
        <f t="shared" ca="1" si="959"/>
        <v>3.6659607660658309</v>
      </c>
      <c r="H116" s="162">
        <f t="shared" ca="1" si="959"/>
        <v>4.4695040956386984</v>
      </c>
      <c r="I116" s="162">
        <f t="shared" ca="1" si="959"/>
        <v>3.5339934508030564</v>
      </c>
      <c r="J116" s="162">
        <f t="shared" ca="1" si="959"/>
        <v>2.9395091414677399</v>
      </c>
      <c r="K116" s="162">
        <f t="shared" ca="1" si="959"/>
        <v>2.6644027128333061</v>
      </c>
      <c r="L116" s="162">
        <f t="shared" ca="1" si="959"/>
        <v>2.9454272748250139</v>
      </c>
      <c r="M116" s="162">
        <f t="shared" ca="1" si="959"/>
        <v>3.4275990982385083</v>
      </c>
      <c r="N116" s="162">
        <f t="shared" ca="1" si="959"/>
        <v>3.9475568382124218</v>
      </c>
      <c r="O116" s="162">
        <f t="shared" ca="1" si="959"/>
        <v>3.7893070549478756</v>
      </c>
      <c r="P116" s="162">
        <f t="shared" ca="1" si="959"/>
        <v>7.3258891645988431</v>
      </c>
      <c r="Q116" s="162">
        <f t="shared" ca="1" si="959"/>
        <v>8.8644595605504435</v>
      </c>
      <c r="R116" s="162">
        <f t="shared" ca="1" si="959"/>
        <v>8.6976418455509048</v>
      </c>
      <c r="S116" s="162">
        <f t="shared" ca="1" si="959"/>
        <v>4.7369175773046477</v>
      </c>
      <c r="T116" s="162">
        <f t="shared" ca="1" si="959"/>
        <v>4.0549507290349034</v>
      </c>
      <c r="U116" s="162">
        <f t="shared" ca="1" si="959"/>
        <v>4.1838619190346362</v>
      </c>
      <c r="V116" s="162">
        <f t="shared" ca="1" si="959"/>
        <v>4.1133328371222593</v>
      </c>
      <c r="W116" s="162">
        <f t="shared" ca="1" si="959"/>
        <v>4.9864965084137971</v>
      </c>
      <c r="X116" s="162">
        <f t="shared" ca="1" si="959"/>
        <v>9.0327317245777898</v>
      </c>
      <c r="Y116" s="162">
        <f t="shared" ca="1" si="959"/>
        <v>8.0170759256424375</v>
      </c>
      <c r="Z116" s="162">
        <f t="shared" ref="Z116:AA117" ca="1" si="964">+Z91/Z$112</f>
        <v>9.398072003478946</v>
      </c>
      <c r="AA116" s="162">
        <f t="shared" ref="AA116" ca="1" si="965">+AA91/AA$112</f>
        <v>9.398072003478946</v>
      </c>
      <c r="AB116" s="93">
        <f t="shared" ca="1" si="959"/>
        <v>7.1565156392572797</v>
      </c>
      <c r="AC116" s="93">
        <f t="shared" ca="1" si="959"/>
        <v>7.488322902168207</v>
      </c>
      <c r="AD116" s="93">
        <f t="shared" ca="1" si="959"/>
        <v>7.4672699649377625</v>
      </c>
      <c r="AE116" s="93">
        <f t="shared" ca="1" si="959"/>
        <v>7.826525659792221</v>
      </c>
      <c r="AL116" s="162">
        <f t="shared" ref="AL116:BQ116" si="966">+AL91/AL112</f>
        <v>3.7529130944478197</v>
      </c>
      <c r="AM116" s="162">
        <f t="shared" si="966"/>
        <v>3.5912539444531486</v>
      </c>
      <c r="AN116" s="162">
        <f t="shared" si="966"/>
        <v>3.3872743768855718</v>
      </c>
      <c r="AO116" s="162">
        <f t="shared" si="966"/>
        <v>3.6755163930919417</v>
      </c>
      <c r="AP116" s="162">
        <f t="shared" si="966"/>
        <v>4.0708937715486462</v>
      </c>
      <c r="AQ116" s="162">
        <f t="shared" si="966"/>
        <v>5.2377944263621137</v>
      </c>
      <c r="AR116" s="162">
        <f t="shared" si="966"/>
        <v>5.9508544942060766</v>
      </c>
      <c r="AS116" s="162">
        <f t="shared" si="966"/>
        <v>7.3258891645988413</v>
      </c>
      <c r="AT116" s="162">
        <f t="shared" si="966"/>
        <v>8.4434908472468599</v>
      </c>
      <c r="AU116" s="162">
        <f t="shared" si="966"/>
        <v>8.5178125223102743</v>
      </c>
      <c r="AV116" s="162">
        <f t="shared" si="966"/>
        <v>8.9446508715776183</v>
      </c>
      <c r="AW116" s="162">
        <f t="shared" si="966"/>
        <v>7.9761101929333176</v>
      </c>
      <c r="AX116" s="162">
        <f t="shared" si="966"/>
        <v>7.8653770488085586</v>
      </c>
      <c r="AY116" s="162">
        <f t="shared" si="966"/>
        <v>7.4220396517949512</v>
      </c>
      <c r="AZ116" s="162">
        <f t="shared" si="966"/>
        <v>7.0442648272359873</v>
      </c>
      <c r="BA116" s="162">
        <f t="shared" si="966"/>
        <v>8.0321145818338859</v>
      </c>
      <c r="BB116" s="162">
        <f t="shared" si="966"/>
        <v>7.2828912134310846</v>
      </c>
      <c r="BC116" s="162">
        <f t="shared" si="966"/>
        <v>7.7581400954129895</v>
      </c>
      <c r="BD116" s="162">
        <f t="shared" si="966"/>
        <v>6.4472583946517767</v>
      </c>
      <c r="BE116" s="162">
        <f t="shared" si="966"/>
        <v>6.1715217002444636</v>
      </c>
      <c r="BF116" s="162">
        <f t="shared" si="966"/>
        <v>5.1310306058193502</v>
      </c>
      <c r="BG116" s="162">
        <f t="shared" si="966"/>
        <v>4.195444892607215</v>
      </c>
      <c r="BH116" s="162">
        <f t="shared" si="966"/>
        <v>4.1231965805745903</v>
      </c>
      <c r="BI116" s="162">
        <f t="shared" si="966"/>
        <v>3.922790742539203</v>
      </c>
      <c r="BJ116" s="162">
        <f t="shared" si="966"/>
        <v>3.9232213197773067</v>
      </c>
      <c r="BK116" s="162">
        <f t="shared" si="966"/>
        <v>3.8180676785014054</v>
      </c>
      <c r="BL116" s="162">
        <f t="shared" si="966"/>
        <v>3.3959804454101037</v>
      </c>
      <c r="BM116" s="162">
        <f t="shared" si="966"/>
        <v>3.4051272407886017</v>
      </c>
      <c r="BN116" s="162">
        <f t="shared" si="966"/>
        <v>3.7585987446804379</v>
      </c>
      <c r="BO116" s="162">
        <f t="shared" si="966"/>
        <v>3.41772461079481</v>
      </c>
      <c r="BP116" s="162">
        <f t="shared" si="966"/>
        <v>3.7738626884643107</v>
      </c>
      <c r="BQ116" s="162">
        <f t="shared" si="966"/>
        <v>3.9442707026348809</v>
      </c>
      <c r="BR116" s="162">
        <f t="shared" ref="BR116:CJ116" si="967">+BR91/BR112</f>
        <v>4.1427341137123745</v>
      </c>
      <c r="BS116" s="162">
        <f t="shared" si="967"/>
        <v>3.632362013134768</v>
      </c>
      <c r="BT116" s="162">
        <f t="shared" si="967"/>
        <v>4.5225545936216118</v>
      </c>
      <c r="BU116" s="162">
        <f t="shared" si="967"/>
        <v>4.9864965084137971</v>
      </c>
      <c r="BV116" s="162">
        <f t="shared" si="967"/>
        <v>5.2862062912995595</v>
      </c>
      <c r="BW116" s="162">
        <f t="shared" si="967"/>
        <v>6.1495908103819419</v>
      </c>
      <c r="BX116" s="162">
        <f t="shared" si="967"/>
        <v>9.4044354979313205</v>
      </c>
      <c r="BY116" s="162">
        <f t="shared" si="967"/>
        <v>7.7837965349432539</v>
      </c>
      <c r="BZ116" s="162">
        <f t="shared" si="967"/>
        <v>7.0076005965513843</v>
      </c>
      <c r="CA116" s="162">
        <f t="shared" si="967"/>
        <v>7.2771514481526305</v>
      </c>
      <c r="CB116" s="162">
        <f t="shared" si="967"/>
        <v>8.1064028637528054</v>
      </c>
      <c r="CC116" s="162">
        <f t="shared" si="967"/>
        <v>7.1904065834495254</v>
      </c>
      <c r="CD116" s="162">
        <f t="shared" si="967"/>
        <v>7.2231550168092786</v>
      </c>
      <c r="CE116" s="162">
        <f t="shared" si="967"/>
        <v>10.037272382889732</v>
      </c>
      <c r="CF116" s="162">
        <f t="shared" si="967"/>
        <v>9.4022718975469406</v>
      </c>
      <c r="CG116" s="162">
        <f t="shared" si="967"/>
        <v>7.7461947213321061</v>
      </c>
      <c r="CH116" s="162">
        <f t="shared" si="967"/>
        <v>6.8451284677383457</v>
      </c>
      <c r="CI116" s="162">
        <f t="shared" si="967"/>
        <v>7.7633623443944408</v>
      </c>
      <c r="CJ116" s="162">
        <f t="shared" si="967"/>
        <v>7.512363111156545</v>
      </c>
      <c r="CK116" s="162">
        <f t="shared" ref="CK116:CL116" si="968">+CK91/CK112</f>
        <v>7.0887165814048343</v>
      </c>
      <c r="CL116" s="162">
        <f t="shared" si="968"/>
        <v>6.9116962527780315</v>
      </c>
      <c r="CM116" s="93">
        <f t="shared" ref="CM116:DA116" si="969">+CL116</f>
        <v>6.9116962527780315</v>
      </c>
      <c r="CN116" s="93">
        <f t="shared" si="969"/>
        <v>6.9116962527780315</v>
      </c>
      <c r="CO116" s="93">
        <f t="shared" si="969"/>
        <v>6.9116962527780315</v>
      </c>
      <c r="CP116" s="93">
        <f t="shared" si="969"/>
        <v>6.9116962527780315</v>
      </c>
      <c r="CQ116" s="93">
        <f t="shared" si="969"/>
        <v>6.9116962527780315</v>
      </c>
      <c r="CR116" s="93">
        <f t="shared" si="969"/>
        <v>6.9116962527780315</v>
      </c>
      <c r="CS116" s="93">
        <f t="shared" si="969"/>
        <v>6.9116962527780315</v>
      </c>
      <c r="CT116" s="93">
        <f t="shared" si="969"/>
        <v>6.9116962527780315</v>
      </c>
      <c r="CU116" s="93">
        <f t="shared" si="969"/>
        <v>6.9116962527780315</v>
      </c>
      <c r="CV116" s="93">
        <f t="shared" si="969"/>
        <v>6.9116962527780315</v>
      </c>
      <c r="CW116" s="93">
        <f t="shared" si="969"/>
        <v>6.9116962527780315</v>
      </c>
      <c r="CX116" s="93">
        <f t="shared" si="969"/>
        <v>6.9116962527780315</v>
      </c>
      <c r="CY116" s="93">
        <f t="shared" si="969"/>
        <v>6.9116962527780315</v>
      </c>
      <c r="CZ116" s="93">
        <f t="shared" si="969"/>
        <v>6.9116962527780315</v>
      </c>
      <c r="DA116" s="93">
        <f t="shared" si="969"/>
        <v>6.9116962527780315</v>
      </c>
      <c r="DD116" s="163"/>
      <c r="DE116" s="162">
        <v>7.0887165814048343</v>
      </c>
    </row>
    <row r="117" spans="1:109" s="162" customFormat="1" hidden="1" outlineLevel="1" x14ac:dyDescent="0.2">
      <c r="A117" s="162" t="s">
        <v>509</v>
      </c>
      <c r="E117" s="162">
        <f t="shared" ca="1" si="959"/>
        <v>0.57973474204788145</v>
      </c>
      <c r="F117" s="162">
        <f t="shared" ca="1" si="959"/>
        <v>0.83538654369893539</v>
      </c>
      <c r="G117" s="162">
        <f t="shared" ca="1" si="959"/>
        <v>1.1188893514890283</v>
      </c>
      <c r="H117" s="162">
        <f t="shared" ca="1" si="959"/>
        <v>2.1609331414655748</v>
      </c>
      <c r="I117" s="162">
        <f t="shared" ca="1" si="959"/>
        <v>2.5688476532044286</v>
      </c>
      <c r="J117" s="162">
        <f t="shared" ca="1" si="959"/>
        <v>0.9074684649588266</v>
      </c>
      <c r="K117" s="162">
        <f t="shared" ca="1" si="959"/>
        <v>0.86213942759718687</v>
      </c>
      <c r="L117" s="162">
        <f t="shared" ca="1" si="959"/>
        <v>1.5033701253749716</v>
      </c>
      <c r="M117" s="162">
        <f t="shared" ca="1" si="959"/>
        <v>1.7964556188147189</v>
      </c>
      <c r="N117" s="162">
        <f t="shared" ca="1" si="959"/>
        <v>2.2110942522379289</v>
      </c>
      <c r="O117" s="162">
        <f t="shared" ca="1" si="959"/>
        <v>2.4519045649662723</v>
      </c>
      <c r="P117" s="162">
        <f t="shared" ca="1" si="959"/>
        <v>2.8110346475507773</v>
      </c>
      <c r="Q117" s="162">
        <f t="shared" ca="1" si="959"/>
        <v>6.17231050260086</v>
      </c>
      <c r="R117" s="162">
        <f t="shared" ca="1" si="959"/>
        <v>6.4501419568896408</v>
      </c>
      <c r="S117" s="162">
        <f t="shared" ca="1" si="959"/>
        <v>3.0222487884997742</v>
      </c>
      <c r="T117" s="162">
        <f t="shared" ca="1" si="959"/>
        <v>3.1516918739627884</v>
      </c>
      <c r="U117" s="162">
        <f t="shared" ca="1" si="959"/>
        <v>2.7534934172355836</v>
      </c>
      <c r="V117" s="162">
        <f t="shared" ca="1" si="959"/>
        <v>2.5295750483805799</v>
      </c>
      <c r="W117" s="162">
        <f t="shared" ca="1" si="959"/>
        <v>2.3948810450839941</v>
      </c>
      <c r="X117" s="162">
        <f t="shared" ca="1" si="959"/>
        <v>3.6415422385699432</v>
      </c>
      <c r="Y117" s="162">
        <f t="shared" ca="1" si="959"/>
        <v>5.5069973975680302</v>
      </c>
      <c r="Z117" s="162">
        <f t="shared" ca="1" si="964"/>
        <v>5.1253667226245634</v>
      </c>
      <c r="AA117" s="162">
        <f t="shared" ref="AA117" ca="1" si="970">+AA92/AA$112</f>
        <v>5.1253667226245634</v>
      </c>
      <c r="AB117" s="93">
        <f t="shared" ca="1" si="959"/>
        <v>4.87864902825714</v>
      </c>
      <c r="AC117" s="93">
        <f t="shared" ca="1" si="959"/>
        <v>5.0645988919427127</v>
      </c>
      <c r="AD117" s="93">
        <f t="shared" ca="1" si="959"/>
        <v>5.3962897738312678</v>
      </c>
      <c r="AE117" s="93">
        <f t="shared" ca="1" si="959"/>
        <v>5.4224283584037893</v>
      </c>
      <c r="AL117" s="162">
        <f t="shared" ref="AL117:BQ117" si="971">+AL92/AL112</f>
        <v>2.9780469202412405</v>
      </c>
      <c r="AM117" s="162">
        <f t="shared" si="971"/>
        <v>3.0075585793254711</v>
      </c>
      <c r="AN117" s="162">
        <f t="shared" si="971"/>
        <v>2.5364205681239813</v>
      </c>
      <c r="AO117" s="162">
        <f t="shared" si="971"/>
        <v>2.7867009882916673</v>
      </c>
      <c r="AP117" s="162">
        <f t="shared" si="971"/>
        <v>3.1200265214109391</v>
      </c>
      <c r="AQ117" s="162">
        <f t="shared" si="971"/>
        <v>3.6724765518171143</v>
      </c>
      <c r="AR117" s="162">
        <f t="shared" si="971"/>
        <v>4.8950829940494831</v>
      </c>
      <c r="AS117" s="162">
        <f t="shared" si="971"/>
        <v>5.2674579542321469</v>
      </c>
      <c r="AT117" s="162">
        <f t="shared" si="971"/>
        <v>6.4881330578058991</v>
      </c>
      <c r="AU117" s="162">
        <f t="shared" si="971"/>
        <v>7.2159634468480043</v>
      </c>
      <c r="AV117" s="162">
        <f t="shared" si="971"/>
        <v>7.3349795490851228</v>
      </c>
      <c r="AW117" s="162">
        <f t="shared" si="971"/>
        <v>6.7525791130982418</v>
      </c>
      <c r="AX117" s="162">
        <f t="shared" si="971"/>
        <v>6.5689544910790714</v>
      </c>
      <c r="AY117" s="162">
        <f t="shared" si="971"/>
        <v>6.4848348117007459</v>
      </c>
      <c r="AZ117" s="162">
        <f t="shared" si="971"/>
        <v>6.5575325850066655</v>
      </c>
      <c r="BA117" s="162">
        <f t="shared" si="971"/>
        <v>6.0747085072693245</v>
      </c>
      <c r="BB117" s="162">
        <f t="shared" si="971"/>
        <v>5.9608097563910984</v>
      </c>
      <c r="BC117" s="162">
        <f t="shared" si="971"/>
        <v>6.8637470557706894</v>
      </c>
      <c r="BD117" s="162">
        <f t="shared" si="971"/>
        <v>5.1789052404737781</v>
      </c>
      <c r="BE117" s="162">
        <f t="shared" si="971"/>
        <v>4.9289334384502768</v>
      </c>
      <c r="BF117" s="162">
        <f t="shared" si="971"/>
        <v>4.4658753297622384</v>
      </c>
      <c r="BG117" s="162">
        <f t="shared" si="971"/>
        <v>3.8612944144349588</v>
      </c>
      <c r="BH117" s="162">
        <f t="shared" si="971"/>
        <v>3.6805889389456552</v>
      </c>
      <c r="BI117" s="162">
        <f t="shared" si="971"/>
        <v>3.1516918739627884</v>
      </c>
      <c r="BJ117" s="162">
        <f t="shared" si="971"/>
        <v>3.4558334569804732</v>
      </c>
      <c r="BK117" s="162">
        <f t="shared" si="971"/>
        <v>3.1288669250895165</v>
      </c>
      <c r="BL117" s="162">
        <f t="shared" si="971"/>
        <v>2.6620328348612672</v>
      </c>
      <c r="BM117" s="162">
        <f t="shared" si="971"/>
        <v>2.8438188977280805</v>
      </c>
      <c r="BN117" s="162">
        <f t="shared" si="971"/>
        <v>2.4343570859485828</v>
      </c>
      <c r="BO117" s="162">
        <f t="shared" si="971"/>
        <v>2.766993480776724</v>
      </c>
      <c r="BP117" s="162">
        <f t="shared" si="971"/>
        <v>3.0483586510580105</v>
      </c>
      <c r="BQ117" s="162">
        <f t="shared" si="971"/>
        <v>2.8668683410246052</v>
      </c>
      <c r="BR117" s="162">
        <f t="shared" ref="BR117:CJ117" si="972">+BR92/BR112</f>
        <v>3.2087650477576553</v>
      </c>
      <c r="BS117" s="162">
        <f t="shared" si="972"/>
        <v>3.0505202128584807</v>
      </c>
      <c r="BT117" s="162">
        <f t="shared" si="972"/>
        <v>3.1342048479964451</v>
      </c>
      <c r="BU117" s="162">
        <f t="shared" si="972"/>
        <v>3.9802248354917089</v>
      </c>
      <c r="BV117" s="162">
        <f t="shared" si="972"/>
        <v>4.3034140969162991</v>
      </c>
      <c r="BW117" s="162">
        <f t="shared" si="972"/>
        <v>4.7276801208760988</v>
      </c>
      <c r="BX117" s="162">
        <f t="shared" si="972"/>
        <v>5.3103218773830774</v>
      </c>
      <c r="BY117" s="162">
        <f t="shared" si="972"/>
        <v>5.9231960474239234</v>
      </c>
      <c r="BZ117" s="162">
        <f t="shared" si="972"/>
        <v>5.7096691513441717</v>
      </c>
      <c r="CA117" s="162">
        <f t="shared" si="972"/>
        <v>5.9346291406082132</v>
      </c>
      <c r="CB117" s="162">
        <f t="shared" si="972"/>
        <v>6.3827678388399969</v>
      </c>
      <c r="CC117" s="162">
        <f t="shared" si="972"/>
        <v>5.6391351568285915</v>
      </c>
      <c r="CD117" s="162">
        <f t="shared" si="972"/>
        <v>5.6785439450259885</v>
      </c>
      <c r="CE117" s="162">
        <f t="shared" si="972"/>
        <v>5.7587582964458264</v>
      </c>
      <c r="CF117" s="162">
        <f t="shared" si="972"/>
        <v>7.3631422918702718</v>
      </c>
      <c r="CG117" s="162">
        <f t="shared" si="972"/>
        <v>6.1869691389367354</v>
      </c>
      <c r="CH117" s="162">
        <f t="shared" si="972"/>
        <v>5.1953413306834353</v>
      </c>
      <c r="CI117" s="162">
        <f t="shared" si="972"/>
        <v>5.0756406182192197</v>
      </c>
      <c r="CJ117" s="162">
        <f t="shared" si="972"/>
        <v>6.4611957844336665</v>
      </c>
      <c r="CK117" s="162">
        <f t="shared" ref="CK117:CL117" si="973">+CK92/CK112</f>
        <v>5.9755903198996485</v>
      </c>
      <c r="CL117" s="162">
        <f t="shared" si="973"/>
        <v>5.4473144711144217</v>
      </c>
      <c r="CM117" s="93">
        <f t="shared" ref="CM117:DA117" si="974">+CL117</f>
        <v>5.4473144711144217</v>
      </c>
      <c r="CN117" s="93">
        <f t="shared" si="974"/>
        <v>5.4473144711144217</v>
      </c>
      <c r="CO117" s="93">
        <f t="shared" si="974"/>
        <v>5.4473144711144217</v>
      </c>
      <c r="CP117" s="93">
        <f t="shared" si="974"/>
        <v>5.4473144711144217</v>
      </c>
      <c r="CQ117" s="93">
        <f t="shared" si="974"/>
        <v>5.4473144711144217</v>
      </c>
      <c r="CR117" s="93">
        <f t="shared" si="974"/>
        <v>5.4473144711144217</v>
      </c>
      <c r="CS117" s="93">
        <f t="shared" si="974"/>
        <v>5.4473144711144217</v>
      </c>
      <c r="CT117" s="93">
        <f t="shared" si="974"/>
        <v>5.4473144711144217</v>
      </c>
      <c r="CU117" s="93">
        <f t="shared" si="974"/>
        <v>5.4473144711144217</v>
      </c>
      <c r="CV117" s="93">
        <f t="shared" si="974"/>
        <v>5.4473144711144217</v>
      </c>
      <c r="CW117" s="93">
        <f t="shared" si="974"/>
        <v>5.4473144711144217</v>
      </c>
      <c r="CX117" s="93">
        <f t="shared" si="974"/>
        <v>5.4473144711144217</v>
      </c>
      <c r="CY117" s="93">
        <f t="shared" si="974"/>
        <v>5.4473144711144217</v>
      </c>
      <c r="CZ117" s="93">
        <f t="shared" si="974"/>
        <v>5.4473144711144217</v>
      </c>
      <c r="DA117" s="93">
        <f t="shared" si="974"/>
        <v>5.4473144711144217</v>
      </c>
      <c r="DD117" s="163"/>
      <c r="DE117" s="162">
        <v>4.5773242926537172</v>
      </c>
    </row>
    <row r="118" spans="1:109" s="4" customFormat="1" hidden="1" outlineLevel="1" x14ac:dyDescent="0.2">
      <c r="A118" s="3"/>
      <c r="AB118" s="16"/>
      <c r="AC118" s="16"/>
      <c r="AD118" s="16"/>
      <c r="AE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D118" s="118"/>
    </row>
    <row r="119" spans="1:109" s="4" customFormat="1" hidden="1" outlineLevel="1" x14ac:dyDescent="0.2">
      <c r="A119" s="3"/>
      <c r="AB119" s="16"/>
      <c r="AC119" s="16"/>
      <c r="AD119" s="16"/>
      <c r="AE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D119" s="118"/>
    </row>
    <row r="120" spans="1:109" s="161" customFormat="1" hidden="1" outlineLevel="1" x14ac:dyDescent="0.2">
      <c r="A120" s="48" t="s">
        <v>340</v>
      </c>
      <c r="B120" s="161" t="e">
        <f t="shared" ref="B120:AE120" si="975">+B91*B78</f>
        <v>#DIV/0!</v>
      </c>
      <c r="C120" s="161" t="e">
        <f t="shared" si="975"/>
        <v>#DIV/0!</v>
      </c>
      <c r="D120" s="161">
        <f t="shared" si="975"/>
        <v>22.902360000000002</v>
      </c>
      <c r="E120" s="161">
        <f t="shared" ca="1" si="975"/>
        <v>453.27000000000004</v>
      </c>
      <c r="F120" s="161">
        <f t="shared" ca="1" si="975"/>
        <v>534.54600000000005</v>
      </c>
      <c r="G120" s="161">
        <f t="shared" ca="1" si="975"/>
        <v>1496.8851</v>
      </c>
      <c r="H120" s="161">
        <f t="shared" ca="1" si="975"/>
        <v>2422.65</v>
      </c>
      <c r="I120" s="161">
        <f t="shared" ca="1" si="975"/>
        <v>2266.35</v>
      </c>
      <c r="J120" s="161">
        <f t="shared" ca="1" si="975"/>
        <v>2188.2000000000003</v>
      </c>
      <c r="K120" s="161">
        <f t="shared" ca="1" si="975"/>
        <v>2125.3674000000001</v>
      </c>
      <c r="L120" s="161">
        <f t="shared" ca="1" si="975"/>
        <v>3063.48</v>
      </c>
      <c r="M120" s="161">
        <f t="shared" ca="1" si="975"/>
        <v>4485.1848</v>
      </c>
      <c r="N120" s="161">
        <f t="shared" ca="1" si="975"/>
        <v>5710.7331000000004</v>
      </c>
      <c r="O120" s="161">
        <f t="shared" ca="1" si="975"/>
        <v>5314.2</v>
      </c>
      <c r="P120" s="161">
        <f t="shared" ca="1" si="975"/>
        <v>11956.95</v>
      </c>
      <c r="Q120" s="161">
        <f t="shared" ca="1" si="975"/>
        <v>15286.140000000001</v>
      </c>
      <c r="R120" s="161">
        <f t="shared" ca="1" si="975"/>
        <v>15623.748000000001</v>
      </c>
      <c r="S120" s="161">
        <f t="shared" ca="1" si="975"/>
        <v>18630.96</v>
      </c>
      <c r="T120" s="161">
        <f t="shared" ca="1" si="975"/>
        <v>18496.698300000004</v>
      </c>
      <c r="U120" s="161">
        <f t="shared" ca="1" si="975"/>
        <v>18244.273799999999</v>
      </c>
      <c r="V120" s="161">
        <f t="shared" ca="1" si="975"/>
        <v>15473.7</v>
      </c>
      <c r="W120" s="161">
        <f t="shared" ca="1" si="975"/>
        <v>27727.4637</v>
      </c>
      <c r="X120" s="161">
        <f t="shared" ca="1" si="975"/>
        <v>62031.5625</v>
      </c>
      <c r="Y120" s="161">
        <f t="shared" ca="1" si="975"/>
        <v>58131.095999999998</v>
      </c>
      <c r="Z120" s="161">
        <f t="shared" ca="1" si="975"/>
        <v>77368.5</v>
      </c>
      <c r="AA120" s="161">
        <f t="shared" ref="AA120" ca="1" si="976">+AA91*AA78</f>
        <v>77368.5</v>
      </c>
      <c r="AB120" s="20">
        <f t="shared" ca="1" si="975"/>
        <v>80682.675924235999</v>
      </c>
      <c r="AC120" s="20">
        <f t="shared" ca="1" si="975"/>
        <v>98616.472929734751</v>
      </c>
      <c r="AD120" s="20">
        <f t="shared" ca="1" si="975"/>
        <v>110775.57803251877</v>
      </c>
      <c r="AE120" s="20">
        <f t="shared" ca="1" si="975"/>
        <v>131219.21344570068</v>
      </c>
      <c r="AL120" s="161">
        <f t="shared" ref="AL120:BQ120" si="977">+AL91*AL78</f>
        <v>5314.2</v>
      </c>
      <c r="AM120" s="161">
        <f t="shared" si="977"/>
        <v>4814.04</v>
      </c>
      <c r="AN120" s="161">
        <f t="shared" si="977"/>
        <v>4592.0940000000001</v>
      </c>
      <c r="AO120" s="161">
        <f t="shared" si="977"/>
        <v>5154.6177000000007</v>
      </c>
      <c r="AP120" s="161">
        <f t="shared" si="977"/>
        <v>5986.29</v>
      </c>
      <c r="AQ120" s="161">
        <f t="shared" si="977"/>
        <v>8158.8600000000006</v>
      </c>
      <c r="AR120" s="161">
        <f t="shared" si="977"/>
        <v>9500.5392000000011</v>
      </c>
      <c r="AS120" s="161">
        <f t="shared" si="977"/>
        <v>11956.95</v>
      </c>
      <c r="AT120" s="161">
        <f t="shared" si="977"/>
        <v>13851.462300000001</v>
      </c>
      <c r="AU120" s="161">
        <f t="shared" si="977"/>
        <v>14317.08</v>
      </c>
      <c r="AV120" s="161">
        <f t="shared" si="977"/>
        <v>15286.140000000001</v>
      </c>
      <c r="AW120" s="161">
        <f t="shared" si="977"/>
        <v>13754.243700000001</v>
      </c>
      <c r="AX120" s="161">
        <f t="shared" si="977"/>
        <v>13873.188000000002</v>
      </c>
      <c r="AY120" s="161">
        <f t="shared" si="977"/>
        <v>13488.221100000001</v>
      </c>
      <c r="AZ120" s="161">
        <f t="shared" si="977"/>
        <v>13316.76</v>
      </c>
      <c r="BA120" s="161">
        <f t="shared" si="977"/>
        <v>15623.748000000001</v>
      </c>
      <c r="BB120" s="161">
        <f t="shared" si="977"/>
        <v>14523.396000000001</v>
      </c>
      <c r="BC120" s="161">
        <f t="shared" si="977"/>
        <v>15546.6921</v>
      </c>
      <c r="BD120" s="161">
        <f t="shared" si="977"/>
        <v>16095.773999999999</v>
      </c>
      <c r="BE120" s="161">
        <f t="shared" si="977"/>
        <v>18630.96</v>
      </c>
      <c r="BF120" s="161">
        <f t="shared" si="977"/>
        <v>18496.698300000004</v>
      </c>
      <c r="BG120" s="161">
        <f t="shared" si="977"/>
        <v>17661.900000000001</v>
      </c>
      <c r="BH120" s="161">
        <f t="shared" si="977"/>
        <v>18130.643700000001</v>
      </c>
      <c r="BI120" s="161">
        <f t="shared" si="977"/>
        <v>17893.849200000001</v>
      </c>
      <c r="BJ120" s="161">
        <f t="shared" si="977"/>
        <v>18244.273799999999</v>
      </c>
      <c r="BK120" s="161">
        <f t="shared" si="977"/>
        <v>17818.043700000002</v>
      </c>
      <c r="BL120" s="161">
        <f t="shared" si="977"/>
        <v>15317.400000000001</v>
      </c>
      <c r="BM120" s="161">
        <f t="shared" si="977"/>
        <v>14848.5</v>
      </c>
      <c r="BN120" s="161">
        <f t="shared" si="977"/>
        <v>15473.7</v>
      </c>
      <c r="BO120" s="161">
        <f t="shared" si="977"/>
        <v>11753.76</v>
      </c>
      <c r="BP120" s="161">
        <f t="shared" si="977"/>
        <v>13301.130000000001</v>
      </c>
      <c r="BQ120" s="161">
        <f t="shared" si="977"/>
        <v>14837.7153</v>
      </c>
      <c r="BR120" s="161">
        <f t="shared" ref="BR120:CJ120" si="978">+BR91*BR78</f>
        <v>17192.843700000001</v>
      </c>
      <c r="BS120" s="161">
        <f t="shared" si="978"/>
        <v>17958.870000000003</v>
      </c>
      <c r="BT120" s="161">
        <f t="shared" si="978"/>
        <v>24019.558800000003</v>
      </c>
      <c r="BU120" s="161">
        <f t="shared" si="978"/>
        <v>27727.4637</v>
      </c>
      <c r="BV120" s="161">
        <f t="shared" si="978"/>
        <v>30719.202000000005</v>
      </c>
      <c r="BW120" s="161">
        <f t="shared" si="978"/>
        <v>38909.322</v>
      </c>
      <c r="BX120" s="161">
        <f t="shared" si="978"/>
        <v>62031.5625</v>
      </c>
      <c r="BY120" s="161">
        <f t="shared" si="978"/>
        <v>53454.600000000006</v>
      </c>
      <c r="BZ120" s="161">
        <f t="shared" si="978"/>
        <v>49007.865000000005</v>
      </c>
      <c r="CA120" s="161">
        <f t="shared" si="978"/>
        <v>51477.405000000006</v>
      </c>
      <c r="CB120" s="161">
        <f t="shared" si="978"/>
        <v>58131.095999999998</v>
      </c>
      <c r="CC120" s="161">
        <f t="shared" si="978"/>
        <v>52136.991000000002</v>
      </c>
      <c r="CD120" s="161">
        <f t="shared" si="978"/>
        <v>53671.075499999999</v>
      </c>
      <c r="CE120" s="161">
        <f t="shared" si="978"/>
        <v>77368.5</v>
      </c>
      <c r="CF120" s="161">
        <f t="shared" si="978"/>
        <v>74944.286999999997</v>
      </c>
      <c r="CG120" s="161">
        <f t="shared" si="978"/>
        <v>63769.618499999997</v>
      </c>
      <c r="CH120" s="161">
        <f t="shared" si="978"/>
        <v>58413.999000000003</v>
      </c>
      <c r="CI120" s="161">
        <f t="shared" si="978"/>
        <v>68157.740999999995</v>
      </c>
      <c r="CJ120" s="161">
        <f t="shared" si="978"/>
        <v>68345.301000000007</v>
      </c>
      <c r="CK120" s="161">
        <f t="shared" ref="CK120:CL120" si="979">+CK91*CK78</f>
        <v>68660.245500000005</v>
      </c>
      <c r="CL120" s="161">
        <f t="shared" si="979"/>
        <v>69787.95</v>
      </c>
      <c r="CM120" s="20">
        <f t="shared" ref="CM120:DA120" si="980">+CM91*CM78</f>
        <v>72228.729048485562</v>
      </c>
      <c r="CN120" s="20">
        <f t="shared" si="980"/>
        <v>75914.617811791875</v>
      </c>
      <c r="CO120" s="20">
        <f t="shared" si="980"/>
        <v>80682.675924235999</v>
      </c>
      <c r="CP120" s="20">
        <f t="shared" si="980"/>
        <v>84627.625298657964</v>
      </c>
      <c r="CQ120" s="20">
        <f t="shared" si="980"/>
        <v>88949.138789998527</v>
      </c>
      <c r="CR120" s="20">
        <f t="shared" si="980"/>
        <v>93557.433972872517</v>
      </c>
      <c r="CS120" s="20">
        <f t="shared" si="980"/>
        <v>98616.472929734751</v>
      </c>
      <c r="CT120" s="20">
        <f t="shared" si="980"/>
        <v>101573.31609987904</v>
      </c>
      <c r="CU120" s="20">
        <f t="shared" si="980"/>
        <v>104519.54032344927</v>
      </c>
      <c r="CV120" s="20">
        <f t="shared" si="980"/>
        <v>107610.59907389389</v>
      </c>
      <c r="CW120" s="20">
        <f t="shared" si="980"/>
        <v>110775.57803251877</v>
      </c>
      <c r="CX120" s="20">
        <f t="shared" si="980"/>
        <v>115351.81595818898</v>
      </c>
      <c r="CY120" s="20">
        <f t="shared" si="980"/>
        <v>120041.6440886793</v>
      </c>
      <c r="CZ120" s="20">
        <f t="shared" si="980"/>
        <v>125275.0734664381</v>
      </c>
      <c r="DA120" s="20">
        <f t="shared" si="980"/>
        <v>131219.21344570068</v>
      </c>
      <c r="DD120" s="21"/>
      <c r="DE120" s="161">
        <v>68660.245500000005</v>
      </c>
    </row>
    <row r="121" spans="1:109" s="161" customFormat="1" hidden="1" outlineLevel="1" x14ac:dyDescent="0.2">
      <c r="A121" s="48" t="s">
        <v>341</v>
      </c>
      <c r="B121" s="161" t="e">
        <f t="shared" ref="B121:AE121" si="981">+B92*B78</f>
        <v>#DIV/0!</v>
      </c>
      <c r="C121" s="161" t="e">
        <f t="shared" si="981"/>
        <v>#DIV/0!</v>
      </c>
      <c r="D121" s="161">
        <f t="shared" si="981"/>
        <v>12.6312</v>
      </c>
      <c r="E121" s="161">
        <f t="shared" ca="1" si="981"/>
        <v>154.73700000000002</v>
      </c>
      <c r="F121" s="161">
        <f t="shared" ca="1" si="981"/>
        <v>269.93009999999998</v>
      </c>
      <c r="G121" s="161">
        <f t="shared" ca="1" si="981"/>
        <v>456.86490000000003</v>
      </c>
      <c r="H121" s="161">
        <f t="shared" ca="1" si="981"/>
        <v>1171.3122000000001</v>
      </c>
      <c r="I121" s="161">
        <f t="shared" ca="1" si="981"/>
        <v>1647.4020000000003</v>
      </c>
      <c r="J121" s="161">
        <f t="shared" ca="1" si="981"/>
        <v>675.52859999999998</v>
      </c>
      <c r="K121" s="161">
        <f t="shared" ca="1" si="981"/>
        <v>687.72</v>
      </c>
      <c r="L121" s="161">
        <f t="shared" ca="1" si="981"/>
        <v>1563.6252000000002</v>
      </c>
      <c r="M121" s="161">
        <f t="shared" ca="1" si="981"/>
        <v>2350.7520000000004</v>
      </c>
      <c r="N121" s="161">
        <f t="shared" ca="1" si="981"/>
        <v>3198.6795000000002</v>
      </c>
      <c r="O121" s="161">
        <f t="shared" ca="1" si="981"/>
        <v>3438.6000000000004</v>
      </c>
      <c r="P121" s="161">
        <f t="shared" ca="1" si="981"/>
        <v>4588.0302000000001</v>
      </c>
      <c r="Q121" s="161">
        <f t="shared" ca="1" si="981"/>
        <v>10643.717400000001</v>
      </c>
      <c r="R121" s="161">
        <f t="shared" ca="1" si="981"/>
        <v>11586.519</v>
      </c>
      <c r="S121" s="161">
        <f t="shared" ca="1" si="981"/>
        <v>11886.927600000001</v>
      </c>
      <c r="T121" s="161">
        <f t="shared" ca="1" si="981"/>
        <v>14376.474</v>
      </c>
      <c r="U121" s="161">
        <f t="shared" ca="1" si="981"/>
        <v>12006.966000000002</v>
      </c>
      <c r="V121" s="161">
        <f t="shared" ca="1" si="981"/>
        <v>9515.856600000001</v>
      </c>
      <c r="W121" s="161">
        <f t="shared" ca="1" si="981"/>
        <v>13316.76</v>
      </c>
      <c r="X121" s="161">
        <f t="shared" ca="1" si="981"/>
        <v>25008</v>
      </c>
      <c r="Y121" s="161">
        <f t="shared" ca="1" si="981"/>
        <v>39930.7425</v>
      </c>
      <c r="Z121" s="161">
        <f t="shared" ca="1" si="981"/>
        <v>42193.966500000002</v>
      </c>
      <c r="AA121" s="161">
        <f t="shared" ref="AA121" ca="1" si="982">+AA92*AA78</f>
        <v>42193.966500000002</v>
      </c>
      <c r="AB121" s="20">
        <f t="shared" ca="1" si="981"/>
        <v>55001.97</v>
      </c>
      <c r="AC121" s="20">
        <f t="shared" ca="1" si="981"/>
        <v>66697.561797531322</v>
      </c>
      <c r="AD121" s="20">
        <f t="shared" ca="1" si="981"/>
        <v>80052.967380845308</v>
      </c>
      <c r="AE121" s="20">
        <f t="shared" ca="1" si="981"/>
        <v>90912.215085524513</v>
      </c>
      <c r="AL121" s="161">
        <f t="shared" ref="AL121:BQ121" si="983">+AL92*AL78</f>
        <v>4216.9740000000002</v>
      </c>
      <c r="AM121" s="161">
        <f t="shared" si="983"/>
        <v>4031.6022000000003</v>
      </c>
      <c r="AN121" s="161">
        <f t="shared" si="983"/>
        <v>3438.6000000000004</v>
      </c>
      <c r="AO121" s="161">
        <f t="shared" si="983"/>
        <v>3908.1251999999999</v>
      </c>
      <c r="AP121" s="161">
        <f t="shared" si="983"/>
        <v>4588.0302000000001</v>
      </c>
      <c r="AQ121" s="161">
        <f t="shared" si="983"/>
        <v>5720.58</v>
      </c>
      <c r="AR121" s="161">
        <f t="shared" si="983"/>
        <v>7815</v>
      </c>
      <c r="AS121" s="161">
        <f t="shared" si="983"/>
        <v>8597.2814999999991</v>
      </c>
      <c r="AT121" s="161">
        <f t="shared" si="983"/>
        <v>10643.717400000001</v>
      </c>
      <c r="AU121" s="161">
        <f t="shared" si="983"/>
        <v>12128.880000000001</v>
      </c>
      <c r="AV121" s="161">
        <f t="shared" si="983"/>
        <v>12535.26</v>
      </c>
      <c r="AW121" s="161">
        <f t="shared" si="983"/>
        <v>11644.35</v>
      </c>
      <c r="AX121" s="161">
        <f t="shared" si="983"/>
        <v>11586.519</v>
      </c>
      <c r="AY121" s="161">
        <f t="shared" si="983"/>
        <v>11785.02</v>
      </c>
      <c r="AZ121" s="161">
        <f t="shared" si="983"/>
        <v>12396.6219</v>
      </c>
      <c r="BA121" s="161">
        <f t="shared" si="983"/>
        <v>11816.28</v>
      </c>
      <c r="BB121" s="161">
        <f t="shared" si="983"/>
        <v>11886.927600000001</v>
      </c>
      <c r="BC121" s="161">
        <f t="shared" si="983"/>
        <v>13754.400000000001</v>
      </c>
      <c r="BD121" s="161">
        <f t="shared" si="983"/>
        <v>12929.292300000001</v>
      </c>
      <c r="BE121" s="161">
        <f t="shared" si="983"/>
        <v>14879.76</v>
      </c>
      <c r="BF121" s="161">
        <f t="shared" si="983"/>
        <v>16098.900000000001</v>
      </c>
      <c r="BG121" s="161">
        <f t="shared" si="983"/>
        <v>16255.2</v>
      </c>
      <c r="BH121" s="161">
        <f t="shared" si="983"/>
        <v>16184.396100000002</v>
      </c>
      <c r="BI121" s="161">
        <f t="shared" si="983"/>
        <v>14376.474</v>
      </c>
      <c r="BJ121" s="161">
        <f t="shared" si="983"/>
        <v>16070.766000000001</v>
      </c>
      <c r="BK121" s="161">
        <f t="shared" si="983"/>
        <v>14601.702300000001</v>
      </c>
      <c r="BL121" s="161">
        <f t="shared" si="983"/>
        <v>12006.966000000002</v>
      </c>
      <c r="BM121" s="161">
        <f t="shared" si="983"/>
        <v>12400.842000000001</v>
      </c>
      <c r="BN121" s="161">
        <f t="shared" si="983"/>
        <v>10021.956000000002</v>
      </c>
      <c r="BO121" s="161">
        <f t="shared" si="983"/>
        <v>9515.856600000001</v>
      </c>
      <c r="BP121" s="161">
        <f t="shared" si="983"/>
        <v>10744.062</v>
      </c>
      <c r="BQ121" s="161">
        <f t="shared" si="983"/>
        <v>10784.7</v>
      </c>
      <c r="BR121" s="161">
        <f t="shared" ref="BR121:CJ121" si="984">+BR92*BR78</f>
        <v>13316.76</v>
      </c>
      <c r="BS121" s="161">
        <f t="shared" si="984"/>
        <v>15082.168500000002</v>
      </c>
      <c r="BT121" s="161">
        <f t="shared" si="984"/>
        <v>16645.95</v>
      </c>
      <c r="BU121" s="161">
        <f t="shared" si="984"/>
        <v>22132.080000000002</v>
      </c>
      <c r="BV121" s="161">
        <f t="shared" si="984"/>
        <v>25008</v>
      </c>
      <c r="BW121" s="161">
        <f t="shared" si="984"/>
        <v>29912.694</v>
      </c>
      <c r="BX121" s="161">
        <f t="shared" si="984"/>
        <v>35026.83</v>
      </c>
      <c r="BY121" s="161">
        <f t="shared" si="984"/>
        <v>40677.075000000004</v>
      </c>
      <c r="BZ121" s="161">
        <f t="shared" si="984"/>
        <v>39930.7425</v>
      </c>
      <c r="CA121" s="161">
        <f t="shared" si="984"/>
        <v>41980.617000000006</v>
      </c>
      <c r="CB121" s="161">
        <f t="shared" si="984"/>
        <v>45770.892000000007</v>
      </c>
      <c r="CC121" s="161">
        <f t="shared" si="984"/>
        <v>40888.861500000006</v>
      </c>
      <c r="CD121" s="161">
        <f t="shared" si="984"/>
        <v>42193.966500000002</v>
      </c>
      <c r="CE121" s="161">
        <f t="shared" si="984"/>
        <v>44389.200000000004</v>
      </c>
      <c r="CF121" s="161">
        <f t="shared" si="984"/>
        <v>58690.65</v>
      </c>
      <c r="CG121" s="161">
        <f t="shared" si="984"/>
        <v>50933.481</v>
      </c>
      <c r="CH121" s="161">
        <f t="shared" si="984"/>
        <v>44335.276500000007</v>
      </c>
      <c r="CI121" s="161">
        <f t="shared" si="984"/>
        <v>44561.130000000005</v>
      </c>
      <c r="CJ121" s="161">
        <f t="shared" si="984"/>
        <v>58782.085500000001</v>
      </c>
      <c r="CK121" s="161">
        <f t="shared" ref="CK121:CL121" si="985">+CK92*CK78</f>
        <v>57878.671500000004</v>
      </c>
      <c r="CL121" s="161">
        <f t="shared" si="985"/>
        <v>55001.97</v>
      </c>
      <c r="CM121" s="20">
        <f t="shared" ref="CM121:DA121" si="986">+CM92*CM78</f>
        <v>56925.620945491741</v>
      </c>
      <c r="CN121" s="20">
        <f t="shared" si="986"/>
        <v>59830.580085038207</v>
      </c>
      <c r="CO121" s="20">
        <f t="shared" si="986"/>
        <v>63588.429244655432</v>
      </c>
      <c r="CP121" s="20">
        <f t="shared" si="986"/>
        <v>66697.561797531322</v>
      </c>
      <c r="CQ121" s="20">
        <f t="shared" si="986"/>
        <v>70103.475789922697</v>
      </c>
      <c r="CR121" s="20">
        <f t="shared" si="986"/>
        <v>73735.411007959323</v>
      </c>
      <c r="CS121" s="20">
        <f t="shared" si="986"/>
        <v>77722.590871161607</v>
      </c>
      <c r="CT121" s="20">
        <f t="shared" si="986"/>
        <v>80052.967380845308</v>
      </c>
      <c r="CU121" s="20">
        <f t="shared" si="986"/>
        <v>82374.974781235826</v>
      </c>
      <c r="CV121" s="20">
        <f t="shared" si="986"/>
        <v>84811.130602694859</v>
      </c>
      <c r="CW121" s="20">
        <f t="shared" si="986"/>
        <v>87305.545150377046</v>
      </c>
      <c r="CX121" s="20">
        <f t="shared" si="986"/>
        <v>90912.215085524513</v>
      </c>
      <c r="CY121" s="20">
        <f t="shared" si="986"/>
        <v>94608.408857348812</v>
      </c>
      <c r="CZ121" s="20">
        <f t="shared" si="986"/>
        <v>98733.031025396558</v>
      </c>
      <c r="DA121" s="20">
        <f t="shared" si="986"/>
        <v>103417.78546817931</v>
      </c>
      <c r="DD121" s="21"/>
      <c r="DE121" s="161">
        <v>44335.276500000007</v>
      </c>
    </row>
    <row r="122" spans="1:109" s="161" customFormat="1" hidden="1" outlineLevel="1" x14ac:dyDescent="0.2">
      <c r="A122" s="48" t="s">
        <v>80</v>
      </c>
      <c r="B122" s="161">
        <f>+B181</f>
        <v>0</v>
      </c>
      <c r="C122" s="161">
        <f t="shared" ref="C122:W122" si="987">+C181</f>
        <v>0</v>
      </c>
      <c r="D122" s="161">
        <f t="shared" si="987"/>
        <v>51.53</v>
      </c>
      <c r="E122" s="161">
        <f t="shared" si="987"/>
        <v>19.5</v>
      </c>
      <c r="F122" s="161">
        <f t="shared" si="987"/>
        <v>-3.45</v>
      </c>
      <c r="G122" s="161">
        <f t="shared" si="987"/>
        <v>2.2999999999999989</v>
      </c>
      <c r="H122" s="161">
        <f t="shared" si="987"/>
        <v>-13.2</v>
      </c>
      <c r="I122" s="161">
        <f t="shared" si="987"/>
        <v>-64.849999999999994</v>
      </c>
      <c r="J122" s="161">
        <f t="shared" si="987"/>
        <v>-63.55</v>
      </c>
      <c r="K122" s="161">
        <f t="shared" si="987"/>
        <v>-173.07</v>
      </c>
      <c r="L122" s="161">
        <f t="shared" si="987"/>
        <v>-288.01</v>
      </c>
      <c r="M122" s="161">
        <f t="shared" si="987"/>
        <v>-233.42</v>
      </c>
      <c r="N122" s="161">
        <f t="shared" si="987"/>
        <v>-194.82</v>
      </c>
      <c r="O122" s="161">
        <f t="shared" si="987"/>
        <v>-237.66</v>
      </c>
      <c r="P122" s="161">
        <f t="shared" si="987"/>
        <v>-329.45</v>
      </c>
      <c r="Q122" s="161">
        <f t="shared" si="987"/>
        <v>-470.41</v>
      </c>
      <c r="R122" s="161">
        <f t="shared" si="987"/>
        <v>-640.54999999999995</v>
      </c>
      <c r="S122" s="161">
        <f t="shared" si="987"/>
        <v>-824.39</v>
      </c>
      <c r="T122" s="161">
        <f t="shared" si="987"/>
        <v>-789.86</v>
      </c>
      <c r="U122" s="161">
        <f t="shared" si="987"/>
        <v>-835.36</v>
      </c>
      <c r="V122" s="161">
        <f t="shared" si="987"/>
        <v>-1245.9000000000001</v>
      </c>
      <c r="W122" s="161">
        <f t="shared" si="987"/>
        <v>-1415.67</v>
      </c>
      <c r="X122" s="161">
        <f t="shared" ref="X122:Y122" si="988">+X181</f>
        <v>-1554.53</v>
      </c>
      <c r="Y122" s="161">
        <f t="shared" si="988"/>
        <v>-1585.66</v>
      </c>
      <c r="Z122" s="161">
        <f t="shared" ref="Z122:AA122" si="989">+Z181</f>
        <v>-1350.03</v>
      </c>
      <c r="AA122" s="161">
        <f t="shared" ref="AA122" si="990">+AA181</f>
        <v>-1845.64</v>
      </c>
      <c r="AB122" s="20">
        <f t="shared" ref="AB122:AD122" si="991">+AB181</f>
        <v>-2788.5316241168703</v>
      </c>
      <c r="AC122" s="20">
        <f t="shared" si="991"/>
        <v>-4133.2926874328314</v>
      </c>
      <c r="AD122" s="20">
        <f t="shared" si="991"/>
        <v>-5742.5169234798041</v>
      </c>
      <c r="AE122" s="20">
        <f t="shared" ref="AE122" si="992">+AE181</f>
        <v>-7648.5925618270394</v>
      </c>
      <c r="AL122" s="161">
        <f t="shared" ref="AL122:AM122" si="993">+AL181</f>
        <v>-229.39559950449416</v>
      </c>
      <c r="AM122" s="161">
        <f t="shared" si="993"/>
        <v>-227.76</v>
      </c>
      <c r="AN122" s="161">
        <f t="shared" ref="AN122:AO122" si="994">+AN181</f>
        <v>-172.33203880626402</v>
      </c>
      <c r="AO122" s="161">
        <f t="shared" si="994"/>
        <v>-237.66</v>
      </c>
      <c r="AP122" s="161">
        <f t="shared" ref="AP122:CD122" si="995">+AP181</f>
        <v>-268.5013215691252</v>
      </c>
      <c r="AQ122" s="161">
        <f t="shared" si="995"/>
        <v>-268.75</v>
      </c>
      <c r="AR122" s="161">
        <f t="shared" si="995"/>
        <v>-293.57642775097639</v>
      </c>
      <c r="AS122" s="161">
        <f t="shared" si="995"/>
        <v>-329.45</v>
      </c>
      <c r="AT122" s="161">
        <f t="shared" si="995"/>
        <v>-383.4680321303839</v>
      </c>
      <c r="AU122" s="161">
        <f t="shared" si="995"/>
        <v>-408.19</v>
      </c>
      <c r="AV122" s="161">
        <f t="shared" si="995"/>
        <v>-454.66977945940948</v>
      </c>
      <c r="AW122" s="161">
        <f t="shared" si="995"/>
        <v>-470.41</v>
      </c>
      <c r="AX122" s="161">
        <f t="shared" si="995"/>
        <v>-534.66759259259243</v>
      </c>
      <c r="AY122" s="161">
        <f t="shared" si="995"/>
        <v>-529.16</v>
      </c>
      <c r="AZ122" s="161">
        <f t="shared" si="995"/>
        <v>-590.6421511089145</v>
      </c>
      <c r="BA122" s="161">
        <f t="shared" si="995"/>
        <v>-640.54999999999995</v>
      </c>
      <c r="BB122" s="161">
        <f t="shared" si="995"/>
        <v>-723.36048911303237</v>
      </c>
      <c r="BC122" s="161">
        <f t="shared" si="995"/>
        <v>-720.99</v>
      </c>
      <c r="BD122" s="161">
        <f t="shared" si="995"/>
        <v>-470.65116987988307</v>
      </c>
      <c r="BE122" s="161">
        <f t="shared" si="995"/>
        <v>-830.64</v>
      </c>
      <c r="BF122" s="161">
        <f t="shared" si="995"/>
        <v>-922.73496404144771</v>
      </c>
      <c r="BG122" s="161">
        <f t="shared" si="995"/>
        <v>-883.51</v>
      </c>
      <c r="BH122" s="161">
        <f t="shared" si="995"/>
        <v>-943.10274644175024</v>
      </c>
      <c r="BI122" s="161">
        <f t="shared" si="995"/>
        <v>-789.86</v>
      </c>
      <c r="BJ122" s="161">
        <f t="shared" si="995"/>
        <v>-906.34978934324658</v>
      </c>
      <c r="BK122" s="161">
        <f t="shared" si="995"/>
        <v>-586.28</v>
      </c>
      <c r="BL122" s="161">
        <f t="shared" si="995"/>
        <v>-759.58536509357987</v>
      </c>
      <c r="BM122" s="161">
        <f t="shared" si="995"/>
        <v>-835.36</v>
      </c>
      <c r="BN122" s="161">
        <f t="shared" si="995"/>
        <v>-1002.5640048433627</v>
      </c>
      <c r="BO122" s="161">
        <f t="shared" si="995"/>
        <v>-873.49</v>
      </c>
      <c r="BP122" s="161">
        <f t="shared" si="995"/>
        <v>380.51018159861519</v>
      </c>
      <c r="BQ122" s="161">
        <f t="shared" si="995"/>
        <v>-1245.9000000000001</v>
      </c>
      <c r="BR122" s="161">
        <f t="shared" si="995"/>
        <v>-1363.9215904755172</v>
      </c>
      <c r="BS122" s="161">
        <f t="shared" si="995"/>
        <v>-1236.9000000000001</v>
      </c>
      <c r="BT122" s="161">
        <f t="shared" si="995"/>
        <v>-1229.4069617727453</v>
      </c>
      <c r="BU122" s="161">
        <f t="shared" si="995"/>
        <v>-1415.67</v>
      </c>
      <c r="BV122" s="161">
        <f t="shared" si="995"/>
        <v>-1593.717218458266</v>
      </c>
      <c r="BW122" s="161">
        <f t="shared" si="995"/>
        <v>-1339.61</v>
      </c>
      <c r="BX122" s="161">
        <f t="shared" si="995"/>
        <v>-1549.7386144450863</v>
      </c>
      <c r="BY122" s="161">
        <f t="shared" si="995"/>
        <v>-1554.53</v>
      </c>
      <c r="BZ122" s="161">
        <f t="shared" si="995"/>
        <v>-1839.4303103669233</v>
      </c>
      <c r="CA122" s="161">
        <f t="shared" si="995"/>
        <v>-1394.86</v>
      </c>
      <c r="CB122" s="161">
        <f t="shared" si="995"/>
        <v>-1609.7828170615701</v>
      </c>
      <c r="CC122" s="161">
        <f t="shared" si="995"/>
        <v>-1585.66</v>
      </c>
      <c r="CD122" s="161">
        <f t="shared" si="995"/>
        <v>-1806.3769353711559</v>
      </c>
      <c r="CE122" s="161">
        <f t="shared" ref="CE122:CF122" si="996">+CE181</f>
        <v>-1115.94</v>
      </c>
      <c r="CF122" s="161">
        <f t="shared" si="996"/>
        <v>-1344.9233311499681</v>
      </c>
      <c r="CG122" s="161">
        <f t="shared" ref="CG122:CH122" si="997">+CG181</f>
        <v>-1350.03</v>
      </c>
      <c r="CH122" s="161">
        <f t="shared" si="997"/>
        <v>-1572.3055335524286</v>
      </c>
      <c r="CI122" s="161">
        <f t="shared" ref="CI122:CJ122" si="998">+CI181</f>
        <v>-1402.77</v>
      </c>
      <c r="CJ122" s="161">
        <f t="shared" si="998"/>
        <v>-1634.799481720147</v>
      </c>
      <c r="CK122" s="161">
        <f t="shared" ref="CK122:CL122" si="999">+CK181</f>
        <v>-1845.64</v>
      </c>
      <c r="CL122" s="161">
        <f t="shared" si="999"/>
        <v>-2104.8656070543525</v>
      </c>
      <c r="CM122" s="20">
        <f t="shared" ref="CM122:DA122" si="1000">+CM181</f>
        <v>-2377.9602203694621</v>
      </c>
      <c r="CN122" s="20">
        <f t="shared" si="1000"/>
        <v>-2635.0152846021956</v>
      </c>
      <c r="CO122" s="20">
        <f t="shared" si="1000"/>
        <v>-2788.5316241168703</v>
      </c>
      <c r="CP122" s="20">
        <f t="shared" si="1000"/>
        <v>-3287.5824195157602</v>
      </c>
      <c r="CQ122" s="20">
        <f t="shared" si="1000"/>
        <v>-3622.8689502980792</v>
      </c>
      <c r="CR122" s="20">
        <f t="shared" si="1000"/>
        <v>-3931.0725656897412</v>
      </c>
      <c r="CS122" s="20">
        <f t="shared" si="1000"/>
        <v>-4133.2926874328314</v>
      </c>
      <c r="CT122" s="20">
        <f t="shared" si="1000"/>
        <v>-4783.7828007124508</v>
      </c>
      <c r="CU122" s="20">
        <f t="shared" si="1000"/>
        <v>-5175.3115939766058</v>
      </c>
      <c r="CV122" s="20">
        <f t="shared" si="1000"/>
        <v>-5513.0276379912366</v>
      </c>
      <c r="CW122" s="20">
        <f t="shared" si="1000"/>
        <v>-5742.5169234798041</v>
      </c>
      <c r="CX122" s="20">
        <f t="shared" si="1000"/>
        <v>-6481.5850515670618</v>
      </c>
      <c r="CY122" s="20">
        <f t="shared" si="1000"/>
        <v>-6958.6782833079133</v>
      </c>
      <c r="CZ122" s="20">
        <f t="shared" si="1000"/>
        <v>-7355.6719830945449</v>
      </c>
      <c r="DA122" s="20">
        <f t="shared" si="1000"/>
        <v>-7648.5925618270394</v>
      </c>
      <c r="DD122" s="21"/>
      <c r="DE122" s="161">
        <v>-1845.64</v>
      </c>
    </row>
    <row r="123" spans="1:109" s="161" customFormat="1" hidden="1" outlineLevel="1" x14ac:dyDescent="0.2">
      <c r="A123" s="48" t="s">
        <v>342</v>
      </c>
      <c r="B123" s="161" t="e">
        <f>+B120+B122</f>
        <v>#DIV/0!</v>
      </c>
      <c r="C123" s="161" t="e">
        <f t="shared" ref="C123:W123" si="1001">+C120+C122</f>
        <v>#DIV/0!</v>
      </c>
      <c r="D123" s="161">
        <f t="shared" si="1001"/>
        <v>74.432360000000003</v>
      </c>
      <c r="E123" s="161">
        <f t="shared" ca="1" si="1001"/>
        <v>472.77000000000004</v>
      </c>
      <c r="F123" s="161">
        <f t="shared" ca="1" si="1001"/>
        <v>531.096</v>
      </c>
      <c r="G123" s="161">
        <f t="shared" ca="1" si="1001"/>
        <v>1499.1850999999999</v>
      </c>
      <c r="H123" s="161">
        <f t="shared" ca="1" si="1001"/>
        <v>2409.4500000000003</v>
      </c>
      <c r="I123" s="161">
        <f t="shared" ca="1" si="1001"/>
        <v>2201.5</v>
      </c>
      <c r="J123" s="161">
        <f t="shared" ca="1" si="1001"/>
        <v>2124.65</v>
      </c>
      <c r="K123" s="161">
        <f t="shared" ca="1" si="1001"/>
        <v>1952.2974000000002</v>
      </c>
      <c r="L123" s="161">
        <f t="shared" ca="1" si="1001"/>
        <v>2775.4700000000003</v>
      </c>
      <c r="M123" s="161">
        <f t="shared" ca="1" si="1001"/>
        <v>4251.7647999999999</v>
      </c>
      <c r="N123" s="161">
        <f t="shared" ca="1" si="1001"/>
        <v>5515.9131000000007</v>
      </c>
      <c r="O123" s="161">
        <f t="shared" ca="1" si="1001"/>
        <v>5076.54</v>
      </c>
      <c r="P123" s="161">
        <f t="shared" ca="1" si="1001"/>
        <v>11627.5</v>
      </c>
      <c r="Q123" s="161">
        <f t="shared" ca="1" si="1001"/>
        <v>14815.730000000001</v>
      </c>
      <c r="R123" s="161">
        <f t="shared" ca="1" si="1001"/>
        <v>14983.198000000002</v>
      </c>
      <c r="S123" s="161">
        <f t="shared" ca="1" si="1001"/>
        <v>17806.57</v>
      </c>
      <c r="T123" s="161">
        <f t="shared" ca="1" si="1001"/>
        <v>17706.838300000003</v>
      </c>
      <c r="U123" s="161">
        <f t="shared" ca="1" si="1001"/>
        <v>17408.913799999998</v>
      </c>
      <c r="V123" s="161">
        <f t="shared" ca="1" si="1001"/>
        <v>14227.800000000001</v>
      </c>
      <c r="W123" s="161">
        <f t="shared" ca="1" si="1001"/>
        <v>26311.793700000002</v>
      </c>
      <c r="X123" s="161">
        <f t="shared" ref="X123:Y123" ca="1" si="1002">+X120+X122</f>
        <v>60477.032500000001</v>
      </c>
      <c r="Y123" s="161">
        <f t="shared" ca="1" si="1002"/>
        <v>56545.435999999994</v>
      </c>
      <c r="Z123" s="161">
        <f t="shared" ref="Z123:AA123" ca="1" si="1003">+Z120+Z122</f>
        <v>76018.47</v>
      </c>
      <c r="AA123" s="161">
        <f t="shared" ref="AA123" ca="1" si="1004">+AA120+AA122</f>
        <v>76018.47</v>
      </c>
      <c r="AB123" s="20">
        <f t="shared" ref="AB123:AD123" ca="1" si="1005">+AB120+AB122</f>
        <v>77894.144300119122</v>
      </c>
      <c r="AC123" s="20">
        <f t="shared" ca="1" si="1005"/>
        <v>94483.180242301925</v>
      </c>
      <c r="AD123" s="20">
        <f t="shared" ca="1" si="1005"/>
        <v>105033.06110903896</v>
      </c>
      <c r="AE123" s="20">
        <f t="shared" ref="AE123" ca="1" si="1006">+AE120+AE122</f>
        <v>123570.62088387363</v>
      </c>
      <c r="AL123" s="161">
        <f t="shared" ref="AL123" si="1007">+AL120+AL122</f>
        <v>5084.8044004955054</v>
      </c>
      <c r="AM123" s="161">
        <f t="shared" ref="AM123:AO123" si="1008">+AM120+AM122</f>
        <v>4586.28</v>
      </c>
      <c r="AN123" s="161">
        <f t="shared" si="1008"/>
        <v>4419.7619611937362</v>
      </c>
      <c r="AO123" s="161">
        <f t="shared" si="1008"/>
        <v>4916.9577000000008</v>
      </c>
      <c r="AP123" s="161">
        <f t="shared" ref="AP123:CD123" si="1009">+AP120+AP122</f>
        <v>5717.7886784308748</v>
      </c>
      <c r="AQ123" s="161">
        <f t="shared" si="1009"/>
        <v>7890.1100000000006</v>
      </c>
      <c r="AR123" s="161">
        <f t="shared" si="1009"/>
        <v>9206.9627722490241</v>
      </c>
      <c r="AS123" s="161">
        <f t="shared" si="1009"/>
        <v>11627.5</v>
      </c>
      <c r="AT123" s="161">
        <f t="shared" si="1009"/>
        <v>13467.994267869617</v>
      </c>
      <c r="AU123" s="161">
        <f t="shared" si="1009"/>
        <v>13908.89</v>
      </c>
      <c r="AV123" s="161">
        <f t="shared" si="1009"/>
        <v>14831.470220540592</v>
      </c>
      <c r="AW123" s="161">
        <f t="shared" si="1009"/>
        <v>13283.833700000001</v>
      </c>
      <c r="AX123" s="161">
        <f t="shared" si="1009"/>
        <v>13338.52040740741</v>
      </c>
      <c r="AY123" s="161">
        <f t="shared" si="1009"/>
        <v>12959.061100000001</v>
      </c>
      <c r="AZ123" s="161">
        <f t="shared" si="1009"/>
        <v>12726.117848891086</v>
      </c>
      <c r="BA123" s="161">
        <f t="shared" si="1009"/>
        <v>14983.198000000002</v>
      </c>
      <c r="BB123" s="161">
        <f t="shared" si="1009"/>
        <v>13800.035510886968</v>
      </c>
      <c r="BC123" s="161">
        <f t="shared" si="1009"/>
        <v>14825.7021</v>
      </c>
      <c r="BD123" s="161">
        <f t="shared" si="1009"/>
        <v>15625.122830120117</v>
      </c>
      <c r="BE123" s="161">
        <f t="shared" si="1009"/>
        <v>17800.32</v>
      </c>
      <c r="BF123" s="161">
        <f t="shared" si="1009"/>
        <v>17573.963335958557</v>
      </c>
      <c r="BG123" s="161">
        <f t="shared" si="1009"/>
        <v>16778.390000000003</v>
      </c>
      <c r="BH123" s="161">
        <f t="shared" si="1009"/>
        <v>17187.540953558251</v>
      </c>
      <c r="BI123" s="161">
        <f t="shared" si="1009"/>
        <v>17103.9892</v>
      </c>
      <c r="BJ123" s="161">
        <f t="shared" si="1009"/>
        <v>17337.924010656752</v>
      </c>
      <c r="BK123" s="161">
        <f t="shared" si="1009"/>
        <v>17231.763700000003</v>
      </c>
      <c r="BL123" s="161">
        <f t="shared" si="1009"/>
        <v>14557.814634906421</v>
      </c>
      <c r="BM123" s="161">
        <f t="shared" si="1009"/>
        <v>14013.14</v>
      </c>
      <c r="BN123" s="161">
        <f t="shared" si="1009"/>
        <v>14471.135995156637</v>
      </c>
      <c r="BO123" s="161">
        <f t="shared" si="1009"/>
        <v>10880.27</v>
      </c>
      <c r="BP123" s="161">
        <f t="shared" si="1009"/>
        <v>13681.640181598616</v>
      </c>
      <c r="BQ123" s="161">
        <f t="shared" si="1009"/>
        <v>13591.8153</v>
      </c>
      <c r="BR123" s="161">
        <f t="shared" si="1009"/>
        <v>15828.922109524485</v>
      </c>
      <c r="BS123" s="161">
        <f t="shared" si="1009"/>
        <v>16721.97</v>
      </c>
      <c r="BT123" s="161">
        <f t="shared" si="1009"/>
        <v>22790.151838227259</v>
      </c>
      <c r="BU123" s="161">
        <f t="shared" si="1009"/>
        <v>26311.793700000002</v>
      </c>
      <c r="BV123" s="161">
        <f t="shared" si="1009"/>
        <v>29125.484781541738</v>
      </c>
      <c r="BW123" s="161">
        <f t="shared" si="1009"/>
        <v>37569.712</v>
      </c>
      <c r="BX123" s="161">
        <f t="shared" si="1009"/>
        <v>60481.823885554913</v>
      </c>
      <c r="BY123" s="161">
        <f t="shared" si="1009"/>
        <v>51900.070000000007</v>
      </c>
      <c r="BZ123" s="161">
        <f t="shared" si="1009"/>
        <v>47168.434689633083</v>
      </c>
      <c r="CA123" s="161">
        <f t="shared" si="1009"/>
        <v>50082.545000000006</v>
      </c>
      <c r="CB123" s="161">
        <f t="shared" si="1009"/>
        <v>56521.313182938429</v>
      </c>
      <c r="CC123" s="161">
        <f t="shared" si="1009"/>
        <v>50551.330999999998</v>
      </c>
      <c r="CD123" s="161">
        <f t="shared" si="1009"/>
        <v>51864.698564628845</v>
      </c>
      <c r="CE123" s="161">
        <f t="shared" ref="CE123:CF123" si="1010">+CE120+CE122</f>
        <v>76252.56</v>
      </c>
      <c r="CF123" s="161">
        <f t="shared" si="1010"/>
        <v>73599.363668850026</v>
      </c>
      <c r="CG123" s="161">
        <f t="shared" ref="CG123:CH123" si="1011">+CG120+CG122</f>
        <v>62419.588499999998</v>
      </c>
      <c r="CH123" s="161">
        <f t="shared" si="1011"/>
        <v>56841.693466447578</v>
      </c>
      <c r="CI123" s="161">
        <f t="shared" ref="CI123:CJ123" si="1012">+CI120+CI122</f>
        <v>66754.97099999999</v>
      </c>
      <c r="CJ123" s="161">
        <f t="shared" si="1012"/>
        <v>66710.501518279867</v>
      </c>
      <c r="CK123" s="161">
        <f t="shared" ref="CK123:CL123" si="1013">+CK120+CK122</f>
        <v>66814.605500000005</v>
      </c>
      <c r="CL123" s="161">
        <f t="shared" si="1013"/>
        <v>67683.084392945646</v>
      </c>
      <c r="CM123" s="20">
        <f t="shared" ref="CM123:DA123" si="1014">+CM120+CM122</f>
        <v>69850.768828116095</v>
      </c>
      <c r="CN123" s="20">
        <f t="shared" si="1014"/>
        <v>73279.60252718968</v>
      </c>
      <c r="CO123" s="20">
        <f t="shared" si="1014"/>
        <v>77894.144300119122</v>
      </c>
      <c r="CP123" s="20">
        <f t="shared" si="1014"/>
        <v>81340.042879142202</v>
      </c>
      <c r="CQ123" s="20">
        <f t="shared" si="1014"/>
        <v>85326.269839700442</v>
      </c>
      <c r="CR123" s="20">
        <f t="shared" si="1014"/>
        <v>89626.361407182776</v>
      </c>
      <c r="CS123" s="20">
        <f t="shared" si="1014"/>
        <v>94483.180242301925</v>
      </c>
      <c r="CT123" s="20">
        <f t="shared" si="1014"/>
        <v>96789.533299166593</v>
      </c>
      <c r="CU123" s="20">
        <f t="shared" si="1014"/>
        <v>99344.22872947267</v>
      </c>
      <c r="CV123" s="20">
        <f t="shared" si="1014"/>
        <v>102097.57143590265</v>
      </c>
      <c r="CW123" s="20">
        <f t="shared" si="1014"/>
        <v>105033.06110903896</v>
      </c>
      <c r="CX123" s="20">
        <f t="shared" si="1014"/>
        <v>108870.23090662192</v>
      </c>
      <c r="CY123" s="20">
        <f t="shared" si="1014"/>
        <v>113082.96580537138</v>
      </c>
      <c r="CZ123" s="20">
        <f t="shared" si="1014"/>
        <v>117919.40148334355</v>
      </c>
      <c r="DA123" s="20">
        <f t="shared" si="1014"/>
        <v>123570.62088387363</v>
      </c>
      <c r="DD123" s="21"/>
      <c r="DE123" s="161">
        <v>66814.605500000005</v>
      </c>
    </row>
    <row r="124" spans="1:109" s="161" customFormat="1" hidden="1" outlineLevel="1" x14ac:dyDescent="0.2">
      <c r="A124" s="48" t="s">
        <v>345</v>
      </c>
      <c r="B124" s="161" t="e">
        <f>+B121+B122</f>
        <v>#DIV/0!</v>
      </c>
      <c r="C124" s="161" t="e">
        <f t="shared" ref="C124:W124" si="1015">+C121+C122</f>
        <v>#DIV/0!</v>
      </c>
      <c r="D124" s="161">
        <f t="shared" si="1015"/>
        <v>64.161200000000008</v>
      </c>
      <c r="E124" s="161">
        <f t="shared" ca="1" si="1015"/>
        <v>174.23700000000002</v>
      </c>
      <c r="F124" s="161">
        <f t="shared" ca="1" si="1015"/>
        <v>266.48009999999999</v>
      </c>
      <c r="G124" s="161">
        <f t="shared" ca="1" si="1015"/>
        <v>459.16490000000005</v>
      </c>
      <c r="H124" s="161">
        <f t="shared" ca="1" si="1015"/>
        <v>1158.1122</v>
      </c>
      <c r="I124" s="161">
        <f t="shared" ca="1" si="1015"/>
        <v>1582.5520000000004</v>
      </c>
      <c r="J124" s="161">
        <f t="shared" ca="1" si="1015"/>
        <v>611.97860000000003</v>
      </c>
      <c r="K124" s="161">
        <f t="shared" ca="1" si="1015"/>
        <v>514.65000000000009</v>
      </c>
      <c r="L124" s="161">
        <f t="shared" ca="1" si="1015"/>
        <v>1275.6152000000002</v>
      </c>
      <c r="M124" s="161">
        <f t="shared" ca="1" si="1015"/>
        <v>2117.3320000000003</v>
      </c>
      <c r="N124" s="161">
        <f t="shared" ca="1" si="1015"/>
        <v>3003.8595</v>
      </c>
      <c r="O124" s="161">
        <f t="shared" ca="1" si="1015"/>
        <v>3200.9400000000005</v>
      </c>
      <c r="P124" s="161">
        <f t="shared" ca="1" si="1015"/>
        <v>4258.5802000000003</v>
      </c>
      <c r="Q124" s="161">
        <f t="shared" ca="1" si="1015"/>
        <v>10173.307400000002</v>
      </c>
      <c r="R124" s="161">
        <f t="shared" ca="1" si="1015"/>
        <v>10945.969000000001</v>
      </c>
      <c r="S124" s="161">
        <f t="shared" ca="1" si="1015"/>
        <v>11062.537600000001</v>
      </c>
      <c r="T124" s="161">
        <f t="shared" ca="1" si="1015"/>
        <v>13586.614</v>
      </c>
      <c r="U124" s="161">
        <f t="shared" ca="1" si="1015"/>
        <v>11171.606000000002</v>
      </c>
      <c r="V124" s="161">
        <f t="shared" ca="1" si="1015"/>
        <v>8269.9566000000013</v>
      </c>
      <c r="W124" s="161">
        <f t="shared" ca="1" si="1015"/>
        <v>11901.09</v>
      </c>
      <c r="X124" s="161">
        <f t="shared" ref="X124:Y124" ca="1" si="1016">+X121+X122</f>
        <v>23453.47</v>
      </c>
      <c r="Y124" s="161">
        <f t="shared" ca="1" si="1016"/>
        <v>38345.082499999997</v>
      </c>
      <c r="Z124" s="161">
        <f t="shared" ref="Z124:AA124" ca="1" si="1017">+Z121+Z122</f>
        <v>40843.936500000003</v>
      </c>
      <c r="AA124" s="161">
        <f t="shared" ref="AA124" ca="1" si="1018">+AA121+AA122</f>
        <v>40843.936500000003</v>
      </c>
      <c r="AB124" s="20">
        <f t="shared" ref="AB124:AD124" ca="1" si="1019">+AB121+AB122</f>
        <v>52213.438375883132</v>
      </c>
      <c r="AC124" s="20">
        <f t="shared" ca="1" si="1019"/>
        <v>62564.269110098488</v>
      </c>
      <c r="AD124" s="20">
        <f t="shared" ca="1" si="1019"/>
        <v>74310.450457365499</v>
      </c>
      <c r="AE124" s="20">
        <f t="shared" ref="AE124" ca="1" si="1020">+AE121+AE122</f>
        <v>83263.622523697471</v>
      </c>
      <c r="AL124" s="161">
        <f t="shared" ref="AL124:AM124" si="1021">+AL121+AL122</f>
        <v>3987.5784004955058</v>
      </c>
      <c r="AM124" s="161">
        <f t="shared" si="1021"/>
        <v>3803.8422</v>
      </c>
      <c r="AN124" s="161">
        <f t="shared" ref="AN124:AO124" si="1022">+AN121+AN122</f>
        <v>3266.2679611937365</v>
      </c>
      <c r="AO124" s="161">
        <f t="shared" si="1022"/>
        <v>3670.4652000000001</v>
      </c>
      <c r="AP124" s="161">
        <f t="shared" ref="AP124:CD124" si="1023">+AP121+AP122</f>
        <v>4319.528878430875</v>
      </c>
      <c r="AQ124" s="161">
        <f t="shared" si="1023"/>
        <v>5451.83</v>
      </c>
      <c r="AR124" s="161">
        <f t="shared" si="1023"/>
        <v>7521.4235722490239</v>
      </c>
      <c r="AS124" s="161">
        <f t="shared" si="1023"/>
        <v>8267.8314999999984</v>
      </c>
      <c r="AT124" s="161">
        <f t="shared" si="1023"/>
        <v>10260.249367869617</v>
      </c>
      <c r="AU124" s="161">
        <f t="shared" si="1023"/>
        <v>11720.69</v>
      </c>
      <c r="AV124" s="161">
        <f t="shared" si="1023"/>
        <v>12080.590220540591</v>
      </c>
      <c r="AW124" s="161">
        <f t="shared" si="1023"/>
        <v>11173.94</v>
      </c>
      <c r="AX124" s="161">
        <f t="shared" si="1023"/>
        <v>11051.851407407408</v>
      </c>
      <c r="AY124" s="161">
        <f t="shared" si="1023"/>
        <v>11255.86</v>
      </c>
      <c r="AZ124" s="161">
        <f t="shared" si="1023"/>
        <v>11805.979748891086</v>
      </c>
      <c r="BA124" s="161">
        <f t="shared" si="1023"/>
        <v>11175.730000000001</v>
      </c>
      <c r="BB124" s="161">
        <f t="shared" si="1023"/>
        <v>11163.567110886968</v>
      </c>
      <c r="BC124" s="161">
        <f t="shared" si="1023"/>
        <v>13033.410000000002</v>
      </c>
      <c r="BD124" s="161">
        <f t="shared" si="1023"/>
        <v>12458.641130120119</v>
      </c>
      <c r="BE124" s="161">
        <f t="shared" si="1023"/>
        <v>14049.12</v>
      </c>
      <c r="BF124" s="161">
        <f t="shared" si="1023"/>
        <v>15176.165035958555</v>
      </c>
      <c r="BG124" s="161">
        <f t="shared" si="1023"/>
        <v>15371.69</v>
      </c>
      <c r="BH124" s="161">
        <f t="shared" si="1023"/>
        <v>15241.293353558252</v>
      </c>
      <c r="BI124" s="161">
        <f t="shared" si="1023"/>
        <v>13586.614</v>
      </c>
      <c r="BJ124" s="161">
        <f t="shared" si="1023"/>
        <v>15164.416210656755</v>
      </c>
      <c r="BK124" s="161">
        <f t="shared" si="1023"/>
        <v>14015.4223</v>
      </c>
      <c r="BL124" s="161">
        <f t="shared" si="1023"/>
        <v>11247.380634906422</v>
      </c>
      <c r="BM124" s="161">
        <f t="shared" si="1023"/>
        <v>11565.482</v>
      </c>
      <c r="BN124" s="161">
        <f t="shared" si="1023"/>
        <v>9019.3919951566386</v>
      </c>
      <c r="BO124" s="161">
        <f t="shared" si="1023"/>
        <v>8642.3666000000012</v>
      </c>
      <c r="BP124" s="161">
        <f t="shared" si="1023"/>
        <v>11124.572181598614</v>
      </c>
      <c r="BQ124" s="161">
        <f t="shared" si="1023"/>
        <v>9538.8000000000011</v>
      </c>
      <c r="BR124" s="161">
        <f t="shared" si="1023"/>
        <v>11952.838409524484</v>
      </c>
      <c r="BS124" s="161">
        <f t="shared" si="1023"/>
        <v>13845.268500000002</v>
      </c>
      <c r="BT124" s="161">
        <f t="shared" si="1023"/>
        <v>15416.543038227255</v>
      </c>
      <c r="BU124" s="161">
        <f t="shared" si="1023"/>
        <v>20716.410000000003</v>
      </c>
      <c r="BV124" s="161">
        <f t="shared" si="1023"/>
        <v>23414.282781541733</v>
      </c>
      <c r="BW124" s="161">
        <f t="shared" si="1023"/>
        <v>28573.083999999999</v>
      </c>
      <c r="BX124" s="161">
        <f t="shared" si="1023"/>
        <v>33477.091385554915</v>
      </c>
      <c r="BY124" s="161">
        <f t="shared" si="1023"/>
        <v>39122.545000000006</v>
      </c>
      <c r="BZ124" s="161">
        <f t="shared" si="1023"/>
        <v>38091.312189633078</v>
      </c>
      <c r="CA124" s="161">
        <f t="shared" si="1023"/>
        <v>40585.757000000005</v>
      </c>
      <c r="CB124" s="161">
        <f t="shared" si="1023"/>
        <v>44161.109182938439</v>
      </c>
      <c r="CC124" s="161">
        <f t="shared" si="1023"/>
        <v>39303.201500000003</v>
      </c>
      <c r="CD124" s="161">
        <f t="shared" si="1023"/>
        <v>40387.589564628848</v>
      </c>
      <c r="CE124" s="161">
        <f t="shared" ref="CE124:CF124" si="1024">+CE121+CE122</f>
        <v>43273.26</v>
      </c>
      <c r="CF124" s="161">
        <f t="shared" si="1024"/>
        <v>57345.726668850031</v>
      </c>
      <c r="CG124" s="161">
        <f t="shared" ref="CG124:CH124" si="1025">+CG121+CG122</f>
        <v>49583.451000000001</v>
      </c>
      <c r="CH124" s="161">
        <f t="shared" si="1025"/>
        <v>42762.970966447581</v>
      </c>
      <c r="CI124" s="161">
        <f t="shared" ref="CI124:CJ124" si="1026">+CI121+CI122</f>
        <v>43158.360000000008</v>
      </c>
      <c r="CJ124" s="161">
        <f t="shared" si="1026"/>
        <v>57147.286018279854</v>
      </c>
      <c r="CK124" s="161">
        <f t="shared" ref="CK124:CL124" si="1027">+CK121+CK122</f>
        <v>56033.031500000005</v>
      </c>
      <c r="CL124" s="161">
        <f t="shared" si="1027"/>
        <v>52897.10439294565</v>
      </c>
      <c r="CM124" s="20">
        <f t="shared" ref="CM124:DA124" si="1028">+CM121+CM122</f>
        <v>54547.660725122281</v>
      </c>
      <c r="CN124" s="20">
        <f t="shared" si="1028"/>
        <v>57195.564800436012</v>
      </c>
      <c r="CO124" s="20">
        <f t="shared" si="1028"/>
        <v>60799.897620538562</v>
      </c>
      <c r="CP124" s="20">
        <f t="shared" si="1028"/>
        <v>63409.97937801556</v>
      </c>
      <c r="CQ124" s="20">
        <f t="shared" si="1028"/>
        <v>66480.606839624612</v>
      </c>
      <c r="CR124" s="20">
        <f t="shared" si="1028"/>
        <v>69804.338442269582</v>
      </c>
      <c r="CS124" s="20">
        <f t="shared" si="1028"/>
        <v>73589.298183728781</v>
      </c>
      <c r="CT124" s="20">
        <f t="shared" si="1028"/>
        <v>75269.18458013286</v>
      </c>
      <c r="CU124" s="20">
        <f t="shared" si="1028"/>
        <v>77199.663187259226</v>
      </c>
      <c r="CV124" s="20">
        <f t="shared" si="1028"/>
        <v>79298.102964703619</v>
      </c>
      <c r="CW124" s="20">
        <f t="shared" si="1028"/>
        <v>81563.028226897237</v>
      </c>
      <c r="CX124" s="20">
        <f t="shared" si="1028"/>
        <v>84430.630033957452</v>
      </c>
      <c r="CY124" s="20">
        <f t="shared" si="1028"/>
        <v>87649.730574040892</v>
      </c>
      <c r="CZ124" s="20">
        <f t="shared" si="1028"/>
        <v>91377.359042302007</v>
      </c>
      <c r="DA124" s="20">
        <f t="shared" si="1028"/>
        <v>95769.192906352269</v>
      </c>
      <c r="DD124" s="21"/>
      <c r="DE124" s="161">
        <v>42489.636500000008</v>
      </c>
    </row>
    <row r="125" spans="1:109" s="161" customFormat="1" hidden="1" outlineLevel="1" x14ac:dyDescent="0.2">
      <c r="A125" s="48" t="s">
        <v>13</v>
      </c>
      <c r="B125" s="161">
        <f t="shared" ref="B125:AE125" si="1029">+B41</f>
        <v>0</v>
      </c>
      <c r="C125" s="161">
        <f t="shared" si="1029"/>
        <v>0</v>
      </c>
      <c r="D125" s="161">
        <f t="shared" si="1029"/>
        <v>44.129999999999981</v>
      </c>
      <c r="E125" s="161">
        <f t="shared" si="1029"/>
        <v>42.289999999999992</v>
      </c>
      <c r="F125" s="161">
        <f t="shared" si="1029"/>
        <v>52.790000000000035</v>
      </c>
      <c r="G125" s="161">
        <f t="shared" si="1029"/>
        <v>78.580000000000013</v>
      </c>
      <c r="H125" s="161">
        <f t="shared" si="1029"/>
        <v>118.13999999999996</v>
      </c>
      <c r="I125" s="161">
        <f t="shared" si="1029"/>
        <v>130.93000000000004</v>
      </c>
      <c r="J125" s="161">
        <f t="shared" si="1029"/>
        <v>146.75</v>
      </c>
      <c r="K125" s="161">
        <f t="shared" si="1029"/>
        <v>90.510000000000048</v>
      </c>
      <c r="L125" s="161">
        <f t="shared" si="1029"/>
        <v>177.60999999999987</v>
      </c>
      <c r="M125" s="161">
        <f t="shared" si="1029"/>
        <v>254.48999999999995</v>
      </c>
      <c r="N125" s="161">
        <f t="shared" si="1029"/>
        <v>220.92000000000007</v>
      </c>
      <c r="O125" s="161">
        <f t="shared" si="1029"/>
        <v>184.0200000000001</v>
      </c>
      <c r="P125" s="161">
        <f t="shared" si="1029"/>
        <v>242.26999999999992</v>
      </c>
      <c r="Q125" s="161">
        <f t="shared" si="1029"/>
        <v>305.8</v>
      </c>
      <c r="R125" s="161">
        <f t="shared" si="1029"/>
        <v>297.30000000000007</v>
      </c>
      <c r="S125" s="161">
        <f t="shared" si="1029"/>
        <v>678.91999999999939</v>
      </c>
      <c r="T125" s="161">
        <f t="shared" si="1029"/>
        <v>697.00000000000034</v>
      </c>
      <c r="U125" s="161">
        <f t="shared" si="1029"/>
        <v>634.25999999999908</v>
      </c>
      <c r="V125" s="161">
        <f t="shared" si="1029"/>
        <v>536.82000000000028</v>
      </c>
      <c r="W125" s="161">
        <f t="shared" si="1029"/>
        <v>972.77000000000021</v>
      </c>
      <c r="X125" s="161">
        <f t="shared" si="1029"/>
        <v>1295.8500000000001</v>
      </c>
      <c r="Y125" s="161">
        <f t="shared" si="1029"/>
        <v>1321.7899999999993</v>
      </c>
      <c r="Z125" s="161">
        <f t="shared" si="1029"/>
        <v>1445.87</v>
      </c>
      <c r="AA125" s="161">
        <f t="shared" ref="AA125" si="1030">+AA41</f>
        <v>1763.1800000000003</v>
      </c>
      <c r="AB125" s="20">
        <f t="shared" si="1029"/>
        <v>2067.4239432589534</v>
      </c>
      <c r="AC125" s="20">
        <f t="shared" si="1029"/>
        <v>2411.4483253194535</v>
      </c>
      <c r="AD125" s="20">
        <f t="shared" si="1029"/>
        <v>2671.0085289816288</v>
      </c>
      <c r="AE125" s="20">
        <f t="shared" si="1029"/>
        <v>3015.0306877671665</v>
      </c>
      <c r="AL125" s="161">
        <f t="shared" ref="AL125:BQ125" si="1031">+SUM(AI41:AL41)</f>
        <v>198.26999999999998</v>
      </c>
      <c r="AM125" s="161">
        <f t="shared" si="1031"/>
        <v>175.98999999999995</v>
      </c>
      <c r="AN125" s="161">
        <f t="shared" si="1031"/>
        <v>175.05999999999992</v>
      </c>
      <c r="AO125" s="161">
        <f t="shared" si="1031"/>
        <v>183.58999999999986</v>
      </c>
      <c r="AP125" s="161">
        <f t="shared" si="1031"/>
        <v>197.84999999999991</v>
      </c>
      <c r="AQ125" s="161">
        <f t="shared" si="1031"/>
        <v>219.84000000000003</v>
      </c>
      <c r="AR125" s="161">
        <f t="shared" si="1031"/>
        <v>229.23000000000002</v>
      </c>
      <c r="AS125" s="161">
        <f t="shared" si="1031"/>
        <v>241.74000000000009</v>
      </c>
      <c r="AT125" s="161">
        <f t="shared" si="1031"/>
        <v>249.38000000000005</v>
      </c>
      <c r="AU125" s="161">
        <f t="shared" si="1031"/>
        <v>260.66000000000003</v>
      </c>
      <c r="AV125" s="161">
        <f t="shared" si="1031"/>
        <v>276.21000000000004</v>
      </c>
      <c r="AW125" s="161">
        <f t="shared" si="1031"/>
        <v>305.27999999999997</v>
      </c>
      <c r="AX125" s="161">
        <f t="shared" si="1031"/>
        <v>313.74</v>
      </c>
      <c r="AY125" s="161">
        <f t="shared" si="1031"/>
        <v>309.95999999999998</v>
      </c>
      <c r="AZ125" s="161">
        <f t="shared" si="1031"/>
        <v>314.6099999999999</v>
      </c>
      <c r="BA125" s="161">
        <f t="shared" si="1031"/>
        <v>296.94</v>
      </c>
      <c r="BB125" s="161">
        <f t="shared" si="1031"/>
        <v>313.61</v>
      </c>
      <c r="BC125" s="161">
        <f t="shared" si="1031"/>
        <v>328.63000000000011</v>
      </c>
      <c r="BD125" s="161">
        <f t="shared" si="1031"/>
        <v>416.1</v>
      </c>
      <c r="BE125" s="161">
        <f t="shared" si="1031"/>
        <v>526.91000000000008</v>
      </c>
      <c r="BF125" s="161">
        <f t="shared" si="1031"/>
        <v>622.27</v>
      </c>
      <c r="BG125" s="161">
        <f t="shared" si="1031"/>
        <v>716.26999999999987</v>
      </c>
      <c r="BH125" s="161">
        <f t="shared" si="1031"/>
        <v>748.22</v>
      </c>
      <c r="BI125" s="161">
        <f t="shared" si="1031"/>
        <v>735.46</v>
      </c>
      <c r="BJ125" s="161">
        <f t="shared" si="1031"/>
        <v>736.05</v>
      </c>
      <c r="BK125" s="161">
        <f t="shared" si="1031"/>
        <v>715.26</v>
      </c>
      <c r="BL125" s="161">
        <f t="shared" si="1031"/>
        <v>658.42000000000007</v>
      </c>
      <c r="BM125" s="161">
        <f t="shared" si="1031"/>
        <v>633.59000000000015</v>
      </c>
      <c r="BN125" s="161">
        <f t="shared" si="1031"/>
        <v>586.42000000000019</v>
      </c>
      <c r="BO125" s="161">
        <f t="shared" si="1031"/>
        <v>407.2600000000001</v>
      </c>
      <c r="BP125" s="161">
        <f t="shared" si="1031"/>
        <v>454.03000000000009</v>
      </c>
      <c r="BQ125" s="161">
        <f t="shared" si="1031"/>
        <v>536.12000000000012</v>
      </c>
      <c r="BR125" s="161">
        <f t="shared" ref="BR125:CW125" si="1032">+SUM(BO41:BR41)</f>
        <v>611.73</v>
      </c>
      <c r="BS125" s="161">
        <f t="shared" si="1032"/>
        <v>838.60000000000014</v>
      </c>
      <c r="BT125" s="161">
        <f t="shared" si="1032"/>
        <v>913.47999999999979</v>
      </c>
      <c r="BU125" s="161">
        <f t="shared" si="1032"/>
        <v>971.54</v>
      </c>
      <c r="BV125" s="161">
        <f t="shared" si="1032"/>
        <v>1067.1400000000001</v>
      </c>
      <c r="BW125" s="161">
        <f t="shared" si="1032"/>
        <v>1181.81</v>
      </c>
      <c r="BX125" s="161">
        <f t="shared" si="1032"/>
        <v>1236.3</v>
      </c>
      <c r="BY125" s="161">
        <f t="shared" si="1032"/>
        <v>1294.3899999999999</v>
      </c>
      <c r="BZ125" s="161">
        <f t="shared" si="1032"/>
        <v>1300.5999999999997</v>
      </c>
      <c r="CA125" s="161">
        <f t="shared" si="1032"/>
        <v>1320.8899999999999</v>
      </c>
      <c r="CB125" s="161">
        <f t="shared" si="1032"/>
        <v>1342.32</v>
      </c>
      <c r="CC125" s="161">
        <f t="shared" si="1032"/>
        <v>1321.2</v>
      </c>
      <c r="CD125" s="161">
        <f t="shared" si="1032"/>
        <v>1336.3800000000006</v>
      </c>
      <c r="CE125" s="161">
        <f t="shared" si="1032"/>
        <v>1370.6800000000005</v>
      </c>
      <c r="CF125" s="161">
        <f t="shared" si="1032"/>
        <v>1399.0700000000002</v>
      </c>
      <c r="CG125" s="161">
        <f t="shared" si="1032"/>
        <v>1445.3600000000001</v>
      </c>
      <c r="CH125" s="161">
        <f t="shared" si="1032"/>
        <v>1508.3399999999997</v>
      </c>
      <c r="CI125" s="161">
        <f t="shared" si="1032"/>
        <v>1562.1399999999996</v>
      </c>
      <c r="CJ125" s="161">
        <f t="shared" si="1032"/>
        <v>1649.29</v>
      </c>
      <c r="CK125" s="161">
        <f t="shared" si="1032"/>
        <v>1763.02</v>
      </c>
      <c r="CL125" s="161">
        <f t="shared" si="1032"/>
        <v>1848.5</v>
      </c>
      <c r="CM125" s="20">
        <f t="shared" si="1032"/>
        <v>1909.6030953013696</v>
      </c>
      <c r="CN125" s="20">
        <f t="shared" si="1032"/>
        <v>1970.7358430594859</v>
      </c>
      <c r="CO125" s="20">
        <f t="shared" si="1032"/>
        <v>2067.4239432589529</v>
      </c>
      <c r="CP125" s="20">
        <f t="shared" si="1032"/>
        <v>2143.1734580976877</v>
      </c>
      <c r="CQ125" s="20">
        <f t="shared" si="1032"/>
        <v>2223.30217531977</v>
      </c>
      <c r="CR125" s="20">
        <f t="shared" si="1032"/>
        <v>2310.7449812802774</v>
      </c>
      <c r="CS125" s="20">
        <f t="shared" si="1032"/>
        <v>2411.4483253194521</v>
      </c>
      <c r="CT125" s="20">
        <f t="shared" si="1032"/>
        <v>2475.6713695431654</v>
      </c>
      <c r="CU125" s="20">
        <f t="shared" si="1032"/>
        <v>2537.4650660105353</v>
      </c>
      <c r="CV125" s="20">
        <f t="shared" si="1032"/>
        <v>2602.8433644079341</v>
      </c>
      <c r="CW125" s="20">
        <f t="shared" si="1032"/>
        <v>2671.0085289816298</v>
      </c>
      <c r="CX125" s="20">
        <f t="shared" ref="CX125:DA125" si="1033">+SUM(CU41:CX41)</f>
        <v>2748.6402747118873</v>
      </c>
      <c r="CY125" s="20">
        <f t="shared" si="1033"/>
        <v>2826.2889083399186</v>
      </c>
      <c r="CZ125" s="20">
        <f t="shared" si="1033"/>
        <v>2913.8637461156322</v>
      </c>
      <c r="DA125" s="20">
        <f t="shared" si="1033"/>
        <v>3015.0306877671655</v>
      </c>
      <c r="DD125" s="21"/>
      <c r="DE125" s="161">
        <v>1763.0199999999986</v>
      </c>
    </row>
    <row r="126" spans="1:109" s="161" customFormat="1" hidden="1" outlineLevel="1" x14ac:dyDescent="0.2">
      <c r="A126" s="48" t="s">
        <v>343</v>
      </c>
      <c r="B126" s="161" t="e">
        <f>+B123/B125</f>
        <v>#DIV/0!</v>
      </c>
      <c r="C126" s="161" t="e">
        <f t="shared" ref="C126:W126" si="1034">+C123/C125</f>
        <v>#DIV/0!</v>
      </c>
      <c r="D126" s="161">
        <f t="shared" si="1034"/>
        <v>1.6866612281894411</v>
      </c>
      <c r="E126" s="161">
        <f t="shared" ca="1" si="1034"/>
        <v>11.179238590683379</v>
      </c>
      <c r="F126" s="161">
        <f t="shared" ca="1" si="1034"/>
        <v>10.060541769274478</v>
      </c>
      <c r="G126" s="161">
        <f t="shared" ca="1" si="1034"/>
        <v>19.078456350216335</v>
      </c>
      <c r="H126" s="161">
        <f t="shared" ca="1" si="1034"/>
        <v>20.394870492635864</v>
      </c>
      <c r="I126" s="161">
        <f t="shared" ca="1" si="1034"/>
        <v>16.814328267012904</v>
      </c>
      <c r="J126" s="161">
        <f t="shared" ca="1" si="1034"/>
        <v>14.478023850085179</v>
      </c>
      <c r="K126" s="161">
        <f t="shared" ca="1" si="1034"/>
        <v>21.569963539940328</v>
      </c>
      <c r="L126" s="161">
        <f t="shared" ca="1" si="1034"/>
        <v>15.626766510894669</v>
      </c>
      <c r="M126" s="161">
        <f t="shared" ca="1" si="1034"/>
        <v>16.707001453888171</v>
      </c>
      <c r="N126" s="161">
        <f t="shared" ca="1" si="1034"/>
        <v>24.96792096686583</v>
      </c>
      <c r="O126" s="161">
        <f t="shared" ca="1" si="1034"/>
        <v>27.586892729051176</v>
      </c>
      <c r="P126" s="161">
        <f t="shared" ca="1" si="1034"/>
        <v>47.993973665744846</v>
      </c>
      <c r="Q126" s="161">
        <f t="shared" ca="1" si="1034"/>
        <v>48.449084368868547</v>
      </c>
      <c r="R126" s="161">
        <f t="shared" ca="1" si="1034"/>
        <v>50.397571476622936</v>
      </c>
      <c r="S126" s="161">
        <f t="shared" ca="1" si="1034"/>
        <v>26.227788251929557</v>
      </c>
      <c r="T126" s="161">
        <f t="shared" ca="1" si="1034"/>
        <v>25.40435911047345</v>
      </c>
      <c r="U126" s="161">
        <f t="shared" ca="1" si="1034"/>
        <v>27.447598461198915</v>
      </c>
      <c r="V126" s="161">
        <f t="shared" ca="1" si="1034"/>
        <v>26.503856041131094</v>
      </c>
      <c r="W126" s="161">
        <f t="shared" ca="1" si="1034"/>
        <v>27.048319438305043</v>
      </c>
      <c r="X126" s="161">
        <f t="shared" ref="X126:Y126" ca="1" si="1035">+X123/X125</f>
        <v>46.669778523748889</v>
      </c>
      <c r="Y126" s="161">
        <f t="shared" ca="1" si="1035"/>
        <v>42.779440001815736</v>
      </c>
      <c r="Z126" s="161">
        <f t="shared" ref="Z126:AA126" ca="1" si="1036">+Z123/Z125</f>
        <v>52.576282791675602</v>
      </c>
      <c r="AA126" s="161">
        <f t="shared" ref="AA126" ca="1" si="1037">+AA123/AA125</f>
        <v>52.576282791675602</v>
      </c>
      <c r="AB126" s="20">
        <f t="shared" ref="AB126:AD126" ca="1" si="1038">+AB123/AB125</f>
        <v>37.676909254195749</v>
      </c>
      <c r="AC126" s="20">
        <f t="shared" ca="1" si="1038"/>
        <v>39.181092644722291</v>
      </c>
      <c r="AD126" s="20">
        <f t="shared" ca="1" si="1038"/>
        <v>39.323371666313903</v>
      </c>
      <c r="AE126" s="20">
        <f t="shared" ref="AE126" ca="1" si="1039">+AE123/AE125</f>
        <v>40.984863399644539</v>
      </c>
      <c r="AL126" s="161">
        <f t="shared" ref="AL126" si="1040">+AL123/AL125</f>
        <v>25.645858680060048</v>
      </c>
      <c r="AM126" s="161">
        <f t="shared" ref="AM126:AO126" si="1041">+AM123/AM125</f>
        <v>26.059889766464011</v>
      </c>
      <c r="AN126" s="161">
        <f t="shared" si="1041"/>
        <v>25.247126477743279</v>
      </c>
      <c r="AO126" s="161">
        <f t="shared" si="1041"/>
        <v>26.782274089002694</v>
      </c>
      <c r="AP126" s="161">
        <f t="shared" ref="AP126:CD126" si="1042">+AP123/AP125</f>
        <v>28.899614245291268</v>
      </c>
      <c r="AQ126" s="161">
        <f t="shared" si="1042"/>
        <v>35.890238355167391</v>
      </c>
      <c r="AR126" s="161">
        <f t="shared" si="1042"/>
        <v>40.164737478728888</v>
      </c>
      <c r="AS126" s="161">
        <f t="shared" si="1042"/>
        <v>48.099197484901111</v>
      </c>
      <c r="AT126" s="161">
        <f t="shared" si="1042"/>
        <v>54.005911732575242</v>
      </c>
      <c r="AU126" s="161">
        <f t="shared" si="1042"/>
        <v>53.360277756464349</v>
      </c>
      <c r="AV126" s="161">
        <f t="shared" si="1042"/>
        <v>53.696355021688532</v>
      </c>
      <c r="AW126" s="161">
        <f t="shared" si="1042"/>
        <v>43.513606197589105</v>
      </c>
      <c r="AX126" s="161">
        <f t="shared" si="1042"/>
        <v>42.514567499864249</v>
      </c>
      <c r="AY126" s="161">
        <f t="shared" si="1042"/>
        <v>41.808817589366377</v>
      </c>
      <c r="AZ126" s="161">
        <f t="shared" si="1042"/>
        <v>40.450455639970407</v>
      </c>
      <c r="BA126" s="161">
        <f t="shared" si="1042"/>
        <v>50.45867178554591</v>
      </c>
      <c r="BB126" s="161">
        <f t="shared" si="1042"/>
        <v>44.003812094279418</v>
      </c>
      <c r="BC126" s="161">
        <f t="shared" si="1042"/>
        <v>45.113660043209677</v>
      </c>
      <c r="BD126" s="161">
        <f t="shared" si="1042"/>
        <v>37.551364648209848</v>
      </c>
      <c r="BE126" s="161">
        <f t="shared" si="1042"/>
        <v>33.78246759408627</v>
      </c>
      <c r="BF126" s="161">
        <f t="shared" si="1042"/>
        <v>28.241701087885577</v>
      </c>
      <c r="BG126" s="161">
        <f t="shared" si="1042"/>
        <v>23.424672260460451</v>
      </c>
      <c r="BH126" s="161">
        <f t="shared" si="1042"/>
        <v>22.971239680252133</v>
      </c>
      <c r="BI126" s="161">
        <f t="shared" si="1042"/>
        <v>23.256178718081198</v>
      </c>
      <c r="BJ126" s="161">
        <f t="shared" si="1042"/>
        <v>23.55536174262177</v>
      </c>
      <c r="BK126" s="161">
        <f t="shared" si="1042"/>
        <v>24.091608226379222</v>
      </c>
      <c r="BL126" s="161">
        <f t="shared" si="1042"/>
        <v>22.110225441065612</v>
      </c>
      <c r="BM126" s="161">
        <f t="shared" si="1042"/>
        <v>22.117047301882916</v>
      </c>
      <c r="BN126" s="161">
        <f t="shared" si="1042"/>
        <v>24.677084675073552</v>
      </c>
      <c r="BO126" s="161">
        <f t="shared" si="1042"/>
        <v>26.715783528949558</v>
      </c>
      <c r="BP126" s="161">
        <f t="shared" si="1042"/>
        <v>30.133780106157332</v>
      </c>
      <c r="BQ126" s="161">
        <f t="shared" si="1042"/>
        <v>25.352188502574045</v>
      </c>
      <c r="BR126" s="161">
        <f t="shared" si="1042"/>
        <v>25.875667548631725</v>
      </c>
      <c r="BS126" s="161">
        <f t="shared" si="1042"/>
        <v>19.940341044598139</v>
      </c>
      <c r="BT126" s="161">
        <f t="shared" si="1042"/>
        <v>24.948714627826842</v>
      </c>
      <c r="BU126" s="161">
        <f t="shared" si="1042"/>
        <v>27.082563455956524</v>
      </c>
      <c r="BV126" s="161">
        <f t="shared" si="1042"/>
        <v>27.29303070032211</v>
      </c>
      <c r="BW126" s="161">
        <f t="shared" si="1042"/>
        <v>31.789976392144254</v>
      </c>
      <c r="BX126" s="161">
        <f t="shared" si="1042"/>
        <v>48.921640285978256</v>
      </c>
      <c r="BY126" s="161">
        <f t="shared" si="1042"/>
        <v>40.096161126090294</v>
      </c>
      <c r="BZ126" s="161">
        <f t="shared" si="1042"/>
        <v>36.26667283533223</v>
      </c>
      <c r="CA126" s="161">
        <f t="shared" si="1042"/>
        <v>37.915757557404483</v>
      </c>
      <c r="CB126" s="161">
        <f t="shared" si="1042"/>
        <v>42.107182477306779</v>
      </c>
      <c r="CC126" s="161">
        <f t="shared" si="1042"/>
        <v>38.261679533757189</v>
      </c>
      <c r="CD126" s="161">
        <f t="shared" si="1042"/>
        <v>38.809843431231251</v>
      </c>
      <c r="CE126" s="161">
        <f t="shared" ref="CE126:CF126" si="1043">+CE123/CE125</f>
        <v>55.631190358070427</v>
      </c>
      <c r="CF126" s="161">
        <f t="shared" si="1043"/>
        <v>52.605919409929463</v>
      </c>
      <c r="CG126" s="161">
        <f t="shared" ref="CG126:CH126" si="1044">+CG123/CG125</f>
        <v>43.186187870149993</v>
      </c>
      <c r="CH126" s="161">
        <f t="shared" si="1044"/>
        <v>37.684934077494191</v>
      </c>
      <c r="CI126" s="161">
        <f t="shared" ref="CI126:CJ126" si="1045">+CI123/CI125</f>
        <v>42.733027129450626</v>
      </c>
      <c r="CJ126" s="161">
        <f t="shared" si="1045"/>
        <v>40.448011882858601</v>
      </c>
      <c r="CK126" s="161">
        <f t="shared" ref="CK126:CL126" si="1046">+CK123/CK125</f>
        <v>37.897814829100071</v>
      </c>
      <c r="CL126" s="161">
        <f t="shared" si="1046"/>
        <v>36.615138973733103</v>
      </c>
      <c r="CM126" s="20">
        <f t="shared" ref="CM126:DA126" si="1047">+CM123/CM125</f>
        <v>36.578684334972962</v>
      </c>
      <c r="CN126" s="20">
        <f t="shared" si="1047"/>
        <v>37.183878694481002</v>
      </c>
      <c r="CO126" s="20">
        <f t="shared" si="1047"/>
        <v>37.676909254195756</v>
      </c>
      <c r="CP126" s="20">
        <f t="shared" si="1047"/>
        <v>37.953084278740938</v>
      </c>
      <c r="CQ126" s="20">
        <f t="shared" si="1047"/>
        <v>38.378170447041576</v>
      </c>
      <c r="CR126" s="20">
        <f t="shared" si="1047"/>
        <v>38.786781809875414</v>
      </c>
      <c r="CS126" s="20">
        <f t="shared" si="1047"/>
        <v>39.181092644722312</v>
      </c>
      <c r="CT126" s="20">
        <f t="shared" si="1047"/>
        <v>39.096276868535718</v>
      </c>
      <c r="CU126" s="20">
        <f t="shared" si="1047"/>
        <v>39.150973962240236</v>
      </c>
      <c r="CV126" s="20">
        <f t="shared" si="1047"/>
        <v>39.225399742456908</v>
      </c>
      <c r="CW126" s="20">
        <f t="shared" si="1047"/>
        <v>39.323371666313889</v>
      </c>
      <c r="CX126" s="20">
        <f t="shared" si="1047"/>
        <v>39.608759250256455</v>
      </c>
      <c r="CY126" s="20">
        <f t="shared" si="1047"/>
        <v>40.011113326624873</v>
      </c>
      <c r="CZ126" s="20">
        <f t="shared" si="1047"/>
        <v>40.468399265592872</v>
      </c>
      <c r="DA126" s="20">
        <f t="shared" si="1047"/>
        <v>40.984863399644546</v>
      </c>
      <c r="DD126" s="21"/>
      <c r="DE126" s="161">
        <v>37.897814829100099</v>
      </c>
    </row>
    <row r="127" spans="1:109" s="161" customFormat="1" hidden="1" outlineLevel="1" x14ac:dyDescent="0.2">
      <c r="A127" s="48" t="s">
        <v>344</v>
      </c>
      <c r="B127" s="161" t="e">
        <f>+B124/B125</f>
        <v>#DIV/0!</v>
      </c>
      <c r="C127" s="161" t="e">
        <f t="shared" ref="C127:W127" si="1048">+C124/C125</f>
        <v>#DIV/0!</v>
      </c>
      <c r="D127" s="161">
        <f t="shared" si="1048"/>
        <v>1.4539134375708143</v>
      </c>
      <c r="E127" s="161">
        <f t="shared" ca="1" si="1048"/>
        <v>4.1200520217545531</v>
      </c>
      <c r="F127" s="161">
        <f t="shared" ca="1" si="1048"/>
        <v>5.0479276378101883</v>
      </c>
      <c r="G127" s="161">
        <f t="shared" ca="1" si="1048"/>
        <v>5.8432794604224991</v>
      </c>
      <c r="H127" s="161">
        <f t="shared" ca="1" si="1048"/>
        <v>9.802879634332152</v>
      </c>
      <c r="I127" s="161">
        <f t="shared" ca="1" si="1048"/>
        <v>12.087008325059191</v>
      </c>
      <c r="J127" s="161">
        <f t="shared" ca="1" si="1048"/>
        <v>4.1702119250425893</v>
      </c>
      <c r="K127" s="161">
        <f t="shared" ca="1" si="1048"/>
        <v>5.6861120318196861</v>
      </c>
      <c r="L127" s="161">
        <f t="shared" ca="1" si="1048"/>
        <v>7.1821136197286251</v>
      </c>
      <c r="M127" s="161">
        <f t="shared" ca="1" si="1048"/>
        <v>8.3199025501984387</v>
      </c>
      <c r="N127" s="161">
        <f t="shared" ca="1" si="1048"/>
        <v>13.597046442151001</v>
      </c>
      <c r="O127" s="161">
        <f t="shared" ca="1" si="1048"/>
        <v>17.394522334528848</v>
      </c>
      <c r="P127" s="161">
        <f t="shared" ca="1" si="1048"/>
        <v>17.577827217567183</v>
      </c>
      <c r="Q127" s="161">
        <f t="shared" ca="1" si="1048"/>
        <v>33.267846304774366</v>
      </c>
      <c r="R127" s="161">
        <f t="shared" ca="1" si="1048"/>
        <v>36.817924655230399</v>
      </c>
      <c r="S127" s="161">
        <f t="shared" ca="1" si="1048"/>
        <v>16.294316856183368</v>
      </c>
      <c r="T127" s="161">
        <f t="shared" ca="1" si="1048"/>
        <v>19.492989956958382</v>
      </c>
      <c r="U127" s="161">
        <f t="shared" ca="1" si="1048"/>
        <v>17.613606407466996</v>
      </c>
      <c r="V127" s="161">
        <f t="shared" ca="1" si="1048"/>
        <v>15.405455459930698</v>
      </c>
      <c r="W127" s="161">
        <f t="shared" ca="1" si="1048"/>
        <v>12.234228029236096</v>
      </c>
      <c r="X127" s="161">
        <f t="shared" ref="X127:Y127" ca="1" si="1049">+X124/X125</f>
        <v>18.098908052629547</v>
      </c>
      <c r="Y127" s="161">
        <f t="shared" ca="1" si="1049"/>
        <v>29.009965652637725</v>
      </c>
      <c r="Z127" s="161">
        <f t="shared" ref="Z127:AA127" ca="1" si="1050">+Z124/Z125</f>
        <v>28.248692136914112</v>
      </c>
      <c r="AA127" s="161">
        <f t="shared" ref="AA127" ca="1" si="1051">+AA124/AA125</f>
        <v>28.248692136914112</v>
      </c>
      <c r="AB127" s="20">
        <f t="shared" ref="AB127:AD127" ca="1" si="1052">+AB124/AB125</f>
        <v>25.255312799356112</v>
      </c>
      <c r="AC127" s="20">
        <f t="shared" ca="1" si="1052"/>
        <v>25.944685794504995</v>
      </c>
      <c r="AD127" s="20">
        <f t="shared" ca="1" si="1052"/>
        <v>27.821120618322297</v>
      </c>
      <c r="AE127" s="20">
        <f t="shared" ref="AE127" ca="1" si="1053">+AE124/AE125</f>
        <v>27.616177460986243</v>
      </c>
      <c r="AL127" s="161">
        <f t="shared" ref="AL127:AM127" si="1054">+AL124/AL125</f>
        <v>20.111859587912978</v>
      </c>
      <c r="AM127" s="161">
        <f t="shared" si="1054"/>
        <v>21.613967839081774</v>
      </c>
      <c r="AN127" s="161">
        <f t="shared" ref="AN127:AO127" si="1055">+AN124/AN125</f>
        <v>18.657991324081674</v>
      </c>
      <c r="AO127" s="161">
        <f t="shared" si="1055"/>
        <v>19.992729451495194</v>
      </c>
      <c r="AP127" s="161">
        <f t="shared" ref="AP127:CD127" si="1056">+AP124/AP125</f>
        <v>21.83234206940044</v>
      </c>
      <c r="AQ127" s="161">
        <f t="shared" si="1056"/>
        <v>24.799081149927215</v>
      </c>
      <c r="AR127" s="161">
        <f t="shared" si="1056"/>
        <v>32.811689448366373</v>
      </c>
      <c r="AS127" s="161">
        <f t="shared" si="1056"/>
        <v>34.201338214610722</v>
      </c>
      <c r="AT127" s="161">
        <f t="shared" si="1056"/>
        <v>41.143032191312919</v>
      </c>
      <c r="AU127" s="161">
        <f t="shared" si="1056"/>
        <v>44.96543389856518</v>
      </c>
      <c r="AV127" s="161">
        <f t="shared" si="1056"/>
        <v>43.736976288116253</v>
      </c>
      <c r="AW127" s="161">
        <f t="shared" si="1056"/>
        <v>36.602266771488473</v>
      </c>
      <c r="AX127" s="161">
        <f t="shared" si="1056"/>
        <v>35.226147151805343</v>
      </c>
      <c r="AY127" s="161">
        <f t="shared" si="1056"/>
        <v>36.313911472448062</v>
      </c>
      <c r="AZ127" s="161">
        <f t="shared" si="1056"/>
        <v>37.52576125644795</v>
      </c>
      <c r="BA127" s="161">
        <f t="shared" si="1056"/>
        <v>37.636323836465287</v>
      </c>
      <c r="BB127" s="161">
        <f t="shared" si="1056"/>
        <v>35.596974302117175</v>
      </c>
      <c r="BC127" s="161">
        <f t="shared" si="1056"/>
        <v>39.659830204180984</v>
      </c>
      <c r="BD127" s="161">
        <f t="shared" si="1056"/>
        <v>29.941459096659742</v>
      </c>
      <c r="BE127" s="161">
        <f t="shared" si="1056"/>
        <v>26.663225218728055</v>
      </c>
      <c r="BF127" s="161">
        <f t="shared" si="1056"/>
        <v>24.388392556219255</v>
      </c>
      <c r="BG127" s="161">
        <f t="shared" si="1056"/>
        <v>21.460748041939496</v>
      </c>
      <c r="BH127" s="161">
        <f t="shared" si="1056"/>
        <v>20.370069436206265</v>
      </c>
      <c r="BI127" s="161">
        <f t="shared" si="1056"/>
        <v>18.473627389660891</v>
      </c>
      <c r="BJ127" s="161">
        <f t="shared" si="1056"/>
        <v>20.602426751792343</v>
      </c>
      <c r="BK127" s="161">
        <f t="shared" si="1056"/>
        <v>19.59486382574169</v>
      </c>
      <c r="BL127" s="161">
        <f t="shared" si="1056"/>
        <v>17.082379992871452</v>
      </c>
      <c r="BM127" s="161">
        <f t="shared" si="1056"/>
        <v>18.253889739421389</v>
      </c>
      <c r="BN127" s="161">
        <f t="shared" si="1056"/>
        <v>15.380430399980622</v>
      </c>
      <c r="BO127" s="161">
        <f t="shared" si="1056"/>
        <v>21.220759711240973</v>
      </c>
      <c r="BP127" s="161">
        <f t="shared" si="1056"/>
        <v>24.501843890488761</v>
      </c>
      <c r="BQ127" s="161">
        <f t="shared" si="1056"/>
        <v>17.792285309259118</v>
      </c>
      <c r="BR127" s="161">
        <f t="shared" si="1056"/>
        <v>19.539402039338405</v>
      </c>
      <c r="BS127" s="161">
        <f t="shared" si="1056"/>
        <v>16.509979131886478</v>
      </c>
      <c r="BT127" s="161">
        <f t="shared" si="1056"/>
        <v>16.876716554524741</v>
      </c>
      <c r="BU127" s="161">
        <f t="shared" si="1056"/>
        <v>21.3232702719394</v>
      </c>
      <c r="BV127" s="161">
        <f t="shared" si="1056"/>
        <v>21.941153720731798</v>
      </c>
      <c r="BW127" s="161">
        <f t="shared" si="1056"/>
        <v>24.177392305023652</v>
      </c>
      <c r="BX127" s="161">
        <f t="shared" si="1056"/>
        <v>27.078452952806696</v>
      </c>
      <c r="BY127" s="161">
        <f t="shared" si="1056"/>
        <v>30.224696575220769</v>
      </c>
      <c r="BZ127" s="161">
        <f t="shared" si="1056"/>
        <v>29.287492072607325</v>
      </c>
      <c r="CA127" s="161">
        <f t="shared" si="1056"/>
        <v>30.726068786954258</v>
      </c>
      <c r="CB127" s="161">
        <f t="shared" si="1056"/>
        <v>32.899092007076135</v>
      </c>
      <c r="CC127" s="161">
        <f t="shared" si="1056"/>
        <v>29.748108916136847</v>
      </c>
      <c r="CD127" s="161">
        <f t="shared" si="1056"/>
        <v>30.221635735815287</v>
      </c>
      <c r="CE127" s="161">
        <f t="shared" ref="CE127:CF127" si="1057">+CE124/CE125</f>
        <v>31.570651063705597</v>
      </c>
      <c r="CF127" s="161">
        <f t="shared" si="1057"/>
        <v>40.988461384240978</v>
      </c>
      <c r="CG127" s="161">
        <f t="shared" ref="CG127:CH127" si="1058">+CG124/CG125</f>
        <v>34.30526028117562</v>
      </c>
      <c r="CH127" s="161">
        <f t="shared" si="1058"/>
        <v>28.35101566387392</v>
      </c>
      <c r="CI127" s="161">
        <f t="shared" ref="CI127:CJ127" si="1059">+CI124/CI125</f>
        <v>27.627715825726259</v>
      </c>
      <c r="CJ127" s="161">
        <f t="shared" si="1059"/>
        <v>34.649628639159793</v>
      </c>
      <c r="CK127" s="161">
        <f t="shared" ref="CK127:CL127" si="1060">+CK124/CK125</f>
        <v>31.782413982824927</v>
      </c>
      <c r="CL127" s="161">
        <f t="shared" si="1060"/>
        <v>28.616231751661157</v>
      </c>
      <c r="CM127" s="20">
        <f t="shared" ref="CM127:DA127" si="1061">+CM124/CM125</f>
        <v>28.564920563513059</v>
      </c>
      <c r="CN127" s="20">
        <f t="shared" si="1061"/>
        <v>29.022441034838167</v>
      </c>
      <c r="CO127" s="20">
        <f t="shared" si="1061"/>
        <v>29.408529304685111</v>
      </c>
      <c r="CP127" s="20">
        <f t="shared" si="1061"/>
        <v>29.586956267319209</v>
      </c>
      <c r="CQ127" s="20">
        <f t="shared" si="1061"/>
        <v>29.901741462589509</v>
      </c>
      <c r="CR127" s="20">
        <f t="shared" si="1061"/>
        <v>30.208585978879508</v>
      </c>
      <c r="CS127" s="20">
        <f t="shared" si="1061"/>
        <v>30.516639071658389</v>
      </c>
      <c r="CT127" s="20">
        <f t="shared" si="1061"/>
        <v>30.40354447126084</v>
      </c>
      <c r="CU127" s="20">
        <f t="shared" si="1061"/>
        <v>30.423931435097323</v>
      </c>
      <c r="CV127" s="20">
        <f t="shared" si="1061"/>
        <v>30.465952753457938</v>
      </c>
      <c r="CW127" s="20">
        <f t="shared" si="1061"/>
        <v>30.536416241993287</v>
      </c>
      <c r="CX127" s="20">
        <f t="shared" si="1061"/>
        <v>30.717235285656823</v>
      </c>
      <c r="CY127" s="20">
        <f t="shared" si="1061"/>
        <v>31.012303913941988</v>
      </c>
      <c r="CZ127" s="20">
        <f t="shared" si="1061"/>
        <v>31.359516780465079</v>
      </c>
      <c r="DA127" s="20">
        <f t="shared" si="1061"/>
        <v>31.763919781949497</v>
      </c>
      <c r="DD127" s="21"/>
      <c r="DE127" s="161">
        <v>24.10048467969736</v>
      </c>
    </row>
    <row r="128" spans="1:109" s="10" customFormat="1" collapsed="1" x14ac:dyDescent="0.2">
      <c r="A128" s="148" t="s">
        <v>490</v>
      </c>
      <c r="AB128" s="19"/>
      <c r="AC128" s="19"/>
      <c r="AD128" s="19"/>
      <c r="AE128" s="19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D128" s="125"/>
    </row>
    <row r="129" spans="1:109" x14ac:dyDescent="0.2">
      <c r="A129" s="151" t="s">
        <v>491</v>
      </c>
      <c r="AA129" s="2"/>
      <c r="CL129" s="2"/>
    </row>
    <row r="130" spans="1:109" s="22" customFormat="1" outlineLevel="1" x14ac:dyDescent="0.2">
      <c r="A130" s="22" t="s">
        <v>41</v>
      </c>
      <c r="B130" s="22">
        <f>'Annual Raw'!C41</f>
        <v>0</v>
      </c>
      <c r="C130" s="22">
        <f>'Annual Raw'!D41</f>
        <v>0</v>
      </c>
      <c r="D130" s="22">
        <f>'Annual Raw'!E41</f>
        <v>16.62</v>
      </c>
      <c r="E130" s="22">
        <f>'Annual Raw'!F41</f>
        <v>16.62</v>
      </c>
      <c r="F130" s="22">
        <f>'Annual Raw'!G41</f>
        <v>16.62</v>
      </c>
      <c r="G130" s="22">
        <f>'Annual Raw'!H41</f>
        <v>16.62</v>
      </c>
      <c r="H130" s="22">
        <f>'Annual Raw'!I41</f>
        <v>16.62</v>
      </c>
      <c r="I130" s="22">
        <f>'Annual Raw'!J41</f>
        <v>16.62</v>
      </c>
      <c r="J130" s="22">
        <f>'Annual Raw'!K41</f>
        <v>16.62</v>
      </c>
      <c r="K130" s="22">
        <f>'Annual Raw'!L41</f>
        <v>16.62</v>
      </c>
      <c r="L130" s="22">
        <f>'Annual Raw'!M41</f>
        <v>16.62</v>
      </c>
      <c r="M130" s="22">
        <f>'Annual Raw'!N41</f>
        <v>16.62</v>
      </c>
      <c r="N130" s="22">
        <f>'Annual Raw'!O41</f>
        <v>16.62</v>
      </c>
      <c r="O130" s="22">
        <f>'Annual Raw'!P41</f>
        <v>16.62</v>
      </c>
      <c r="P130" s="22">
        <f>'Annual Raw'!Q41</f>
        <v>16.62</v>
      </c>
      <c r="Q130" s="22">
        <f>'Annual Raw'!R41</f>
        <v>16.62</v>
      </c>
      <c r="R130" s="22">
        <f>'Annual Raw'!S41</f>
        <v>16.62</v>
      </c>
      <c r="S130" s="22">
        <f>'Annual Raw'!T41</f>
        <v>16.62</v>
      </c>
      <c r="T130" s="22">
        <f>'Annual Raw'!U41</f>
        <v>31.26</v>
      </c>
      <c r="U130" s="22">
        <f>'Annual Raw'!V41</f>
        <v>31.26</v>
      </c>
      <c r="V130" s="22">
        <f>'Annual Raw'!W41</f>
        <v>31.26</v>
      </c>
      <c r="W130" s="22">
        <f>'Annual Raw'!X41</f>
        <v>31.26</v>
      </c>
      <c r="X130" s="22">
        <f>'Annual Raw'!Y41</f>
        <v>31.26</v>
      </c>
      <c r="Y130" s="22">
        <f>'Annual Raw'!Z41</f>
        <v>31.26</v>
      </c>
      <c r="Z130" s="22">
        <f>'Annual Raw'!AA41</f>
        <v>31.26</v>
      </c>
      <c r="AA130" s="22">
        <f>'Annual Raw'!AB41</f>
        <v>31.26</v>
      </c>
      <c r="AB130" s="23">
        <f>+CO130</f>
        <v>31.26</v>
      </c>
      <c r="AC130" s="23">
        <f>+CS130</f>
        <v>31.26</v>
      </c>
      <c r="AD130" s="23">
        <f>+CW130</f>
        <v>31.26</v>
      </c>
      <c r="AE130" s="23">
        <f>+DA130</f>
        <v>31.26</v>
      </c>
      <c r="AI130" s="22">
        <f>+'QTR Raw'!C56</f>
        <v>16.62</v>
      </c>
      <c r="AJ130" s="22">
        <f t="shared" ref="AJ130:AJ131" si="1062">+AI130</f>
        <v>16.62</v>
      </c>
      <c r="AK130" s="22">
        <f>+'QTR Raw'!E56</f>
        <v>16.62</v>
      </c>
      <c r="AL130" s="22">
        <f t="shared" ref="AL130:AL131" si="1063">+AK130</f>
        <v>16.62</v>
      </c>
      <c r="AM130" s="22">
        <f>+'QTR Raw'!G56</f>
        <v>16.62</v>
      </c>
      <c r="AN130" s="22">
        <f t="shared" ref="AN130:AN131" si="1064">+AM130</f>
        <v>16.62</v>
      </c>
      <c r="AO130" s="22">
        <f>+'QTR Raw'!I56</f>
        <v>16.62</v>
      </c>
      <c r="AP130" s="22">
        <f t="shared" ref="AP130:AP131" si="1065">+AO130</f>
        <v>16.62</v>
      </c>
      <c r="AQ130" s="22">
        <f>+'QTR Raw'!K56</f>
        <v>16.62</v>
      </c>
      <c r="AR130" s="22">
        <f t="shared" ref="AR130:AR131" si="1066">+AQ130</f>
        <v>16.62</v>
      </c>
      <c r="AS130" s="22">
        <f>+'QTR Raw'!M56</f>
        <v>16.62</v>
      </c>
      <c r="AT130" s="22">
        <f t="shared" ref="AT130:AT131" si="1067">+AS130</f>
        <v>16.62</v>
      </c>
      <c r="AU130" s="22">
        <f>+'QTR Raw'!O56</f>
        <v>16.62</v>
      </c>
      <c r="AV130" s="22">
        <f t="shared" ref="AV130:AV131" si="1068">+AU130</f>
        <v>16.62</v>
      </c>
      <c r="AW130" s="22">
        <f>+'QTR Raw'!Q56</f>
        <v>16.62</v>
      </c>
      <c r="AX130" s="22">
        <f t="shared" ref="AX130:AX131" si="1069">+AW130</f>
        <v>16.62</v>
      </c>
      <c r="AY130" s="22">
        <f>+'QTR Raw'!S56</f>
        <v>16.62</v>
      </c>
      <c r="AZ130" s="22">
        <f t="shared" ref="AZ130:AZ131" si="1070">+AY130</f>
        <v>16.62</v>
      </c>
      <c r="BA130" s="22">
        <f>+'QTR Raw'!U56</f>
        <v>16.62</v>
      </c>
      <c r="BB130" s="22">
        <f t="shared" ref="BB130:BB131" si="1071">+BA130</f>
        <v>16.62</v>
      </c>
      <c r="BC130" s="22">
        <f>+'QTR Raw'!W56</f>
        <v>16.62</v>
      </c>
      <c r="BD130" s="22">
        <f t="shared" ref="BD130:BD131" si="1072">+BC130</f>
        <v>16.62</v>
      </c>
      <c r="BE130" s="22">
        <f>+'QTR Raw'!Y56</f>
        <v>16.62</v>
      </c>
      <c r="BF130" s="22">
        <f t="shared" ref="BF130:BF131" si="1073">+BE130</f>
        <v>16.62</v>
      </c>
      <c r="BG130" s="22">
        <f>+'QTR Raw'!AA56</f>
        <v>16.62</v>
      </c>
      <c r="BH130" s="22">
        <f t="shared" ref="BH130:BH131" si="1074">+BG130</f>
        <v>16.62</v>
      </c>
      <c r="BI130" s="22">
        <f>+'QTR Raw'!AC56</f>
        <v>31.26</v>
      </c>
      <c r="BJ130" s="22">
        <f t="shared" ref="BJ130:BJ131" si="1075">+BI130</f>
        <v>31.26</v>
      </c>
      <c r="BK130" s="22">
        <f>+'QTR Raw'!AE56</f>
        <v>31.26</v>
      </c>
      <c r="BL130" s="22">
        <f t="shared" ref="BL130:BL131" si="1076">+BK130</f>
        <v>31.26</v>
      </c>
      <c r="BM130" s="22">
        <f>+'QTR Raw'!AG56</f>
        <v>31.26</v>
      </c>
      <c r="BN130" s="22">
        <f t="shared" ref="BN130:BN131" si="1077">+BM130</f>
        <v>31.26</v>
      </c>
      <c r="BO130" s="22">
        <f>+'QTR Raw'!AI56</f>
        <v>31.26</v>
      </c>
      <c r="BP130" s="22">
        <f t="shared" ref="BP130:BP131" si="1078">+BO130</f>
        <v>31.26</v>
      </c>
      <c r="BQ130" s="22">
        <f>+'QTR Raw'!AK56</f>
        <v>31.26</v>
      </c>
      <c r="BR130" s="22">
        <f t="shared" ref="BR130:BR131" si="1079">+BQ130</f>
        <v>31.26</v>
      </c>
      <c r="BS130" s="22">
        <f>+'QTR Raw'!AM56</f>
        <v>31.26</v>
      </c>
      <c r="BT130" s="22">
        <f t="shared" ref="BT130:BT131" si="1080">+BS130</f>
        <v>31.26</v>
      </c>
      <c r="BU130" s="22">
        <f>+'QTR Raw'!AO56</f>
        <v>31.26</v>
      </c>
      <c r="BV130" s="22">
        <f t="shared" ref="BV130:BV131" si="1081">+BU130</f>
        <v>31.26</v>
      </c>
      <c r="BW130" s="22">
        <f>+'QTR Raw'!AQ56</f>
        <v>31.26</v>
      </c>
      <c r="BX130" s="22">
        <f t="shared" ref="BX130:BX131" si="1082">+BW130</f>
        <v>31.26</v>
      </c>
      <c r="BY130" s="22">
        <f>+'QTR Raw'!AS56</f>
        <v>31.26</v>
      </c>
      <c r="BZ130" s="22">
        <f t="shared" ref="BZ130:BZ131" si="1083">+BY130</f>
        <v>31.26</v>
      </c>
      <c r="CA130" s="22">
        <f>+'QTR Raw'!AU56</f>
        <v>31.26</v>
      </c>
      <c r="CB130" s="22">
        <f t="shared" ref="CB130:CB131" si="1084">+CA130</f>
        <v>31.26</v>
      </c>
      <c r="CC130" s="22">
        <f>+'QTR Raw'!AW56</f>
        <v>31.26</v>
      </c>
      <c r="CD130" s="22">
        <f t="shared" ref="CD130:CD131" si="1085">+CC130</f>
        <v>31.26</v>
      </c>
      <c r="CE130" s="22">
        <f>+'QTR Raw'!AY56</f>
        <v>31.26</v>
      </c>
      <c r="CF130" s="22">
        <f t="shared" ref="CF130:CL130" si="1086">+CE130</f>
        <v>31.26</v>
      </c>
      <c r="CG130" s="22">
        <f>+Z130</f>
        <v>31.26</v>
      </c>
      <c r="CH130" s="22">
        <f t="shared" si="1086"/>
        <v>31.26</v>
      </c>
      <c r="CI130" s="22">
        <f>+'QTR Raw'!BC56</f>
        <v>31.26</v>
      </c>
      <c r="CJ130" s="22">
        <f t="shared" si="1086"/>
        <v>31.26</v>
      </c>
      <c r="CK130" s="22">
        <f>+'QTR Raw'!BE56</f>
        <v>31.26</v>
      </c>
      <c r="CL130" s="22">
        <f t="shared" si="1086"/>
        <v>31.26</v>
      </c>
      <c r="CM130" s="23">
        <f t="shared" ref="CM130:DA130" si="1087">CL130</f>
        <v>31.26</v>
      </c>
      <c r="CN130" s="23">
        <f t="shared" si="1087"/>
        <v>31.26</v>
      </c>
      <c r="CO130" s="23">
        <f t="shared" si="1087"/>
        <v>31.26</v>
      </c>
      <c r="CP130" s="23">
        <f t="shared" si="1087"/>
        <v>31.26</v>
      </c>
      <c r="CQ130" s="23">
        <f t="shared" si="1087"/>
        <v>31.26</v>
      </c>
      <c r="CR130" s="23">
        <f t="shared" si="1087"/>
        <v>31.26</v>
      </c>
      <c r="CS130" s="23">
        <f t="shared" si="1087"/>
        <v>31.26</v>
      </c>
      <c r="CT130" s="23">
        <f t="shared" si="1087"/>
        <v>31.26</v>
      </c>
      <c r="CU130" s="23">
        <f t="shared" si="1087"/>
        <v>31.26</v>
      </c>
      <c r="CV130" s="23">
        <f t="shared" si="1087"/>
        <v>31.26</v>
      </c>
      <c r="CW130" s="23">
        <f t="shared" si="1087"/>
        <v>31.26</v>
      </c>
      <c r="CX130" s="23">
        <f t="shared" si="1087"/>
        <v>31.26</v>
      </c>
      <c r="CY130" s="23">
        <f t="shared" si="1087"/>
        <v>31.26</v>
      </c>
      <c r="CZ130" s="23">
        <f t="shared" si="1087"/>
        <v>31.26</v>
      </c>
      <c r="DA130" s="23">
        <f t="shared" si="1087"/>
        <v>31.26</v>
      </c>
      <c r="DD130" s="122"/>
      <c r="DE130" s="22">
        <v>31.26</v>
      </c>
    </row>
    <row r="131" spans="1:109" s="22" customFormat="1" outlineLevel="1" x14ac:dyDescent="0.2">
      <c r="A131" s="22" t="s">
        <v>42</v>
      </c>
      <c r="B131" s="22">
        <f>'Annual Raw'!C42</f>
        <v>0</v>
      </c>
      <c r="C131" s="22">
        <f>'Annual Raw'!D42</f>
        <v>0</v>
      </c>
      <c r="D131" s="22">
        <f>'Annual Raw'!E42</f>
        <v>0</v>
      </c>
      <c r="E131" s="22">
        <f>'Annual Raw'!F42</f>
        <v>0</v>
      </c>
      <c r="F131" s="22">
        <f>'Annual Raw'!G42</f>
        <v>0</v>
      </c>
      <c r="G131" s="22">
        <f>'Annual Raw'!H42</f>
        <v>0</v>
      </c>
      <c r="H131" s="22">
        <f>'Annual Raw'!I42</f>
        <v>0</v>
      </c>
      <c r="I131" s="22">
        <f>'Annual Raw'!J42</f>
        <v>0</v>
      </c>
      <c r="J131" s="22">
        <f>'Annual Raw'!K42</f>
        <v>0</v>
      </c>
      <c r="K131" s="22">
        <f>'Annual Raw'!L42</f>
        <v>0</v>
      </c>
      <c r="L131" s="22">
        <f>'Annual Raw'!M42</f>
        <v>0</v>
      </c>
      <c r="M131" s="22">
        <f>'Annual Raw'!N42</f>
        <v>0</v>
      </c>
      <c r="N131" s="22">
        <f>'Annual Raw'!O42</f>
        <v>0</v>
      </c>
      <c r="O131" s="22">
        <f>'Annual Raw'!P42</f>
        <v>0</v>
      </c>
      <c r="P131" s="22">
        <f>'Annual Raw'!Q42</f>
        <v>0</v>
      </c>
      <c r="Q131" s="22">
        <f>'Annual Raw'!R42</f>
        <v>0</v>
      </c>
      <c r="R131" s="22">
        <f>'Annual Raw'!S42</f>
        <v>0</v>
      </c>
      <c r="S131" s="22">
        <f>'Annual Raw'!T42</f>
        <v>14.64</v>
      </c>
      <c r="T131" s="22">
        <f>'Annual Raw'!U42</f>
        <v>0</v>
      </c>
      <c r="U131" s="22">
        <f>'Annual Raw'!V42</f>
        <v>0</v>
      </c>
      <c r="V131" s="22">
        <f>'Annual Raw'!W42</f>
        <v>0</v>
      </c>
      <c r="W131" s="22">
        <f>'Annual Raw'!X42</f>
        <v>0</v>
      </c>
      <c r="X131" s="22">
        <f>'Annual Raw'!Y42</f>
        <v>0</v>
      </c>
      <c r="Y131" s="22">
        <f>'Annual Raw'!Z42</f>
        <v>0</v>
      </c>
      <c r="Z131" s="22">
        <f>'Annual Raw'!AA42</f>
        <v>0</v>
      </c>
      <c r="AA131" s="22">
        <f>'Annual Raw'!AB42</f>
        <v>0</v>
      </c>
      <c r="AB131" s="23">
        <f t="shared" ref="AB131:AB132" si="1088">+CO131</f>
        <v>0</v>
      </c>
      <c r="AC131" s="23">
        <f t="shared" ref="AC131:AC132" si="1089">+CS131</f>
        <v>0</v>
      </c>
      <c r="AD131" s="23">
        <f t="shared" ref="AD131:AD132" si="1090">+CW131</f>
        <v>0</v>
      </c>
      <c r="AE131" s="23">
        <f t="shared" ref="AE131:AE132" si="1091">+DA131</f>
        <v>0</v>
      </c>
      <c r="AI131" s="22">
        <f>+'QTR Raw'!C57</f>
        <v>0</v>
      </c>
      <c r="AJ131" s="22">
        <f t="shared" si="1062"/>
        <v>0</v>
      </c>
      <c r="AK131" s="22">
        <f>+'QTR Raw'!E57</f>
        <v>0</v>
      </c>
      <c r="AL131" s="22">
        <f t="shared" si="1063"/>
        <v>0</v>
      </c>
      <c r="AM131" s="22">
        <f>+'QTR Raw'!G57</f>
        <v>0</v>
      </c>
      <c r="AN131" s="22">
        <f t="shared" si="1064"/>
        <v>0</v>
      </c>
      <c r="AO131" s="22">
        <f>+'QTR Raw'!I57</f>
        <v>0</v>
      </c>
      <c r="AP131" s="22">
        <f t="shared" si="1065"/>
        <v>0</v>
      </c>
      <c r="AQ131" s="22">
        <f>+'QTR Raw'!K57</f>
        <v>0</v>
      </c>
      <c r="AR131" s="22">
        <f t="shared" si="1066"/>
        <v>0</v>
      </c>
      <c r="AS131" s="22">
        <f>+'QTR Raw'!M57</f>
        <v>0</v>
      </c>
      <c r="AT131" s="22">
        <f t="shared" si="1067"/>
        <v>0</v>
      </c>
      <c r="AU131" s="22">
        <f>+'QTR Raw'!O57</f>
        <v>0</v>
      </c>
      <c r="AV131" s="22">
        <f t="shared" si="1068"/>
        <v>0</v>
      </c>
      <c r="AW131" s="22">
        <f>+'QTR Raw'!Q57</f>
        <v>0</v>
      </c>
      <c r="AX131" s="22">
        <f t="shared" si="1069"/>
        <v>0</v>
      </c>
      <c r="AY131" s="22">
        <f>+'QTR Raw'!S57</f>
        <v>0</v>
      </c>
      <c r="AZ131" s="22">
        <f t="shared" si="1070"/>
        <v>0</v>
      </c>
      <c r="BA131" s="22">
        <f>+'QTR Raw'!U57</f>
        <v>0</v>
      </c>
      <c r="BB131" s="22">
        <f t="shared" si="1071"/>
        <v>0</v>
      </c>
      <c r="BC131" s="22">
        <f>+'QTR Raw'!W57</f>
        <v>0</v>
      </c>
      <c r="BD131" s="22">
        <f t="shared" si="1072"/>
        <v>0</v>
      </c>
      <c r="BE131" s="22">
        <f>+'QTR Raw'!Y57</f>
        <v>0</v>
      </c>
      <c r="BF131" s="22">
        <f t="shared" si="1073"/>
        <v>0</v>
      </c>
      <c r="BG131" s="22">
        <f>+'QTR Raw'!AA57</f>
        <v>0</v>
      </c>
      <c r="BH131" s="22">
        <f t="shared" si="1074"/>
        <v>0</v>
      </c>
      <c r="BI131" s="22">
        <f>+'QTR Raw'!AC57</f>
        <v>0</v>
      </c>
      <c r="BJ131" s="22">
        <f t="shared" si="1075"/>
        <v>0</v>
      </c>
      <c r="BK131" s="22">
        <f>+'QTR Raw'!AE57</f>
        <v>0</v>
      </c>
      <c r="BL131" s="22">
        <f t="shared" si="1076"/>
        <v>0</v>
      </c>
      <c r="BM131" s="22">
        <f>+'QTR Raw'!AG57</f>
        <v>0</v>
      </c>
      <c r="BN131" s="22">
        <f t="shared" si="1077"/>
        <v>0</v>
      </c>
      <c r="BO131" s="22">
        <f>+'QTR Raw'!AI57</f>
        <v>0</v>
      </c>
      <c r="BP131" s="22">
        <f t="shared" si="1078"/>
        <v>0</v>
      </c>
      <c r="BQ131" s="22">
        <f>+'QTR Raw'!AK57</f>
        <v>0</v>
      </c>
      <c r="BR131" s="22">
        <f t="shared" si="1079"/>
        <v>0</v>
      </c>
      <c r="BS131" s="22">
        <f>+'QTR Raw'!AM57</f>
        <v>0</v>
      </c>
      <c r="BT131" s="22">
        <f t="shared" si="1080"/>
        <v>0</v>
      </c>
      <c r="BU131" s="22">
        <f>+'QTR Raw'!AO57</f>
        <v>0</v>
      </c>
      <c r="BV131" s="22">
        <f t="shared" si="1081"/>
        <v>0</v>
      </c>
      <c r="BW131" s="22">
        <f>+'QTR Raw'!AQ57</f>
        <v>0</v>
      </c>
      <c r="BX131" s="22">
        <f t="shared" si="1082"/>
        <v>0</v>
      </c>
      <c r="BY131" s="22">
        <f>+'QTR Raw'!AS57</f>
        <v>0</v>
      </c>
      <c r="BZ131" s="22">
        <f t="shared" si="1083"/>
        <v>0</v>
      </c>
      <c r="CA131" s="22">
        <f>+'QTR Raw'!AU57</f>
        <v>0</v>
      </c>
      <c r="CB131" s="22">
        <f t="shared" si="1084"/>
        <v>0</v>
      </c>
      <c r="CC131" s="22">
        <f>+'QTR Raw'!AW57</f>
        <v>0</v>
      </c>
      <c r="CD131" s="22">
        <f t="shared" si="1085"/>
        <v>0</v>
      </c>
      <c r="CE131" s="22">
        <f>+'QTR Raw'!AY57</f>
        <v>0</v>
      </c>
      <c r="CF131" s="22">
        <f t="shared" ref="CF131:CL131" si="1092">+CE131</f>
        <v>0</v>
      </c>
      <c r="CG131" s="22">
        <f t="shared" ref="CG131:CG132" si="1093">+Z131</f>
        <v>0</v>
      </c>
      <c r="CH131" s="22">
        <f t="shared" si="1092"/>
        <v>0</v>
      </c>
      <c r="CI131" s="22">
        <f>+'QTR Raw'!BC57</f>
        <v>0</v>
      </c>
      <c r="CJ131" s="22">
        <f t="shared" si="1092"/>
        <v>0</v>
      </c>
      <c r="CK131" s="22">
        <f>+'QTR Raw'!BE57</f>
        <v>0</v>
      </c>
      <c r="CL131" s="22">
        <f t="shared" si="1092"/>
        <v>0</v>
      </c>
      <c r="CM131" s="23">
        <f t="shared" ref="CM131:DA131" si="1094">CL131</f>
        <v>0</v>
      </c>
      <c r="CN131" s="23">
        <f t="shared" si="1094"/>
        <v>0</v>
      </c>
      <c r="CO131" s="23">
        <f t="shared" si="1094"/>
        <v>0</v>
      </c>
      <c r="CP131" s="23">
        <f t="shared" si="1094"/>
        <v>0</v>
      </c>
      <c r="CQ131" s="23">
        <f t="shared" si="1094"/>
        <v>0</v>
      </c>
      <c r="CR131" s="23">
        <f t="shared" si="1094"/>
        <v>0</v>
      </c>
      <c r="CS131" s="23">
        <f t="shared" si="1094"/>
        <v>0</v>
      </c>
      <c r="CT131" s="23">
        <f t="shared" si="1094"/>
        <v>0</v>
      </c>
      <c r="CU131" s="23">
        <f t="shared" si="1094"/>
        <v>0</v>
      </c>
      <c r="CV131" s="23">
        <f t="shared" si="1094"/>
        <v>0</v>
      </c>
      <c r="CW131" s="23">
        <f t="shared" si="1094"/>
        <v>0</v>
      </c>
      <c r="CX131" s="23">
        <f t="shared" si="1094"/>
        <v>0</v>
      </c>
      <c r="CY131" s="23">
        <f t="shared" si="1094"/>
        <v>0</v>
      </c>
      <c r="CZ131" s="23">
        <f t="shared" si="1094"/>
        <v>0</v>
      </c>
      <c r="DA131" s="23">
        <f t="shared" si="1094"/>
        <v>0</v>
      </c>
      <c r="DD131" s="122"/>
      <c r="DE131" s="22">
        <v>0</v>
      </c>
    </row>
    <row r="132" spans="1:109" s="22" customFormat="1" outlineLevel="1" x14ac:dyDescent="0.2">
      <c r="A132" s="22" t="s">
        <v>43</v>
      </c>
      <c r="B132" s="22">
        <f>'Annual Raw'!C43</f>
        <v>0</v>
      </c>
      <c r="C132" s="22">
        <f>'Annual Raw'!D43</f>
        <v>0</v>
      </c>
      <c r="D132" s="22">
        <f>'Annual Raw'!E43</f>
        <v>85.76</v>
      </c>
      <c r="E132" s="22">
        <f>'Annual Raw'!F43</f>
        <v>99.57</v>
      </c>
      <c r="F132" s="22">
        <f>'Annual Raw'!G43</f>
        <v>123.81</v>
      </c>
      <c r="G132" s="22">
        <f>'Annual Raw'!H43</f>
        <v>164.95</v>
      </c>
      <c r="H132" s="22">
        <f>'Annual Raw'!I43</f>
        <v>231.01</v>
      </c>
      <c r="I132" s="22">
        <f>'Annual Raw'!J43</f>
        <v>301.48</v>
      </c>
      <c r="J132" s="22">
        <f>'Annual Raw'!K43</f>
        <v>388.39</v>
      </c>
      <c r="K132" s="22">
        <f>'Annual Raw'!L43</f>
        <v>445.12</v>
      </c>
      <c r="L132" s="22">
        <f>'Annual Raw'!M43</f>
        <v>556.84</v>
      </c>
      <c r="M132" s="22">
        <f>'Annual Raw'!N43</f>
        <v>713.42</v>
      </c>
      <c r="N132" s="22">
        <f>'Annual Raw'!O43</f>
        <v>862.88</v>
      </c>
      <c r="O132" s="22">
        <f>'Annual Raw'!P43</f>
        <v>972.93</v>
      </c>
      <c r="P132" s="22">
        <f>'Annual Raw'!Q43</f>
        <v>1090.8699999999999</v>
      </c>
      <c r="Q132" s="22">
        <f>'Annual Raw'!R43</f>
        <v>1272.6199999999999</v>
      </c>
      <c r="R132" s="22">
        <f>'Annual Raw'!S43</f>
        <v>1458.54</v>
      </c>
      <c r="S132" s="22">
        <f>'Annual Raw'!T43</f>
        <v>2293.9</v>
      </c>
      <c r="T132" s="22">
        <f>'Annual Raw'!U43</f>
        <v>2674.86</v>
      </c>
      <c r="U132" s="22">
        <f>'Annual Raw'!V43</f>
        <v>2930.9</v>
      </c>
      <c r="V132" s="22">
        <f>'Annual Raw'!W43</f>
        <v>3109.03</v>
      </c>
      <c r="W132" s="22">
        <f>'Annual Raw'!X43</f>
        <v>3622.41</v>
      </c>
      <c r="X132" s="22">
        <f>'Annual Raw'!Y43</f>
        <v>4254.6400000000003</v>
      </c>
      <c r="Y132" s="22">
        <f>'Annual Raw'!Z43</f>
        <v>4774.09</v>
      </c>
      <c r="Z132" s="22">
        <f>'Annual Raw'!AA43</f>
        <v>5303.17</v>
      </c>
      <c r="AA132" s="22">
        <f>'Annual Raw'!AB43</f>
        <v>6016.7</v>
      </c>
      <c r="AB132" s="23">
        <f t="shared" si="1088"/>
        <v>7421.1446743708884</v>
      </c>
      <c r="AC132" s="23">
        <f t="shared" si="1089"/>
        <v>9137.7632498562234</v>
      </c>
      <c r="AD132" s="23">
        <f t="shared" si="1090"/>
        <v>11066.035568987301</v>
      </c>
      <c r="AE132" s="23">
        <f t="shared" si="1091"/>
        <v>13350.170587910156</v>
      </c>
      <c r="AI132" s="22">
        <f>+'QTR Raw'!C58</f>
        <v>786.63</v>
      </c>
      <c r="AJ132" s="22">
        <f>+AI132+AJ61</f>
        <v>823.57</v>
      </c>
      <c r="AK132" s="22">
        <f>+'QTR Raw'!E58</f>
        <v>862.88</v>
      </c>
      <c r="AL132" s="22">
        <f>+AK132+AL61</f>
        <v>888.32999999999993</v>
      </c>
      <c r="AM132" s="22">
        <f>+'QTR Raw'!G58</f>
        <v>913.82</v>
      </c>
      <c r="AN132" s="22">
        <f>+AM132+AN61</f>
        <v>949.71</v>
      </c>
      <c r="AO132" s="22">
        <f>+'QTR Raw'!I58</f>
        <v>972.93</v>
      </c>
      <c r="AP132" s="22">
        <f>+AO132+AP61</f>
        <v>1007.6099999999999</v>
      </c>
      <c r="AQ132" s="22">
        <f>+'QTR Raw'!K58</f>
        <v>1048.3499999999999</v>
      </c>
      <c r="AR132" s="22">
        <f>+AQ132+AR61</f>
        <v>1085.8599999999999</v>
      </c>
      <c r="AS132" s="22">
        <f>+'QTR Raw'!M58</f>
        <v>1090.8699999999999</v>
      </c>
      <c r="AT132" s="22">
        <f>+AS132+AT61</f>
        <v>1132.2699999999998</v>
      </c>
      <c r="AU132" s="22">
        <f>+'QTR Raw'!O58</f>
        <v>1191.79</v>
      </c>
      <c r="AV132" s="22">
        <f>+AU132+AV61</f>
        <v>1242.3899999999999</v>
      </c>
      <c r="AW132" s="22">
        <f>+'QTR Raw'!Q58</f>
        <v>1272.6199999999999</v>
      </c>
      <c r="AX132" s="22">
        <f>+AW132+AX61</f>
        <v>1314.08</v>
      </c>
      <c r="AY132" s="22">
        <f>+'QTR Raw'!S58</f>
        <v>1359.97</v>
      </c>
      <c r="AZ132" s="22">
        <f>+AY132+AZ61</f>
        <v>1412.49</v>
      </c>
      <c r="BA132" s="22">
        <f>+'QTR Raw'!U58</f>
        <v>1458.54</v>
      </c>
      <c r="BB132" s="22">
        <f>+BA132+BB61</f>
        <v>1516.02</v>
      </c>
      <c r="BC132" s="22">
        <f>+'QTR Raw'!W58</f>
        <v>1550.4</v>
      </c>
      <c r="BD132" s="22">
        <f>+BC132+BD61</f>
        <v>1645.88</v>
      </c>
      <c r="BE132" s="22">
        <f>+'QTR Raw'!Y58</f>
        <v>1678.7</v>
      </c>
      <c r="BF132" s="22">
        <f>+BE132+BF61</f>
        <v>1789.24</v>
      </c>
      <c r="BG132" s="22">
        <f>+'QTR Raw'!AA58</f>
        <v>1770.13</v>
      </c>
      <c r="BH132" s="22">
        <f>+BG132+BH61</f>
        <v>1860.7900000000002</v>
      </c>
      <c r="BI132" s="22">
        <f>+'QTR Raw'!AC58</f>
        <v>2674.86</v>
      </c>
      <c r="BJ132" s="22">
        <f>+BI132+BJ61</f>
        <v>2781.04</v>
      </c>
      <c r="BK132" s="22">
        <f>+'QTR Raw'!AE58</f>
        <v>2751.46</v>
      </c>
      <c r="BL132" s="22">
        <f>+BK132+BL61</f>
        <v>2845.8900000000003</v>
      </c>
      <c r="BM132" s="22">
        <f>+'QTR Raw'!AG58</f>
        <v>2930.9</v>
      </c>
      <c r="BN132" s="22">
        <f>+BM132+BN61</f>
        <v>3009.25</v>
      </c>
      <c r="BO132" s="22">
        <f>+'QTR Raw'!AI58</f>
        <v>2855.95</v>
      </c>
      <c r="BP132" s="22">
        <f>+BO132+BP61</f>
        <v>2969.42</v>
      </c>
      <c r="BQ132" s="22">
        <f>+'QTR Raw'!AK58</f>
        <v>3109.03</v>
      </c>
      <c r="BR132" s="22">
        <f>+BQ132+BR61</f>
        <v>3248.57</v>
      </c>
      <c r="BS132" s="22">
        <f>+'QTR Raw'!AM58</f>
        <v>3265.01</v>
      </c>
      <c r="BT132" s="22">
        <f>+BS132+BT61</f>
        <v>3435.82</v>
      </c>
      <c r="BU132" s="22">
        <f>+'QTR Raw'!AO58</f>
        <v>3622.41</v>
      </c>
      <c r="BV132" s="22">
        <f>+BU132+BV61</f>
        <v>3829.5299999999997</v>
      </c>
      <c r="BW132" s="22">
        <f>+'QTR Raw'!AQ58</f>
        <v>3809.27</v>
      </c>
      <c r="BX132" s="22">
        <f>+BW132+BX61</f>
        <v>4024.63</v>
      </c>
      <c r="BY132" s="22">
        <f>+'QTR Raw'!AS58</f>
        <v>4254.6400000000003</v>
      </c>
      <c r="BZ132" s="22">
        <f>+BY132+BZ61</f>
        <v>4474.01</v>
      </c>
      <c r="CA132" s="22">
        <f>+'QTR Raw'!AU58</f>
        <v>4335.51</v>
      </c>
      <c r="CB132" s="22">
        <f>+CA132+CB61</f>
        <v>4568.2700000000004</v>
      </c>
      <c r="CC132" s="22">
        <f>+'QTR Raw'!AW58</f>
        <v>4774.09</v>
      </c>
      <c r="CD132" s="22">
        <f>+CC132+CD61</f>
        <v>4993.8100000000004</v>
      </c>
      <c r="CE132" s="22">
        <f>+'QTR Raw'!AY58</f>
        <v>4834.8900000000003</v>
      </c>
      <c r="CF132" s="22">
        <f>+CE132+CF61</f>
        <v>5071.3</v>
      </c>
      <c r="CG132" s="22">
        <f t="shared" si="1093"/>
        <v>5303.17</v>
      </c>
      <c r="CH132" s="22">
        <f>+CG132+CH61</f>
        <v>5554.79</v>
      </c>
      <c r="CI132" s="22">
        <f>+'QTR Raw'!BC58</f>
        <v>5403.61</v>
      </c>
      <c r="CJ132" s="22">
        <f>+CI132+CJ61</f>
        <v>5692.87</v>
      </c>
      <c r="CK132" s="22">
        <f>+'QTR Raw'!BE58</f>
        <v>6016.7</v>
      </c>
      <c r="CL132" s="22">
        <f>+CK132+CL61</f>
        <v>6332.7699999999995</v>
      </c>
      <c r="CM132" s="23">
        <f t="shared" ref="CM132:DA132" si="1095">CL132+CM61</f>
        <v>6662.3666812694773</v>
      </c>
      <c r="CN132" s="23">
        <f t="shared" si="1095"/>
        <v>7015.7870079399772</v>
      </c>
      <c r="CO132" s="23">
        <f t="shared" si="1095"/>
        <v>7421.1446743708884</v>
      </c>
      <c r="CP132" s="23">
        <f t="shared" si="1095"/>
        <v>7805.8844733841534</v>
      </c>
      <c r="CQ132" s="23">
        <f t="shared" si="1095"/>
        <v>8210.7058114787778</v>
      </c>
      <c r="CR132" s="23">
        <f t="shared" si="1095"/>
        <v>8644.3428086225522</v>
      </c>
      <c r="CS132" s="23">
        <f t="shared" si="1095"/>
        <v>9137.7632498562234</v>
      </c>
      <c r="CT132" s="23">
        <f t="shared" si="1095"/>
        <v>9573.9728668408043</v>
      </c>
      <c r="CU132" s="23">
        <f t="shared" si="1095"/>
        <v>10030.079178728083</v>
      </c>
      <c r="CV132" s="23">
        <f t="shared" si="1095"/>
        <v>10517.522286669497</v>
      </c>
      <c r="CW132" s="23">
        <f t="shared" si="1095"/>
        <v>11066.035568987301</v>
      </c>
      <c r="CX132" s="23">
        <f t="shared" si="1095"/>
        <v>11581.903835238756</v>
      </c>
      <c r="CY132" s="23">
        <f t="shared" si="1095"/>
        <v>12119.646062967089</v>
      </c>
      <c r="CZ132" s="23">
        <f t="shared" si="1095"/>
        <v>12698.187562652371</v>
      </c>
      <c r="DA132" s="23">
        <f t="shared" si="1095"/>
        <v>13350.170587910156</v>
      </c>
      <c r="DD132" s="122"/>
      <c r="DE132" s="22">
        <v>6016.7</v>
      </c>
    </row>
    <row r="133" spans="1:109" s="21" customFormat="1" x14ac:dyDescent="0.2">
      <c r="A133" s="21" t="s">
        <v>44</v>
      </c>
      <c r="B133" s="21">
        <f>B130+B131+B132</f>
        <v>0</v>
      </c>
      <c r="C133" s="21">
        <f t="shared" ref="C133:V133" si="1096">C130+C131+C132</f>
        <v>0</v>
      </c>
      <c r="D133" s="21">
        <f t="shared" si="1096"/>
        <v>102.38000000000001</v>
      </c>
      <c r="E133" s="21">
        <f t="shared" si="1096"/>
        <v>116.19</v>
      </c>
      <c r="F133" s="21">
        <f t="shared" si="1096"/>
        <v>140.43</v>
      </c>
      <c r="G133" s="21">
        <f t="shared" si="1096"/>
        <v>181.57</v>
      </c>
      <c r="H133" s="21">
        <f t="shared" si="1096"/>
        <v>247.63</v>
      </c>
      <c r="I133" s="21">
        <f t="shared" si="1096"/>
        <v>318.10000000000002</v>
      </c>
      <c r="J133" s="21">
        <f t="shared" si="1096"/>
        <v>405.01</v>
      </c>
      <c r="K133" s="21">
        <f t="shared" si="1096"/>
        <v>461.74</v>
      </c>
      <c r="L133" s="21">
        <f t="shared" si="1096"/>
        <v>573.46</v>
      </c>
      <c r="M133" s="21">
        <f>M130+M131+M132</f>
        <v>730.04</v>
      </c>
      <c r="N133" s="21">
        <f t="shared" si="1096"/>
        <v>879.5</v>
      </c>
      <c r="O133" s="21">
        <f t="shared" si="1096"/>
        <v>989.55</v>
      </c>
      <c r="P133" s="21">
        <f t="shared" si="1096"/>
        <v>1107.4899999999998</v>
      </c>
      <c r="Q133" s="21">
        <f t="shared" si="1096"/>
        <v>1289.2399999999998</v>
      </c>
      <c r="R133" s="21">
        <f t="shared" si="1096"/>
        <v>1475.1599999999999</v>
      </c>
      <c r="S133" s="21">
        <f t="shared" si="1096"/>
        <v>2325.1600000000003</v>
      </c>
      <c r="T133" s="21">
        <f t="shared" si="1096"/>
        <v>2706.1200000000003</v>
      </c>
      <c r="U133" s="21">
        <f t="shared" si="1096"/>
        <v>2962.1600000000003</v>
      </c>
      <c r="V133" s="21">
        <f t="shared" si="1096"/>
        <v>3140.2900000000004</v>
      </c>
      <c r="W133" s="21">
        <f t="shared" ref="W133" si="1097">W130+W131+W132</f>
        <v>3653.67</v>
      </c>
      <c r="X133" s="21">
        <f t="shared" ref="X133:Y133" si="1098">X130+X131+X132</f>
        <v>4285.9000000000005</v>
      </c>
      <c r="Y133" s="21">
        <f t="shared" si="1098"/>
        <v>4805.3500000000004</v>
      </c>
      <c r="Z133" s="21">
        <f t="shared" ref="Z133:AA133" si="1099">Z130+Z131+Z132</f>
        <v>5334.43</v>
      </c>
      <c r="AA133" s="21">
        <f t="shared" ref="AA133" si="1100">AA130+AA131+AA132</f>
        <v>6047.96</v>
      </c>
      <c r="AB133" s="20">
        <f t="shared" ref="AB133:AD133" si="1101">AB130+AB131+AB132</f>
        <v>7452.4046743708886</v>
      </c>
      <c r="AC133" s="20">
        <f t="shared" si="1101"/>
        <v>9169.0232498562236</v>
      </c>
      <c r="AD133" s="20">
        <f t="shared" si="1101"/>
        <v>11097.295568987302</v>
      </c>
      <c r="AE133" s="20">
        <f t="shared" ref="AE133" si="1102">AE130+AE131+AE132</f>
        <v>13381.430587910156</v>
      </c>
      <c r="AI133" s="21">
        <f t="shared" ref="AI133:AL133" si="1103">AI130+AI131+AI132</f>
        <v>803.25</v>
      </c>
      <c r="AJ133" s="21">
        <f t="shared" si="1103"/>
        <v>840.19</v>
      </c>
      <c r="AK133" s="21">
        <f t="shared" si="1103"/>
        <v>879.5</v>
      </c>
      <c r="AL133" s="21">
        <f t="shared" si="1103"/>
        <v>904.94999999999993</v>
      </c>
      <c r="AM133" s="21">
        <f t="shared" ref="AM133:AP133" si="1104">AM130+AM131+AM132</f>
        <v>930.44</v>
      </c>
      <c r="AN133" s="21">
        <f t="shared" si="1104"/>
        <v>966.33</v>
      </c>
      <c r="AO133" s="21">
        <f t="shared" si="1104"/>
        <v>989.55</v>
      </c>
      <c r="AP133" s="21">
        <f t="shared" si="1104"/>
        <v>1024.2299999999998</v>
      </c>
      <c r="AQ133" s="21">
        <f t="shared" ref="AQ133:AT133" si="1105">AQ130+AQ131+AQ132</f>
        <v>1064.9699999999998</v>
      </c>
      <c r="AR133" s="21">
        <f t="shared" si="1105"/>
        <v>1102.4799999999998</v>
      </c>
      <c r="AS133" s="21">
        <f t="shared" si="1105"/>
        <v>1107.4899999999998</v>
      </c>
      <c r="AT133" s="21">
        <f t="shared" si="1105"/>
        <v>1148.8899999999996</v>
      </c>
      <c r="AU133" s="21">
        <f t="shared" ref="AU133:AX133" si="1106">AU130+AU131+AU132</f>
        <v>1208.4099999999999</v>
      </c>
      <c r="AV133" s="21">
        <f t="shared" si="1106"/>
        <v>1259.0099999999998</v>
      </c>
      <c r="AW133" s="21">
        <f t="shared" si="1106"/>
        <v>1289.2399999999998</v>
      </c>
      <c r="AX133" s="21">
        <f t="shared" si="1106"/>
        <v>1330.6999999999998</v>
      </c>
      <c r="AY133" s="21">
        <f t="shared" ref="AY133:BB133" si="1107">AY130+AY131+AY132</f>
        <v>1376.59</v>
      </c>
      <c r="AZ133" s="21">
        <f t="shared" si="1107"/>
        <v>1429.11</v>
      </c>
      <c r="BA133" s="21">
        <f t="shared" si="1107"/>
        <v>1475.1599999999999</v>
      </c>
      <c r="BB133" s="21">
        <f t="shared" si="1107"/>
        <v>1532.6399999999999</v>
      </c>
      <c r="BC133" s="21">
        <f t="shared" ref="BC133:BF133" si="1108">BC130+BC131+BC132</f>
        <v>1567.02</v>
      </c>
      <c r="BD133" s="21">
        <f t="shared" si="1108"/>
        <v>1662.5</v>
      </c>
      <c r="BE133" s="21">
        <f t="shared" si="1108"/>
        <v>1695.32</v>
      </c>
      <c r="BF133" s="21">
        <f t="shared" si="1108"/>
        <v>1805.86</v>
      </c>
      <c r="BG133" s="21">
        <f t="shared" ref="BG133:BJ133" si="1109">BG130+BG131+BG132</f>
        <v>1786.75</v>
      </c>
      <c r="BH133" s="21">
        <f t="shared" si="1109"/>
        <v>1877.41</v>
      </c>
      <c r="BI133" s="21">
        <f t="shared" si="1109"/>
        <v>2706.1200000000003</v>
      </c>
      <c r="BJ133" s="21">
        <f t="shared" si="1109"/>
        <v>2812.3</v>
      </c>
      <c r="BK133" s="21">
        <f t="shared" ref="BK133:BN133" si="1110">BK130+BK131+BK132</f>
        <v>2782.7200000000003</v>
      </c>
      <c r="BL133" s="21">
        <f t="shared" si="1110"/>
        <v>2877.1500000000005</v>
      </c>
      <c r="BM133" s="21">
        <f t="shared" si="1110"/>
        <v>2962.1600000000003</v>
      </c>
      <c r="BN133" s="21">
        <f t="shared" si="1110"/>
        <v>3040.51</v>
      </c>
      <c r="BO133" s="21">
        <f t="shared" ref="BO133:BR133" si="1111">BO130+BO131+BO132</f>
        <v>2887.21</v>
      </c>
      <c r="BP133" s="21">
        <f t="shared" si="1111"/>
        <v>3000.6800000000003</v>
      </c>
      <c r="BQ133" s="21">
        <f t="shared" si="1111"/>
        <v>3140.2900000000004</v>
      </c>
      <c r="BR133" s="21">
        <f t="shared" si="1111"/>
        <v>3279.8300000000004</v>
      </c>
      <c r="BS133" s="21">
        <f t="shared" ref="BS133:BV133" si="1112">BS130+BS131+BS132</f>
        <v>3296.2700000000004</v>
      </c>
      <c r="BT133" s="21">
        <f t="shared" si="1112"/>
        <v>3467.0800000000004</v>
      </c>
      <c r="BU133" s="21">
        <f t="shared" si="1112"/>
        <v>3653.67</v>
      </c>
      <c r="BV133" s="21">
        <f t="shared" si="1112"/>
        <v>3860.79</v>
      </c>
      <c r="BW133" s="21">
        <f t="shared" ref="BW133:BZ133" si="1113">BW130+BW131+BW132</f>
        <v>3840.53</v>
      </c>
      <c r="BX133" s="21">
        <f t="shared" si="1113"/>
        <v>4055.8900000000003</v>
      </c>
      <c r="BY133" s="21">
        <f t="shared" si="1113"/>
        <v>4285.9000000000005</v>
      </c>
      <c r="BZ133" s="21">
        <f t="shared" si="1113"/>
        <v>4505.2700000000004</v>
      </c>
      <c r="CA133" s="21">
        <f t="shared" ref="CA133:CD133" si="1114">CA130+CA131+CA132</f>
        <v>4366.7700000000004</v>
      </c>
      <c r="CB133" s="21">
        <f t="shared" si="1114"/>
        <v>4599.5300000000007</v>
      </c>
      <c r="CC133" s="21">
        <f t="shared" si="1114"/>
        <v>4805.3500000000004</v>
      </c>
      <c r="CD133" s="21">
        <f t="shared" si="1114"/>
        <v>5025.0700000000006</v>
      </c>
      <c r="CE133" s="21">
        <f t="shared" ref="CE133" si="1115">CE130+CE131+CE132</f>
        <v>4866.1500000000005</v>
      </c>
      <c r="CF133" s="21">
        <f t="shared" ref="CF133:CH133" si="1116">CF130+CF131+CF132</f>
        <v>5102.5600000000004</v>
      </c>
      <c r="CG133" s="21">
        <f t="shared" ref="CG133" si="1117">CG130+CG131+CG132</f>
        <v>5334.43</v>
      </c>
      <c r="CH133" s="21">
        <f t="shared" si="1116"/>
        <v>5586.05</v>
      </c>
      <c r="CI133" s="21">
        <f t="shared" ref="CI133:CJ133" si="1118">CI130+CI131+CI132</f>
        <v>5434.87</v>
      </c>
      <c r="CJ133" s="21">
        <f t="shared" si="1118"/>
        <v>5724.13</v>
      </c>
      <c r="CK133" s="21">
        <f t="shared" ref="CK133" si="1119">CK130+CK131+CK132</f>
        <v>6047.96</v>
      </c>
      <c r="CL133" s="21">
        <f t="shared" ref="CL133:DA133" si="1120">CL130+CL131+CL132</f>
        <v>6364.03</v>
      </c>
      <c r="CM133" s="20">
        <f t="shared" si="1120"/>
        <v>6693.6266812694776</v>
      </c>
      <c r="CN133" s="20">
        <f t="shared" si="1120"/>
        <v>7047.0470079399774</v>
      </c>
      <c r="CO133" s="20">
        <f t="shared" si="1120"/>
        <v>7452.4046743708886</v>
      </c>
      <c r="CP133" s="20">
        <f t="shared" si="1120"/>
        <v>7837.1444733841536</v>
      </c>
      <c r="CQ133" s="20">
        <f t="shared" si="1120"/>
        <v>8241.9658114787781</v>
      </c>
      <c r="CR133" s="20">
        <f t="shared" si="1120"/>
        <v>8675.6028086225524</v>
      </c>
      <c r="CS133" s="20">
        <f t="shared" si="1120"/>
        <v>9169.0232498562236</v>
      </c>
      <c r="CT133" s="20">
        <f t="shared" si="1120"/>
        <v>9605.2328668408045</v>
      </c>
      <c r="CU133" s="20">
        <f t="shared" si="1120"/>
        <v>10061.339178728083</v>
      </c>
      <c r="CV133" s="20">
        <f t="shared" si="1120"/>
        <v>10548.782286669497</v>
      </c>
      <c r="CW133" s="20">
        <f t="shared" si="1120"/>
        <v>11097.295568987302</v>
      </c>
      <c r="CX133" s="20">
        <f t="shared" si="1120"/>
        <v>11613.163835238756</v>
      </c>
      <c r="CY133" s="20">
        <f t="shared" si="1120"/>
        <v>12150.906062967089</v>
      </c>
      <c r="CZ133" s="20">
        <f t="shared" si="1120"/>
        <v>12729.447562652371</v>
      </c>
      <c r="DA133" s="20">
        <f t="shared" si="1120"/>
        <v>13381.430587910156</v>
      </c>
      <c r="DD133" s="125"/>
      <c r="DE133" s="21">
        <v>6047.96</v>
      </c>
    </row>
    <row r="134" spans="1:109" s="21" customFormat="1" x14ac:dyDescent="0.2">
      <c r="AB134" s="20"/>
      <c r="AC134" s="20"/>
      <c r="AD134" s="20"/>
      <c r="AE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D134" s="125"/>
    </row>
    <row r="135" spans="1:109" s="22" customFormat="1" x14ac:dyDescent="0.2">
      <c r="A135" s="22" t="s">
        <v>23</v>
      </c>
      <c r="B135" s="22">
        <f>'Annual Raw'!C45</f>
        <v>0</v>
      </c>
      <c r="C135" s="22">
        <f>'Annual Raw'!D45</f>
        <v>0</v>
      </c>
      <c r="D135" s="22">
        <f>'Annual Raw'!E45</f>
        <v>0</v>
      </c>
      <c r="E135" s="22">
        <f>'Annual Raw'!F45</f>
        <v>0</v>
      </c>
      <c r="F135" s="22">
        <f>'Annual Raw'!G45</f>
        <v>0</v>
      </c>
      <c r="G135" s="22">
        <f>'Annual Raw'!H45</f>
        <v>0</v>
      </c>
      <c r="H135" s="22">
        <f>'Annual Raw'!I45</f>
        <v>0</v>
      </c>
      <c r="I135" s="22">
        <f>'Annual Raw'!J45</f>
        <v>0</v>
      </c>
      <c r="J135" s="22">
        <f>'Annual Raw'!K45</f>
        <v>0</v>
      </c>
      <c r="K135" s="22">
        <f>'Annual Raw'!L45</f>
        <v>0</v>
      </c>
      <c r="L135" s="22">
        <f>'Annual Raw'!M45</f>
        <v>0</v>
      </c>
      <c r="M135" s="22">
        <f>'Annual Raw'!N45</f>
        <v>0</v>
      </c>
      <c r="N135" s="22">
        <f>'Annual Raw'!O45</f>
        <v>0</v>
      </c>
      <c r="O135" s="22">
        <f>'Annual Raw'!P45</f>
        <v>0</v>
      </c>
      <c r="P135" s="22">
        <f>'Annual Raw'!Q45</f>
        <v>0</v>
      </c>
      <c r="Q135" s="22">
        <f>'Annual Raw'!R45</f>
        <v>0</v>
      </c>
      <c r="R135" s="22">
        <f>'Annual Raw'!S45</f>
        <v>0</v>
      </c>
      <c r="S135" s="22">
        <f>'Annual Raw'!T45</f>
        <v>0</v>
      </c>
      <c r="T135" s="22">
        <f>'Annual Raw'!U45</f>
        <v>0</v>
      </c>
      <c r="U135" s="22">
        <f>'Annual Raw'!V45</f>
        <v>0</v>
      </c>
      <c r="V135" s="22">
        <f>'Annual Raw'!W45</f>
        <v>0</v>
      </c>
      <c r="W135" s="22">
        <f>'Annual Raw'!X45</f>
        <v>0</v>
      </c>
      <c r="X135" s="22">
        <f>'Annual Raw'!Y45</f>
        <v>0</v>
      </c>
      <c r="Y135" s="22">
        <f>'Annual Raw'!Z45</f>
        <v>0</v>
      </c>
      <c r="Z135" s="22">
        <f>'Annual Raw'!AA45</f>
        <v>0</v>
      </c>
      <c r="AA135" s="22">
        <f>'Annual Raw'!AB45</f>
        <v>0</v>
      </c>
      <c r="AB135" s="23">
        <f t="shared" ref="AB135" si="1121">+CO135</f>
        <v>0</v>
      </c>
      <c r="AC135" s="23">
        <f t="shared" ref="AC135" si="1122">+CS135</f>
        <v>0</v>
      </c>
      <c r="AD135" s="23">
        <f t="shared" ref="AD135" si="1123">+CW135</f>
        <v>0</v>
      </c>
      <c r="AE135" s="23">
        <f t="shared" ref="AE135" si="1124">+DA135</f>
        <v>0</v>
      </c>
      <c r="AI135" s="22">
        <f>+'QTR Raw'!C60</f>
        <v>0</v>
      </c>
      <c r="AJ135" s="22">
        <f t="shared" ref="AJ135" si="1125">+AI135</f>
        <v>0</v>
      </c>
      <c r="AK135" s="22">
        <f>+'QTR Raw'!E60</f>
        <v>0</v>
      </c>
      <c r="AL135" s="22">
        <f t="shared" ref="AL135" si="1126">+AK135</f>
        <v>0</v>
      </c>
      <c r="AM135" s="22">
        <f>+'QTR Raw'!G60</f>
        <v>0</v>
      </c>
      <c r="AN135" s="22">
        <f t="shared" ref="AN135" si="1127">+AM135</f>
        <v>0</v>
      </c>
      <c r="AO135" s="22">
        <f>+'QTR Raw'!I60</f>
        <v>0</v>
      </c>
      <c r="AP135" s="22">
        <f t="shared" ref="AP135" si="1128">+AO135</f>
        <v>0</v>
      </c>
      <c r="AQ135" s="22">
        <f>+'QTR Raw'!K60</f>
        <v>0</v>
      </c>
      <c r="AR135" s="22">
        <f t="shared" ref="AR135" si="1129">+AQ135</f>
        <v>0</v>
      </c>
      <c r="AS135" s="22">
        <f>+'QTR Raw'!M60</f>
        <v>0</v>
      </c>
      <c r="AT135" s="22">
        <f t="shared" ref="AT135" si="1130">+AS135</f>
        <v>0</v>
      </c>
      <c r="AU135" s="22">
        <f>+'QTR Raw'!O60</f>
        <v>0</v>
      </c>
      <c r="AV135" s="22">
        <f t="shared" ref="AV135" si="1131">+AU135</f>
        <v>0</v>
      </c>
      <c r="AW135" s="22">
        <f>+'QTR Raw'!Q60</f>
        <v>0</v>
      </c>
      <c r="AX135" s="22">
        <f t="shared" ref="AX135" si="1132">+AW135</f>
        <v>0</v>
      </c>
      <c r="AY135" s="22">
        <f>+'QTR Raw'!S60</f>
        <v>0</v>
      </c>
      <c r="AZ135" s="22">
        <f t="shared" ref="AZ135" si="1133">+AY135</f>
        <v>0</v>
      </c>
      <c r="BA135" s="22">
        <f>+'QTR Raw'!U60</f>
        <v>0</v>
      </c>
      <c r="BB135" s="22">
        <f t="shared" ref="BB135" si="1134">+BA135</f>
        <v>0</v>
      </c>
      <c r="BC135" s="22">
        <f>+'QTR Raw'!W60</f>
        <v>0</v>
      </c>
      <c r="BD135" s="22">
        <f t="shared" ref="BD135" si="1135">+BC135</f>
        <v>0</v>
      </c>
      <c r="BE135" s="22">
        <f>+'QTR Raw'!Y60</f>
        <v>0</v>
      </c>
      <c r="BF135" s="22">
        <f t="shared" ref="BF135" si="1136">+BE135</f>
        <v>0</v>
      </c>
      <c r="BG135" s="22">
        <f>+'QTR Raw'!AA60</f>
        <v>0</v>
      </c>
      <c r="BH135" s="22">
        <f t="shared" ref="BH135" si="1137">+BG135</f>
        <v>0</v>
      </c>
      <c r="BI135" s="22">
        <f>+'QTR Raw'!AC60</f>
        <v>0</v>
      </c>
      <c r="BJ135" s="22">
        <f t="shared" ref="BJ135" si="1138">+BI135</f>
        <v>0</v>
      </c>
      <c r="BK135" s="22">
        <f>+'QTR Raw'!AE60</f>
        <v>0</v>
      </c>
      <c r="BL135" s="22">
        <f t="shared" ref="BL135" si="1139">+BK135</f>
        <v>0</v>
      </c>
      <c r="BM135" s="22">
        <f>+'QTR Raw'!AG60</f>
        <v>0</v>
      </c>
      <c r="BN135" s="22">
        <f t="shared" ref="BN135" si="1140">+BM135</f>
        <v>0</v>
      </c>
      <c r="BO135" s="22">
        <f>+'QTR Raw'!AI60</f>
        <v>0</v>
      </c>
      <c r="BP135" s="22">
        <f t="shared" ref="BP135" si="1141">+BO135</f>
        <v>0</v>
      </c>
      <c r="BQ135" s="22">
        <f>+'QTR Raw'!AK60</f>
        <v>0</v>
      </c>
      <c r="BR135" s="22">
        <f t="shared" ref="BR135" si="1142">+BQ135</f>
        <v>0</v>
      </c>
      <c r="BS135" s="22">
        <f>+'QTR Raw'!AM60</f>
        <v>0</v>
      </c>
      <c r="BT135" s="22">
        <f t="shared" ref="BT135" si="1143">+BS135</f>
        <v>0</v>
      </c>
      <c r="BU135" s="22">
        <f>+'QTR Raw'!AO60</f>
        <v>0</v>
      </c>
      <c r="BV135" s="22">
        <f t="shared" ref="BV135" si="1144">+BU135</f>
        <v>0</v>
      </c>
      <c r="BW135" s="22">
        <f>+'QTR Raw'!AQ60</f>
        <v>0</v>
      </c>
      <c r="BX135" s="22">
        <f t="shared" ref="BX135" si="1145">+BW135</f>
        <v>0</v>
      </c>
      <c r="BY135" s="22">
        <f>+'QTR Raw'!AS60</f>
        <v>0</v>
      </c>
      <c r="BZ135" s="22">
        <f t="shared" ref="BZ135" si="1146">+BY135</f>
        <v>0</v>
      </c>
      <c r="CA135" s="22">
        <f>+'QTR Raw'!AU60</f>
        <v>0</v>
      </c>
      <c r="CB135" s="22">
        <f t="shared" ref="CB135" si="1147">+CA135</f>
        <v>0</v>
      </c>
      <c r="CC135" s="22">
        <f>+'QTR Raw'!AW60</f>
        <v>0</v>
      </c>
      <c r="CD135" s="22">
        <f t="shared" ref="CD135" si="1148">+CC135</f>
        <v>0</v>
      </c>
      <c r="CE135" s="22">
        <f>+'QTR Raw'!AY60</f>
        <v>0</v>
      </c>
      <c r="CF135" s="22">
        <f t="shared" ref="CF135:CL135" si="1149">+CE135</f>
        <v>0</v>
      </c>
      <c r="CG135" s="22">
        <f t="shared" ref="CG135:CG140" si="1150">+Z135</f>
        <v>0</v>
      </c>
      <c r="CH135" s="22">
        <f t="shared" si="1149"/>
        <v>0</v>
      </c>
      <c r="CI135" s="22">
        <f>+'QTR Raw'!BC60</f>
        <v>0</v>
      </c>
      <c r="CJ135" s="22">
        <f t="shared" si="1149"/>
        <v>0</v>
      </c>
      <c r="CK135" s="22">
        <f>+'QTR Raw'!BE60</f>
        <v>0</v>
      </c>
      <c r="CL135" s="22">
        <f t="shared" si="1149"/>
        <v>0</v>
      </c>
      <c r="CM135" s="23">
        <f t="shared" ref="CM135" si="1151">+CL135</f>
        <v>0</v>
      </c>
      <c r="CN135" s="23">
        <f t="shared" ref="CN135" si="1152">+CM135</f>
        <v>0</v>
      </c>
      <c r="CO135" s="23">
        <f t="shared" ref="CO135" si="1153">+CN135</f>
        <v>0</v>
      </c>
      <c r="CP135" s="23">
        <f t="shared" ref="CP135" si="1154">+CO135</f>
        <v>0</v>
      </c>
      <c r="CQ135" s="23">
        <f t="shared" ref="CQ135" si="1155">+CP135</f>
        <v>0</v>
      </c>
      <c r="CR135" s="23">
        <f t="shared" ref="CR135" si="1156">+CQ135</f>
        <v>0</v>
      </c>
      <c r="CS135" s="23">
        <f t="shared" ref="CS135" si="1157">+CR135</f>
        <v>0</v>
      </c>
      <c r="CT135" s="23">
        <f t="shared" ref="CT135" si="1158">+CS135</f>
        <v>0</v>
      </c>
      <c r="CU135" s="23">
        <f t="shared" ref="CU135" si="1159">+CT135</f>
        <v>0</v>
      </c>
      <c r="CV135" s="23">
        <f t="shared" ref="CV135" si="1160">+CU135</f>
        <v>0</v>
      </c>
      <c r="CW135" s="23">
        <f t="shared" ref="CW135" si="1161">+CV135</f>
        <v>0</v>
      </c>
      <c r="CX135" s="23">
        <f t="shared" ref="CX135" si="1162">+CW135</f>
        <v>0</v>
      </c>
      <c r="CY135" s="23">
        <f t="shared" ref="CY135" si="1163">+CX135</f>
        <v>0</v>
      </c>
      <c r="CZ135" s="23">
        <f t="shared" ref="CZ135" si="1164">+CY135</f>
        <v>0</v>
      </c>
      <c r="DA135" s="23">
        <f t="shared" ref="DA135" si="1165">+CZ135</f>
        <v>0</v>
      </c>
      <c r="DD135" s="122"/>
      <c r="DE135" s="22">
        <v>0</v>
      </c>
    </row>
    <row r="136" spans="1:109" s="22" customFormat="1" x14ac:dyDescent="0.2">
      <c r="AB136" s="23"/>
      <c r="AC136" s="23"/>
      <c r="AD136" s="23"/>
      <c r="AE136" s="23"/>
      <c r="CG136" s="22">
        <f t="shared" si="1150"/>
        <v>0</v>
      </c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D136" s="122"/>
    </row>
    <row r="137" spans="1:109" s="22" customFormat="1" outlineLevel="1" x14ac:dyDescent="0.2">
      <c r="A137" s="22" t="s">
        <v>45</v>
      </c>
      <c r="B137" s="22">
        <f>'Annual Raw'!C47</f>
        <v>0</v>
      </c>
      <c r="C137" s="22">
        <f>'Annual Raw'!D47</f>
        <v>0</v>
      </c>
      <c r="D137" s="22">
        <f>'Annual Raw'!E47</f>
        <v>9.89</v>
      </c>
      <c r="E137" s="22">
        <f>'Annual Raw'!F47</f>
        <v>7.89</v>
      </c>
      <c r="F137" s="22">
        <f>'Annual Raw'!G47</f>
        <v>0.04</v>
      </c>
      <c r="G137" s="22">
        <f>'Annual Raw'!H47</f>
        <v>11.19</v>
      </c>
      <c r="H137" s="22">
        <f>'Annual Raw'!I47</f>
        <v>0</v>
      </c>
      <c r="I137" s="22">
        <f>'Annual Raw'!J47</f>
        <v>0</v>
      </c>
      <c r="J137" s="22">
        <f>'Annual Raw'!K47</f>
        <v>0</v>
      </c>
      <c r="K137" s="22">
        <f>'Annual Raw'!L47</f>
        <v>0</v>
      </c>
      <c r="L137" s="22">
        <f>'Annual Raw'!M47</f>
        <v>0</v>
      </c>
      <c r="M137" s="22">
        <f>'Annual Raw'!N47</f>
        <v>0</v>
      </c>
      <c r="N137" s="22">
        <f>'Annual Raw'!O47</f>
        <v>0</v>
      </c>
      <c r="O137" s="22">
        <f>'Annual Raw'!P47</f>
        <v>0</v>
      </c>
      <c r="P137" s="22">
        <f>'Annual Raw'!Q47</f>
        <v>0</v>
      </c>
      <c r="Q137" s="22">
        <f>'Annual Raw'!R47</f>
        <v>0</v>
      </c>
      <c r="R137" s="22">
        <f>'Annual Raw'!S47</f>
        <v>0</v>
      </c>
      <c r="S137" s="22">
        <f>'Annual Raw'!T47</f>
        <v>0</v>
      </c>
      <c r="T137" s="22">
        <f>'Annual Raw'!U47</f>
        <v>0</v>
      </c>
      <c r="U137" s="22">
        <f>'Annual Raw'!V47</f>
        <v>0</v>
      </c>
      <c r="V137" s="22">
        <f>'Annual Raw'!W47</f>
        <v>0</v>
      </c>
      <c r="W137" s="22">
        <f>'Annual Raw'!X47</f>
        <v>0</v>
      </c>
      <c r="X137" s="22">
        <f>'Annual Raw'!Y47</f>
        <v>0</v>
      </c>
      <c r="Y137" s="22">
        <f>'Annual Raw'!Z47</f>
        <v>0</v>
      </c>
      <c r="Z137" s="22">
        <f>'Annual Raw'!AA47</f>
        <v>0</v>
      </c>
      <c r="AA137" s="22">
        <f>'Annual Raw'!AB47</f>
        <v>0</v>
      </c>
      <c r="AB137" s="23">
        <f t="shared" ref="AB137:AB140" si="1166">+CO137</f>
        <v>0</v>
      </c>
      <c r="AC137" s="23">
        <f t="shared" ref="AC137:AC140" si="1167">+CS137</f>
        <v>0</v>
      </c>
      <c r="AD137" s="23">
        <f t="shared" ref="AD137:AD140" si="1168">+CW137</f>
        <v>0</v>
      </c>
      <c r="AE137" s="23">
        <f t="shared" ref="AE137:AE140" si="1169">+DA137</f>
        <v>0</v>
      </c>
      <c r="AI137" s="22">
        <f>+'QTR Raw'!C62</f>
        <v>0</v>
      </c>
      <c r="AJ137" s="22">
        <f t="shared" ref="AJ137:AJ140" si="1170">+AI137</f>
        <v>0</v>
      </c>
      <c r="AK137" s="22">
        <f>+'QTR Raw'!E62</f>
        <v>0</v>
      </c>
      <c r="AL137" s="22">
        <f t="shared" ref="AL137:AL140" si="1171">+AK137</f>
        <v>0</v>
      </c>
      <c r="AM137" s="22">
        <f>+'QTR Raw'!G62</f>
        <v>0</v>
      </c>
      <c r="AN137" s="22">
        <f t="shared" ref="AN137:AN140" si="1172">+AM137</f>
        <v>0</v>
      </c>
      <c r="AO137" s="22">
        <f>+'QTR Raw'!I62</f>
        <v>0</v>
      </c>
      <c r="AP137" s="22">
        <f t="shared" ref="AP137:AP140" si="1173">+AO137</f>
        <v>0</v>
      </c>
      <c r="AQ137" s="22">
        <f>+'QTR Raw'!K62</f>
        <v>0</v>
      </c>
      <c r="AR137" s="22">
        <f t="shared" ref="AR137:AR140" si="1174">+AQ137</f>
        <v>0</v>
      </c>
      <c r="AS137" s="22">
        <f>+'QTR Raw'!M62</f>
        <v>0</v>
      </c>
      <c r="AT137" s="22">
        <f t="shared" ref="AT137:AT140" si="1175">+AS137</f>
        <v>0</v>
      </c>
      <c r="AU137" s="22">
        <f>+'QTR Raw'!O62</f>
        <v>0</v>
      </c>
      <c r="AV137" s="22">
        <f t="shared" ref="AV137:AV140" si="1176">+AU137</f>
        <v>0</v>
      </c>
      <c r="AW137" s="22">
        <f>+'QTR Raw'!Q62</f>
        <v>0</v>
      </c>
      <c r="AX137" s="22">
        <f t="shared" ref="AX137:AX140" si="1177">+AW137</f>
        <v>0</v>
      </c>
      <c r="AY137" s="22">
        <f>+'QTR Raw'!S62</f>
        <v>0</v>
      </c>
      <c r="AZ137" s="22">
        <f t="shared" ref="AZ137:AZ140" si="1178">+AY137</f>
        <v>0</v>
      </c>
      <c r="BA137" s="22">
        <f>+'QTR Raw'!U62</f>
        <v>0</v>
      </c>
      <c r="BB137" s="22">
        <f t="shared" ref="BB137:BB140" si="1179">+BA137</f>
        <v>0</v>
      </c>
      <c r="BC137" s="22">
        <f>+'QTR Raw'!W62</f>
        <v>0</v>
      </c>
      <c r="BD137" s="22">
        <f t="shared" ref="BD137:BD140" si="1180">+BC137</f>
        <v>0</v>
      </c>
      <c r="BE137" s="22">
        <f>+'QTR Raw'!Y62</f>
        <v>0</v>
      </c>
      <c r="BF137" s="22">
        <f t="shared" ref="BF137:BF140" si="1181">+BE137</f>
        <v>0</v>
      </c>
      <c r="BG137" s="22">
        <f>+'QTR Raw'!AA62</f>
        <v>0</v>
      </c>
      <c r="BH137" s="22">
        <f t="shared" ref="BH137:BH140" si="1182">+BG137</f>
        <v>0</v>
      </c>
      <c r="BI137" s="22">
        <f>+'QTR Raw'!AC62</f>
        <v>0</v>
      </c>
      <c r="BJ137" s="22">
        <f t="shared" ref="BJ137:BJ140" si="1183">+BI137</f>
        <v>0</v>
      </c>
      <c r="BK137" s="22">
        <f>+'QTR Raw'!AE62</f>
        <v>0</v>
      </c>
      <c r="BL137" s="22">
        <f t="shared" ref="BL137:BL140" si="1184">+BK137</f>
        <v>0</v>
      </c>
      <c r="BM137" s="22">
        <f>+'QTR Raw'!AG62</f>
        <v>0</v>
      </c>
      <c r="BN137" s="22">
        <f t="shared" ref="BN137:BN140" si="1185">+BM137</f>
        <v>0</v>
      </c>
      <c r="BO137" s="22">
        <f>+'QTR Raw'!AI62</f>
        <v>0</v>
      </c>
      <c r="BP137" s="22">
        <f t="shared" ref="BP137:BP140" si="1186">+BO137</f>
        <v>0</v>
      </c>
      <c r="BQ137" s="22">
        <f>+'QTR Raw'!AK62</f>
        <v>0</v>
      </c>
      <c r="BR137" s="22">
        <f t="shared" ref="BR137:BR140" si="1187">+BQ137</f>
        <v>0</v>
      </c>
      <c r="BS137" s="22">
        <f>+'QTR Raw'!AM62</f>
        <v>0</v>
      </c>
      <c r="BT137" s="22">
        <f t="shared" ref="BT137:BT140" si="1188">+BS137</f>
        <v>0</v>
      </c>
      <c r="BU137" s="22">
        <f>+'QTR Raw'!AO62</f>
        <v>0</v>
      </c>
      <c r="BV137" s="22">
        <f t="shared" ref="BV137:BV140" si="1189">+BU137</f>
        <v>0</v>
      </c>
      <c r="BW137" s="22">
        <f>+'QTR Raw'!AQ62</f>
        <v>0</v>
      </c>
      <c r="BX137" s="22">
        <f t="shared" ref="BX137:BX140" si="1190">+BW137</f>
        <v>0</v>
      </c>
      <c r="BY137" s="22">
        <f>+'QTR Raw'!AS62</f>
        <v>0</v>
      </c>
      <c r="BZ137" s="22">
        <f t="shared" ref="BZ137:BZ140" si="1191">+BY137</f>
        <v>0</v>
      </c>
      <c r="CA137" s="22">
        <f>+'QTR Raw'!AU62</f>
        <v>0</v>
      </c>
      <c r="CB137" s="22">
        <f t="shared" ref="CB137:CB140" si="1192">+CA137</f>
        <v>0</v>
      </c>
      <c r="CC137" s="22">
        <f>+'QTR Raw'!AW62</f>
        <v>0</v>
      </c>
      <c r="CD137" s="22">
        <f t="shared" ref="CD137:CD140" si="1193">+CC137</f>
        <v>0</v>
      </c>
      <c r="CE137" s="22">
        <f>+'QTR Raw'!AY62</f>
        <v>0</v>
      </c>
      <c r="CF137" s="22">
        <f t="shared" ref="CF137:CL140" si="1194">+CE137</f>
        <v>0</v>
      </c>
      <c r="CG137" s="22">
        <f t="shared" si="1150"/>
        <v>0</v>
      </c>
      <c r="CH137" s="22">
        <f t="shared" si="1194"/>
        <v>0</v>
      </c>
      <c r="CI137" s="22">
        <f>+'QTR Raw'!BC62</f>
        <v>0</v>
      </c>
      <c r="CJ137" s="22">
        <f t="shared" si="1194"/>
        <v>0</v>
      </c>
      <c r="CK137" s="22">
        <f>+'QTR Raw'!BE62</f>
        <v>0</v>
      </c>
      <c r="CL137" s="22">
        <f t="shared" si="1194"/>
        <v>0</v>
      </c>
      <c r="CM137" s="23">
        <f t="shared" ref="CM137:CM140" si="1195">+CL137</f>
        <v>0</v>
      </c>
      <c r="CN137" s="23">
        <f t="shared" ref="CN137:CN140" si="1196">+CM137</f>
        <v>0</v>
      </c>
      <c r="CO137" s="23">
        <f t="shared" ref="CO137:CO140" si="1197">+CN137</f>
        <v>0</v>
      </c>
      <c r="CP137" s="23">
        <f t="shared" ref="CP137:CP140" si="1198">+CO137</f>
        <v>0</v>
      </c>
      <c r="CQ137" s="23">
        <f t="shared" ref="CQ137:CQ140" si="1199">+CP137</f>
        <v>0</v>
      </c>
      <c r="CR137" s="23">
        <f t="shared" ref="CR137:CR140" si="1200">+CQ137</f>
        <v>0</v>
      </c>
      <c r="CS137" s="23">
        <f t="shared" ref="CS137:CS140" si="1201">+CR137</f>
        <v>0</v>
      </c>
      <c r="CT137" s="23">
        <f t="shared" ref="CT137:CT140" si="1202">+CS137</f>
        <v>0</v>
      </c>
      <c r="CU137" s="23">
        <f t="shared" ref="CU137:CU140" si="1203">+CT137</f>
        <v>0</v>
      </c>
      <c r="CV137" s="23">
        <f t="shared" ref="CV137:CV140" si="1204">+CU137</f>
        <v>0</v>
      </c>
      <c r="CW137" s="23">
        <f t="shared" ref="CW137:CW140" si="1205">+CV137</f>
        <v>0</v>
      </c>
      <c r="CX137" s="23">
        <f t="shared" ref="CX137:CX140" si="1206">+CW137</f>
        <v>0</v>
      </c>
      <c r="CY137" s="23">
        <f t="shared" ref="CY137:CY140" si="1207">+CX137</f>
        <v>0</v>
      </c>
      <c r="CZ137" s="23">
        <f t="shared" ref="CZ137:CZ140" si="1208">+CY137</f>
        <v>0</v>
      </c>
      <c r="DA137" s="23">
        <f t="shared" ref="DA137:DA140" si="1209">+CZ137</f>
        <v>0</v>
      </c>
      <c r="DD137" s="122"/>
      <c r="DE137" s="22">
        <v>0</v>
      </c>
    </row>
    <row r="138" spans="1:109" s="22" customFormat="1" outlineLevel="1" x14ac:dyDescent="0.2">
      <c r="A138" s="22" t="s">
        <v>46</v>
      </c>
      <c r="B138" s="22">
        <f>'Annual Raw'!C48</f>
        <v>0</v>
      </c>
      <c r="C138" s="22">
        <f>'Annual Raw'!D48</f>
        <v>0</v>
      </c>
      <c r="D138" s="22">
        <f>'Annual Raw'!E48</f>
        <v>44.67</v>
      </c>
      <c r="E138" s="22">
        <f>'Annual Raw'!F48</f>
        <v>16.989999999999998</v>
      </c>
      <c r="F138" s="22">
        <f>'Annual Raw'!G48</f>
        <v>0</v>
      </c>
      <c r="G138" s="22">
        <f>'Annual Raw'!H48</f>
        <v>0</v>
      </c>
      <c r="H138" s="22">
        <f>'Annual Raw'!I48</f>
        <v>0</v>
      </c>
      <c r="I138" s="22">
        <f>'Annual Raw'!J48</f>
        <v>0</v>
      </c>
      <c r="J138" s="22">
        <f>'Annual Raw'!K48</f>
        <v>0</v>
      </c>
      <c r="K138" s="22">
        <f>'Annual Raw'!L48</f>
        <v>0</v>
      </c>
      <c r="L138" s="22">
        <f>'Annual Raw'!M48</f>
        <v>0</v>
      </c>
      <c r="M138" s="22">
        <f>'Annual Raw'!N48</f>
        <v>0</v>
      </c>
      <c r="N138" s="22">
        <f>'Annual Raw'!O48</f>
        <v>0</v>
      </c>
      <c r="O138" s="22">
        <f>'Annual Raw'!P48</f>
        <v>0</v>
      </c>
      <c r="P138" s="22">
        <f>'Annual Raw'!Q48</f>
        <v>0</v>
      </c>
      <c r="Q138" s="22">
        <f>'Annual Raw'!R48</f>
        <v>0</v>
      </c>
      <c r="R138" s="22">
        <f>'Annual Raw'!S48</f>
        <v>0</v>
      </c>
      <c r="S138" s="22">
        <f>'Annual Raw'!T48</f>
        <v>56.92</v>
      </c>
      <c r="T138" s="22">
        <f>'Annual Raw'!U48</f>
        <v>4.87</v>
      </c>
      <c r="U138" s="22">
        <f>'Annual Raw'!V48</f>
        <v>0</v>
      </c>
      <c r="V138" s="22">
        <f>'Annual Raw'!W48</f>
        <v>0</v>
      </c>
      <c r="W138" s="22">
        <f>'Annual Raw'!X48</f>
        <v>0</v>
      </c>
      <c r="X138" s="22">
        <f>'Annual Raw'!Y48</f>
        <v>0</v>
      </c>
      <c r="Y138" s="22">
        <f>'Annual Raw'!Z48</f>
        <v>0</v>
      </c>
      <c r="Z138" s="22">
        <f>'Annual Raw'!AA48</f>
        <v>0</v>
      </c>
      <c r="AA138" s="22">
        <f>'Annual Raw'!AB48</f>
        <v>0</v>
      </c>
      <c r="AB138" s="23">
        <f t="shared" si="1166"/>
        <v>0</v>
      </c>
      <c r="AC138" s="23">
        <f t="shared" si="1167"/>
        <v>0</v>
      </c>
      <c r="AD138" s="23">
        <f t="shared" si="1168"/>
        <v>0</v>
      </c>
      <c r="AE138" s="23">
        <f t="shared" si="1169"/>
        <v>0</v>
      </c>
      <c r="AI138" s="22">
        <f>+'QTR Raw'!C63</f>
        <v>0</v>
      </c>
      <c r="AJ138" s="22">
        <f t="shared" si="1170"/>
        <v>0</v>
      </c>
      <c r="AK138" s="22">
        <f>+'QTR Raw'!E63</f>
        <v>0</v>
      </c>
      <c r="AL138" s="22">
        <f t="shared" si="1171"/>
        <v>0</v>
      </c>
      <c r="AM138" s="22">
        <f>+'QTR Raw'!G63</f>
        <v>0</v>
      </c>
      <c r="AN138" s="22">
        <f t="shared" si="1172"/>
        <v>0</v>
      </c>
      <c r="AO138" s="22">
        <f>+'QTR Raw'!I63</f>
        <v>0</v>
      </c>
      <c r="AP138" s="22">
        <f t="shared" si="1173"/>
        <v>0</v>
      </c>
      <c r="AQ138" s="22">
        <f>+'QTR Raw'!K63</f>
        <v>0</v>
      </c>
      <c r="AR138" s="22">
        <f t="shared" si="1174"/>
        <v>0</v>
      </c>
      <c r="AS138" s="22">
        <f>+'QTR Raw'!M63</f>
        <v>0</v>
      </c>
      <c r="AT138" s="22">
        <f t="shared" si="1175"/>
        <v>0</v>
      </c>
      <c r="AU138" s="22">
        <f>+'QTR Raw'!O63</f>
        <v>0</v>
      </c>
      <c r="AV138" s="22">
        <f t="shared" si="1176"/>
        <v>0</v>
      </c>
      <c r="AW138" s="22">
        <f>+'QTR Raw'!Q63</f>
        <v>0</v>
      </c>
      <c r="AX138" s="22">
        <f t="shared" si="1177"/>
        <v>0</v>
      </c>
      <c r="AY138" s="22">
        <f>+'QTR Raw'!S63</f>
        <v>0</v>
      </c>
      <c r="AZ138" s="22">
        <f t="shared" si="1178"/>
        <v>0</v>
      </c>
      <c r="BA138" s="22">
        <f>+'QTR Raw'!U63</f>
        <v>0</v>
      </c>
      <c r="BB138" s="22">
        <f t="shared" si="1179"/>
        <v>0</v>
      </c>
      <c r="BC138" s="22">
        <f>+'QTR Raw'!W63</f>
        <v>0</v>
      </c>
      <c r="BD138" s="22">
        <f t="shared" si="1180"/>
        <v>0</v>
      </c>
      <c r="BE138" s="22">
        <f>+'QTR Raw'!Y63</f>
        <v>0</v>
      </c>
      <c r="BF138" s="22">
        <f t="shared" si="1181"/>
        <v>0</v>
      </c>
      <c r="BG138" s="22">
        <f>+'QTR Raw'!AA63</f>
        <v>0</v>
      </c>
      <c r="BH138" s="22">
        <f t="shared" si="1182"/>
        <v>0</v>
      </c>
      <c r="BI138" s="22">
        <f>+'QTR Raw'!AC63</f>
        <v>4.87</v>
      </c>
      <c r="BJ138" s="22">
        <f t="shared" si="1183"/>
        <v>4.87</v>
      </c>
      <c r="BK138" s="22">
        <f>+'QTR Raw'!AE63</f>
        <v>0</v>
      </c>
      <c r="BL138" s="22">
        <f t="shared" si="1184"/>
        <v>0</v>
      </c>
      <c r="BM138" s="22">
        <f>+'QTR Raw'!AG63</f>
        <v>0</v>
      </c>
      <c r="BN138" s="22">
        <f t="shared" si="1185"/>
        <v>0</v>
      </c>
      <c r="BO138" s="22">
        <f>+'QTR Raw'!AI63</f>
        <v>0</v>
      </c>
      <c r="BP138" s="22">
        <f t="shared" si="1186"/>
        <v>0</v>
      </c>
      <c r="BQ138" s="22">
        <f>+'QTR Raw'!AK63</f>
        <v>0</v>
      </c>
      <c r="BR138" s="22">
        <f t="shared" si="1187"/>
        <v>0</v>
      </c>
      <c r="BS138" s="22">
        <f>+'QTR Raw'!AM63</f>
        <v>0</v>
      </c>
      <c r="BT138" s="22">
        <f t="shared" si="1188"/>
        <v>0</v>
      </c>
      <c r="BU138" s="22">
        <f>+'QTR Raw'!AO63</f>
        <v>0</v>
      </c>
      <c r="BV138" s="22">
        <f t="shared" si="1189"/>
        <v>0</v>
      </c>
      <c r="BW138" s="22">
        <f>+'QTR Raw'!AQ63</f>
        <v>0</v>
      </c>
      <c r="BX138" s="22">
        <f t="shared" si="1190"/>
        <v>0</v>
      </c>
      <c r="BY138" s="22">
        <f>+'QTR Raw'!AS63</f>
        <v>0</v>
      </c>
      <c r="BZ138" s="22">
        <f t="shared" si="1191"/>
        <v>0</v>
      </c>
      <c r="CA138" s="22">
        <f>+'QTR Raw'!AU63</f>
        <v>0</v>
      </c>
      <c r="CB138" s="22">
        <f t="shared" si="1192"/>
        <v>0</v>
      </c>
      <c r="CC138" s="22">
        <f>+'QTR Raw'!AW63</f>
        <v>0</v>
      </c>
      <c r="CD138" s="22">
        <f t="shared" si="1193"/>
        <v>0</v>
      </c>
      <c r="CE138" s="22">
        <f>+'QTR Raw'!AY63</f>
        <v>0</v>
      </c>
      <c r="CF138" s="22">
        <f t="shared" si="1194"/>
        <v>0</v>
      </c>
      <c r="CG138" s="22">
        <f t="shared" si="1150"/>
        <v>0</v>
      </c>
      <c r="CH138" s="22">
        <f t="shared" si="1194"/>
        <v>0</v>
      </c>
      <c r="CI138" s="22">
        <f>+'QTR Raw'!BC63</f>
        <v>0</v>
      </c>
      <c r="CJ138" s="22">
        <f t="shared" si="1194"/>
        <v>0</v>
      </c>
      <c r="CK138" s="22">
        <f>+'QTR Raw'!BE63</f>
        <v>0</v>
      </c>
      <c r="CL138" s="22">
        <f t="shared" si="1194"/>
        <v>0</v>
      </c>
      <c r="CM138" s="23">
        <f t="shared" si="1195"/>
        <v>0</v>
      </c>
      <c r="CN138" s="23">
        <f t="shared" si="1196"/>
        <v>0</v>
      </c>
      <c r="CO138" s="23">
        <f t="shared" si="1197"/>
        <v>0</v>
      </c>
      <c r="CP138" s="23">
        <f t="shared" si="1198"/>
        <v>0</v>
      </c>
      <c r="CQ138" s="23">
        <f t="shared" si="1199"/>
        <v>0</v>
      </c>
      <c r="CR138" s="23">
        <f t="shared" si="1200"/>
        <v>0</v>
      </c>
      <c r="CS138" s="23">
        <f t="shared" si="1201"/>
        <v>0</v>
      </c>
      <c r="CT138" s="23">
        <f t="shared" si="1202"/>
        <v>0</v>
      </c>
      <c r="CU138" s="23">
        <f t="shared" si="1203"/>
        <v>0</v>
      </c>
      <c r="CV138" s="23">
        <f t="shared" si="1204"/>
        <v>0</v>
      </c>
      <c r="CW138" s="23">
        <f t="shared" si="1205"/>
        <v>0</v>
      </c>
      <c r="CX138" s="23">
        <f t="shared" si="1206"/>
        <v>0</v>
      </c>
      <c r="CY138" s="23">
        <f t="shared" si="1207"/>
        <v>0</v>
      </c>
      <c r="CZ138" s="23">
        <f t="shared" si="1208"/>
        <v>0</v>
      </c>
      <c r="DA138" s="23">
        <f t="shared" si="1209"/>
        <v>0</v>
      </c>
      <c r="DD138" s="122"/>
      <c r="DE138" s="22">
        <v>0</v>
      </c>
    </row>
    <row r="139" spans="1:109" s="22" customFormat="1" outlineLevel="1" x14ac:dyDescent="0.2">
      <c r="A139" s="22" t="s">
        <v>47</v>
      </c>
      <c r="B139" s="22">
        <f>'Annual Raw'!C87+'Annual Raw'!C88+'Annual Raw'!C89+'Annual Raw'!C90</f>
        <v>0</v>
      </c>
      <c r="C139" s="22">
        <f>'Annual Raw'!D87+'Annual Raw'!D88+'Annual Raw'!D89+'Annual Raw'!D90</f>
        <v>0</v>
      </c>
      <c r="D139" s="22">
        <f>'Annual Raw'!E87+'Annual Raw'!E88+'Annual Raw'!E89+'Annual Raw'!E90</f>
        <v>0</v>
      </c>
      <c r="E139" s="22">
        <f>'Annual Raw'!F87+'Annual Raw'!F88+'Annual Raw'!F89+'Annual Raw'!F90</f>
        <v>0</v>
      </c>
      <c r="F139" s="22">
        <f>'Annual Raw'!G87+'Annual Raw'!G88+'Annual Raw'!G89+'Annual Raw'!G90</f>
        <v>0</v>
      </c>
      <c r="G139" s="22">
        <f>'Annual Raw'!H87+'Annual Raw'!H88+'Annual Raw'!H89+'Annual Raw'!H90</f>
        <v>0</v>
      </c>
      <c r="H139" s="22">
        <f>'Annual Raw'!I87+'Annual Raw'!I88+'Annual Raw'!I89+'Annual Raw'!I90</f>
        <v>0</v>
      </c>
      <c r="I139" s="22">
        <f>'Annual Raw'!J87+'Annual Raw'!J88+'Annual Raw'!J89+'Annual Raw'!J90</f>
        <v>0</v>
      </c>
      <c r="J139" s="22">
        <f>'Annual Raw'!K87+'Annual Raw'!K88+'Annual Raw'!K89+'Annual Raw'!K90</f>
        <v>0</v>
      </c>
      <c r="K139" s="22">
        <f>'Annual Raw'!L87+'Annual Raw'!L88+'Annual Raw'!L89+'Annual Raw'!L90</f>
        <v>0</v>
      </c>
      <c r="L139" s="22">
        <f>'Annual Raw'!M87+'Annual Raw'!M88+'Annual Raw'!M89+'Annual Raw'!M90</f>
        <v>0</v>
      </c>
      <c r="M139" s="22">
        <f>'Annual Raw'!N87+'Annual Raw'!N88+'Annual Raw'!N89+'Annual Raw'!N90</f>
        <v>0</v>
      </c>
      <c r="N139" s="22">
        <f>'Annual Raw'!O87+'Annual Raw'!O88+'Annual Raw'!O89+'Annual Raw'!O90</f>
        <v>0</v>
      </c>
      <c r="O139" s="22">
        <f>'Annual Raw'!P87+'Annual Raw'!P88+'Annual Raw'!P89+'Annual Raw'!P90</f>
        <v>0</v>
      </c>
      <c r="P139" s="22">
        <f>'Annual Raw'!Q87+'Annual Raw'!Q88+'Annual Raw'!Q89+'Annual Raw'!Q90</f>
        <v>0</v>
      </c>
      <c r="Q139" s="22">
        <f>'Annual Raw'!R87+'Annual Raw'!R88+'Annual Raw'!R89+'Annual Raw'!R90</f>
        <v>0</v>
      </c>
      <c r="R139" s="22">
        <f>'Annual Raw'!S87+'Annual Raw'!S88+'Annual Raw'!S89+'Annual Raw'!S90</f>
        <v>0</v>
      </c>
      <c r="S139" s="22">
        <f>'Annual Raw'!T87+'Annual Raw'!T88+'Annual Raw'!T89+'Annual Raw'!T90</f>
        <v>0</v>
      </c>
      <c r="T139" s="22">
        <f>'Annual Raw'!U87+'Annual Raw'!U88+'Annual Raw'!U89+'Annual Raw'!U90</f>
        <v>0</v>
      </c>
      <c r="U139" s="22">
        <f>'Annual Raw'!V87+'Annual Raw'!V88+'Annual Raw'!V89+'Annual Raw'!V90</f>
        <v>0</v>
      </c>
      <c r="V139" s="22">
        <f>'Annual Raw'!W87+'Annual Raw'!W88+'Annual Raw'!W89+'Annual Raw'!W90</f>
        <v>0</v>
      </c>
      <c r="W139" s="22">
        <f>'Annual Raw'!X87+'Annual Raw'!X88+'Annual Raw'!X89+'Annual Raw'!X90</f>
        <v>0</v>
      </c>
      <c r="X139" s="22">
        <f>'Annual Raw'!Y87+'Annual Raw'!Y88+'Annual Raw'!Y89+'Annual Raw'!Y90</f>
        <v>0</v>
      </c>
      <c r="Y139" s="22">
        <f>'Annual Raw'!Z87+'Annual Raw'!Z88+'Annual Raw'!Z89+'Annual Raw'!Z90</f>
        <v>0</v>
      </c>
      <c r="Z139" s="22">
        <f>'Annual Raw'!AA87+'Annual Raw'!AA88+'Annual Raw'!AA89+'Annual Raw'!AA90</f>
        <v>0</v>
      </c>
      <c r="AA139" s="22">
        <f>'Annual Raw'!AB87+'Annual Raw'!AB88+'Annual Raw'!AB89+'Annual Raw'!AB90</f>
        <v>0</v>
      </c>
      <c r="AB139" s="23">
        <f t="shared" si="1166"/>
        <v>0</v>
      </c>
      <c r="AC139" s="23">
        <f t="shared" si="1167"/>
        <v>0</v>
      </c>
      <c r="AD139" s="23">
        <f t="shared" si="1168"/>
        <v>0</v>
      </c>
      <c r="AE139" s="23">
        <f t="shared" si="1169"/>
        <v>0</v>
      </c>
      <c r="AI139" s="22">
        <f>+'QTR Raw'!C90</f>
        <v>0</v>
      </c>
      <c r="AJ139" s="22">
        <f t="shared" si="1170"/>
        <v>0</v>
      </c>
      <c r="AK139" s="22">
        <f>+'QTR Raw'!E90</f>
        <v>0</v>
      </c>
      <c r="AL139" s="22">
        <f t="shared" si="1171"/>
        <v>0</v>
      </c>
      <c r="AM139" s="22">
        <f>+'QTR Raw'!G90</f>
        <v>0</v>
      </c>
      <c r="AN139" s="22">
        <f t="shared" si="1172"/>
        <v>0</v>
      </c>
      <c r="AO139" s="22">
        <f>+'QTR Raw'!I90</f>
        <v>0</v>
      </c>
      <c r="AP139" s="22">
        <f t="shared" si="1173"/>
        <v>0</v>
      </c>
      <c r="AQ139" s="22">
        <f>+'QTR Raw'!K90</f>
        <v>0</v>
      </c>
      <c r="AR139" s="22">
        <f t="shared" si="1174"/>
        <v>0</v>
      </c>
      <c r="AS139" s="22">
        <f>+'QTR Raw'!M90</f>
        <v>0</v>
      </c>
      <c r="AT139" s="22">
        <f t="shared" si="1175"/>
        <v>0</v>
      </c>
      <c r="AU139" s="22">
        <f>+'QTR Raw'!O90</f>
        <v>0</v>
      </c>
      <c r="AV139" s="22">
        <f t="shared" si="1176"/>
        <v>0</v>
      </c>
      <c r="AW139" s="22">
        <f>+'QTR Raw'!Q90</f>
        <v>0</v>
      </c>
      <c r="AX139" s="22">
        <f t="shared" si="1177"/>
        <v>0</v>
      </c>
      <c r="AY139" s="22">
        <f>+'QTR Raw'!S90</f>
        <v>0</v>
      </c>
      <c r="AZ139" s="22">
        <f t="shared" si="1178"/>
        <v>0</v>
      </c>
      <c r="BA139" s="22">
        <f>+'QTR Raw'!U90</f>
        <v>0</v>
      </c>
      <c r="BB139" s="22">
        <f t="shared" si="1179"/>
        <v>0</v>
      </c>
      <c r="BC139" s="22">
        <f>+'QTR Raw'!W90</f>
        <v>0</v>
      </c>
      <c r="BD139" s="22">
        <f t="shared" si="1180"/>
        <v>0</v>
      </c>
      <c r="BE139" s="22">
        <f>+'QTR Raw'!Y90</f>
        <v>0</v>
      </c>
      <c r="BF139" s="22">
        <f t="shared" si="1181"/>
        <v>0</v>
      </c>
      <c r="BG139" s="22">
        <f>+'QTR Raw'!AA90</f>
        <v>0</v>
      </c>
      <c r="BH139" s="22">
        <f t="shared" si="1182"/>
        <v>0</v>
      </c>
      <c r="BI139" s="22">
        <f>+'QTR Raw'!AC90</f>
        <v>0</v>
      </c>
      <c r="BJ139" s="22">
        <f t="shared" si="1183"/>
        <v>0</v>
      </c>
      <c r="BK139" s="22">
        <f>+'QTR Raw'!AE90</f>
        <v>0</v>
      </c>
      <c r="BL139" s="22">
        <f t="shared" si="1184"/>
        <v>0</v>
      </c>
      <c r="BM139" s="22">
        <f>+'QTR Raw'!AG90</f>
        <v>0</v>
      </c>
      <c r="BN139" s="22">
        <f t="shared" si="1185"/>
        <v>0</v>
      </c>
      <c r="BO139" s="22">
        <f>+'QTR Raw'!AI90</f>
        <v>0</v>
      </c>
      <c r="BP139" s="22">
        <f t="shared" si="1186"/>
        <v>0</v>
      </c>
      <c r="BQ139" s="22">
        <f>+'QTR Raw'!AK90</f>
        <v>0</v>
      </c>
      <c r="BR139" s="22">
        <f t="shared" si="1187"/>
        <v>0</v>
      </c>
      <c r="BS139" s="22">
        <f>+'QTR Raw'!AM90</f>
        <v>0</v>
      </c>
      <c r="BT139" s="22">
        <f t="shared" si="1188"/>
        <v>0</v>
      </c>
      <c r="BU139" s="22">
        <f>+'QTR Raw'!AO90</f>
        <v>0</v>
      </c>
      <c r="BV139" s="22">
        <f t="shared" si="1189"/>
        <v>0</v>
      </c>
      <c r="BW139" s="22">
        <f>+'QTR Raw'!AQ90</f>
        <v>0</v>
      </c>
      <c r="BX139" s="22">
        <f t="shared" si="1190"/>
        <v>0</v>
      </c>
      <c r="BY139" s="22">
        <f>+'QTR Raw'!AS90</f>
        <v>0</v>
      </c>
      <c r="BZ139" s="22">
        <f t="shared" si="1191"/>
        <v>0</v>
      </c>
      <c r="CA139" s="22">
        <f>+'QTR Raw'!AU90</f>
        <v>0</v>
      </c>
      <c r="CB139" s="22">
        <f t="shared" si="1192"/>
        <v>0</v>
      </c>
      <c r="CC139" s="22">
        <f>+'QTR Raw'!AW90</f>
        <v>0</v>
      </c>
      <c r="CD139" s="22">
        <f t="shared" si="1193"/>
        <v>0</v>
      </c>
      <c r="CE139" s="22">
        <f>+'QTR Raw'!AY90</f>
        <v>0</v>
      </c>
      <c r="CF139" s="22">
        <f t="shared" si="1194"/>
        <v>0</v>
      </c>
      <c r="CG139" s="22">
        <f t="shared" si="1150"/>
        <v>0</v>
      </c>
      <c r="CH139" s="22">
        <f t="shared" si="1194"/>
        <v>0</v>
      </c>
      <c r="CI139" s="22">
        <f>+'QTR Raw'!BC90</f>
        <v>0</v>
      </c>
      <c r="CJ139" s="22">
        <f t="shared" si="1194"/>
        <v>0</v>
      </c>
      <c r="CK139" s="22">
        <f>+'QTR Raw'!BE90</f>
        <v>0</v>
      </c>
      <c r="CL139" s="22">
        <f t="shared" si="1194"/>
        <v>0</v>
      </c>
      <c r="CM139" s="23">
        <f t="shared" si="1195"/>
        <v>0</v>
      </c>
      <c r="CN139" s="23">
        <f t="shared" si="1196"/>
        <v>0</v>
      </c>
      <c r="CO139" s="23">
        <f t="shared" si="1197"/>
        <v>0</v>
      </c>
      <c r="CP139" s="23">
        <f t="shared" si="1198"/>
        <v>0</v>
      </c>
      <c r="CQ139" s="23">
        <f t="shared" si="1199"/>
        <v>0</v>
      </c>
      <c r="CR139" s="23">
        <f t="shared" si="1200"/>
        <v>0</v>
      </c>
      <c r="CS139" s="23">
        <f t="shared" si="1201"/>
        <v>0</v>
      </c>
      <c r="CT139" s="23">
        <f t="shared" si="1202"/>
        <v>0</v>
      </c>
      <c r="CU139" s="23">
        <f t="shared" si="1203"/>
        <v>0</v>
      </c>
      <c r="CV139" s="23">
        <f t="shared" si="1204"/>
        <v>0</v>
      </c>
      <c r="CW139" s="23">
        <f t="shared" si="1205"/>
        <v>0</v>
      </c>
      <c r="CX139" s="23">
        <f t="shared" si="1206"/>
        <v>0</v>
      </c>
      <c r="CY139" s="23">
        <f t="shared" si="1207"/>
        <v>0</v>
      </c>
      <c r="CZ139" s="23">
        <f t="shared" si="1208"/>
        <v>0</v>
      </c>
      <c r="DA139" s="23">
        <f t="shared" si="1209"/>
        <v>0</v>
      </c>
      <c r="DD139" s="122"/>
      <c r="DE139" s="22">
        <v>0</v>
      </c>
    </row>
    <row r="140" spans="1:109" s="22" customFormat="1" outlineLevel="1" x14ac:dyDescent="0.2">
      <c r="A140" s="22" t="s">
        <v>48</v>
      </c>
      <c r="B140" s="22">
        <f>'Annual Raw'!C56</f>
        <v>0</v>
      </c>
      <c r="C140" s="22">
        <f>'Annual Raw'!D56</f>
        <v>0</v>
      </c>
      <c r="D140" s="22">
        <f>'Annual Raw'!E56</f>
        <v>0</v>
      </c>
      <c r="E140" s="22">
        <f>'Annual Raw'!F56</f>
        <v>0</v>
      </c>
      <c r="F140" s="22">
        <f>'Annual Raw'!G56</f>
        <v>0</v>
      </c>
      <c r="G140" s="22">
        <f>'Annual Raw'!H56</f>
        <v>0</v>
      </c>
      <c r="H140" s="22">
        <f>'Annual Raw'!I56</f>
        <v>0</v>
      </c>
      <c r="I140" s="22">
        <f>'Annual Raw'!J56</f>
        <v>0</v>
      </c>
      <c r="J140" s="22">
        <f>'Annual Raw'!K56</f>
        <v>0</v>
      </c>
      <c r="K140" s="22">
        <f>'Annual Raw'!L56</f>
        <v>0</v>
      </c>
      <c r="L140" s="22">
        <f>'Annual Raw'!M56</f>
        <v>0</v>
      </c>
      <c r="M140" s="22">
        <f>'Annual Raw'!N56</f>
        <v>0</v>
      </c>
      <c r="N140" s="22">
        <f>'Annual Raw'!O56</f>
        <v>0</v>
      </c>
      <c r="O140" s="22">
        <f>'Annual Raw'!P56</f>
        <v>0</v>
      </c>
      <c r="P140" s="22">
        <f>'Annual Raw'!Q56</f>
        <v>0</v>
      </c>
      <c r="Q140" s="22">
        <f>'Annual Raw'!R56</f>
        <v>0</v>
      </c>
      <c r="R140" s="22">
        <f>'Annual Raw'!S56</f>
        <v>0</v>
      </c>
      <c r="S140" s="22">
        <f>'Annual Raw'!T56</f>
        <v>12.46</v>
      </c>
      <c r="T140" s="22">
        <f>'Annual Raw'!U56</f>
        <v>52.87</v>
      </c>
      <c r="U140" s="22">
        <f>'Annual Raw'!V56</f>
        <v>0</v>
      </c>
      <c r="V140" s="22">
        <f>'Annual Raw'!W56</f>
        <v>0</v>
      </c>
      <c r="W140" s="22">
        <f>'Annual Raw'!X56</f>
        <v>0</v>
      </c>
      <c r="X140" s="22">
        <f>'Annual Raw'!Y56</f>
        <v>0</v>
      </c>
      <c r="Y140" s="22">
        <f>'Annual Raw'!Z56</f>
        <v>0</v>
      </c>
      <c r="Z140" s="22">
        <f>'Annual Raw'!AA56</f>
        <v>0</v>
      </c>
      <c r="AA140" s="22">
        <f>'Annual Raw'!AB56</f>
        <v>0</v>
      </c>
      <c r="AB140" s="23">
        <f t="shared" si="1166"/>
        <v>0</v>
      </c>
      <c r="AC140" s="23">
        <f t="shared" si="1167"/>
        <v>0</v>
      </c>
      <c r="AD140" s="23">
        <f t="shared" si="1168"/>
        <v>0</v>
      </c>
      <c r="AE140" s="23">
        <f t="shared" si="1169"/>
        <v>0</v>
      </c>
      <c r="AI140" s="22">
        <f>+'QTR Raw'!C88</f>
        <v>0</v>
      </c>
      <c r="AJ140" s="22">
        <f t="shared" si="1170"/>
        <v>0</v>
      </c>
      <c r="AK140" s="22">
        <f>+'QTR Raw'!E88</f>
        <v>0</v>
      </c>
      <c r="AL140" s="22">
        <f t="shared" si="1171"/>
        <v>0</v>
      </c>
      <c r="AM140" s="22">
        <f>+'QTR Raw'!G88</f>
        <v>0</v>
      </c>
      <c r="AN140" s="22">
        <f t="shared" si="1172"/>
        <v>0</v>
      </c>
      <c r="AO140" s="22">
        <f>+'QTR Raw'!I88</f>
        <v>0</v>
      </c>
      <c r="AP140" s="22">
        <f t="shared" si="1173"/>
        <v>0</v>
      </c>
      <c r="AQ140" s="22">
        <f>+'QTR Raw'!K88</f>
        <v>0</v>
      </c>
      <c r="AR140" s="22">
        <f t="shared" si="1174"/>
        <v>0</v>
      </c>
      <c r="AS140" s="22">
        <f>+'QTR Raw'!M88</f>
        <v>0</v>
      </c>
      <c r="AT140" s="22">
        <f t="shared" si="1175"/>
        <v>0</v>
      </c>
      <c r="AU140" s="22">
        <f>+'QTR Raw'!O88</f>
        <v>0</v>
      </c>
      <c r="AV140" s="22">
        <f t="shared" si="1176"/>
        <v>0</v>
      </c>
      <c r="AW140" s="22">
        <f>+'QTR Raw'!Q88</f>
        <v>0</v>
      </c>
      <c r="AX140" s="22">
        <f t="shared" si="1177"/>
        <v>0</v>
      </c>
      <c r="AY140" s="22">
        <f>+'QTR Raw'!S88</f>
        <v>0</v>
      </c>
      <c r="AZ140" s="22">
        <f t="shared" si="1178"/>
        <v>0</v>
      </c>
      <c r="BA140" s="22">
        <f>+'QTR Raw'!U88</f>
        <v>0</v>
      </c>
      <c r="BB140" s="22">
        <f t="shared" si="1179"/>
        <v>0</v>
      </c>
      <c r="BC140" s="22">
        <f>+'QTR Raw'!W88</f>
        <v>0</v>
      </c>
      <c r="BD140" s="22">
        <f t="shared" si="1180"/>
        <v>0</v>
      </c>
      <c r="BE140" s="22">
        <f>+'QTR Raw'!Y88</f>
        <v>0</v>
      </c>
      <c r="BF140" s="22">
        <f t="shared" si="1181"/>
        <v>0</v>
      </c>
      <c r="BG140" s="22">
        <f>+'QTR Raw'!AA88</f>
        <v>0</v>
      </c>
      <c r="BH140" s="22">
        <f t="shared" si="1182"/>
        <v>0</v>
      </c>
      <c r="BI140" s="22">
        <f>+'QTR Raw'!AC88</f>
        <v>52.87</v>
      </c>
      <c r="BJ140" s="22">
        <f t="shared" si="1183"/>
        <v>52.87</v>
      </c>
      <c r="BK140" s="22">
        <f>+'QTR Raw'!AE88</f>
        <v>10</v>
      </c>
      <c r="BL140" s="22">
        <f t="shared" si="1184"/>
        <v>10</v>
      </c>
      <c r="BM140" s="22">
        <f>+'QTR Raw'!AG88</f>
        <v>0</v>
      </c>
      <c r="BN140" s="22">
        <f t="shared" si="1185"/>
        <v>0</v>
      </c>
      <c r="BO140" s="22">
        <f>+'QTR Raw'!AI88</f>
        <v>0</v>
      </c>
      <c r="BP140" s="22">
        <f t="shared" si="1186"/>
        <v>0</v>
      </c>
      <c r="BQ140" s="22">
        <f>+'QTR Raw'!AK88</f>
        <v>0</v>
      </c>
      <c r="BR140" s="22">
        <f t="shared" si="1187"/>
        <v>0</v>
      </c>
      <c r="BS140" s="22">
        <f>+'QTR Raw'!AM88</f>
        <v>0</v>
      </c>
      <c r="BT140" s="22">
        <f t="shared" si="1188"/>
        <v>0</v>
      </c>
      <c r="BU140" s="22">
        <f>+'QTR Raw'!AO88</f>
        <v>0</v>
      </c>
      <c r="BV140" s="22">
        <f t="shared" si="1189"/>
        <v>0</v>
      </c>
      <c r="BW140" s="22">
        <f>+'QTR Raw'!AQ88</f>
        <v>0</v>
      </c>
      <c r="BX140" s="22">
        <f t="shared" si="1190"/>
        <v>0</v>
      </c>
      <c r="BY140" s="22">
        <f>+'QTR Raw'!AS88</f>
        <v>0</v>
      </c>
      <c r="BZ140" s="22">
        <f t="shared" si="1191"/>
        <v>0</v>
      </c>
      <c r="CA140" s="22">
        <f>+'QTR Raw'!AU88</f>
        <v>0</v>
      </c>
      <c r="CB140" s="22">
        <f t="shared" si="1192"/>
        <v>0</v>
      </c>
      <c r="CC140" s="22">
        <f>+'QTR Raw'!AW88</f>
        <v>0</v>
      </c>
      <c r="CD140" s="22">
        <f t="shared" si="1193"/>
        <v>0</v>
      </c>
      <c r="CE140" s="22">
        <f>+'QTR Raw'!AY88</f>
        <v>0</v>
      </c>
      <c r="CF140" s="22">
        <f t="shared" si="1194"/>
        <v>0</v>
      </c>
      <c r="CG140" s="22">
        <f t="shared" si="1150"/>
        <v>0</v>
      </c>
      <c r="CH140" s="22">
        <f t="shared" si="1194"/>
        <v>0</v>
      </c>
      <c r="CI140" s="22">
        <f>+'QTR Raw'!BC88</f>
        <v>0</v>
      </c>
      <c r="CJ140" s="22">
        <f t="shared" si="1194"/>
        <v>0</v>
      </c>
      <c r="CK140" s="22">
        <f>+'QTR Raw'!BE88</f>
        <v>0</v>
      </c>
      <c r="CL140" s="22">
        <f t="shared" si="1194"/>
        <v>0</v>
      </c>
      <c r="CM140" s="23">
        <f t="shared" si="1195"/>
        <v>0</v>
      </c>
      <c r="CN140" s="23">
        <f t="shared" si="1196"/>
        <v>0</v>
      </c>
      <c r="CO140" s="23">
        <f t="shared" si="1197"/>
        <v>0</v>
      </c>
      <c r="CP140" s="23">
        <f t="shared" si="1198"/>
        <v>0</v>
      </c>
      <c r="CQ140" s="23">
        <f t="shared" si="1199"/>
        <v>0</v>
      </c>
      <c r="CR140" s="23">
        <f t="shared" si="1200"/>
        <v>0</v>
      </c>
      <c r="CS140" s="23">
        <f t="shared" si="1201"/>
        <v>0</v>
      </c>
      <c r="CT140" s="23">
        <f t="shared" si="1202"/>
        <v>0</v>
      </c>
      <c r="CU140" s="23">
        <f t="shared" si="1203"/>
        <v>0</v>
      </c>
      <c r="CV140" s="23">
        <f t="shared" si="1204"/>
        <v>0</v>
      </c>
      <c r="CW140" s="23">
        <f t="shared" si="1205"/>
        <v>0</v>
      </c>
      <c r="CX140" s="23">
        <f t="shared" si="1206"/>
        <v>0</v>
      </c>
      <c r="CY140" s="23">
        <f t="shared" si="1207"/>
        <v>0</v>
      </c>
      <c r="CZ140" s="23">
        <f t="shared" si="1208"/>
        <v>0</v>
      </c>
      <c r="DA140" s="23">
        <f t="shared" si="1209"/>
        <v>0</v>
      </c>
      <c r="DD140" s="122"/>
      <c r="DE140" s="22">
        <v>0</v>
      </c>
    </row>
    <row r="141" spans="1:109" s="21" customFormat="1" x14ac:dyDescent="0.2">
      <c r="A141" s="21" t="s">
        <v>49</v>
      </c>
      <c r="B141" s="21">
        <f>SUM(B137:B140)</f>
        <v>0</v>
      </c>
      <c r="C141" s="21">
        <f t="shared" ref="C141:V141" si="1210">SUM(C137:C140)</f>
        <v>0</v>
      </c>
      <c r="D141" s="21">
        <f t="shared" si="1210"/>
        <v>54.56</v>
      </c>
      <c r="E141" s="21">
        <f t="shared" si="1210"/>
        <v>24.88</v>
      </c>
      <c r="F141" s="21">
        <f t="shared" si="1210"/>
        <v>0.04</v>
      </c>
      <c r="G141" s="21">
        <f t="shared" si="1210"/>
        <v>11.19</v>
      </c>
      <c r="H141" s="21">
        <f t="shared" si="1210"/>
        <v>0</v>
      </c>
      <c r="I141" s="21">
        <f t="shared" si="1210"/>
        <v>0</v>
      </c>
      <c r="J141" s="21">
        <f t="shared" si="1210"/>
        <v>0</v>
      </c>
      <c r="K141" s="21">
        <f t="shared" si="1210"/>
        <v>0</v>
      </c>
      <c r="L141" s="21">
        <f t="shared" si="1210"/>
        <v>0</v>
      </c>
      <c r="M141" s="21">
        <f t="shared" si="1210"/>
        <v>0</v>
      </c>
      <c r="N141" s="21">
        <f t="shared" si="1210"/>
        <v>0</v>
      </c>
      <c r="O141" s="21">
        <f t="shared" si="1210"/>
        <v>0</v>
      </c>
      <c r="P141" s="21">
        <f t="shared" si="1210"/>
        <v>0</v>
      </c>
      <c r="Q141" s="21">
        <f t="shared" si="1210"/>
        <v>0</v>
      </c>
      <c r="R141" s="21">
        <f t="shared" si="1210"/>
        <v>0</v>
      </c>
      <c r="S141" s="21">
        <f t="shared" si="1210"/>
        <v>69.38</v>
      </c>
      <c r="T141" s="21">
        <f t="shared" si="1210"/>
        <v>57.739999999999995</v>
      </c>
      <c r="U141" s="21">
        <f t="shared" si="1210"/>
        <v>0</v>
      </c>
      <c r="V141" s="21">
        <f t="shared" si="1210"/>
        <v>0</v>
      </c>
      <c r="W141" s="21">
        <f t="shared" ref="W141" si="1211">SUM(W137:W140)</f>
        <v>0</v>
      </c>
      <c r="X141" s="21">
        <f t="shared" ref="X141:Y141" si="1212">SUM(X137:X140)</f>
        <v>0</v>
      </c>
      <c r="Y141" s="21">
        <f t="shared" si="1212"/>
        <v>0</v>
      </c>
      <c r="Z141" s="21">
        <f t="shared" ref="Z141:AA141" si="1213">SUM(Z137:Z140)</f>
        <v>0</v>
      </c>
      <c r="AA141" s="21">
        <f t="shared" ref="AA141" si="1214">SUM(AA137:AA140)</f>
        <v>0</v>
      </c>
      <c r="AB141" s="20">
        <f t="shared" ref="AB141:AD141" si="1215">SUM(AB137:AB140)</f>
        <v>0</v>
      </c>
      <c r="AC141" s="20">
        <f t="shared" si="1215"/>
        <v>0</v>
      </c>
      <c r="AD141" s="20">
        <f t="shared" si="1215"/>
        <v>0</v>
      </c>
      <c r="AE141" s="20">
        <f t="shared" ref="AE141" si="1216">SUM(AE137:AE140)</f>
        <v>0</v>
      </c>
      <c r="AI141" s="21">
        <f t="shared" ref="AI141:AL141" si="1217">SUM(AI137:AI140)</f>
        <v>0</v>
      </c>
      <c r="AJ141" s="21">
        <f t="shared" si="1217"/>
        <v>0</v>
      </c>
      <c r="AK141" s="21">
        <f t="shared" si="1217"/>
        <v>0</v>
      </c>
      <c r="AL141" s="21">
        <f t="shared" si="1217"/>
        <v>0</v>
      </c>
      <c r="AM141" s="21">
        <f t="shared" ref="AM141:AP141" si="1218">SUM(AM137:AM140)</f>
        <v>0</v>
      </c>
      <c r="AN141" s="21">
        <f t="shared" si="1218"/>
        <v>0</v>
      </c>
      <c r="AO141" s="21">
        <f t="shared" si="1218"/>
        <v>0</v>
      </c>
      <c r="AP141" s="21">
        <f t="shared" si="1218"/>
        <v>0</v>
      </c>
      <c r="AQ141" s="21">
        <f t="shared" ref="AQ141:AT141" si="1219">SUM(AQ137:AQ140)</f>
        <v>0</v>
      </c>
      <c r="AR141" s="21">
        <f t="shared" si="1219"/>
        <v>0</v>
      </c>
      <c r="AS141" s="21">
        <f t="shared" si="1219"/>
        <v>0</v>
      </c>
      <c r="AT141" s="21">
        <f t="shared" si="1219"/>
        <v>0</v>
      </c>
      <c r="AU141" s="21">
        <f t="shared" ref="AU141:AX141" si="1220">SUM(AU137:AU140)</f>
        <v>0</v>
      </c>
      <c r="AV141" s="21">
        <f t="shared" si="1220"/>
        <v>0</v>
      </c>
      <c r="AW141" s="21">
        <f t="shared" si="1220"/>
        <v>0</v>
      </c>
      <c r="AX141" s="21">
        <f t="shared" si="1220"/>
        <v>0</v>
      </c>
      <c r="AY141" s="21">
        <f t="shared" ref="AY141:BB141" si="1221">SUM(AY137:AY140)</f>
        <v>0</v>
      </c>
      <c r="AZ141" s="21">
        <f t="shared" si="1221"/>
        <v>0</v>
      </c>
      <c r="BA141" s="21">
        <f t="shared" si="1221"/>
        <v>0</v>
      </c>
      <c r="BB141" s="21">
        <f t="shared" si="1221"/>
        <v>0</v>
      </c>
      <c r="BC141" s="21">
        <f t="shared" ref="BC141:BF141" si="1222">SUM(BC137:BC140)</f>
        <v>0</v>
      </c>
      <c r="BD141" s="21">
        <f t="shared" si="1222"/>
        <v>0</v>
      </c>
      <c r="BE141" s="21">
        <f t="shared" si="1222"/>
        <v>0</v>
      </c>
      <c r="BF141" s="21">
        <f t="shared" si="1222"/>
        <v>0</v>
      </c>
      <c r="BG141" s="21">
        <f t="shared" ref="BG141:BJ141" si="1223">SUM(BG137:BG140)</f>
        <v>0</v>
      </c>
      <c r="BH141" s="21">
        <f t="shared" si="1223"/>
        <v>0</v>
      </c>
      <c r="BI141" s="21">
        <f t="shared" si="1223"/>
        <v>57.739999999999995</v>
      </c>
      <c r="BJ141" s="21">
        <f t="shared" si="1223"/>
        <v>57.739999999999995</v>
      </c>
      <c r="BK141" s="21">
        <f t="shared" ref="BK141:BN141" si="1224">SUM(BK137:BK140)</f>
        <v>10</v>
      </c>
      <c r="BL141" s="21">
        <f t="shared" si="1224"/>
        <v>10</v>
      </c>
      <c r="BM141" s="21">
        <f t="shared" si="1224"/>
        <v>0</v>
      </c>
      <c r="BN141" s="21">
        <f t="shared" si="1224"/>
        <v>0</v>
      </c>
      <c r="BO141" s="21">
        <f t="shared" ref="BO141:BR141" si="1225">SUM(BO137:BO140)</f>
        <v>0</v>
      </c>
      <c r="BP141" s="21">
        <f t="shared" si="1225"/>
        <v>0</v>
      </c>
      <c r="BQ141" s="21">
        <f t="shared" si="1225"/>
        <v>0</v>
      </c>
      <c r="BR141" s="21">
        <f t="shared" si="1225"/>
        <v>0</v>
      </c>
      <c r="BS141" s="21">
        <f t="shared" ref="BS141:BV141" si="1226">SUM(BS137:BS140)</f>
        <v>0</v>
      </c>
      <c r="BT141" s="21">
        <f t="shared" si="1226"/>
        <v>0</v>
      </c>
      <c r="BU141" s="21">
        <f t="shared" si="1226"/>
        <v>0</v>
      </c>
      <c r="BV141" s="21">
        <f t="shared" si="1226"/>
        <v>0</v>
      </c>
      <c r="BW141" s="21">
        <f t="shared" ref="BW141:BZ141" si="1227">SUM(BW137:BW140)</f>
        <v>0</v>
      </c>
      <c r="BX141" s="21">
        <f t="shared" si="1227"/>
        <v>0</v>
      </c>
      <c r="BY141" s="21">
        <f t="shared" si="1227"/>
        <v>0</v>
      </c>
      <c r="BZ141" s="21">
        <f t="shared" si="1227"/>
        <v>0</v>
      </c>
      <c r="CA141" s="21">
        <f t="shared" ref="CA141:CD141" si="1228">SUM(CA137:CA140)</f>
        <v>0</v>
      </c>
      <c r="CB141" s="21">
        <f t="shared" si="1228"/>
        <v>0</v>
      </c>
      <c r="CC141" s="21">
        <f t="shared" si="1228"/>
        <v>0</v>
      </c>
      <c r="CD141" s="21">
        <f t="shared" si="1228"/>
        <v>0</v>
      </c>
      <c r="CE141" s="21">
        <f t="shared" ref="CE141" si="1229">SUM(CE137:CE140)</f>
        <v>0</v>
      </c>
      <c r="CF141" s="21">
        <f t="shared" ref="CF141:CH141" si="1230">SUM(CF137:CF140)</f>
        <v>0</v>
      </c>
      <c r="CG141" s="21">
        <f t="shared" ref="CG141" si="1231">SUM(CG137:CG140)</f>
        <v>0</v>
      </c>
      <c r="CH141" s="21">
        <f t="shared" si="1230"/>
        <v>0</v>
      </c>
      <c r="CI141" s="21">
        <f t="shared" ref="CI141:CJ141" si="1232">SUM(CI137:CI140)</f>
        <v>0</v>
      </c>
      <c r="CJ141" s="21">
        <f t="shared" si="1232"/>
        <v>0</v>
      </c>
      <c r="CK141" s="21">
        <f t="shared" ref="CK141" si="1233">SUM(CK137:CK140)</f>
        <v>0</v>
      </c>
      <c r="CL141" s="21">
        <f t="shared" ref="CL141:DA141" si="1234">SUM(CL137:CL140)</f>
        <v>0</v>
      </c>
      <c r="CM141" s="20">
        <f t="shared" si="1234"/>
        <v>0</v>
      </c>
      <c r="CN141" s="20">
        <f t="shared" si="1234"/>
        <v>0</v>
      </c>
      <c r="CO141" s="20">
        <f t="shared" si="1234"/>
        <v>0</v>
      </c>
      <c r="CP141" s="20">
        <f t="shared" si="1234"/>
        <v>0</v>
      </c>
      <c r="CQ141" s="20">
        <f t="shared" si="1234"/>
        <v>0</v>
      </c>
      <c r="CR141" s="20">
        <f t="shared" si="1234"/>
        <v>0</v>
      </c>
      <c r="CS141" s="20">
        <f t="shared" si="1234"/>
        <v>0</v>
      </c>
      <c r="CT141" s="20">
        <f t="shared" si="1234"/>
        <v>0</v>
      </c>
      <c r="CU141" s="20">
        <f t="shared" si="1234"/>
        <v>0</v>
      </c>
      <c r="CV141" s="20">
        <f t="shared" si="1234"/>
        <v>0</v>
      </c>
      <c r="CW141" s="20">
        <f t="shared" si="1234"/>
        <v>0</v>
      </c>
      <c r="CX141" s="20">
        <f t="shared" si="1234"/>
        <v>0</v>
      </c>
      <c r="CY141" s="20">
        <f t="shared" si="1234"/>
        <v>0</v>
      </c>
      <c r="CZ141" s="20">
        <f t="shared" si="1234"/>
        <v>0</v>
      </c>
      <c r="DA141" s="20">
        <f t="shared" si="1234"/>
        <v>0</v>
      </c>
      <c r="DD141" s="125"/>
      <c r="DE141" s="21">
        <v>0</v>
      </c>
    </row>
    <row r="142" spans="1:109" s="25" customFormat="1" x14ac:dyDescent="0.2">
      <c r="A142" s="25" t="s">
        <v>436</v>
      </c>
      <c r="B142" s="25">
        <f>B141+B133+B135</f>
        <v>0</v>
      </c>
      <c r="C142" s="25">
        <f t="shared" ref="C142:V142" si="1235">C141+C133+C135</f>
        <v>0</v>
      </c>
      <c r="D142" s="25">
        <f>D141+D133+D135</f>
        <v>156.94</v>
      </c>
      <c r="E142" s="25">
        <f t="shared" si="1235"/>
        <v>141.07</v>
      </c>
      <c r="F142" s="25">
        <f t="shared" si="1235"/>
        <v>140.47</v>
      </c>
      <c r="G142" s="25">
        <f t="shared" si="1235"/>
        <v>192.76</v>
      </c>
      <c r="H142" s="25">
        <f t="shared" si="1235"/>
        <v>247.63</v>
      </c>
      <c r="I142" s="25">
        <f t="shared" si="1235"/>
        <v>318.10000000000002</v>
      </c>
      <c r="J142" s="25">
        <f t="shared" si="1235"/>
        <v>405.01</v>
      </c>
      <c r="K142" s="25">
        <f t="shared" si="1235"/>
        <v>461.74</v>
      </c>
      <c r="L142" s="25">
        <f t="shared" si="1235"/>
        <v>573.46</v>
      </c>
      <c r="M142" s="25">
        <f t="shared" si="1235"/>
        <v>730.04</v>
      </c>
      <c r="N142" s="25">
        <f t="shared" si="1235"/>
        <v>879.5</v>
      </c>
      <c r="O142" s="25">
        <f t="shared" si="1235"/>
        <v>989.55</v>
      </c>
      <c r="P142" s="25">
        <f t="shared" si="1235"/>
        <v>1107.4899999999998</v>
      </c>
      <c r="Q142" s="25">
        <f t="shared" si="1235"/>
        <v>1289.2399999999998</v>
      </c>
      <c r="R142" s="25">
        <f t="shared" si="1235"/>
        <v>1475.1599999999999</v>
      </c>
      <c r="S142" s="25">
        <f t="shared" si="1235"/>
        <v>2394.5400000000004</v>
      </c>
      <c r="T142" s="25">
        <f t="shared" si="1235"/>
        <v>2763.86</v>
      </c>
      <c r="U142" s="25">
        <f t="shared" si="1235"/>
        <v>2962.1600000000003</v>
      </c>
      <c r="V142" s="25">
        <f t="shared" si="1235"/>
        <v>3140.2900000000004</v>
      </c>
      <c r="W142" s="25">
        <f t="shared" ref="W142" si="1236">W141+W133+W135</f>
        <v>3653.67</v>
      </c>
      <c r="X142" s="25">
        <f t="shared" ref="X142:Y142" si="1237">X141+X133+X135</f>
        <v>4285.9000000000005</v>
      </c>
      <c r="Y142" s="25">
        <f t="shared" si="1237"/>
        <v>4805.3500000000004</v>
      </c>
      <c r="Z142" s="25">
        <f t="shared" ref="Z142:AA142" si="1238">Z141+Z133+Z135</f>
        <v>5334.43</v>
      </c>
      <c r="AA142" s="25">
        <f t="shared" ref="AA142" si="1239">AA141+AA133+AA135</f>
        <v>6047.96</v>
      </c>
      <c r="AB142" s="26">
        <f t="shared" ref="AB142:AD142" si="1240">AB141+AB133+AB135</f>
        <v>7452.4046743708886</v>
      </c>
      <c r="AC142" s="26">
        <f t="shared" si="1240"/>
        <v>9169.0232498562236</v>
      </c>
      <c r="AD142" s="26">
        <f t="shared" si="1240"/>
        <v>11097.295568987302</v>
      </c>
      <c r="AE142" s="26">
        <f t="shared" ref="AE142" si="1241">AE141+AE133+AE135</f>
        <v>13381.430587910156</v>
      </c>
      <c r="AI142" s="25">
        <f t="shared" ref="AI142:AL142" si="1242">AI141+AI133+AI135</f>
        <v>803.25</v>
      </c>
      <c r="AJ142" s="25">
        <f t="shared" si="1242"/>
        <v>840.19</v>
      </c>
      <c r="AK142" s="25">
        <f t="shared" si="1242"/>
        <v>879.5</v>
      </c>
      <c r="AL142" s="25">
        <f t="shared" si="1242"/>
        <v>904.94999999999993</v>
      </c>
      <c r="AM142" s="25">
        <f t="shared" ref="AM142:AP142" si="1243">AM141+AM133+AM135</f>
        <v>930.44</v>
      </c>
      <c r="AN142" s="25">
        <f t="shared" si="1243"/>
        <v>966.33</v>
      </c>
      <c r="AO142" s="25">
        <f t="shared" si="1243"/>
        <v>989.55</v>
      </c>
      <c r="AP142" s="25">
        <f t="shared" si="1243"/>
        <v>1024.2299999999998</v>
      </c>
      <c r="AQ142" s="25">
        <f t="shared" ref="AQ142:AT142" si="1244">AQ141+AQ133+AQ135</f>
        <v>1064.9699999999998</v>
      </c>
      <c r="AR142" s="25">
        <f t="shared" si="1244"/>
        <v>1102.4799999999998</v>
      </c>
      <c r="AS142" s="25">
        <f t="shared" si="1244"/>
        <v>1107.4899999999998</v>
      </c>
      <c r="AT142" s="25">
        <f t="shared" si="1244"/>
        <v>1148.8899999999996</v>
      </c>
      <c r="AU142" s="25">
        <f t="shared" ref="AU142:AX142" si="1245">AU141+AU133+AU135</f>
        <v>1208.4099999999999</v>
      </c>
      <c r="AV142" s="25">
        <f t="shared" si="1245"/>
        <v>1259.0099999999998</v>
      </c>
      <c r="AW142" s="25">
        <f t="shared" si="1245"/>
        <v>1289.2399999999998</v>
      </c>
      <c r="AX142" s="25">
        <f t="shared" si="1245"/>
        <v>1330.6999999999998</v>
      </c>
      <c r="AY142" s="25">
        <f t="shared" ref="AY142:BB142" si="1246">AY141+AY133+AY135</f>
        <v>1376.59</v>
      </c>
      <c r="AZ142" s="25">
        <f t="shared" si="1246"/>
        <v>1429.11</v>
      </c>
      <c r="BA142" s="25">
        <f t="shared" si="1246"/>
        <v>1475.1599999999999</v>
      </c>
      <c r="BB142" s="25">
        <f t="shared" si="1246"/>
        <v>1532.6399999999999</v>
      </c>
      <c r="BC142" s="25">
        <f t="shared" ref="BC142:BF142" si="1247">BC141+BC133+BC135</f>
        <v>1567.02</v>
      </c>
      <c r="BD142" s="25">
        <f t="shared" si="1247"/>
        <v>1662.5</v>
      </c>
      <c r="BE142" s="25">
        <f t="shared" si="1247"/>
        <v>1695.32</v>
      </c>
      <c r="BF142" s="25">
        <f t="shared" si="1247"/>
        <v>1805.86</v>
      </c>
      <c r="BG142" s="25">
        <f t="shared" ref="BG142:BJ142" si="1248">BG141+BG133+BG135</f>
        <v>1786.75</v>
      </c>
      <c r="BH142" s="25">
        <f t="shared" si="1248"/>
        <v>1877.41</v>
      </c>
      <c r="BI142" s="25">
        <f t="shared" si="1248"/>
        <v>2763.86</v>
      </c>
      <c r="BJ142" s="25">
        <f t="shared" si="1248"/>
        <v>2870.04</v>
      </c>
      <c r="BK142" s="25">
        <f t="shared" ref="BK142:BN142" si="1249">BK141+BK133+BK135</f>
        <v>2792.7200000000003</v>
      </c>
      <c r="BL142" s="25">
        <f t="shared" si="1249"/>
        <v>2887.1500000000005</v>
      </c>
      <c r="BM142" s="25">
        <f t="shared" si="1249"/>
        <v>2962.1600000000003</v>
      </c>
      <c r="BN142" s="25">
        <f t="shared" si="1249"/>
        <v>3040.51</v>
      </c>
      <c r="BO142" s="25">
        <f t="shared" ref="BO142:BR142" si="1250">BO141+BO133+BO135</f>
        <v>2887.21</v>
      </c>
      <c r="BP142" s="25">
        <f t="shared" si="1250"/>
        <v>3000.6800000000003</v>
      </c>
      <c r="BQ142" s="25">
        <f t="shared" si="1250"/>
        <v>3140.2900000000004</v>
      </c>
      <c r="BR142" s="25">
        <f t="shared" si="1250"/>
        <v>3279.8300000000004</v>
      </c>
      <c r="BS142" s="25">
        <f t="shared" ref="BS142:BV142" si="1251">BS141+BS133+BS135</f>
        <v>3296.2700000000004</v>
      </c>
      <c r="BT142" s="25">
        <f t="shared" si="1251"/>
        <v>3467.0800000000004</v>
      </c>
      <c r="BU142" s="25">
        <f t="shared" si="1251"/>
        <v>3653.67</v>
      </c>
      <c r="BV142" s="25">
        <f t="shared" si="1251"/>
        <v>3860.79</v>
      </c>
      <c r="BW142" s="25">
        <f t="shared" ref="BW142:BZ142" si="1252">BW141+BW133+BW135</f>
        <v>3840.53</v>
      </c>
      <c r="BX142" s="25">
        <f t="shared" si="1252"/>
        <v>4055.8900000000003</v>
      </c>
      <c r="BY142" s="25">
        <f t="shared" si="1252"/>
        <v>4285.9000000000005</v>
      </c>
      <c r="BZ142" s="25">
        <f t="shared" si="1252"/>
        <v>4505.2700000000004</v>
      </c>
      <c r="CA142" s="25">
        <f t="shared" ref="CA142:CD142" si="1253">CA141+CA133+CA135</f>
        <v>4366.7700000000004</v>
      </c>
      <c r="CB142" s="25">
        <f t="shared" si="1253"/>
        <v>4599.5300000000007</v>
      </c>
      <c r="CC142" s="25">
        <f t="shared" si="1253"/>
        <v>4805.3500000000004</v>
      </c>
      <c r="CD142" s="25">
        <f t="shared" si="1253"/>
        <v>5025.0700000000006</v>
      </c>
      <c r="CE142" s="25">
        <f t="shared" ref="CE142" si="1254">CE141+CE133+CE135</f>
        <v>4866.1500000000005</v>
      </c>
      <c r="CF142" s="25">
        <f t="shared" ref="CF142:CH142" si="1255">CF141+CF133+CF135</f>
        <v>5102.5600000000004</v>
      </c>
      <c r="CG142" s="25">
        <f t="shared" ref="CG142" si="1256">CG141+CG133+CG135</f>
        <v>5334.43</v>
      </c>
      <c r="CH142" s="25">
        <f t="shared" si="1255"/>
        <v>5586.05</v>
      </c>
      <c r="CI142" s="25">
        <f t="shared" ref="CI142:CJ142" si="1257">CI141+CI133+CI135</f>
        <v>5434.87</v>
      </c>
      <c r="CJ142" s="25">
        <f t="shared" si="1257"/>
        <v>5724.13</v>
      </c>
      <c r="CK142" s="25">
        <f t="shared" ref="CK142" si="1258">CK141+CK133+CK135</f>
        <v>6047.96</v>
      </c>
      <c r="CL142" s="25">
        <f t="shared" ref="CL142:DA142" si="1259">CL141+CL133+CL135</f>
        <v>6364.03</v>
      </c>
      <c r="CM142" s="26">
        <f t="shared" si="1259"/>
        <v>6693.6266812694776</v>
      </c>
      <c r="CN142" s="26">
        <f t="shared" si="1259"/>
        <v>7047.0470079399774</v>
      </c>
      <c r="CO142" s="26">
        <f t="shared" si="1259"/>
        <v>7452.4046743708886</v>
      </c>
      <c r="CP142" s="26">
        <f t="shared" si="1259"/>
        <v>7837.1444733841536</v>
      </c>
      <c r="CQ142" s="26">
        <f t="shared" si="1259"/>
        <v>8241.9658114787781</v>
      </c>
      <c r="CR142" s="26">
        <f t="shared" si="1259"/>
        <v>8675.6028086225524</v>
      </c>
      <c r="CS142" s="26">
        <f t="shared" si="1259"/>
        <v>9169.0232498562236</v>
      </c>
      <c r="CT142" s="26">
        <f t="shared" si="1259"/>
        <v>9605.2328668408045</v>
      </c>
      <c r="CU142" s="26">
        <f t="shared" si="1259"/>
        <v>10061.339178728083</v>
      </c>
      <c r="CV142" s="26">
        <f t="shared" si="1259"/>
        <v>10548.782286669497</v>
      </c>
      <c r="CW142" s="26">
        <f t="shared" si="1259"/>
        <v>11097.295568987302</v>
      </c>
      <c r="CX142" s="26">
        <f t="shared" si="1259"/>
        <v>11613.163835238756</v>
      </c>
      <c r="CY142" s="26">
        <f t="shared" si="1259"/>
        <v>12150.906062967089</v>
      </c>
      <c r="CZ142" s="26">
        <f t="shared" si="1259"/>
        <v>12729.447562652371</v>
      </c>
      <c r="DA142" s="26">
        <f t="shared" si="1259"/>
        <v>13381.430587910156</v>
      </c>
      <c r="DD142" s="120"/>
      <c r="DE142" s="25">
        <v>6047.96</v>
      </c>
    </row>
    <row r="143" spans="1:109" s="22" customFormat="1" x14ac:dyDescent="0.2">
      <c r="AB143" s="23"/>
      <c r="AC143" s="23"/>
      <c r="AD143" s="23"/>
      <c r="AE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</row>
    <row r="144" spans="1:109" s="22" customFormat="1" outlineLevel="1" x14ac:dyDescent="0.2">
      <c r="A144" s="22" t="s">
        <v>50</v>
      </c>
      <c r="B144" s="22">
        <f>'Annual Raw'!C62</f>
        <v>0</v>
      </c>
      <c r="C144" s="22">
        <f>'Annual Raw'!D62</f>
        <v>0</v>
      </c>
      <c r="D144" s="22">
        <f>'Annual Raw'!E62</f>
        <v>248.15</v>
      </c>
      <c r="E144" s="22">
        <f>'Annual Raw'!F62-E148</f>
        <v>256.12</v>
      </c>
      <c r="F144" s="22">
        <f>'Annual Raw'!G62-F148</f>
        <v>264.85000000000002</v>
      </c>
      <c r="G144" s="22">
        <f>'Annual Raw'!H62-G148</f>
        <v>278.67</v>
      </c>
      <c r="H144" s="22">
        <f>'Annual Raw'!I62-H148</f>
        <v>324.60000000000002</v>
      </c>
      <c r="I144" s="22">
        <f>'Annual Raw'!J62-I148</f>
        <v>363.05</v>
      </c>
      <c r="J144" s="22">
        <f>'Annual Raw'!K62-J148</f>
        <v>400.17</v>
      </c>
      <c r="K144" s="22">
        <f>'Annual Raw'!L62-K148</f>
        <v>413.21</v>
      </c>
      <c r="L144" s="22">
        <f>'Annual Raw'!M62-L148</f>
        <v>418.99</v>
      </c>
      <c r="M144" s="22">
        <f>'Annual Raw'!N62-M148</f>
        <v>475.23</v>
      </c>
      <c r="N144" s="22">
        <f>'Annual Raw'!O62-N148</f>
        <v>601.29999999999995</v>
      </c>
      <c r="O144" s="22">
        <f>'Annual Raw'!P62-O148</f>
        <v>742.02</v>
      </c>
      <c r="P144" s="22">
        <f>'Annual Raw'!Q62-P148</f>
        <v>739.36</v>
      </c>
      <c r="Q144" s="22">
        <f>'Annual Raw'!R62-Q148</f>
        <v>785.39</v>
      </c>
      <c r="R144" s="22">
        <f>'Annual Raw'!S62-R148</f>
        <v>450.2</v>
      </c>
      <c r="S144" s="22">
        <f>'Annual Raw'!T62-S148</f>
        <v>942.87</v>
      </c>
      <c r="T144" s="22">
        <f>'Annual Raw'!U62-T148</f>
        <v>1077.6600000000001</v>
      </c>
      <c r="U144" s="22">
        <f>'Annual Raw'!V62-U148</f>
        <v>1400.01</v>
      </c>
      <c r="V144" s="22">
        <f>'Annual Raw'!W62-V148</f>
        <v>1704.45</v>
      </c>
      <c r="W144" s="22">
        <f>'Annual Raw'!X62-W148</f>
        <v>1954.09</v>
      </c>
      <c r="X144" s="22">
        <f>'Annual Raw'!Y62-X148</f>
        <v>2169.87</v>
      </c>
      <c r="Y144" s="22">
        <f>'Annual Raw'!Z62-Y148</f>
        <v>2629.34</v>
      </c>
      <c r="Z144" s="22">
        <f>'Annual Raw'!AA62-Z148</f>
        <v>3420.17</v>
      </c>
      <c r="AA144" s="22">
        <f>'Annual Raw'!AB62-AA148</f>
        <v>3981.68</v>
      </c>
      <c r="AB144" s="23">
        <f t="shared" ref="AB144:AB146" si="1260">+CO144</f>
        <v>2607.5100000000002</v>
      </c>
      <c r="AC144" s="23">
        <f t="shared" ref="AC144:AC146" si="1261">+CS144</f>
        <v>2927.51</v>
      </c>
      <c r="AD144" s="23">
        <f t="shared" ref="AD144:AD146" si="1262">+CW144</f>
        <v>3247.51</v>
      </c>
      <c r="AE144" s="23">
        <f t="shared" ref="AE144:AE146" si="1263">+DA144</f>
        <v>3567.51</v>
      </c>
      <c r="AI144" s="22">
        <f>+'QTR Raw'!C68</f>
        <v>334.52</v>
      </c>
      <c r="AK144" s="22">
        <f>+'QTR Raw'!E68</f>
        <v>392.71</v>
      </c>
      <c r="AM144" s="22">
        <f>+'QTR Raw'!G68</f>
        <v>397.63</v>
      </c>
      <c r="AO144" s="22">
        <f>+'QTR Raw'!I68</f>
        <v>412.32</v>
      </c>
      <c r="AQ144" s="22">
        <f>+'QTR Raw'!K68</f>
        <v>398.67</v>
      </c>
      <c r="AS144" s="22">
        <f>+'QTR Raw'!M68</f>
        <v>390.36</v>
      </c>
      <c r="AU144" s="22">
        <f>+'QTR Raw'!O68</f>
        <v>390.22</v>
      </c>
      <c r="AW144" s="22">
        <f>+'QTR Raw'!Q68</f>
        <v>397.6</v>
      </c>
      <c r="AY144" s="22">
        <f>+'QTR Raw'!S68</f>
        <v>402.89</v>
      </c>
      <c r="BA144" s="22">
        <f>+'QTR Raw'!U68</f>
        <v>386.16</v>
      </c>
      <c r="BC144" s="22">
        <f>+'QTR Raw'!W68</f>
        <v>367.8</v>
      </c>
      <c r="BE144" s="22">
        <f>+'QTR Raw'!Y68</f>
        <v>379.92</v>
      </c>
      <c r="BG144" s="22">
        <f>+'QTR Raw'!AA68</f>
        <v>357.33</v>
      </c>
      <c r="BI144" s="22">
        <f>+'QTR Raw'!AC68</f>
        <v>730.7</v>
      </c>
      <c r="BK144" s="22">
        <f>+'QTR Raw'!AE68</f>
        <v>731.43</v>
      </c>
      <c r="BM144" s="22">
        <f>+'QTR Raw'!AG68</f>
        <v>894.59</v>
      </c>
      <c r="BO144" s="22">
        <f>+'QTR Raw'!AI68</f>
        <v>856.65</v>
      </c>
      <c r="BQ144" s="22">
        <f>+'QTR Raw'!AK68</f>
        <v>926.01</v>
      </c>
      <c r="BS144" s="22">
        <f>+'QTR Raw'!AM68</f>
        <v>926.77</v>
      </c>
      <c r="BU144" s="22">
        <f>+'QTR Raw'!AO68</f>
        <v>997.22</v>
      </c>
      <c r="BW144" s="22">
        <f>+'QTR Raw'!AQ68</f>
        <v>984.19</v>
      </c>
      <c r="BY144" s="22">
        <f>+'QTR Raw'!AS68</f>
        <v>1019.64</v>
      </c>
      <c r="CA144" s="22">
        <f>+'QTR Raw'!AU68</f>
        <v>1124.23</v>
      </c>
      <c r="CC144" s="22">
        <f>+'QTR Raw'!AW68</f>
        <v>1263.8</v>
      </c>
      <c r="CE144" s="22">
        <f>+'QTR Raw'!AY68</f>
        <v>1431.61</v>
      </c>
      <c r="CG144" s="22">
        <f t="shared" ref="CG144:CG150" si="1264">+Z144</f>
        <v>3420.17</v>
      </c>
      <c r="CI144" s="22">
        <f>+CI145+CI147</f>
        <v>1781.91</v>
      </c>
      <c r="CJ144" s="22">
        <f>+CJ145+CJ147</f>
        <v>1869.79</v>
      </c>
      <c r="CK144" s="22">
        <f>+CK145+CK147</f>
        <v>2277.0500000000002</v>
      </c>
      <c r="CL144" s="22">
        <f>+CL145+CL147</f>
        <v>2367.5100000000002</v>
      </c>
      <c r="CM144" s="23">
        <f t="shared" ref="CM144:DA144" si="1265">CL144+80</f>
        <v>2447.5100000000002</v>
      </c>
      <c r="CN144" s="23">
        <f t="shared" si="1265"/>
        <v>2527.5100000000002</v>
      </c>
      <c r="CO144" s="23">
        <f t="shared" si="1265"/>
        <v>2607.5100000000002</v>
      </c>
      <c r="CP144" s="23">
        <f t="shared" si="1265"/>
        <v>2687.51</v>
      </c>
      <c r="CQ144" s="23">
        <f t="shared" si="1265"/>
        <v>2767.51</v>
      </c>
      <c r="CR144" s="23">
        <f t="shared" si="1265"/>
        <v>2847.51</v>
      </c>
      <c r="CS144" s="23">
        <f t="shared" si="1265"/>
        <v>2927.51</v>
      </c>
      <c r="CT144" s="23">
        <f t="shared" si="1265"/>
        <v>3007.51</v>
      </c>
      <c r="CU144" s="23">
        <f t="shared" si="1265"/>
        <v>3087.51</v>
      </c>
      <c r="CV144" s="23">
        <f t="shared" si="1265"/>
        <v>3167.51</v>
      </c>
      <c r="CW144" s="23">
        <f t="shared" si="1265"/>
        <v>3247.51</v>
      </c>
      <c r="CX144" s="23">
        <f t="shared" si="1265"/>
        <v>3327.51</v>
      </c>
      <c r="CY144" s="23">
        <f t="shared" si="1265"/>
        <v>3407.51</v>
      </c>
      <c r="CZ144" s="23">
        <f t="shared" si="1265"/>
        <v>3487.51</v>
      </c>
      <c r="DA144" s="23">
        <f t="shared" si="1265"/>
        <v>3567.51</v>
      </c>
      <c r="DD144" s="122"/>
      <c r="DE144" s="22">
        <v>2277.0500000000002</v>
      </c>
    </row>
    <row r="145" spans="1:109" s="22" customFormat="1" outlineLevel="1" x14ac:dyDescent="0.2">
      <c r="A145" s="22" t="s">
        <v>51</v>
      </c>
      <c r="B145" s="22">
        <f>'Annual Raw'!C63</f>
        <v>0</v>
      </c>
      <c r="C145" s="22">
        <f>'Annual Raw'!D63</f>
        <v>0</v>
      </c>
      <c r="D145" s="22">
        <f>'Annual Raw'!E63</f>
        <v>151.78</v>
      </c>
      <c r="E145" s="22">
        <f>'Annual Raw'!F63</f>
        <v>167.84</v>
      </c>
      <c r="F145" s="22">
        <f>'Annual Raw'!G63</f>
        <v>184.12</v>
      </c>
      <c r="G145" s="22">
        <f>'Annual Raw'!H63</f>
        <v>195.56</v>
      </c>
      <c r="H145" s="22">
        <f>'Annual Raw'!I63</f>
        <v>213.37</v>
      </c>
      <c r="I145" s="22">
        <f>'Annual Raw'!J63</f>
        <v>231.82</v>
      </c>
      <c r="J145" s="22">
        <f>'Annual Raw'!K63</f>
        <v>251.82</v>
      </c>
      <c r="K145" s="22">
        <f>'Annual Raw'!L63</f>
        <v>271.60000000000002</v>
      </c>
      <c r="L145" s="22">
        <f>'Annual Raw'!M63</f>
        <v>277.99</v>
      </c>
      <c r="M145" s="22">
        <f>'Annual Raw'!N63</f>
        <v>296.91000000000003</v>
      </c>
      <c r="N145" s="22">
        <f>'Annual Raw'!O63</f>
        <v>322.14</v>
      </c>
      <c r="O145" s="22">
        <f>'Annual Raw'!P63</f>
        <v>343.13</v>
      </c>
      <c r="P145" s="22">
        <f>'Annual Raw'!Q63</f>
        <v>369.12</v>
      </c>
      <c r="Q145" s="22">
        <f>'Annual Raw'!R63</f>
        <v>439.67</v>
      </c>
      <c r="R145" s="22">
        <f>'Annual Raw'!S63</f>
        <v>64.040000000000006</v>
      </c>
      <c r="S145" s="22">
        <f>'Annual Raw'!T63</f>
        <v>198.65</v>
      </c>
      <c r="T145" s="22">
        <f>'Annual Raw'!U63</f>
        <v>346.96</v>
      </c>
      <c r="U145" s="22">
        <f>'Annual Raw'!V63</f>
        <v>505.42</v>
      </c>
      <c r="V145" s="22">
        <f>'Annual Raw'!W63</f>
        <v>698.61</v>
      </c>
      <c r="W145" s="22">
        <f>'Annual Raw'!X63</f>
        <v>884.39</v>
      </c>
      <c r="X145" s="22">
        <f>'Annual Raw'!Y63</f>
        <v>1047.1600000000001</v>
      </c>
      <c r="Y145" s="22">
        <f>'Annual Raw'!Z63</f>
        <v>1270.3800000000001</v>
      </c>
      <c r="Z145" s="22">
        <f>'Annual Raw'!AA63</f>
        <v>1532.88</v>
      </c>
      <c r="AA145" s="22">
        <f>'Annual Raw'!AB63</f>
        <v>1868.95</v>
      </c>
      <c r="AB145" s="23">
        <f t="shared" si="1260"/>
        <v>622.46</v>
      </c>
      <c r="AC145" s="23">
        <f t="shared" si="1261"/>
        <v>984.30000000000018</v>
      </c>
      <c r="AD145" s="23">
        <f t="shared" si="1262"/>
        <v>1411.78316</v>
      </c>
      <c r="AE145" s="23">
        <f t="shared" si="1263"/>
        <v>1839.2663199999997</v>
      </c>
      <c r="CG145" s="22">
        <f t="shared" si="1264"/>
        <v>1532.88</v>
      </c>
      <c r="CI145" s="22">
        <f t="shared" ref="CI145:CL145" si="1266">CH145+CI45</f>
        <v>80.72</v>
      </c>
      <c r="CJ145" s="22">
        <f t="shared" si="1266"/>
        <v>168.6</v>
      </c>
      <c r="CK145" s="22">
        <f t="shared" si="1266"/>
        <v>260.62</v>
      </c>
      <c r="CL145" s="22">
        <f t="shared" si="1266"/>
        <v>351.08</v>
      </c>
      <c r="CM145" s="23">
        <f t="shared" ref="CM145" si="1267">CL145+CM45</f>
        <v>441.53999999999996</v>
      </c>
      <c r="CN145" s="23">
        <f t="shared" ref="CN145" si="1268">CM145+CN45</f>
        <v>532</v>
      </c>
      <c r="CO145" s="23">
        <f t="shared" ref="CO145" si="1269">CN145+CO45</f>
        <v>622.46</v>
      </c>
      <c r="CP145" s="23">
        <f t="shared" ref="CP145" si="1270">CO145+CP45</f>
        <v>712.92000000000007</v>
      </c>
      <c r="CQ145" s="23">
        <f t="shared" ref="CQ145" si="1271">CP145+CQ45</f>
        <v>803.38000000000011</v>
      </c>
      <c r="CR145" s="23">
        <f t="shared" ref="CR145" si="1272">CQ145+CR45</f>
        <v>893.84000000000015</v>
      </c>
      <c r="CS145" s="23">
        <f t="shared" ref="CS145" si="1273">CR145+CS45</f>
        <v>984.30000000000018</v>
      </c>
      <c r="CT145" s="23">
        <f t="shared" ref="CT145" si="1274">CS145+CT45</f>
        <v>1091.1707900000001</v>
      </c>
      <c r="CU145" s="23">
        <f t="shared" ref="CU145" si="1275">CT145+CU45</f>
        <v>1198.0415800000001</v>
      </c>
      <c r="CV145" s="23">
        <f t="shared" ref="CV145" si="1276">CU145+CV45</f>
        <v>1304.91237</v>
      </c>
      <c r="CW145" s="23">
        <f t="shared" ref="CW145" si="1277">CV145+CW45</f>
        <v>1411.78316</v>
      </c>
      <c r="CX145" s="23">
        <f t="shared" ref="CX145" si="1278">CW145+CX45</f>
        <v>1518.6539499999999</v>
      </c>
      <c r="CY145" s="23">
        <f t="shared" ref="CY145" si="1279">CX145+CY45</f>
        <v>1625.5247399999998</v>
      </c>
      <c r="CZ145" s="23">
        <f t="shared" ref="CZ145" si="1280">CY145+CZ45</f>
        <v>1732.3955299999998</v>
      </c>
      <c r="DA145" s="23">
        <f t="shared" ref="DA145" si="1281">CZ145+DA45</f>
        <v>1839.2663199999997</v>
      </c>
      <c r="DD145" s="122"/>
      <c r="DE145" s="22">
        <v>260.62</v>
      </c>
    </row>
    <row r="146" spans="1:109" s="22" customFormat="1" outlineLevel="1" x14ac:dyDescent="0.2">
      <c r="A146" s="22" t="s">
        <v>52</v>
      </c>
      <c r="B146" s="22">
        <f>'Annual Raw'!C64</f>
        <v>0</v>
      </c>
      <c r="C146" s="22">
        <f>'Annual Raw'!D64</f>
        <v>0</v>
      </c>
      <c r="D146" s="22">
        <f>'Annual Raw'!E64</f>
        <v>0</v>
      </c>
      <c r="E146" s="22">
        <f>'Annual Raw'!F64</f>
        <v>0</v>
      </c>
      <c r="F146" s="22">
        <f>'Annual Raw'!G64</f>
        <v>0</v>
      </c>
      <c r="G146" s="22">
        <f>'Annual Raw'!H64</f>
        <v>0</v>
      </c>
      <c r="H146" s="22">
        <f>'Annual Raw'!I64</f>
        <v>0</v>
      </c>
      <c r="I146" s="22">
        <f>'Annual Raw'!J64</f>
        <v>0</v>
      </c>
      <c r="J146" s="22">
        <f>'Annual Raw'!K64</f>
        <v>0</v>
      </c>
      <c r="K146" s="22">
        <f>'Annual Raw'!L64</f>
        <v>0</v>
      </c>
      <c r="L146" s="22">
        <f>'Annual Raw'!M64</f>
        <v>0</v>
      </c>
      <c r="M146" s="22">
        <f>'Annual Raw'!N64</f>
        <v>0</v>
      </c>
      <c r="N146" s="22">
        <f>'Annual Raw'!O64</f>
        <v>0</v>
      </c>
      <c r="O146" s="22">
        <f>'Annual Raw'!P64</f>
        <v>0</v>
      </c>
      <c r="P146" s="22">
        <f>'Annual Raw'!Q64</f>
        <v>0</v>
      </c>
      <c r="Q146" s="22">
        <f>'Annual Raw'!R64</f>
        <v>0</v>
      </c>
      <c r="R146" s="22">
        <f>'Annual Raw'!S64</f>
        <v>0</v>
      </c>
      <c r="S146" s="22">
        <f>'Annual Raw'!T64</f>
        <v>0</v>
      </c>
      <c r="T146" s="22">
        <f>'Annual Raw'!U64</f>
        <v>0</v>
      </c>
      <c r="U146" s="22">
        <f>'Annual Raw'!V64</f>
        <v>0</v>
      </c>
      <c r="V146" s="22">
        <f>'Annual Raw'!W64</f>
        <v>0</v>
      </c>
      <c r="W146" s="22">
        <f>'Annual Raw'!X64</f>
        <v>0</v>
      </c>
      <c r="X146" s="22">
        <f>'Annual Raw'!Y64</f>
        <v>0</v>
      </c>
      <c r="Y146" s="22">
        <f>'Annual Raw'!Z64</f>
        <v>0</v>
      </c>
      <c r="Z146" s="22">
        <f>'Annual Raw'!AA64</f>
        <v>0</v>
      </c>
      <c r="AA146" s="22">
        <f>'Annual Raw'!AB64</f>
        <v>0</v>
      </c>
      <c r="AB146" s="23">
        <f t="shared" si="1260"/>
        <v>0</v>
      </c>
      <c r="AC146" s="23">
        <f t="shared" si="1261"/>
        <v>0</v>
      </c>
      <c r="AD146" s="23">
        <f t="shared" si="1262"/>
        <v>0</v>
      </c>
      <c r="AE146" s="23">
        <f t="shared" si="1263"/>
        <v>0</v>
      </c>
      <c r="AI146" s="22">
        <f>+'QTR Raw'!C70</f>
        <v>0</v>
      </c>
      <c r="AK146" s="22">
        <f>+'QTR Raw'!E70</f>
        <v>0</v>
      </c>
      <c r="AM146" s="22">
        <f>+'QTR Raw'!G70</f>
        <v>0</v>
      </c>
      <c r="AO146" s="22">
        <f>+'QTR Raw'!I70</f>
        <v>0</v>
      </c>
      <c r="AQ146" s="22">
        <f>+'QTR Raw'!K70</f>
        <v>0</v>
      </c>
      <c r="AS146" s="22">
        <f>+'QTR Raw'!M70</f>
        <v>0</v>
      </c>
      <c r="AU146" s="22">
        <f>+'QTR Raw'!O70</f>
        <v>0</v>
      </c>
      <c r="AW146" s="22">
        <f>+'QTR Raw'!Q70</f>
        <v>0</v>
      </c>
      <c r="AY146" s="22">
        <f>+'QTR Raw'!S70</f>
        <v>0</v>
      </c>
      <c r="BA146" s="22">
        <f>+'QTR Raw'!U70</f>
        <v>0</v>
      </c>
      <c r="BC146" s="22">
        <f>+'QTR Raw'!W70</f>
        <v>0</v>
      </c>
      <c r="BE146" s="22">
        <f>+'QTR Raw'!Y70</f>
        <v>0</v>
      </c>
      <c r="BG146" s="22">
        <f>+'QTR Raw'!AA70</f>
        <v>0</v>
      </c>
      <c r="BI146" s="22">
        <f>+'QTR Raw'!AC70</f>
        <v>0</v>
      </c>
      <c r="BK146" s="22">
        <f>+'QTR Raw'!AE70</f>
        <v>0</v>
      </c>
      <c r="BM146" s="22">
        <f>+'QTR Raw'!AG70</f>
        <v>0</v>
      </c>
      <c r="BO146" s="22">
        <f>+'QTR Raw'!AI70</f>
        <v>0</v>
      </c>
      <c r="BQ146" s="22">
        <f>+'QTR Raw'!AK70</f>
        <v>0</v>
      </c>
      <c r="BS146" s="22">
        <f>+'QTR Raw'!AM70</f>
        <v>0</v>
      </c>
      <c r="BU146" s="22">
        <f>+'QTR Raw'!AO70</f>
        <v>0</v>
      </c>
      <c r="BW146" s="22">
        <f>+'QTR Raw'!AQ70</f>
        <v>0</v>
      </c>
      <c r="BY146" s="22">
        <f>+'QTR Raw'!AS70</f>
        <v>0</v>
      </c>
      <c r="CA146" s="22">
        <f>+'QTR Raw'!AU70</f>
        <v>0</v>
      </c>
      <c r="CC146" s="22">
        <f>+'QTR Raw'!AW70</f>
        <v>0</v>
      </c>
      <c r="CE146" s="22">
        <f>+'QTR Raw'!AY70</f>
        <v>0</v>
      </c>
      <c r="CG146" s="22">
        <f t="shared" si="1264"/>
        <v>0</v>
      </c>
      <c r="CI146" s="22">
        <f>+'QTR Raw'!BC70</f>
        <v>0</v>
      </c>
      <c r="CJ146" s="22">
        <f t="shared" ref="CJ146:CL146" si="1282">+CI146</f>
        <v>0</v>
      </c>
      <c r="CK146" s="22">
        <f>+'QTR Raw'!BE70</f>
        <v>0</v>
      </c>
      <c r="CL146" s="22">
        <f t="shared" si="1282"/>
        <v>0</v>
      </c>
      <c r="CM146" s="23">
        <f t="shared" ref="CM146:DA147" si="1283">+CL146</f>
        <v>0</v>
      </c>
      <c r="CN146" s="23">
        <f t="shared" si="1283"/>
        <v>0</v>
      </c>
      <c r="CO146" s="23">
        <f t="shared" si="1283"/>
        <v>0</v>
      </c>
      <c r="CP146" s="23">
        <f t="shared" si="1283"/>
        <v>0</v>
      </c>
      <c r="CQ146" s="23">
        <f t="shared" si="1283"/>
        <v>0</v>
      </c>
      <c r="CR146" s="23">
        <f t="shared" si="1283"/>
        <v>0</v>
      </c>
      <c r="CS146" s="23">
        <f t="shared" si="1283"/>
        <v>0</v>
      </c>
      <c r="CT146" s="23">
        <f t="shared" si="1283"/>
        <v>0</v>
      </c>
      <c r="CU146" s="23">
        <f t="shared" si="1283"/>
        <v>0</v>
      </c>
      <c r="CV146" s="23">
        <f t="shared" si="1283"/>
        <v>0</v>
      </c>
      <c r="CW146" s="23">
        <f t="shared" si="1283"/>
        <v>0</v>
      </c>
      <c r="CX146" s="23">
        <f t="shared" si="1283"/>
        <v>0</v>
      </c>
      <c r="CY146" s="23">
        <f t="shared" si="1283"/>
        <v>0</v>
      </c>
      <c r="CZ146" s="23">
        <f t="shared" si="1283"/>
        <v>0</v>
      </c>
      <c r="DA146" s="23">
        <f t="shared" si="1283"/>
        <v>0</v>
      </c>
      <c r="DD146" s="122"/>
      <c r="DE146" s="22">
        <v>0</v>
      </c>
    </row>
    <row r="147" spans="1:109" s="21" customFormat="1" outlineLevel="1" x14ac:dyDescent="0.2">
      <c r="A147" s="21" t="s">
        <v>53</v>
      </c>
      <c r="B147" s="21">
        <f>+B144-B145-B146</f>
        <v>0</v>
      </c>
      <c r="C147" s="21">
        <f t="shared" ref="C147:W147" si="1284">+C144-C145-C146</f>
        <v>0</v>
      </c>
      <c r="D147" s="21">
        <f t="shared" si="1284"/>
        <v>96.37</v>
      </c>
      <c r="E147" s="21">
        <f t="shared" si="1284"/>
        <v>88.28</v>
      </c>
      <c r="F147" s="21">
        <f t="shared" si="1284"/>
        <v>80.730000000000018</v>
      </c>
      <c r="G147" s="21">
        <f t="shared" si="1284"/>
        <v>83.110000000000014</v>
      </c>
      <c r="H147" s="21">
        <f t="shared" si="1284"/>
        <v>111.23000000000002</v>
      </c>
      <c r="I147" s="21">
        <f t="shared" si="1284"/>
        <v>131.23000000000002</v>
      </c>
      <c r="J147" s="21">
        <f t="shared" si="1284"/>
        <v>148.35000000000002</v>
      </c>
      <c r="K147" s="21">
        <f t="shared" si="1284"/>
        <v>141.60999999999996</v>
      </c>
      <c r="L147" s="21">
        <f t="shared" si="1284"/>
        <v>141</v>
      </c>
      <c r="M147" s="21">
        <f t="shared" si="1284"/>
        <v>178.32</v>
      </c>
      <c r="N147" s="21">
        <f t="shared" si="1284"/>
        <v>279.15999999999997</v>
      </c>
      <c r="O147" s="21">
        <f t="shared" si="1284"/>
        <v>398.89</v>
      </c>
      <c r="P147" s="21">
        <f t="shared" si="1284"/>
        <v>370.24</v>
      </c>
      <c r="Q147" s="21">
        <f t="shared" si="1284"/>
        <v>345.71999999999997</v>
      </c>
      <c r="R147" s="21">
        <f t="shared" si="1284"/>
        <v>386.15999999999997</v>
      </c>
      <c r="S147" s="21">
        <f t="shared" si="1284"/>
        <v>744.22</v>
      </c>
      <c r="T147" s="21">
        <f t="shared" si="1284"/>
        <v>730.7</v>
      </c>
      <c r="U147" s="21">
        <f t="shared" si="1284"/>
        <v>894.58999999999992</v>
      </c>
      <c r="V147" s="21">
        <f t="shared" si="1284"/>
        <v>1005.84</v>
      </c>
      <c r="W147" s="21">
        <f t="shared" si="1284"/>
        <v>1069.6999999999998</v>
      </c>
      <c r="X147" s="21">
        <f t="shared" ref="X147:Y147" si="1285">+X144-X145-X146</f>
        <v>1122.7099999999998</v>
      </c>
      <c r="Y147" s="21">
        <f t="shared" si="1285"/>
        <v>1358.96</v>
      </c>
      <c r="Z147" s="21">
        <f t="shared" ref="Z147:AE147" si="1286">+Z144-Z145-Z146</f>
        <v>1887.29</v>
      </c>
      <c r="AA147" s="21">
        <f t="shared" ref="AA147" si="1287">+AA144-AA145-AA146</f>
        <v>2112.7299999999996</v>
      </c>
      <c r="AB147" s="20">
        <f t="shared" si="1286"/>
        <v>1985.0500000000002</v>
      </c>
      <c r="AC147" s="20">
        <f t="shared" si="1286"/>
        <v>1943.21</v>
      </c>
      <c r="AD147" s="20">
        <f t="shared" si="1286"/>
        <v>1835.7268400000003</v>
      </c>
      <c r="AE147" s="20">
        <f t="shared" si="1286"/>
        <v>1728.2436800000005</v>
      </c>
      <c r="AI147" s="21">
        <f t="shared" ref="AI147" si="1288">+AI144-AI145-AI146</f>
        <v>334.52</v>
      </c>
      <c r="AJ147" s="21">
        <f>+AI147</f>
        <v>334.52</v>
      </c>
      <c r="AK147" s="21">
        <f t="shared" ref="AK147" si="1289">+AK144-AK145-AK146</f>
        <v>392.71</v>
      </c>
      <c r="AL147" s="21">
        <f>+AK147</f>
        <v>392.71</v>
      </c>
      <c r="AM147" s="21">
        <f t="shared" ref="AM147" si="1290">+AM144-AM145-AM146</f>
        <v>397.63</v>
      </c>
      <c r="AN147" s="21">
        <f>+AM147</f>
        <v>397.63</v>
      </c>
      <c r="AO147" s="21">
        <f t="shared" ref="AO147" si="1291">+AO144-AO145-AO146</f>
        <v>412.32</v>
      </c>
      <c r="AP147" s="21">
        <f>+AO147</f>
        <v>412.32</v>
      </c>
      <c r="AQ147" s="21">
        <f t="shared" ref="AQ147" si="1292">+AQ144-AQ145-AQ146</f>
        <v>398.67</v>
      </c>
      <c r="AR147" s="21">
        <f>+AQ147</f>
        <v>398.67</v>
      </c>
      <c r="AS147" s="21">
        <f t="shared" ref="AS147" si="1293">+AS144-AS145-AS146</f>
        <v>390.36</v>
      </c>
      <c r="AT147" s="21">
        <f>+AS147</f>
        <v>390.36</v>
      </c>
      <c r="AU147" s="21">
        <f t="shared" ref="AU147" si="1294">+AU144-AU145-AU146</f>
        <v>390.22</v>
      </c>
      <c r="AV147" s="21">
        <f>+AU147</f>
        <v>390.22</v>
      </c>
      <c r="AW147" s="21">
        <f t="shared" ref="AW147" si="1295">+AW144-AW145-AW146</f>
        <v>397.6</v>
      </c>
      <c r="AX147" s="21">
        <f>+AW147</f>
        <v>397.6</v>
      </c>
      <c r="AY147" s="21">
        <f t="shared" ref="AY147" si="1296">+AY144-AY145-AY146</f>
        <v>402.89</v>
      </c>
      <c r="AZ147" s="21">
        <f>+AY147</f>
        <v>402.89</v>
      </c>
      <c r="BA147" s="21">
        <f t="shared" ref="BA147" si="1297">+BA144-BA145-BA146</f>
        <v>386.16</v>
      </c>
      <c r="BB147" s="21">
        <f>+BA147</f>
        <v>386.16</v>
      </c>
      <c r="BC147" s="21">
        <f t="shared" ref="BC147" si="1298">+BC144-BC145-BC146</f>
        <v>367.8</v>
      </c>
      <c r="BD147" s="21">
        <f>+BC147</f>
        <v>367.8</v>
      </c>
      <c r="BE147" s="21">
        <f t="shared" ref="BE147" si="1299">+BE144-BE145-BE146</f>
        <v>379.92</v>
      </c>
      <c r="BF147" s="21">
        <f>+BE147</f>
        <v>379.92</v>
      </c>
      <c r="BG147" s="21">
        <f t="shared" ref="BG147" si="1300">+BG144-BG145-BG146</f>
        <v>357.33</v>
      </c>
      <c r="BH147" s="21">
        <f>+BG147</f>
        <v>357.33</v>
      </c>
      <c r="BI147" s="21">
        <f t="shared" ref="BI147" si="1301">+BI144-BI145-BI146</f>
        <v>730.7</v>
      </c>
      <c r="BJ147" s="21">
        <f>+BI147</f>
        <v>730.7</v>
      </c>
      <c r="BK147" s="21">
        <f t="shared" ref="BK147" si="1302">+BK144-BK145-BK146</f>
        <v>731.43</v>
      </c>
      <c r="BL147" s="21">
        <f>+BK147</f>
        <v>731.43</v>
      </c>
      <c r="BM147" s="21">
        <f t="shared" ref="BM147" si="1303">+BM144-BM145-BM146</f>
        <v>894.59</v>
      </c>
      <c r="BN147" s="21">
        <f>+BM147</f>
        <v>894.59</v>
      </c>
      <c r="BO147" s="21">
        <f t="shared" ref="BO147" si="1304">+BO144-BO145-BO146</f>
        <v>856.65</v>
      </c>
      <c r="BP147" s="21">
        <f>+BO147</f>
        <v>856.65</v>
      </c>
      <c r="BQ147" s="21">
        <f t="shared" ref="BQ147" si="1305">+BQ144-BQ145-BQ146</f>
        <v>926.01</v>
      </c>
      <c r="BR147" s="21">
        <f>+BQ147</f>
        <v>926.01</v>
      </c>
      <c r="BS147" s="21">
        <f t="shared" ref="BS147" si="1306">+BS144-BS145-BS146</f>
        <v>926.77</v>
      </c>
      <c r="BT147" s="21">
        <f>+BS147</f>
        <v>926.77</v>
      </c>
      <c r="BU147" s="21">
        <f t="shared" ref="BU147" si="1307">+BU144-BU145-BU146</f>
        <v>997.22</v>
      </c>
      <c r="BV147" s="21">
        <f>+BU147</f>
        <v>997.22</v>
      </c>
      <c r="BW147" s="21">
        <f t="shared" ref="BW147" si="1308">+BW144-BW145-BW146</f>
        <v>984.19</v>
      </c>
      <c r="BX147" s="21">
        <f>+BW147</f>
        <v>984.19</v>
      </c>
      <c r="BY147" s="21">
        <f t="shared" ref="BY147" si="1309">+BY144-BY145-BY146</f>
        <v>1019.64</v>
      </c>
      <c r="BZ147" s="21">
        <f>+BY147</f>
        <v>1019.64</v>
      </c>
      <c r="CA147" s="21">
        <f t="shared" ref="CA147" si="1310">+CA144-CA145-CA146</f>
        <v>1124.23</v>
      </c>
      <c r="CB147" s="21">
        <f>+CA147</f>
        <v>1124.23</v>
      </c>
      <c r="CC147" s="21">
        <f t="shared" ref="CC147" si="1311">+CC144-CC145-CC146</f>
        <v>1263.8</v>
      </c>
      <c r="CD147" s="21">
        <f>+CC147</f>
        <v>1263.8</v>
      </c>
      <c r="CE147" s="21">
        <f t="shared" ref="CE147:CG147" si="1312">+CE144-CE145-CE146</f>
        <v>1431.61</v>
      </c>
      <c r="CF147" s="21">
        <f>+CE147</f>
        <v>1431.61</v>
      </c>
      <c r="CG147" s="21">
        <f t="shared" si="1312"/>
        <v>1887.29</v>
      </c>
      <c r="CH147" s="21">
        <f t="shared" ref="CH147:CL147" si="1313">+CG147</f>
        <v>1887.29</v>
      </c>
      <c r="CI147" s="21">
        <f>+'QTR Raw'!BC68</f>
        <v>1701.19</v>
      </c>
      <c r="CJ147" s="21">
        <f t="shared" si="1313"/>
        <v>1701.19</v>
      </c>
      <c r="CK147" s="21">
        <f>+'QTR Raw'!BE68</f>
        <v>2016.43</v>
      </c>
      <c r="CL147" s="21">
        <f t="shared" si="1313"/>
        <v>2016.43</v>
      </c>
      <c r="CM147" s="20">
        <f t="shared" si="1283"/>
        <v>2016.43</v>
      </c>
      <c r="CN147" s="20">
        <f t="shared" si="1283"/>
        <v>2016.43</v>
      </c>
      <c r="CO147" s="20">
        <f t="shared" si="1283"/>
        <v>2016.43</v>
      </c>
      <c r="CP147" s="20">
        <f t="shared" si="1283"/>
        <v>2016.43</v>
      </c>
      <c r="CQ147" s="20">
        <f t="shared" si="1283"/>
        <v>2016.43</v>
      </c>
      <c r="CR147" s="20">
        <f t="shared" si="1283"/>
        <v>2016.43</v>
      </c>
      <c r="CS147" s="20">
        <f t="shared" si="1283"/>
        <v>2016.43</v>
      </c>
      <c r="CT147" s="20">
        <f t="shared" si="1283"/>
        <v>2016.43</v>
      </c>
      <c r="CU147" s="20">
        <f t="shared" si="1283"/>
        <v>2016.43</v>
      </c>
      <c r="CV147" s="20">
        <f t="shared" si="1283"/>
        <v>2016.43</v>
      </c>
      <c r="CW147" s="20">
        <f t="shared" si="1283"/>
        <v>2016.43</v>
      </c>
      <c r="CX147" s="20">
        <f t="shared" si="1283"/>
        <v>2016.43</v>
      </c>
      <c r="CY147" s="20">
        <f t="shared" si="1283"/>
        <v>2016.43</v>
      </c>
      <c r="CZ147" s="20">
        <f t="shared" si="1283"/>
        <v>2016.43</v>
      </c>
      <c r="DA147" s="20">
        <f t="shared" si="1283"/>
        <v>2016.43</v>
      </c>
      <c r="DD147" s="125"/>
      <c r="DE147" s="21">
        <v>2016.4300000000003</v>
      </c>
    </row>
    <row r="148" spans="1:109" s="22" customFormat="1" outlineLevel="1" x14ac:dyDescent="0.2">
      <c r="A148" s="22" t="s">
        <v>54</v>
      </c>
      <c r="B148" s="22">
        <f>'Annual Raw'!C86</f>
        <v>0</v>
      </c>
      <c r="C148" s="22">
        <f>'Annual Raw'!D86</f>
        <v>0</v>
      </c>
      <c r="D148" s="22">
        <f>'Annual Raw'!E86</f>
        <v>0</v>
      </c>
      <c r="E148" s="22">
        <f>'Annual Raw'!F86</f>
        <v>0</v>
      </c>
      <c r="F148" s="22">
        <f>'Annual Raw'!G86</f>
        <v>0</v>
      </c>
      <c r="G148" s="22">
        <f>'Annual Raw'!H86</f>
        <v>0</v>
      </c>
      <c r="H148" s="22">
        <f>'Annual Raw'!I86</f>
        <v>0</v>
      </c>
      <c r="I148" s="22">
        <f>'Annual Raw'!J86</f>
        <v>0</v>
      </c>
      <c r="J148" s="22">
        <f>'Annual Raw'!K86</f>
        <v>0</v>
      </c>
      <c r="K148" s="22">
        <f>'Annual Raw'!L86</f>
        <v>0</v>
      </c>
      <c r="L148" s="22">
        <f>'Annual Raw'!M86</f>
        <v>0</v>
      </c>
      <c r="M148" s="22">
        <f>'Annual Raw'!N86</f>
        <v>0</v>
      </c>
      <c r="N148" s="22">
        <f>'Annual Raw'!O86</f>
        <v>0</v>
      </c>
      <c r="O148" s="22">
        <f>'Annual Raw'!P86</f>
        <v>0</v>
      </c>
      <c r="P148" s="22">
        <f>'Annual Raw'!Q86</f>
        <v>0</v>
      </c>
      <c r="Q148" s="22">
        <f>'Annual Raw'!R86</f>
        <v>0</v>
      </c>
      <c r="R148" s="22">
        <f>'Annual Raw'!S86</f>
        <v>0</v>
      </c>
      <c r="S148" s="22">
        <f>'Annual Raw'!T86</f>
        <v>0</v>
      </c>
      <c r="T148" s="22">
        <f>'Annual Raw'!U86</f>
        <v>0</v>
      </c>
      <c r="U148" s="22">
        <f>'Annual Raw'!V86</f>
        <v>0</v>
      </c>
      <c r="V148" s="22">
        <f>'Annual Raw'!W86</f>
        <v>0</v>
      </c>
      <c r="W148" s="22">
        <f>'Annual Raw'!X86</f>
        <v>0</v>
      </c>
      <c r="X148" s="22">
        <f>'Annual Raw'!Y86</f>
        <v>0</v>
      </c>
      <c r="Y148" s="22">
        <f>'Annual Raw'!Z86</f>
        <v>82.23</v>
      </c>
      <c r="Z148" s="22">
        <f>'Annual Raw'!AA86</f>
        <v>82.23</v>
      </c>
      <c r="AA148" s="22">
        <f>'Annual Raw'!AB86</f>
        <v>82.23</v>
      </c>
      <c r="AB148" s="23">
        <f t="shared" ref="AB148:AB150" si="1314">+CO148</f>
        <v>82.23</v>
      </c>
      <c r="AC148" s="23">
        <f t="shared" ref="AC148:AC150" si="1315">+CS148</f>
        <v>82.23</v>
      </c>
      <c r="AD148" s="23">
        <f t="shared" ref="AD148:AD150" si="1316">+CW148</f>
        <v>82.23</v>
      </c>
      <c r="AE148" s="23">
        <f t="shared" ref="AE148:AE150" si="1317">+DA148</f>
        <v>82.23</v>
      </c>
      <c r="AI148" s="22">
        <f>+'QTR Raw'!C72</f>
        <v>0</v>
      </c>
      <c r="AJ148" s="22">
        <f t="shared" ref="AJ148:AJ150" si="1318">+AI148</f>
        <v>0</v>
      </c>
      <c r="AK148" s="22">
        <f>+'QTR Raw'!E72</f>
        <v>0</v>
      </c>
      <c r="AL148" s="22">
        <f t="shared" ref="AL148:AL150" si="1319">+AK148</f>
        <v>0</v>
      </c>
      <c r="AM148" s="22">
        <f>+'QTR Raw'!G72</f>
        <v>0</v>
      </c>
      <c r="AN148" s="22">
        <f t="shared" ref="AN148:AN150" si="1320">+AM148</f>
        <v>0</v>
      </c>
      <c r="AO148" s="22">
        <f>+'QTR Raw'!I72</f>
        <v>0</v>
      </c>
      <c r="AP148" s="22">
        <f t="shared" ref="AP148:AP150" si="1321">+AO148</f>
        <v>0</v>
      </c>
      <c r="AQ148" s="22">
        <f>+'QTR Raw'!K72</f>
        <v>0</v>
      </c>
      <c r="AR148" s="22">
        <f t="shared" ref="AR148:AR150" si="1322">+AQ148</f>
        <v>0</v>
      </c>
      <c r="AS148" s="22">
        <f>+'QTR Raw'!M72</f>
        <v>0</v>
      </c>
      <c r="AT148" s="22">
        <f t="shared" ref="AT148:AT150" si="1323">+AS148</f>
        <v>0</v>
      </c>
      <c r="AU148" s="22">
        <f>+'QTR Raw'!O72</f>
        <v>0</v>
      </c>
      <c r="AV148" s="22">
        <f t="shared" ref="AV148:AV150" si="1324">+AU148</f>
        <v>0</v>
      </c>
      <c r="AW148" s="22">
        <f>+'QTR Raw'!Q72</f>
        <v>0</v>
      </c>
      <c r="AX148" s="22">
        <f t="shared" ref="AX148:AX150" si="1325">+AW148</f>
        <v>0</v>
      </c>
      <c r="AY148" s="22">
        <f>+'QTR Raw'!S72</f>
        <v>0</v>
      </c>
      <c r="AZ148" s="22">
        <f t="shared" ref="AZ148:AZ150" si="1326">+AY148</f>
        <v>0</v>
      </c>
      <c r="BA148" s="22">
        <f>+'QTR Raw'!U72</f>
        <v>0</v>
      </c>
      <c r="BB148" s="22">
        <f t="shared" ref="BB148:BB150" si="1327">+BA148</f>
        <v>0</v>
      </c>
      <c r="BC148" s="22">
        <f>+'QTR Raw'!W72</f>
        <v>0</v>
      </c>
      <c r="BD148" s="22">
        <f t="shared" ref="BD148:BD150" si="1328">+BC148</f>
        <v>0</v>
      </c>
      <c r="BE148" s="22">
        <f>+'QTR Raw'!Y72</f>
        <v>0</v>
      </c>
      <c r="BF148" s="22">
        <f t="shared" ref="BF148:BF150" si="1329">+BE148</f>
        <v>0</v>
      </c>
      <c r="BG148" s="22">
        <f>+'QTR Raw'!AA72</f>
        <v>0</v>
      </c>
      <c r="BH148" s="22">
        <f t="shared" ref="BH148:BH150" si="1330">+BG148</f>
        <v>0</v>
      </c>
      <c r="BI148" s="22">
        <f>+'QTR Raw'!AC72</f>
        <v>0</v>
      </c>
      <c r="BJ148" s="22">
        <f t="shared" ref="BJ148:BJ150" si="1331">+BI148</f>
        <v>0</v>
      </c>
      <c r="BK148" s="22">
        <f>+'QTR Raw'!AE72</f>
        <v>0</v>
      </c>
      <c r="BL148" s="22">
        <f t="shared" ref="BL148:BL150" si="1332">+BK148</f>
        <v>0</v>
      </c>
      <c r="BM148" s="22">
        <f>+'QTR Raw'!AG72</f>
        <v>0</v>
      </c>
      <c r="BN148" s="22">
        <f t="shared" ref="BN148:BN150" si="1333">+BM148</f>
        <v>0</v>
      </c>
      <c r="BO148" s="22">
        <f>+'QTR Raw'!AI72</f>
        <v>0</v>
      </c>
      <c r="BP148" s="22">
        <f t="shared" ref="BP148:BP150" si="1334">+BO148</f>
        <v>0</v>
      </c>
      <c r="BQ148" s="22">
        <f>+'QTR Raw'!AK72</f>
        <v>0</v>
      </c>
      <c r="BR148" s="22">
        <f t="shared" ref="BR148:BR150" si="1335">+BQ148</f>
        <v>0</v>
      </c>
      <c r="BS148" s="22">
        <f>+'QTR Raw'!AM72</f>
        <v>0</v>
      </c>
      <c r="BT148" s="22">
        <f t="shared" ref="BT148:BT150" si="1336">+BS148</f>
        <v>0</v>
      </c>
      <c r="BU148" s="22">
        <f>+'QTR Raw'!AO72</f>
        <v>0</v>
      </c>
      <c r="BV148" s="22">
        <f t="shared" ref="BV148:BV150" si="1337">+BU148</f>
        <v>0</v>
      </c>
      <c r="BW148" s="22">
        <f>+'QTR Raw'!AQ72</f>
        <v>0</v>
      </c>
      <c r="BX148" s="22">
        <f t="shared" ref="BX148:BX150" si="1338">+BW148</f>
        <v>0</v>
      </c>
      <c r="BY148" s="22">
        <f>+'QTR Raw'!AS72</f>
        <v>0</v>
      </c>
      <c r="BZ148" s="22">
        <f t="shared" ref="BZ148:BZ150" si="1339">+BY148</f>
        <v>0</v>
      </c>
      <c r="CA148" s="22">
        <f>+'QTR Raw'!AU72</f>
        <v>0</v>
      </c>
      <c r="CB148" s="22">
        <f t="shared" ref="CB148:CB150" si="1340">+CA148</f>
        <v>0</v>
      </c>
      <c r="CC148" s="22">
        <f>+'QTR Raw'!AW72</f>
        <v>82.23</v>
      </c>
      <c r="CD148" s="22">
        <f t="shared" ref="CD148:CD150" si="1341">+CC148</f>
        <v>82.23</v>
      </c>
      <c r="CE148" s="22">
        <f>+'QTR Raw'!AY72</f>
        <v>82.23</v>
      </c>
      <c r="CF148" s="22">
        <f t="shared" ref="CF148:CL150" si="1342">+CE148</f>
        <v>82.23</v>
      </c>
      <c r="CG148" s="22">
        <f t="shared" si="1264"/>
        <v>82.23</v>
      </c>
      <c r="CH148" s="22">
        <f t="shared" si="1342"/>
        <v>82.23</v>
      </c>
      <c r="CI148" s="22">
        <f>+'QTR Raw'!BC72</f>
        <v>82.23</v>
      </c>
      <c r="CJ148" s="22">
        <f t="shared" si="1342"/>
        <v>82.23</v>
      </c>
      <c r="CK148" s="22">
        <f>+'QTR Raw'!BE72</f>
        <v>82.23</v>
      </c>
      <c r="CL148" s="22">
        <f t="shared" si="1342"/>
        <v>82.23</v>
      </c>
      <c r="CM148" s="23">
        <f t="shared" ref="CM148:CM150" si="1343">+CL148</f>
        <v>82.23</v>
      </c>
      <c r="CN148" s="23">
        <f t="shared" ref="CN148:CN150" si="1344">+CM148</f>
        <v>82.23</v>
      </c>
      <c r="CO148" s="23">
        <f t="shared" ref="CO148:CO150" si="1345">+CN148</f>
        <v>82.23</v>
      </c>
      <c r="CP148" s="23">
        <f t="shared" ref="CP148:CP150" si="1346">+CO148</f>
        <v>82.23</v>
      </c>
      <c r="CQ148" s="23">
        <f t="shared" ref="CQ148:CQ150" si="1347">+CP148</f>
        <v>82.23</v>
      </c>
      <c r="CR148" s="23">
        <f t="shared" ref="CR148:CR150" si="1348">+CQ148</f>
        <v>82.23</v>
      </c>
      <c r="CS148" s="23">
        <f t="shared" ref="CS148:CS150" si="1349">+CR148</f>
        <v>82.23</v>
      </c>
      <c r="CT148" s="23">
        <f t="shared" ref="CT148:CT150" si="1350">+CS148</f>
        <v>82.23</v>
      </c>
      <c r="CU148" s="23">
        <f t="shared" ref="CU148:CU150" si="1351">+CT148</f>
        <v>82.23</v>
      </c>
      <c r="CV148" s="23">
        <f t="shared" ref="CV148:CV150" si="1352">+CU148</f>
        <v>82.23</v>
      </c>
      <c r="CW148" s="23">
        <f t="shared" ref="CW148:CW150" si="1353">+CV148</f>
        <v>82.23</v>
      </c>
      <c r="CX148" s="23">
        <f t="shared" ref="CX148:CX150" si="1354">+CW148</f>
        <v>82.23</v>
      </c>
      <c r="CY148" s="23">
        <f t="shared" ref="CY148:CY150" si="1355">+CX148</f>
        <v>82.23</v>
      </c>
      <c r="CZ148" s="23">
        <f t="shared" ref="CZ148:CZ150" si="1356">+CY148</f>
        <v>82.23</v>
      </c>
      <c r="DA148" s="23">
        <f t="shared" ref="DA148:DA150" si="1357">+CZ148</f>
        <v>82.23</v>
      </c>
      <c r="DD148" s="122"/>
      <c r="DE148" s="22">
        <v>82.23</v>
      </c>
    </row>
    <row r="149" spans="1:109" s="22" customFormat="1" outlineLevel="1" x14ac:dyDescent="0.2">
      <c r="A149" s="22" t="s">
        <v>55</v>
      </c>
      <c r="B149" s="22">
        <f>'Annual Raw'!C68</f>
        <v>0</v>
      </c>
      <c r="C149" s="22">
        <f>'Annual Raw'!D68</f>
        <v>0</v>
      </c>
      <c r="D149" s="22">
        <f>'Annual Raw'!E68</f>
        <v>0</v>
      </c>
      <c r="E149" s="22">
        <f>'Annual Raw'!F68</f>
        <v>0</v>
      </c>
      <c r="F149" s="22">
        <f>'Annual Raw'!G68</f>
        <v>0</v>
      </c>
      <c r="G149" s="22">
        <f>'Annual Raw'!H68</f>
        <v>0</v>
      </c>
      <c r="H149" s="22">
        <f>'Annual Raw'!I68</f>
        <v>0</v>
      </c>
      <c r="I149" s="22">
        <f>'Annual Raw'!J68</f>
        <v>0</v>
      </c>
      <c r="J149" s="22">
        <f>'Annual Raw'!K68</f>
        <v>0</v>
      </c>
      <c r="K149" s="22">
        <f>'Annual Raw'!L68</f>
        <v>0</v>
      </c>
      <c r="L149" s="22">
        <f>'Annual Raw'!M68</f>
        <v>0</v>
      </c>
      <c r="M149" s="22">
        <f>'Annual Raw'!N68</f>
        <v>0</v>
      </c>
      <c r="N149" s="22">
        <f>'Annual Raw'!O68</f>
        <v>0</v>
      </c>
      <c r="O149" s="22">
        <f>'Annual Raw'!P68</f>
        <v>0</v>
      </c>
      <c r="P149" s="22">
        <f>'Annual Raw'!Q68</f>
        <v>0</v>
      </c>
      <c r="Q149" s="22">
        <f>'Annual Raw'!R68</f>
        <v>0</v>
      </c>
      <c r="R149" s="22">
        <f>'Annual Raw'!S68</f>
        <v>0</v>
      </c>
      <c r="S149" s="22">
        <f>'Annual Raw'!T68</f>
        <v>0</v>
      </c>
      <c r="T149" s="22">
        <f>'Annual Raw'!U68</f>
        <v>0</v>
      </c>
      <c r="U149" s="22">
        <f>'Annual Raw'!V68</f>
        <v>0</v>
      </c>
      <c r="V149" s="22">
        <f>'Annual Raw'!W68</f>
        <v>0</v>
      </c>
      <c r="W149" s="22">
        <f>'Annual Raw'!X68</f>
        <v>0</v>
      </c>
      <c r="X149" s="22">
        <f>'Annual Raw'!Y68</f>
        <v>0</v>
      </c>
      <c r="Y149" s="22">
        <f>'Annual Raw'!Z68</f>
        <v>0</v>
      </c>
      <c r="Z149" s="22">
        <f>'Annual Raw'!AA68</f>
        <v>0</v>
      </c>
      <c r="AA149" s="22">
        <f>'Annual Raw'!AB68</f>
        <v>0</v>
      </c>
      <c r="AB149" s="23">
        <f t="shared" si="1314"/>
        <v>0</v>
      </c>
      <c r="AC149" s="23">
        <f t="shared" si="1315"/>
        <v>0</v>
      </c>
      <c r="AD149" s="23">
        <f t="shared" si="1316"/>
        <v>0</v>
      </c>
      <c r="AE149" s="23">
        <f t="shared" si="1317"/>
        <v>0</v>
      </c>
      <c r="AJ149" s="22">
        <f t="shared" si="1318"/>
        <v>0</v>
      </c>
      <c r="AL149" s="22">
        <f t="shared" si="1319"/>
        <v>0</v>
      </c>
      <c r="AN149" s="22">
        <f t="shared" si="1320"/>
        <v>0</v>
      </c>
      <c r="AP149" s="22">
        <f t="shared" si="1321"/>
        <v>0</v>
      </c>
      <c r="AR149" s="22">
        <f t="shared" si="1322"/>
        <v>0</v>
      </c>
      <c r="AT149" s="22">
        <f t="shared" si="1323"/>
        <v>0</v>
      </c>
      <c r="AV149" s="22">
        <f t="shared" si="1324"/>
        <v>0</v>
      </c>
      <c r="AX149" s="22">
        <f t="shared" si="1325"/>
        <v>0</v>
      </c>
      <c r="AZ149" s="22">
        <f t="shared" si="1326"/>
        <v>0</v>
      </c>
      <c r="BB149" s="22">
        <f t="shared" si="1327"/>
        <v>0</v>
      </c>
      <c r="BD149" s="22">
        <f t="shared" si="1328"/>
        <v>0</v>
      </c>
      <c r="BF149" s="22">
        <f t="shared" si="1329"/>
        <v>0</v>
      </c>
      <c r="BH149" s="22">
        <f t="shared" si="1330"/>
        <v>0</v>
      </c>
      <c r="BJ149" s="22">
        <f t="shared" si="1331"/>
        <v>0</v>
      </c>
      <c r="BL149" s="22">
        <f t="shared" si="1332"/>
        <v>0</v>
      </c>
      <c r="BN149" s="22">
        <f t="shared" si="1333"/>
        <v>0</v>
      </c>
      <c r="BP149" s="22">
        <f t="shared" si="1334"/>
        <v>0</v>
      </c>
      <c r="BR149" s="22">
        <f t="shared" si="1335"/>
        <v>0</v>
      </c>
      <c r="BT149" s="22">
        <f t="shared" si="1336"/>
        <v>0</v>
      </c>
      <c r="BV149" s="22">
        <f t="shared" si="1337"/>
        <v>0</v>
      </c>
      <c r="BX149" s="22">
        <f t="shared" si="1338"/>
        <v>0</v>
      </c>
      <c r="BZ149" s="22">
        <f t="shared" si="1339"/>
        <v>0</v>
      </c>
      <c r="CB149" s="22">
        <f t="shared" si="1340"/>
        <v>0</v>
      </c>
      <c r="CD149" s="22">
        <f t="shared" si="1341"/>
        <v>0</v>
      </c>
      <c r="CF149" s="22">
        <f t="shared" si="1342"/>
        <v>0</v>
      </c>
      <c r="CG149" s="22">
        <f t="shared" si="1264"/>
        <v>0</v>
      </c>
      <c r="CH149" s="22">
        <f t="shared" si="1342"/>
        <v>0</v>
      </c>
      <c r="CJ149" s="22">
        <f t="shared" si="1342"/>
        <v>0</v>
      </c>
      <c r="CL149" s="22">
        <f t="shared" si="1342"/>
        <v>0</v>
      </c>
      <c r="CM149" s="23">
        <f t="shared" si="1343"/>
        <v>0</v>
      </c>
      <c r="CN149" s="23">
        <f t="shared" si="1344"/>
        <v>0</v>
      </c>
      <c r="CO149" s="23">
        <f t="shared" si="1345"/>
        <v>0</v>
      </c>
      <c r="CP149" s="23">
        <f t="shared" si="1346"/>
        <v>0</v>
      </c>
      <c r="CQ149" s="23">
        <f t="shared" si="1347"/>
        <v>0</v>
      </c>
      <c r="CR149" s="23">
        <f t="shared" si="1348"/>
        <v>0</v>
      </c>
      <c r="CS149" s="23">
        <f t="shared" si="1349"/>
        <v>0</v>
      </c>
      <c r="CT149" s="23">
        <f t="shared" si="1350"/>
        <v>0</v>
      </c>
      <c r="CU149" s="23">
        <f t="shared" si="1351"/>
        <v>0</v>
      </c>
      <c r="CV149" s="23">
        <f t="shared" si="1352"/>
        <v>0</v>
      </c>
      <c r="CW149" s="23">
        <f t="shared" si="1353"/>
        <v>0</v>
      </c>
      <c r="CX149" s="23">
        <f t="shared" si="1354"/>
        <v>0</v>
      </c>
      <c r="CY149" s="23">
        <f t="shared" si="1355"/>
        <v>0</v>
      </c>
      <c r="CZ149" s="23">
        <f t="shared" si="1356"/>
        <v>0</v>
      </c>
      <c r="DA149" s="23">
        <f t="shared" si="1357"/>
        <v>0</v>
      </c>
      <c r="DD149" s="122"/>
      <c r="DE149" s="22">
        <v>0</v>
      </c>
    </row>
    <row r="150" spans="1:109" s="22" customFormat="1" outlineLevel="1" x14ac:dyDescent="0.2">
      <c r="A150" s="22" t="s">
        <v>56</v>
      </c>
      <c r="B150" s="22">
        <f>'Annual Raw'!C67+'Annual Raw'!C66+'Annual Raw'!C69+'Annual Raw'!C70</f>
        <v>0</v>
      </c>
      <c r="C150" s="22">
        <f>'Annual Raw'!D67+'Annual Raw'!D66+'Annual Raw'!D69+'Annual Raw'!D70</f>
        <v>0</v>
      </c>
      <c r="D150" s="22">
        <f>'Annual Raw'!E67+'Annual Raw'!E66+'Annual Raw'!E69+'Annual Raw'!E70</f>
        <v>1.53</v>
      </c>
      <c r="E150" s="22">
        <f>'Annual Raw'!F67+'Annual Raw'!F66+'Annual Raw'!F69+'Annual Raw'!F70</f>
        <v>2.46</v>
      </c>
      <c r="F150" s="22">
        <f>'Annual Raw'!G67+'Annual Raw'!G66+'Annual Raw'!G69+'Annual Raw'!G70</f>
        <v>6.09</v>
      </c>
      <c r="G150" s="22">
        <f>'Annual Raw'!H67+'Annual Raw'!H66+'Annual Raw'!H69+'Annual Raw'!H70</f>
        <v>27.19</v>
      </c>
      <c r="H150" s="22">
        <f>'Annual Raw'!I67+'Annual Raw'!I66+'Annual Raw'!I69+'Annual Raw'!I70</f>
        <v>27.97</v>
      </c>
      <c r="I150" s="22">
        <f>'Annual Raw'!J67+'Annual Raw'!J66+'Annual Raw'!J69+'Annual Raw'!J70</f>
        <v>11.06</v>
      </c>
      <c r="J150" s="22">
        <f>'Annual Raw'!K67+'Annual Raw'!K66+'Annual Raw'!K69+'Annual Raw'!K70</f>
        <v>15.1</v>
      </c>
      <c r="K150" s="22">
        <f>'Annual Raw'!L67+'Annual Raw'!L66+'Annual Raw'!L69+'Annual Raw'!L70</f>
        <v>6.83</v>
      </c>
      <c r="L150" s="22">
        <f>'Annual Raw'!M67+'Annual Raw'!M66+'Annual Raw'!M69+'Annual Raw'!M70</f>
        <v>8.6</v>
      </c>
      <c r="M150" s="22">
        <f>'Annual Raw'!N67+'Annual Raw'!N66+'Annual Raw'!N69+'Annual Raw'!N70</f>
        <v>56.84</v>
      </c>
      <c r="N150" s="22">
        <f>'Annual Raw'!O67+'Annual Raw'!O66+'Annual Raw'!O69+'Annual Raw'!O70</f>
        <v>113.55</v>
      </c>
      <c r="O150" s="22">
        <f>'Annual Raw'!P67+'Annual Raw'!P66+'Annual Raw'!P69+'Annual Raw'!P70</f>
        <v>13.43</v>
      </c>
      <c r="P150" s="22">
        <f>'Annual Raw'!Q67+'Annual Raw'!Q66+'Annual Raw'!Q69+'Annual Raw'!Q70</f>
        <v>20.12</v>
      </c>
      <c r="Q150" s="22">
        <f>'Annual Raw'!R67+'Annual Raw'!R66+'Annual Raw'!R69+'Annual Raw'!R70</f>
        <v>51.88</v>
      </c>
      <c r="R150" s="22">
        <f>'Annual Raw'!S67+'Annual Raw'!S66+'Annual Raw'!S69+'Annual Raw'!S70</f>
        <v>24.13</v>
      </c>
      <c r="S150" s="22">
        <f>'Annual Raw'!T67+'Annual Raw'!T66+'Annual Raw'!T69+'Annual Raw'!T70</f>
        <v>53.45</v>
      </c>
      <c r="T150" s="22">
        <f>'Annual Raw'!U67+'Annual Raw'!U66+'Annual Raw'!U69+'Annual Raw'!U70</f>
        <v>161.72</v>
      </c>
      <c r="U150" s="22">
        <f>'Annual Raw'!V67+'Annual Raw'!V66+'Annual Raw'!V69+'Annual Raw'!V70</f>
        <v>166.25</v>
      </c>
      <c r="V150" s="22">
        <f>'Annual Raw'!W67+'Annual Raw'!W66+'Annual Raw'!W69+'Annual Raw'!W70</f>
        <v>160.41</v>
      </c>
      <c r="W150" s="22">
        <f>'Annual Raw'!X67+'Annual Raw'!X66+'Annual Raw'!X69+'Annual Raw'!X70</f>
        <v>89.23</v>
      </c>
      <c r="X150" s="22">
        <f>'Annual Raw'!Y67+'Annual Raw'!Y66+'Annual Raw'!Y69+'Annual Raw'!Y70</f>
        <v>249.34</v>
      </c>
      <c r="Y150" s="22">
        <f>'Annual Raw'!Z67+'Annual Raw'!Z66+'Annual Raw'!Z69+'Annual Raw'!Z70</f>
        <v>490.77</v>
      </c>
      <c r="Z150" s="22">
        <f>'Annual Raw'!AA67+'Annual Raw'!AA66+'Annual Raw'!AA69+'Annual Raw'!AA70</f>
        <v>449.11</v>
      </c>
      <c r="AA150" s="22">
        <f>'Annual Raw'!AB67+'Annual Raw'!AB66+'Annual Raw'!AB69+'Annual Raw'!AB70</f>
        <v>334.46</v>
      </c>
      <c r="AB150" s="23">
        <f t="shared" si="1314"/>
        <v>334.46</v>
      </c>
      <c r="AC150" s="23">
        <f t="shared" si="1315"/>
        <v>334.46</v>
      </c>
      <c r="AD150" s="23">
        <f t="shared" si="1316"/>
        <v>334.46</v>
      </c>
      <c r="AE150" s="23">
        <f t="shared" si="1317"/>
        <v>334.46</v>
      </c>
      <c r="AI150" s="22">
        <f>+'QTR Raw'!C74</f>
        <v>0</v>
      </c>
      <c r="AJ150" s="22">
        <f t="shared" si="1318"/>
        <v>0</v>
      </c>
      <c r="AK150" s="22">
        <f>+'QTR Raw'!E74</f>
        <v>0</v>
      </c>
      <c r="AL150" s="22">
        <f t="shared" si="1319"/>
        <v>0</v>
      </c>
      <c r="AM150" s="22">
        <f>+'QTR Raw'!G74</f>
        <v>0</v>
      </c>
      <c r="AN150" s="22">
        <f t="shared" si="1320"/>
        <v>0</v>
      </c>
      <c r="AO150" s="22">
        <f>+'QTR Raw'!I74</f>
        <v>0</v>
      </c>
      <c r="AP150" s="22">
        <f t="shared" si="1321"/>
        <v>0</v>
      </c>
      <c r="AQ150" s="22">
        <f>+'QTR Raw'!K74</f>
        <v>0</v>
      </c>
      <c r="AR150" s="22">
        <f t="shared" si="1322"/>
        <v>0</v>
      </c>
      <c r="AS150" s="22">
        <f>+'QTR Raw'!M74</f>
        <v>0</v>
      </c>
      <c r="AT150" s="22">
        <f t="shared" si="1323"/>
        <v>0</v>
      </c>
      <c r="AU150" s="22">
        <f>+'QTR Raw'!O74</f>
        <v>0</v>
      </c>
      <c r="AV150" s="22">
        <f t="shared" si="1324"/>
        <v>0</v>
      </c>
      <c r="AW150" s="22">
        <f>+'QTR Raw'!Q74</f>
        <v>0</v>
      </c>
      <c r="AX150" s="22">
        <f t="shared" si="1325"/>
        <v>0</v>
      </c>
      <c r="AY150" s="22">
        <f>+'QTR Raw'!S74</f>
        <v>0</v>
      </c>
      <c r="AZ150" s="22">
        <f t="shared" si="1326"/>
        <v>0</v>
      </c>
      <c r="BA150" s="22">
        <f>+'QTR Raw'!U74</f>
        <v>24.13</v>
      </c>
      <c r="BB150" s="22">
        <f t="shared" si="1327"/>
        <v>24.13</v>
      </c>
      <c r="BC150" s="22">
        <f>+'QTR Raw'!W74</f>
        <v>27.76</v>
      </c>
      <c r="BD150" s="22">
        <f t="shared" si="1328"/>
        <v>27.76</v>
      </c>
      <c r="BE150" s="22">
        <f>+'QTR Raw'!Y74</f>
        <v>32.659999999999997</v>
      </c>
      <c r="BF150" s="22">
        <f t="shared" si="1329"/>
        <v>32.659999999999997</v>
      </c>
      <c r="BG150" s="22">
        <f>+'QTR Raw'!AA74</f>
        <v>54.15</v>
      </c>
      <c r="BH150" s="22">
        <f t="shared" si="1330"/>
        <v>54.15</v>
      </c>
      <c r="BI150" s="22">
        <f>+'QTR Raw'!AC74</f>
        <v>161.72</v>
      </c>
      <c r="BJ150" s="22">
        <f t="shared" si="1331"/>
        <v>161.72</v>
      </c>
      <c r="BK150" s="22">
        <f>+'QTR Raw'!AE74</f>
        <v>238.82</v>
      </c>
      <c r="BL150" s="22">
        <f t="shared" si="1332"/>
        <v>238.82</v>
      </c>
      <c r="BM150" s="22">
        <f>+'QTR Raw'!AG74</f>
        <v>166.25</v>
      </c>
      <c r="BN150" s="22">
        <f t="shared" si="1333"/>
        <v>166.25</v>
      </c>
      <c r="BO150" s="22">
        <f>+'QTR Raw'!AI74</f>
        <v>242.15</v>
      </c>
      <c r="BP150" s="22">
        <f t="shared" si="1334"/>
        <v>242.15</v>
      </c>
      <c r="BQ150" s="22">
        <f>+'QTR Raw'!AK74</f>
        <v>160.41</v>
      </c>
      <c r="BR150" s="22">
        <f t="shared" si="1335"/>
        <v>160.41</v>
      </c>
      <c r="BS150" s="22">
        <f>+'QTR Raw'!AM74</f>
        <v>150.65</v>
      </c>
      <c r="BT150" s="22">
        <f t="shared" si="1336"/>
        <v>150.65</v>
      </c>
      <c r="BU150" s="22">
        <f>+'QTR Raw'!AO74</f>
        <v>89.23</v>
      </c>
      <c r="BV150" s="22">
        <f t="shared" si="1337"/>
        <v>89.23</v>
      </c>
      <c r="BW150" s="22">
        <f>+'QTR Raw'!AQ74</f>
        <v>147.18</v>
      </c>
      <c r="BX150" s="22">
        <f t="shared" si="1338"/>
        <v>147.18</v>
      </c>
      <c r="BY150" s="22">
        <f>+'QTR Raw'!AS74</f>
        <v>249.34</v>
      </c>
      <c r="BZ150" s="22">
        <f t="shared" si="1339"/>
        <v>249.34</v>
      </c>
      <c r="CA150" s="22">
        <f>+'QTR Raw'!AU74</f>
        <v>285.04000000000002</v>
      </c>
      <c r="CB150" s="22">
        <f t="shared" si="1340"/>
        <v>285.04000000000002</v>
      </c>
      <c r="CC150" s="22">
        <f>+'QTR Raw'!AW74</f>
        <v>490.77</v>
      </c>
      <c r="CD150" s="22">
        <f t="shared" si="1341"/>
        <v>490.77</v>
      </c>
      <c r="CE150" s="22">
        <f>+'QTR Raw'!AY74</f>
        <v>544.87</v>
      </c>
      <c r="CF150" s="22">
        <f t="shared" si="1342"/>
        <v>544.87</v>
      </c>
      <c r="CG150" s="22">
        <f t="shared" si="1264"/>
        <v>449.11</v>
      </c>
      <c r="CH150" s="22">
        <f t="shared" si="1342"/>
        <v>449.11</v>
      </c>
      <c r="CI150" s="22">
        <f>+'QTR Raw'!BC74</f>
        <v>599.79</v>
      </c>
      <c r="CJ150" s="22">
        <f t="shared" si="1342"/>
        <v>599.79</v>
      </c>
      <c r="CK150" s="22">
        <f>+'QTR Raw'!BE74</f>
        <v>334.46</v>
      </c>
      <c r="CL150" s="22">
        <f t="shared" si="1342"/>
        <v>334.46</v>
      </c>
      <c r="CM150" s="23">
        <f t="shared" si="1343"/>
        <v>334.46</v>
      </c>
      <c r="CN150" s="23">
        <f t="shared" si="1344"/>
        <v>334.46</v>
      </c>
      <c r="CO150" s="23">
        <f t="shared" si="1345"/>
        <v>334.46</v>
      </c>
      <c r="CP150" s="23">
        <f t="shared" si="1346"/>
        <v>334.46</v>
      </c>
      <c r="CQ150" s="23">
        <f t="shared" si="1347"/>
        <v>334.46</v>
      </c>
      <c r="CR150" s="23">
        <f t="shared" si="1348"/>
        <v>334.46</v>
      </c>
      <c r="CS150" s="23">
        <f t="shared" si="1349"/>
        <v>334.46</v>
      </c>
      <c r="CT150" s="23">
        <f t="shared" si="1350"/>
        <v>334.46</v>
      </c>
      <c r="CU150" s="23">
        <f t="shared" si="1351"/>
        <v>334.46</v>
      </c>
      <c r="CV150" s="23">
        <f t="shared" si="1352"/>
        <v>334.46</v>
      </c>
      <c r="CW150" s="23">
        <f t="shared" si="1353"/>
        <v>334.46</v>
      </c>
      <c r="CX150" s="23">
        <f t="shared" si="1354"/>
        <v>334.46</v>
      </c>
      <c r="CY150" s="23">
        <f t="shared" si="1355"/>
        <v>334.46</v>
      </c>
      <c r="CZ150" s="23">
        <f t="shared" si="1356"/>
        <v>334.46</v>
      </c>
      <c r="DA150" s="23">
        <f t="shared" si="1357"/>
        <v>334.46</v>
      </c>
      <c r="DD150" s="122"/>
      <c r="DE150" s="22">
        <v>334.46</v>
      </c>
    </row>
    <row r="151" spans="1:109" s="21" customFormat="1" x14ac:dyDescent="0.2">
      <c r="A151" s="21" t="s">
        <v>57</v>
      </c>
      <c r="B151" s="21">
        <f>B147+B150+B149</f>
        <v>0</v>
      </c>
      <c r="C151" s="21">
        <f t="shared" ref="C151:D151" si="1358">C147+C150+C149</f>
        <v>0</v>
      </c>
      <c r="D151" s="21">
        <f t="shared" si="1358"/>
        <v>97.9</v>
      </c>
      <c r="E151" s="21">
        <f t="shared" ref="E151:Y151" si="1359">E147+E150+E149+E148</f>
        <v>90.74</v>
      </c>
      <c r="F151" s="21">
        <f t="shared" si="1359"/>
        <v>86.820000000000022</v>
      </c>
      <c r="G151" s="21">
        <f t="shared" si="1359"/>
        <v>110.30000000000001</v>
      </c>
      <c r="H151" s="21">
        <f t="shared" si="1359"/>
        <v>139.20000000000002</v>
      </c>
      <c r="I151" s="21">
        <f t="shared" si="1359"/>
        <v>142.29000000000002</v>
      </c>
      <c r="J151" s="21">
        <f t="shared" si="1359"/>
        <v>163.45000000000002</v>
      </c>
      <c r="K151" s="21">
        <f t="shared" si="1359"/>
        <v>148.43999999999997</v>
      </c>
      <c r="L151" s="21">
        <f t="shared" si="1359"/>
        <v>149.6</v>
      </c>
      <c r="M151" s="21">
        <f t="shared" si="1359"/>
        <v>235.16</v>
      </c>
      <c r="N151" s="21">
        <f t="shared" si="1359"/>
        <v>392.71</v>
      </c>
      <c r="O151" s="21">
        <f t="shared" si="1359"/>
        <v>412.32</v>
      </c>
      <c r="P151" s="21">
        <f t="shared" si="1359"/>
        <v>390.36</v>
      </c>
      <c r="Q151" s="21">
        <f t="shared" si="1359"/>
        <v>397.59999999999997</v>
      </c>
      <c r="R151" s="21">
        <f t="shared" si="1359"/>
        <v>410.28999999999996</v>
      </c>
      <c r="S151" s="21">
        <f t="shared" si="1359"/>
        <v>797.67000000000007</v>
      </c>
      <c r="T151" s="21">
        <f t="shared" si="1359"/>
        <v>892.42000000000007</v>
      </c>
      <c r="U151" s="21">
        <f t="shared" si="1359"/>
        <v>1060.8399999999999</v>
      </c>
      <c r="V151" s="21">
        <f t="shared" si="1359"/>
        <v>1166.25</v>
      </c>
      <c r="W151" s="21">
        <f t="shared" si="1359"/>
        <v>1158.9299999999998</v>
      </c>
      <c r="X151" s="21">
        <f t="shared" si="1359"/>
        <v>1372.0499999999997</v>
      </c>
      <c r="Y151" s="21">
        <f t="shared" si="1359"/>
        <v>1931.96</v>
      </c>
      <c r="Z151" s="21">
        <f>Z147+Z150+Z149+Z148</f>
        <v>2418.63</v>
      </c>
      <c r="AA151" s="21">
        <f>AA147+AA150+AA149+AA148</f>
        <v>2529.4199999999996</v>
      </c>
      <c r="AB151" s="160">
        <f t="shared" ref="AB151:AE151" si="1360">AB147+AB150+AB149+AB148</f>
        <v>2401.7400000000002</v>
      </c>
      <c r="AC151" s="160">
        <f t="shared" si="1360"/>
        <v>2359.9</v>
      </c>
      <c r="AD151" s="160">
        <f t="shared" si="1360"/>
        <v>2252.4168400000003</v>
      </c>
      <c r="AE151" s="160">
        <f t="shared" si="1360"/>
        <v>2144.9336800000005</v>
      </c>
      <c r="AI151" s="21">
        <f t="shared" ref="AI151:AL151" si="1361">AI147+AI150+AI148+AI149</f>
        <v>334.52</v>
      </c>
      <c r="AJ151" s="21">
        <f t="shared" si="1361"/>
        <v>334.52</v>
      </c>
      <c r="AK151" s="21">
        <f t="shared" si="1361"/>
        <v>392.71</v>
      </c>
      <c r="AL151" s="21">
        <f t="shared" si="1361"/>
        <v>392.71</v>
      </c>
      <c r="AM151" s="21">
        <f t="shared" ref="AM151:AP151" si="1362">AM147+AM150+AM148+AM149</f>
        <v>397.63</v>
      </c>
      <c r="AN151" s="21">
        <f t="shared" si="1362"/>
        <v>397.63</v>
      </c>
      <c r="AO151" s="21">
        <f t="shared" si="1362"/>
        <v>412.32</v>
      </c>
      <c r="AP151" s="21">
        <f t="shared" si="1362"/>
        <v>412.32</v>
      </c>
      <c r="AQ151" s="21">
        <f t="shared" ref="AQ151:AT151" si="1363">AQ147+AQ150+AQ148+AQ149</f>
        <v>398.67</v>
      </c>
      <c r="AR151" s="21">
        <f t="shared" si="1363"/>
        <v>398.67</v>
      </c>
      <c r="AS151" s="21">
        <f t="shared" si="1363"/>
        <v>390.36</v>
      </c>
      <c r="AT151" s="21">
        <f t="shared" si="1363"/>
        <v>390.36</v>
      </c>
      <c r="AU151" s="21">
        <f t="shared" ref="AU151:AX151" si="1364">AU147+AU150+AU148+AU149</f>
        <v>390.22</v>
      </c>
      <c r="AV151" s="21">
        <f t="shared" si="1364"/>
        <v>390.22</v>
      </c>
      <c r="AW151" s="21">
        <f t="shared" si="1364"/>
        <v>397.6</v>
      </c>
      <c r="AX151" s="21">
        <f t="shared" si="1364"/>
        <v>397.6</v>
      </c>
      <c r="AY151" s="21">
        <f t="shared" ref="AY151:BB151" si="1365">AY147+AY150+AY148+AY149</f>
        <v>402.89</v>
      </c>
      <c r="AZ151" s="21">
        <f t="shared" si="1365"/>
        <v>402.89</v>
      </c>
      <c r="BA151" s="21">
        <f t="shared" si="1365"/>
        <v>410.29</v>
      </c>
      <c r="BB151" s="21">
        <f t="shared" si="1365"/>
        <v>410.29</v>
      </c>
      <c r="BC151" s="21">
        <f t="shared" ref="BC151:BF151" si="1366">BC147+BC150+BC148+BC149</f>
        <v>395.56</v>
      </c>
      <c r="BD151" s="21">
        <f t="shared" si="1366"/>
        <v>395.56</v>
      </c>
      <c r="BE151" s="21">
        <f t="shared" si="1366"/>
        <v>412.58000000000004</v>
      </c>
      <c r="BF151" s="21">
        <f t="shared" si="1366"/>
        <v>412.58000000000004</v>
      </c>
      <c r="BG151" s="21">
        <f t="shared" ref="BG151:BJ151" si="1367">BG147+BG150+BG148+BG149</f>
        <v>411.47999999999996</v>
      </c>
      <c r="BH151" s="21">
        <f t="shared" si="1367"/>
        <v>411.47999999999996</v>
      </c>
      <c r="BI151" s="21">
        <f t="shared" si="1367"/>
        <v>892.42000000000007</v>
      </c>
      <c r="BJ151" s="21">
        <f t="shared" si="1367"/>
        <v>892.42000000000007</v>
      </c>
      <c r="BK151" s="21">
        <f t="shared" ref="BK151:BN151" si="1368">BK147+BK150+BK148+BK149</f>
        <v>970.25</v>
      </c>
      <c r="BL151" s="21">
        <f t="shared" si="1368"/>
        <v>970.25</v>
      </c>
      <c r="BM151" s="21">
        <f t="shared" si="1368"/>
        <v>1060.8400000000001</v>
      </c>
      <c r="BN151" s="21">
        <f t="shared" si="1368"/>
        <v>1060.8400000000001</v>
      </c>
      <c r="BO151" s="21">
        <f t="shared" ref="BO151:BR151" si="1369">BO147+BO150+BO148+BO149</f>
        <v>1098.8</v>
      </c>
      <c r="BP151" s="21">
        <f t="shared" si="1369"/>
        <v>1098.8</v>
      </c>
      <c r="BQ151" s="21">
        <f t="shared" si="1369"/>
        <v>1086.42</v>
      </c>
      <c r="BR151" s="21">
        <f t="shared" si="1369"/>
        <v>1086.42</v>
      </c>
      <c r="BS151" s="21">
        <f t="shared" ref="BS151:BV151" si="1370">BS147+BS150+BS148+BS149</f>
        <v>1077.42</v>
      </c>
      <c r="BT151" s="21">
        <f t="shared" si="1370"/>
        <v>1077.42</v>
      </c>
      <c r="BU151" s="21">
        <f t="shared" si="1370"/>
        <v>1086.45</v>
      </c>
      <c r="BV151" s="21">
        <f t="shared" si="1370"/>
        <v>1086.45</v>
      </c>
      <c r="BW151" s="21">
        <f t="shared" ref="BW151:BZ151" si="1371">BW147+BW150+BW148+BW149</f>
        <v>1131.3700000000001</v>
      </c>
      <c r="BX151" s="21">
        <f t="shared" si="1371"/>
        <v>1131.3700000000001</v>
      </c>
      <c r="BY151" s="21">
        <f t="shared" si="1371"/>
        <v>1268.98</v>
      </c>
      <c r="BZ151" s="21">
        <f t="shared" si="1371"/>
        <v>1268.98</v>
      </c>
      <c r="CA151" s="21">
        <f t="shared" ref="CA151:CD151" si="1372">CA147+CA150+CA148+CA149</f>
        <v>1409.27</v>
      </c>
      <c r="CB151" s="21">
        <f t="shared" si="1372"/>
        <v>1409.27</v>
      </c>
      <c r="CC151" s="21">
        <f t="shared" si="1372"/>
        <v>1836.8</v>
      </c>
      <c r="CD151" s="21">
        <f t="shared" si="1372"/>
        <v>1836.8</v>
      </c>
      <c r="CE151" s="21">
        <f>CE144+CE150+CE148+CE149</f>
        <v>2058.71</v>
      </c>
      <c r="CF151" s="21">
        <f t="shared" ref="CF151:CH151" si="1373">CF147+CF150+CF148+CF149</f>
        <v>2058.71</v>
      </c>
      <c r="CG151" s="21">
        <f t="shared" ref="CG151:CJ151" si="1374">CG147+CG150+CG148+CG149</f>
        <v>2418.63</v>
      </c>
      <c r="CH151" s="21">
        <f t="shared" si="1373"/>
        <v>2418.63</v>
      </c>
      <c r="CI151" s="21">
        <f t="shared" si="1374"/>
        <v>2383.21</v>
      </c>
      <c r="CJ151" s="21">
        <f t="shared" si="1374"/>
        <v>2383.21</v>
      </c>
      <c r="CK151" s="21">
        <f t="shared" ref="CK151" si="1375">CK147+CK150+CK148+CK149</f>
        <v>2433.12</v>
      </c>
      <c r="CL151" s="21">
        <f t="shared" ref="CL151:DA151" si="1376">CL147+CL150+CL148+CL149</f>
        <v>2433.12</v>
      </c>
      <c r="CM151" s="20">
        <f t="shared" si="1376"/>
        <v>2433.12</v>
      </c>
      <c r="CN151" s="20">
        <f t="shared" si="1376"/>
        <v>2433.12</v>
      </c>
      <c r="CO151" s="20">
        <f t="shared" si="1376"/>
        <v>2433.12</v>
      </c>
      <c r="CP151" s="20">
        <f t="shared" si="1376"/>
        <v>2433.12</v>
      </c>
      <c r="CQ151" s="20">
        <f t="shared" si="1376"/>
        <v>2433.12</v>
      </c>
      <c r="CR151" s="20">
        <f t="shared" si="1376"/>
        <v>2433.12</v>
      </c>
      <c r="CS151" s="20">
        <f t="shared" si="1376"/>
        <v>2433.12</v>
      </c>
      <c r="CT151" s="20">
        <f t="shared" si="1376"/>
        <v>2433.12</v>
      </c>
      <c r="CU151" s="20">
        <f t="shared" si="1376"/>
        <v>2433.12</v>
      </c>
      <c r="CV151" s="20">
        <f t="shared" si="1376"/>
        <v>2433.12</v>
      </c>
      <c r="CW151" s="20">
        <f t="shared" si="1376"/>
        <v>2433.12</v>
      </c>
      <c r="CX151" s="20">
        <f t="shared" si="1376"/>
        <v>2433.12</v>
      </c>
      <c r="CY151" s="20">
        <f t="shared" si="1376"/>
        <v>2433.12</v>
      </c>
      <c r="CZ151" s="20">
        <f t="shared" si="1376"/>
        <v>2433.12</v>
      </c>
      <c r="DA151" s="20">
        <f t="shared" si="1376"/>
        <v>2433.12</v>
      </c>
      <c r="DD151" s="125"/>
      <c r="DE151" s="21">
        <v>2433.1200000000003</v>
      </c>
    </row>
    <row r="152" spans="1:109" s="22" customFormat="1" x14ac:dyDescent="0.2">
      <c r="AB152" s="23"/>
      <c r="AC152" s="23"/>
      <c r="AD152" s="23"/>
      <c r="AE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D152" s="122"/>
    </row>
    <row r="153" spans="1:109" s="22" customFormat="1" x14ac:dyDescent="0.2">
      <c r="A153" s="22" t="s">
        <v>58</v>
      </c>
      <c r="B153" s="22">
        <f>'Annual Raw'!C71</f>
        <v>0</v>
      </c>
      <c r="C153" s="22">
        <f>'Annual Raw'!D71</f>
        <v>0</v>
      </c>
      <c r="D153" s="22">
        <f>'Annual Raw'!E71</f>
        <v>1.81</v>
      </c>
      <c r="E153" s="22">
        <f>'Annual Raw'!F71</f>
        <v>1.81</v>
      </c>
      <c r="F153" s="22">
        <f>'Annual Raw'!G71</f>
        <v>1.81</v>
      </c>
      <c r="G153" s="22">
        <f>'Annual Raw'!H71</f>
        <v>1.81</v>
      </c>
      <c r="H153" s="22">
        <f>'Annual Raw'!I71</f>
        <v>1.74</v>
      </c>
      <c r="I153" s="22">
        <f>'Annual Raw'!J71</f>
        <v>0.3</v>
      </c>
      <c r="J153" s="22">
        <f>'Annual Raw'!K71</f>
        <v>0.32</v>
      </c>
      <c r="K153" s="22">
        <f>'Annual Raw'!L71</f>
        <v>0.32</v>
      </c>
      <c r="L153" s="22">
        <f>'Annual Raw'!M71</f>
        <v>0.32</v>
      </c>
      <c r="M153" s="22">
        <f>'Annual Raw'!N71</f>
        <v>0</v>
      </c>
      <c r="N153" s="22">
        <f>'Annual Raw'!O71</f>
        <v>4.3499999999999996</v>
      </c>
      <c r="O153" s="22">
        <f>'Annual Raw'!P71</f>
        <v>4.3499999999999996</v>
      </c>
      <c r="P153" s="22">
        <f>'Annual Raw'!Q71</f>
        <v>4.3499999999999996</v>
      </c>
      <c r="Q153" s="22">
        <f>'Annual Raw'!R71</f>
        <v>0</v>
      </c>
      <c r="R153" s="22">
        <f>'Annual Raw'!S71</f>
        <v>0</v>
      </c>
      <c r="S153" s="22">
        <f>'Annual Raw'!T71</f>
        <v>0</v>
      </c>
      <c r="T153" s="22">
        <f>'Annual Raw'!U71</f>
        <v>0</v>
      </c>
      <c r="U153" s="22">
        <f>'Annual Raw'!V71</f>
        <v>0</v>
      </c>
      <c r="V153" s="22">
        <f>'Annual Raw'!W71</f>
        <v>0</v>
      </c>
      <c r="W153" s="22">
        <f>'Annual Raw'!X71</f>
        <v>0</v>
      </c>
      <c r="X153" s="22">
        <f>'Annual Raw'!Y71</f>
        <v>0</v>
      </c>
      <c r="Y153" s="22">
        <f>'Annual Raw'!Z71</f>
        <v>0</v>
      </c>
      <c r="Z153" s="22">
        <f>'Annual Raw'!AA71</f>
        <v>0</v>
      </c>
      <c r="AA153" s="22">
        <f>'Annual Raw'!AB71</f>
        <v>0</v>
      </c>
      <c r="AB153" s="23">
        <f t="shared" ref="AB153" si="1377">+CO153</f>
        <v>0</v>
      </c>
      <c r="AC153" s="23">
        <f t="shared" ref="AC153" si="1378">+CS153</f>
        <v>0</v>
      </c>
      <c r="AD153" s="23">
        <f t="shared" ref="AD153" si="1379">+CW153</f>
        <v>0</v>
      </c>
      <c r="AE153" s="23">
        <f t="shared" ref="AE153" si="1380">+DA153</f>
        <v>0</v>
      </c>
      <c r="AI153" s="22">
        <f>+'QTR Raw'!C77</f>
        <v>0</v>
      </c>
      <c r="AJ153" s="22">
        <f t="shared" ref="AJ153" si="1381">+AI153</f>
        <v>0</v>
      </c>
      <c r="AK153" s="22">
        <f>+'QTR Raw'!E77</f>
        <v>4.3499999999999996</v>
      </c>
      <c r="AL153" s="22">
        <f t="shared" ref="AL153" si="1382">+AK153</f>
        <v>4.3499999999999996</v>
      </c>
      <c r="AM153" s="22">
        <f>+'QTR Raw'!G77</f>
        <v>4.3499999999999996</v>
      </c>
      <c r="AN153" s="22">
        <f t="shared" ref="AN153" si="1383">+AM153</f>
        <v>4.3499999999999996</v>
      </c>
      <c r="AO153" s="22">
        <f>+'QTR Raw'!I77</f>
        <v>4.3499999999999996</v>
      </c>
      <c r="AP153" s="22">
        <f t="shared" ref="AP153" si="1384">+AO153</f>
        <v>4.3499999999999996</v>
      </c>
      <c r="AQ153" s="22">
        <f>+'QTR Raw'!K77</f>
        <v>4.3499999999999996</v>
      </c>
      <c r="AR153" s="22">
        <f t="shared" ref="AR153" si="1385">+AQ153</f>
        <v>4.3499999999999996</v>
      </c>
      <c r="AS153" s="22">
        <f>+'QTR Raw'!M77</f>
        <v>4.3499999999999996</v>
      </c>
      <c r="AT153" s="22">
        <f t="shared" ref="AT153" si="1386">+AS153</f>
        <v>4.3499999999999996</v>
      </c>
      <c r="AU153" s="22">
        <f>+'QTR Raw'!O77</f>
        <v>16.88</v>
      </c>
      <c r="AV153" s="22">
        <f t="shared" ref="AV153" si="1387">+AU153</f>
        <v>16.88</v>
      </c>
      <c r="AW153" s="22">
        <f>+'QTR Raw'!Q77</f>
        <v>0</v>
      </c>
      <c r="AX153" s="22">
        <f t="shared" ref="AX153" si="1388">+AW153</f>
        <v>0</v>
      </c>
      <c r="AY153" s="22">
        <f>+'QTR Raw'!S77</f>
        <v>0</v>
      </c>
      <c r="AZ153" s="22">
        <f t="shared" ref="AZ153" si="1389">+AY153</f>
        <v>0</v>
      </c>
      <c r="BA153" s="22">
        <f>+'QTR Raw'!U77</f>
        <v>0</v>
      </c>
      <c r="BB153" s="22">
        <f t="shared" ref="BB153" si="1390">+BA153</f>
        <v>0</v>
      </c>
      <c r="BC153" s="22">
        <f>+'QTR Raw'!W77</f>
        <v>0</v>
      </c>
      <c r="BD153" s="22">
        <f t="shared" ref="BD153" si="1391">+BC153</f>
        <v>0</v>
      </c>
      <c r="BE153" s="22">
        <f>+'QTR Raw'!Y77</f>
        <v>0</v>
      </c>
      <c r="BF153" s="22">
        <f t="shared" ref="BF153" si="1392">+BE153</f>
        <v>0</v>
      </c>
      <c r="BG153" s="22">
        <f>+'QTR Raw'!AA77</f>
        <v>0</v>
      </c>
      <c r="BH153" s="22">
        <f t="shared" ref="BH153" si="1393">+BG153</f>
        <v>0</v>
      </c>
      <c r="BI153" s="22">
        <f>+'QTR Raw'!AC77</f>
        <v>0</v>
      </c>
      <c r="BJ153" s="22">
        <f t="shared" ref="BJ153" si="1394">+BI153</f>
        <v>0</v>
      </c>
      <c r="BK153" s="22">
        <f>+'QTR Raw'!AE77</f>
        <v>0</v>
      </c>
      <c r="BL153" s="22">
        <f t="shared" ref="BL153" si="1395">+BK153</f>
        <v>0</v>
      </c>
      <c r="BM153" s="22">
        <f>+'QTR Raw'!AG77</f>
        <v>0</v>
      </c>
      <c r="BN153" s="22">
        <f t="shared" ref="BN153" si="1396">+BM153</f>
        <v>0</v>
      </c>
      <c r="BO153" s="22">
        <f>+'QTR Raw'!AI77</f>
        <v>0</v>
      </c>
      <c r="BP153" s="22">
        <f t="shared" ref="BP153" si="1397">+BO153</f>
        <v>0</v>
      </c>
      <c r="BQ153" s="22">
        <f>+'QTR Raw'!AK77</f>
        <v>0</v>
      </c>
      <c r="BR153" s="22">
        <f t="shared" ref="BR153" si="1398">+BQ153</f>
        <v>0</v>
      </c>
      <c r="BS153" s="22">
        <f>+'QTR Raw'!AM77</f>
        <v>0</v>
      </c>
      <c r="BT153" s="22">
        <f t="shared" ref="BT153" si="1399">+BS153</f>
        <v>0</v>
      </c>
      <c r="BU153" s="22">
        <f>+'QTR Raw'!AO77</f>
        <v>0</v>
      </c>
      <c r="BV153" s="22">
        <f t="shared" ref="BV153" si="1400">+BU153</f>
        <v>0</v>
      </c>
      <c r="BW153" s="22">
        <f>+'QTR Raw'!AQ77</f>
        <v>0</v>
      </c>
      <c r="BX153" s="22">
        <f t="shared" ref="BX153" si="1401">+BW153</f>
        <v>0</v>
      </c>
      <c r="BY153" s="22">
        <f>+'QTR Raw'!AS77</f>
        <v>0</v>
      </c>
      <c r="BZ153" s="22">
        <f t="shared" ref="BZ153" si="1402">+BY153</f>
        <v>0</v>
      </c>
      <c r="CA153" s="22">
        <f>+'QTR Raw'!AU77</f>
        <v>0</v>
      </c>
      <c r="CB153" s="22">
        <f t="shared" ref="CB153" si="1403">+CA153</f>
        <v>0</v>
      </c>
      <c r="CC153" s="22">
        <f>+'QTR Raw'!AW77</f>
        <v>0</v>
      </c>
      <c r="CD153" s="22">
        <f t="shared" ref="CD153" si="1404">+CC153</f>
        <v>0</v>
      </c>
      <c r="CE153" s="22">
        <f>+'QTR Raw'!AY77</f>
        <v>0</v>
      </c>
      <c r="CF153" s="22">
        <f t="shared" ref="CF153:CL153" si="1405">+CE153</f>
        <v>0</v>
      </c>
      <c r="CG153" s="22">
        <f t="shared" ref="CG153" si="1406">+Z153</f>
        <v>0</v>
      </c>
      <c r="CH153" s="22">
        <f t="shared" si="1405"/>
        <v>0</v>
      </c>
      <c r="CI153" s="22">
        <f>+'QTR Raw'!BC77</f>
        <v>0</v>
      </c>
      <c r="CJ153" s="22">
        <f t="shared" si="1405"/>
        <v>0</v>
      </c>
      <c r="CK153" s="22">
        <f>+'QTR Raw'!BE77</f>
        <v>0</v>
      </c>
      <c r="CL153" s="22">
        <f t="shared" si="1405"/>
        <v>0</v>
      </c>
      <c r="CM153" s="23">
        <f t="shared" ref="CM153" si="1407">+CL153</f>
        <v>0</v>
      </c>
      <c r="CN153" s="23">
        <f t="shared" ref="CN153" si="1408">+CM153</f>
        <v>0</v>
      </c>
      <c r="CO153" s="23">
        <f t="shared" ref="CO153" si="1409">+CN153</f>
        <v>0</v>
      </c>
      <c r="CP153" s="23">
        <f t="shared" ref="CP153" si="1410">+CO153</f>
        <v>0</v>
      </c>
      <c r="CQ153" s="23">
        <f t="shared" ref="CQ153" si="1411">+CP153</f>
        <v>0</v>
      </c>
      <c r="CR153" s="23">
        <f t="shared" ref="CR153" si="1412">+CQ153</f>
        <v>0</v>
      </c>
      <c r="CS153" s="23">
        <f t="shared" ref="CS153" si="1413">+CR153</f>
        <v>0</v>
      </c>
      <c r="CT153" s="23">
        <f t="shared" ref="CT153" si="1414">+CS153</f>
        <v>0</v>
      </c>
      <c r="CU153" s="23">
        <f t="shared" ref="CU153" si="1415">+CT153</f>
        <v>0</v>
      </c>
      <c r="CV153" s="23">
        <f t="shared" ref="CV153" si="1416">+CU153</f>
        <v>0</v>
      </c>
      <c r="CW153" s="23">
        <f t="shared" ref="CW153" si="1417">+CV153</f>
        <v>0</v>
      </c>
      <c r="CX153" s="23">
        <f t="shared" ref="CX153" si="1418">+CW153</f>
        <v>0</v>
      </c>
      <c r="CY153" s="23">
        <f t="shared" ref="CY153" si="1419">+CX153</f>
        <v>0</v>
      </c>
      <c r="CZ153" s="23">
        <f t="shared" ref="CZ153" si="1420">+CY153</f>
        <v>0</v>
      </c>
      <c r="DA153" s="23">
        <f t="shared" ref="DA153" si="1421">+CZ153</f>
        <v>0</v>
      </c>
      <c r="DD153" s="122"/>
      <c r="DE153" s="22">
        <v>0</v>
      </c>
    </row>
    <row r="154" spans="1:109" s="22" customFormat="1" x14ac:dyDescent="0.2">
      <c r="AB154" s="23"/>
      <c r="AC154" s="23"/>
      <c r="AD154" s="23"/>
      <c r="AE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</row>
    <row r="155" spans="1:109" s="22" customFormat="1" outlineLevel="1" x14ac:dyDescent="0.2">
      <c r="A155" s="22" t="s">
        <v>59</v>
      </c>
      <c r="B155" s="22">
        <f>'Annual Raw'!C72</f>
        <v>0</v>
      </c>
      <c r="C155" s="22">
        <f>'Annual Raw'!D72</f>
        <v>0</v>
      </c>
      <c r="D155" s="22">
        <f>'Annual Raw'!E72</f>
        <v>0</v>
      </c>
      <c r="E155" s="22">
        <f>'Annual Raw'!F72+'Annual Raw'!F61</f>
        <v>0</v>
      </c>
      <c r="F155" s="22">
        <f>'Annual Raw'!G72+'Annual Raw'!G61</f>
        <v>0</v>
      </c>
      <c r="G155" s="22">
        <f>'Annual Raw'!H72+'Annual Raw'!H61</f>
        <v>0</v>
      </c>
      <c r="H155" s="22">
        <f>'Annual Raw'!I72+'Annual Raw'!I61</f>
        <v>0</v>
      </c>
      <c r="I155" s="22">
        <f>'Annual Raw'!J72+'Annual Raw'!J61</f>
        <v>0</v>
      </c>
      <c r="J155" s="22">
        <f>'Annual Raw'!K72+'Annual Raw'!K61</f>
        <v>0</v>
      </c>
      <c r="K155" s="22">
        <f>'Annual Raw'!L72+'Annual Raw'!L61</f>
        <v>0</v>
      </c>
      <c r="L155" s="22">
        <f>'Annual Raw'!M72+'Annual Raw'!M61</f>
        <v>0</v>
      </c>
      <c r="M155" s="22">
        <f>'Annual Raw'!N72+'Annual Raw'!N61</f>
        <v>120.17</v>
      </c>
      <c r="N155" s="22">
        <f>'Annual Raw'!O72+'Annual Raw'!O61</f>
        <v>75.430000000000007</v>
      </c>
      <c r="O155" s="22">
        <f>'Annual Raw'!P72+'Annual Raw'!P61</f>
        <v>176.51</v>
      </c>
      <c r="P155" s="22">
        <f>'Annual Raw'!Q72+'Annual Raw'!Q61</f>
        <v>99.94</v>
      </c>
      <c r="Q155" s="22">
        <f>'Annual Raw'!R72+'Annual Raw'!R61</f>
        <v>128.32</v>
      </c>
      <c r="R155" s="22">
        <f>'Annual Raw'!S72+'Annual Raw'!S61</f>
        <v>141.66999999999999</v>
      </c>
      <c r="S155" s="22">
        <f>'Annual Raw'!T72+'Annual Raw'!T61</f>
        <v>114.74</v>
      </c>
      <c r="T155" s="22">
        <f>'Annual Raw'!U72+'Annual Raw'!U61</f>
        <v>128.22</v>
      </c>
      <c r="U155" s="22">
        <f>'Annual Raw'!V72+'Annual Raw'!V61</f>
        <v>157.06</v>
      </c>
      <c r="V155" s="22">
        <f>'Annual Raw'!W72+'Annual Raw'!W61</f>
        <v>243.86</v>
      </c>
      <c r="W155" s="22">
        <f>'Annual Raw'!X72+'Annual Raw'!X61</f>
        <v>307.3</v>
      </c>
      <c r="X155" s="22">
        <f>'Annual Raw'!Y72+'Annual Raw'!Y61</f>
        <v>429.52</v>
      </c>
      <c r="Y155" s="22">
        <f>'Annual Raw'!Z72+'Annual Raw'!Z61</f>
        <v>413.33</v>
      </c>
      <c r="Z155" s="22">
        <f>'Annual Raw'!AA72+'Annual Raw'!AA61</f>
        <v>395.3</v>
      </c>
      <c r="AA155" s="22">
        <f>'Annual Raw'!AB72+'Annual Raw'!AB61</f>
        <v>451.86</v>
      </c>
      <c r="AB155" s="23">
        <f t="shared" ref="AB155:AB160" si="1422">+CO155</f>
        <v>0</v>
      </c>
      <c r="AC155" s="23">
        <f t="shared" ref="AC155:AC160" si="1423">+CS155</f>
        <v>0</v>
      </c>
      <c r="AD155" s="23">
        <f t="shared" ref="AD155:AD160" si="1424">+CW155</f>
        <v>0</v>
      </c>
      <c r="AE155" s="23">
        <f t="shared" ref="AE155:AE160" si="1425">+DA155</f>
        <v>0</v>
      </c>
      <c r="AI155" s="22">
        <f>+'QTR Raw'!C78</f>
        <v>47.28</v>
      </c>
      <c r="AJ155" s="22">
        <f t="shared" ref="AJ155:AJ156" si="1426">+AI155</f>
        <v>47.28</v>
      </c>
      <c r="AK155" s="22">
        <f>+'QTR Raw'!E78</f>
        <v>75.430000000000007</v>
      </c>
      <c r="AL155" s="22">
        <f t="shared" ref="AL155:AL156" si="1427">+AK155</f>
        <v>75.430000000000007</v>
      </c>
      <c r="AM155" s="22">
        <f>+'QTR Raw'!G78</f>
        <v>132.19999999999999</v>
      </c>
      <c r="AN155" s="22">
        <f t="shared" ref="AN155:AN156" si="1428">+AM155</f>
        <v>132.19999999999999</v>
      </c>
      <c r="AO155" s="22">
        <f>+'QTR Raw'!I78</f>
        <v>176.51</v>
      </c>
      <c r="AP155" s="22">
        <f t="shared" ref="AP155:AP156" si="1429">+AO155</f>
        <v>176.51</v>
      </c>
      <c r="AQ155" s="22">
        <f>+'QTR Raw'!K78</f>
        <v>84.8</v>
      </c>
      <c r="AR155" s="22">
        <f t="shared" ref="AR155:AR156" si="1430">+AQ155</f>
        <v>84.8</v>
      </c>
      <c r="AS155" s="22">
        <f>+'QTR Raw'!M78</f>
        <v>99.94</v>
      </c>
      <c r="AT155" s="22">
        <f t="shared" ref="AT155:AT156" si="1431">+AS155</f>
        <v>99.94</v>
      </c>
      <c r="AU155" s="22">
        <f>+'QTR Raw'!O78</f>
        <v>134.97999999999999</v>
      </c>
      <c r="AV155" s="22">
        <f t="shared" ref="AV155:AV156" si="1432">+AU155</f>
        <v>134.97999999999999</v>
      </c>
      <c r="AW155" s="22">
        <f>+'QTR Raw'!Q78</f>
        <v>128.32</v>
      </c>
      <c r="AX155" s="22">
        <f t="shared" ref="AX155:AX156" si="1433">+AW155</f>
        <v>128.32</v>
      </c>
      <c r="AY155" s="22">
        <f>+'QTR Raw'!S78</f>
        <v>163.35</v>
      </c>
      <c r="AZ155" s="22">
        <f t="shared" ref="AZ155:AZ156" si="1434">+AY155</f>
        <v>163.35</v>
      </c>
      <c r="BA155" s="22">
        <f>+'QTR Raw'!U78</f>
        <v>99</v>
      </c>
      <c r="BB155" s="22">
        <f t="shared" ref="BB155:BB156" si="1435">+BA155</f>
        <v>99</v>
      </c>
      <c r="BC155" s="22">
        <f>+'QTR Raw'!W78</f>
        <v>112.67</v>
      </c>
      <c r="BD155" s="22">
        <f t="shared" ref="BD155:BD156" si="1436">+BC155</f>
        <v>112.67</v>
      </c>
      <c r="BE155" s="22">
        <f>+'QTR Raw'!Y78</f>
        <v>66</v>
      </c>
      <c r="BF155" s="22">
        <f t="shared" ref="BF155:BF156" si="1437">+BE155</f>
        <v>66</v>
      </c>
      <c r="BG155" s="22">
        <f>+'QTR Raw'!AA78</f>
        <v>30</v>
      </c>
      <c r="BH155" s="22">
        <f t="shared" ref="BH155:BH156" si="1438">+BG155</f>
        <v>30</v>
      </c>
      <c r="BI155" s="22">
        <f>+'QTR Raw'!AC78</f>
        <v>8.68</v>
      </c>
      <c r="BJ155" s="22">
        <f t="shared" ref="BJ155:BJ156" si="1439">+BI155</f>
        <v>8.68</v>
      </c>
      <c r="BK155" s="22">
        <f>+'QTR Raw'!AE78</f>
        <v>0</v>
      </c>
      <c r="BL155" s="22">
        <f t="shared" ref="BL155:BL156" si="1440">+BK155</f>
        <v>0</v>
      </c>
      <c r="BM155" s="22">
        <f>+'QTR Raw'!AG78</f>
        <v>9.5299999999999994</v>
      </c>
      <c r="BN155" s="22">
        <f t="shared" ref="BN155:BN156" si="1441">+BM155</f>
        <v>9.5299999999999994</v>
      </c>
      <c r="BO155" s="22">
        <f>+'QTR Raw'!AI78</f>
        <v>8.94</v>
      </c>
      <c r="BP155" s="22">
        <f t="shared" ref="BP155:BP156" si="1442">+BO155</f>
        <v>8.94</v>
      </c>
      <c r="BQ155" s="22">
        <f>+'QTR Raw'!AK78</f>
        <v>9.6300000000000008</v>
      </c>
      <c r="BR155" s="22">
        <f t="shared" ref="BR155:BR156" si="1443">+BQ155</f>
        <v>9.6300000000000008</v>
      </c>
      <c r="BS155" s="22">
        <f>+'QTR Raw'!AM78</f>
        <v>9.66</v>
      </c>
      <c r="BT155" s="22">
        <f t="shared" ref="BT155:BT156" si="1444">+BS155</f>
        <v>9.66</v>
      </c>
      <c r="BU155" s="22">
        <f>+'QTR Raw'!AO78</f>
        <v>0</v>
      </c>
      <c r="BV155" s="22">
        <f t="shared" ref="BV155:BV156" si="1445">+BU155</f>
        <v>0</v>
      </c>
      <c r="BW155" s="22">
        <f>+'QTR Raw'!AQ78</f>
        <v>0</v>
      </c>
      <c r="BX155" s="22">
        <f t="shared" ref="BX155:BX156" si="1446">+BW155</f>
        <v>0</v>
      </c>
      <c r="BY155" s="22">
        <f>+'QTR Raw'!AS78</f>
        <v>0</v>
      </c>
      <c r="BZ155" s="22">
        <f t="shared" ref="BZ155:BZ156" si="1447">+BY155</f>
        <v>0</v>
      </c>
      <c r="CA155" s="22">
        <f>+'QTR Raw'!AU78</f>
        <v>0</v>
      </c>
      <c r="CB155" s="22">
        <f t="shared" ref="CB155:CB156" si="1448">+CA155</f>
        <v>0</v>
      </c>
      <c r="CC155" s="22">
        <f>+'QTR Raw'!AW78</f>
        <v>0</v>
      </c>
      <c r="CD155" s="22">
        <f t="shared" ref="CD155:CD156" si="1449">+CC155</f>
        <v>0</v>
      </c>
      <c r="CE155" s="22">
        <f>+'QTR Raw'!AY78</f>
        <v>0</v>
      </c>
      <c r="CF155" s="22">
        <f t="shared" ref="CF155:CL160" si="1450">+CE155</f>
        <v>0</v>
      </c>
      <c r="CG155" s="22">
        <f t="shared" ref="CG155:CG160" si="1451">+Z155</f>
        <v>395.3</v>
      </c>
      <c r="CH155" s="22">
        <f t="shared" si="1450"/>
        <v>395.3</v>
      </c>
      <c r="CI155" s="22">
        <f>+'QTR Raw'!BC78</f>
        <v>0</v>
      </c>
      <c r="CJ155" s="22">
        <f t="shared" si="1450"/>
        <v>0</v>
      </c>
      <c r="CK155" s="22">
        <f>+'QTR Raw'!BE78</f>
        <v>0</v>
      </c>
      <c r="CL155" s="22">
        <f t="shared" si="1450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2" customFormat="1" outlineLevel="1" x14ac:dyDescent="0.2">
      <c r="A156" s="22" t="s">
        <v>60</v>
      </c>
      <c r="B156" s="22">
        <f>'Annual Raw'!C73+'Annual Raw'!C81</f>
        <v>0</v>
      </c>
      <c r="C156" s="22">
        <f>'Annual Raw'!D73+'Annual Raw'!D81</f>
        <v>0</v>
      </c>
      <c r="D156" s="22">
        <f>'Annual Raw'!E73+'Annual Raw'!E81</f>
        <v>0</v>
      </c>
      <c r="E156" s="22">
        <f>'Annual Raw'!F73+'Annual Raw'!F81</f>
        <v>0</v>
      </c>
      <c r="F156" s="22">
        <f>'Annual Raw'!G73+'Annual Raw'!G81</f>
        <v>0</v>
      </c>
      <c r="G156" s="22">
        <f>'Annual Raw'!H73+'Annual Raw'!H81</f>
        <v>0</v>
      </c>
      <c r="H156" s="22">
        <f>'Annual Raw'!I73+'Annual Raw'!I81</f>
        <v>0</v>
      </c>
      <c r="I156" s="22">
        <f>'Annual Raw'!J73+'Annual Raw'!J81</f>
        <v>0</v>
      </c>
      <c r="J156" s="22">
        <f>'Annual Raw'!K73+'Annual Raw'!K81</f>
        <v>0</v>
      </c>
      <c r="K156" s="22">
        <f>'Annual Raw'!L73+'Annual Raw'!L81</f>
        <v>0</v>
      </c>
      <c r="L156" s="22">
        <f>'Annual Raw'!M73+'Annual Raw'!M81</f>
        <v>0</v>
      </c>
      <c r="M156" s="22">
        <f>'Annual Raw'!N73+'Annual Raw'!N81</f>
        <v>0</v>
      </c>
      <c r="N156" s="22">
        <f>'Annual Raw'!O73+'Annual Raw'!O81</f>
        <v>0.46</v>
      </c>
      <c r="O156" s="22">
        <f>'Annual Raw'!P73+'Annual Raw'!P81</f>
        <v>0.46</v>
      </c>
      <c r="P156" s="22">
        <f>'Annual Raw'!Q73+'Annual Raw'!Q81</f>
        <v>0</v>
      </c>
      <c r="Q156" s="22">
        <f>'Annual Raw'!R73+'Annual Raw'!R81</f>
        <v>0</v>
      </c>
      <c r="R156" s="22">
        <f>'Annual Raw'!S73+'Annual Raw'!S81</f>
        <v>0</v>
      </c>
      <c r="S156" s="22">
        <f>'Annual Raw'!T73+'Annual Raw'!T81</f>
        <v>0.5</v>
      </c>
      <c r="T156" s="22">
        <f>'Annual Raw'!U73+'Annual Raw'!U81</f>
        <v>50.51</v>
      </c>
      <c r="U156" s="22">
        <f>'Annual Raw'!V73+'Annual Raw'!V81</f>
        <v>139.13999999999999</v>
      </c>
      <c r="V156" s="22">
        <f>'Annual Raw'!W73+'Annual Raw'!W81</f>
        <v>76.349999999999994</v>
      </c>
      <c r="W156" s="22">
        <f>'Annual Raw'!X73+'Annual Raw'!X81</f>
        <v>127.55</v>
      </c>
      <c r="X156" s="22">
        <f>'Annual Raw'!Y73+'Annual Raw'!Y81</f>
        <v>155.41999999999999</v>
      </c>
      <c r="Y156" s="22">
        <f>'Annual Raw'!Z73+'Annual Raw'!Z81</f>
        <v>19.09</v>
      </c>
      <c r="Z156" s="22">
        <f>'Annual Raw'!AA73+'Annual Raw'!AA81</f>
        <v>29.25</v>
      </c>
      <c r="AA156" s="22">
        <f>'Annual Raw'!AB73+'Annual Raw'!AB81</f>
        <v>32.82</v>
      </c>
      <c r="AB156" s="23">
        <f t="shared" si="1422"/>
        <v>0</v>
      </c>
      <c r="AC156" s="23">
        <f t="shared" si="1423"/>
        <v>0</v>
      </c>
      <c r="AD156" s="23">
        <f t="shared" si="1424"/>
        <v>0</v>
      </c>
      <c r="AE156" s="23">
        <f t="shared" si="1425"/>
        <v>0</v>
      </c>
      <c r="AI156" s="22">
        <f>+'QTR Raw'!C79</f>
        <v>0</v>
      </c>
      <c r="AJ156" s="22">
        <f t="shared" si="1426"/>
        <v>0</v>
      </c>
      <c r="AK156" s="22">
        <f>+'QTR Raw'!E79</f>
        <v>0.46</v>
      </c>
      <c r="AL156" s="22">
        <f t="shared" si="1427"/>
        <v>0.46</v>
      </c>
      <c r="AM156" s="22">
        <f>+'QTR Raw'!G79</f>
        <v>0.46</v>
      </c>
      <c r="AN156" s="22">
        <f t="shared" si="1428"/>
        <v>0.46</v>
      </c>
      <c r="AO156" s="22">
        <f>+'QTR Raw'!I79</f>
        <v>0.46</v>
      </c>
      <c r="AP156" s="22">
        <f t="shared" si="1429"/>
        <v>0.46</v>
      </c>
      <c r="AQ156" s="22">
        <f>+'QTR Raw'!K79</f>
        <v>0.46</v>
      </c>
      <c r="AR156" s="22">
        <f t="shared" si="1430"/>
        <v>0.46</v>
      </c>
      <c r="AS156" s="22">
        <f>+'QTR Raw'!M79</f>
        <v>0</v>
      </c>
      <c r="AT156" s="22">
        <f t="shared" si="1431"/>
        <v>0</v>
      </c>
      <c r="AU156" s="22">
        <f>+'QTR Raw'!O79</f>
        <v>0</v>
      </c>
      <c r="AV156" s="22">
        <f t="shared" si="1432"/>
        <v>0</v>
      </c>
      <c r="AW156" s="22">
        <f>+'QTR Raw'!Q79</f>
        <v>0</v>
      </c>
      <c r="AX156" s="22">
        <f t="shared" si="1433"/>
        <v>0</v>
      </c>
      <c r="AY156" s="22">
        <f>+'QTR Raw'!S79</f>
        <v>0</v>
      </c>
      <c r="AZ156" s="22">
        <f t="shared" si="1434"/>
        <v>0</v>
      </c>
      <c r="BA156" s="22">
        <f>+'QTR Raw'!U79</f>
        <v>42.67</v>
      </c>
      <c r="BB156" s="22">
        <f t="shared" si="1435"/>
        <v>42.67</v>
      </c>
      <c r="BC156" s="22">
        <f>+'QTR Raw'!W79</f>
        <v>45.68</v>
      </c>
      <c r="BD156" s="22">
        <f t="shared" si="1436"/>
        <v>45.68</v>
      </c>
      <c r="BE156" s="22">
        <f>+'QTR Raw'!Y79</f>
        <v>48.89</v>
      </c>
      <c r="BF156" s="22">
        <f t="shared" si="1437"/>
        <v>48.89</v>
      </c>
      <c r="BG156" s="22">
        <f>+'QTR Raw'!AA79</f>
        <v>48.63</v>
      </c>
      <c r="BH156" s="22">
        <f t="shared" si="1438"/>
        <v>48.63</v>
      </c>
      <c r="BI156" s="22">
        <f>+'QTR Raw'!AC79</f>
        <v>170.05</v>
      </c>
      <c r="BJ156" s="22">
        <f t="shared" si="1439"/>
        <v>170.05</v>
      </c>
      <c r="BK156" s="22">
        <f>+'QTR Raw'!AE79</f>
        <v>161.91999999999999</v>
      </c>
      <c r="BL156" s="22">
        <f t="shared" si="1440"/>
        <v>161.91999999999999</v>
      </c>
      <c r="BM156" s="22">
        <f>+'QTR Raw'!AG79</f>
        <v>286.67</v>
      </c>
      <c r="BN156" s="22">
        <f t="shared" si="1441"/>
        <v>286.67</v>
      </c>
      <c r="BO156" s="22">
        <f>+'QTR Raw'!AI79</f>
        <v>227.83</v>
      </c>
      <c r="BP156" s="22">
        <f t="shared" si="1442"/>
        <v>227.83</v>
      </c>
      <c r="BQ156" s="22">
        <f>+'QTR Raw'!AK79</f>
        <v>304.61</v>
      </c>
      <c r="BR156" s="22">
        <f t="shared" si="1443"/>
        <v>304.61</v>
      </c>
      <c r="BS156" s="22">
        <f>+'QTR Raw'!AM79</f>
        <v>216.65</v>
      </c>
      <c r="BT156" s="22">
        <f t="shared" si="1444"/>
        <v>216.65</v>
      </c>
      <c r="BU156" s="22">
        <f>+'QTR Raw'!AO79</f>
        <v>354.02</v>
      </c>
      <c r="BV156" s="22">
        <f t="shared" si="1445"/>
        <v>354.02</v>
      </c>
      <c r="BW156" s="22">
        <f>+'QTR Raw'!AQ79</f>
        <v>325.48</v>
      </c>
      <c r="BX156" s="22">
        <f t="shared" si="1446"/>
        <v>325.48</v>
      </c>
      <c r="BY156" s="22">
        <f>+'QTR Raw'!AS79</f>
        <v>466.01</v>
      </c>
      <c r="BZ156" s="22">
        <f t="shared" si="1447"/>
        <v>466.01</v>
      </c>
      <c r="CA156" s="22">
        <f>+'QTR Raw'!AU79</f>
        <v>334.82</v>
      </c>
      <c r="CB156" s="22">
        <f t="shared" si="1448"/>
        <v>334.82</v>
      </c>
      <c r="CC156" s="22">
        <f>+'QTR Raw'!AW79</f>
        <v>298.63</v>
      </c>
      <c r="CD156" s="22">
        <f t="shared" si="1449"/>
        <v>298.63</v>
      </c>
      <c r="CE156" s="22">
        <f>+'QTR Raw'!AY79</f>
        <v>307.66000000000003</v>
      </c>
      <c r="CF156" s="22">
        <f t="shared" si="1450"/>
        <v>307.66000000000003</v>
      </c>
      <c r="CG156" s="22">
        <f t="shared" si="1451"/>
        <v>29.25</v>
      </c>
      <c r="CH156" s="22">
        <f t="shared" si="1450"/>
        <v>29.25</v>
      </c>
      <c r="CI156" s="22">
        <f>+'QTR Raw'!BC79</f>
        <v>266</v>
      </c>
      <c r="CJ156" s="22">
        <f t="shared" si="1450"/>
        <v>266</v>
      </c>
      <c r="CK156" s="22">
        <f>+'QTR Raw'!BE79</f>
        <v>282</v>
      </c>
      <c r="CL156" s="22">
        <f t="shared" si="1450"/>
        <v>282</v>
      </c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D156" s="122"/>
      <c r="DE156" s="22">
        <v>282</v>
      </c>
    </row>
    <row r="157" spans="1:109" s="22" customFormat="1" outlineLevel="1" x14ac:dyDescent="0.2">
      <c r="A157" s="22" t="s">
        <v>61</v>
      </c>
      <c r="B157" s="22">
        <f>'Annual Raw'!C76</f>
        <v>0</v>
      </c>
      <c r="C157" s="22">
        <f>'Annual Raw'!D76</f>
        <v>0</v>
      </c>
      <c r="D157" s="22">
        <f>'Annual Raw'!E76</f>
        <v>53.51</v>
      </c>
      <c r="E157" s="22">
        <f>'Annual Raw'!F76</f>
        <v>48.23</v>
      </c>
      <c r="F157" s="22">
        <f>'Annual Raw'!G76</f>
        <v>59.22</v>
      </c>
      <c r="G157" s="22">
        <f>'Annual Raw'!H76</f>
        <v>69.52</v>
      </c>
      <c r="H157" s="22">
        <f>'Annual Raw'!I76</f>
        <v>91.87</v>
      </c>
      <c r="I157" s="22">
        <f>'Annual Raw'!J76</f>
        <v>98.28</v>
      </c>
      <c r="J157" s="22">
        <f>'Annual Raw'!K76</f>
        <v>159.29</v>
      </c>
      <c r="K157" s="22">
        <f>'Annual Raw'!L76</f>
        <v>100.73</v>
      </c>
      <c r="L157" s="22">
        <f>'Annual Raw'!M76</f>
        <v>127.02</v>
      </c>
      <c r="M157" s="22">
        <f>'Annual Raw'!N76</f>
        <v>162.25</v>
      </c>
      <c r="N157" s="22">
        <f>'Annual Raw'!O76</f>
        <v>142.21</v>
      </c>
      <c r="O157" s="22">
        <f>'Annual Raw'!P76</f>
        <v>170.58</v>
      </c>
      <c r="P157" s="22">
        <f>'Annual Raw'!Q76</f>
        <v>190.89</v>
      </c>
      <c r="Q157" s="22">
        <f>'Annual Raw'!R76</f>
        <v>220.25</v>
      </c>
      <c r="R157" s="22">
        <f>'Annual Raw'!S76</f>
        <v>273.99</v>
      </c>
      <c r="S157" s="22">
        <f>'Annual Raw'!T76</f>
        <v>600.64</v>
      </c>
      <c r="T157" s="22">
        <f>'Annual Raw'!U76</f>
        <v>910.07</v>
      </c>
      <c r="U157" s="22">
        <f>'Annual Raw'!V76</f>
        <v>720.49</v>
      </c>
      <c r="V157" s="22">
        <f>'Annual Raw'!W76</f>
        <v>713.63</v>
      </c>
      <c r="W157" s="22">
        <f>'Annual Raw'!X76</f>
        <v>1086.49</v>
      </c>
      <c r="X157" s="22">
        <f>'Annual Raw'!Y76</f>
        <v>1243.3699999999999</v>
      </c>
      <c r="Y157" s="22">
        <f>'Annual Raw'!Z76</f>
        <v>1315.61</v>
      </c>
      <c r="Z157" s="22">
        <f>'Annual Raw'!AA76</f>
        <v>1469.62</v>
      </c>
      <c r="AA157" s="22">
        <f>'Annual Raw'!AB76</f>
        <v>1771.75</v>
      </c>
      <c r="AB157" s="23">
        <f t="shared" si="1422"/>
        <v>2171.4628512181589</v>
      </c>
      <c r="AC157" s="23">
        <f t="shared" si="1423"/>
        <v>2538.7935338478806</v>
      </c>
      <c r="AD157" s="23">
        <f t="shared" si="1424"/>
        <v>2853.9576661180076</v>
      </c>
      <c r="AE157" s="23">
        <f t="shared" si="1425"/>
        <v>3227.414718340091</v>
      </c>
      <c r="AI157" s="22">
        <f>+'QTR Raw'!C81</f>
        <v>158.85</v>
      </c>
      <c r="AJ157" s="22">
        <f>+AJ192*AJ23/90</f>
        <v>148.8414303377881</v>
      </c>
      <c r="AK157" s="22">
        <f>+'QTR Raw'!E81</f>
        <v>142.21</v>
      </c>
      <c r="AL157" s="22">
        <f>+AL192*AL23/90</f>
        <v>136.26546468080201</v>
      </c>
      <c r="AM157" s="22">
        <f>+'QTR Raw'!G81</f>
        <v>176.99</v>
      </c>
      <c r="AN157" s="22">
        <f>+AN192*AN23/90</f>
        <v>215.79426868905745</v>
      </c>
      <c r="AO157" s="22">
        <f>+'QTR Raw'!I81</f>
        <v>170.58</v>
      </c>
      <c r="AP157" s="22">
        <f>+AP192*AP23/90</f>
        <v>173.54679700393552</v>
      </c>
      <c r="AQ157" s="22">
        <f>+'QTR Raw'!K81</f>
        <v>185.8</v>
      </c>
      <c r="AR157" s="22">
        <f>+AR192*AR23/90</f>
        <v>194.53108711744136</v>
      </c>
      <c r="AS157" s="22">
        <f>+'QTR Raw'!M81</f>
        <v>190.89</v>
      </c>
      <c r="AT157" s="22">
        <f>+AT192*AT23/90</f>
        <v>181.79661373690337</v>
      </c>
      <c r="AU157" s="22">
        <f>+'QTR Raw'!O81</f>
        <v>192.97</v>
      </c>
      <c r="AV157" s="22">
        <f>+AV192*AV23/90</f>
        <v>195.7342421086735</v>
      </c>
      <c r="AW157" s="22">
        <f>+'QTR Raw'!Q81</f>
        <v>220.25</v>
      </c>
      <c r="AX157" s="22">
        <f>+AX192*AX23/90</f>
        <v>204.37077490111474</v>
      </c>
      <c r="AY157" s="22">
        <f>+'QTR Raw'!S81</f>
        <v>249.42</v>
      </c>
      <c r="AZ157" s="22">
        <f>+AZ192*AZ23/90</f>
        <v>242.77373077160684</v>
      </c>
      <c r="BA157" s="22">
        <f>+'QTR Raw'!U81</f>
        <v>273.99</v>
      </c>
      <c r="BB157" s="22">
        <f>+BB192*BB23/90</f>
        <v>252.91215898174835</v>
      </c>
      <c r="BC157" s="22">
        <f>+'QTR Raw'!W81</f>
        <v>286.23</v>
      </c>
      <c r="BD157" s="22">
        <f>+BD192*BD23/90</f>
        <v>580.16830362370035</v>
      </c>
      <c r="BE157" s="22">
        <f>+'QTR Raw'!Y81</f>
        <v>273.62</v>
      </c>
      <c r="BF157" s="22">
        <f>+BF192*BF23/90</f>
        <v>290.07452118863813</v>
      </c>
      <c r="BG157" s="22">
        <f>+'QTR Raw'!AA81</f>
        <v>411.91</v>
      </c>
      <c r="BH157" s="22">
        <f>+BH192*BH23/90</f>
        <v>446.0642447239743</v>
      </c>
      <c r="BI157" s="22">
        <f>+'QTR Raw'!AC81</f>
        <v>910.07</v>
      </c>
      <c r="BJ157" s="22">
        <f>+BJ192*BJ23/90</f>
        <v>899.32980999586948</v>
      </c>
      <c r="BK157" s="22">
        <f>+'QTR Raw'!AE81</f>
        <v>962.46</v>
      </c>
      <c r="BL157" s="22">
        <f>+BL192*BL23/90</f>
        <v>892.1910255216261</v>
      </c>
      <c r="BM157" s="22">
        <f>+'QTR Raw'!AG81</f>
        <v>720.49</v>
      </c>
      <c r="BN157" s="22">
        <f>+BN192*BN23/90</f>
        <v>645.4637226354838</v>
      </c>
      <c r="BO157" s="22">
        <f>+'QTR Raw'!AI81</f>
        <v>881.22</v>
      </c>
      <c r="BP157" s="22">
        <f>+BP192*BP23/90</f>
        <v>2250.1348728581847</v>
      </c>
      <c r="BQ157" s="22">
        <f>+'QTR Raw'!AK81</f>
        <v>713.63</v>
      </c>
      <c r="BR157" s="22">
        <f>+BR192*BR23/90</f>
        <v>737.74877458253843</v>
      </c>
      <c r="BS157" s="22">
        <f>+'QTR Raw'!AM81</f>
        <v>1023.23</v>
      </c>
      <c r="BT157" s="22">
        <f>+BT192*BT23/90</f>
        <v>1234.6085079771917</v>
      </c>
      <c r="BU157" s="22">
        <f>+'QTR Raw'!AO81</f>
        <v>1086.49</v>
      </c>
      <c r="BV157" s="22">
        <f>+BV192*BV23/90</f>
        <v>1118.0813932984074</v>
      </c>
      <c r="BW157" s="22">
        <f>+'QTR Raw'!AQ81</f>
        <v>1260.7</v>
      </c>
      <c r="BX157" s="22">
        <f>+BX192*BX23/90</f>
        <v>1266.1787029042275</v>
      </c>
      <c r="BY157" s="22">
        <f>+'QTR Raw'!AS81</f>
        <v>1243.3699999999999</v>
      </c>
      <c r="BZ157" s="22">
        <f>+BZ192*BZ23/90</f>
        <v>1173.3743623547766</v>
      </c>
      <c r="CA157" s="22">
        <f>+'QTR Raw'!AU81</f>
        <v>1413.99</v>
      </c>
      <c r="CB157" s="22">
        <f>+CB192*CB23/90</f>
        <v>1432.8984462643648</v>
      </c>
      <c r="CC157" s="22">
        <f>+'QTR Raw'!AW81</f>
        <v>1315.61</v>
      </c>
      <c r="CD157" s="22">
        <f>+CD192*CD23/90</f>
        <v>1314.6134055106559</v>
      </c>
      <c r="CE157" s="22">
        <f>+'QTR Raw'!AY81</f>
        <v>1643.75</v>
      </c>
      <c r="CF157" s="22">
        <f>+CF192*CF23/90</f>
        <v>1651.1696723529076</v>
      </c>
      <c r="CG157" s="22">
        <f t="shared" si="1451"/>
        <v>1469.62</v>
      </c>
      <c r="CH157" s="22">
        <f>+CH192*CH23/90</f>
        <v>1496.0049924627583</v>
      </c>
      <c r="CI157" s="22">
        <f>+'QTR Raw'!BC81</f>
        <v>1603.43</v>
      </c>
      <c r="CJ157" s="22">
        <f>+CJ192*CJ23/90</f>
        <v>1659.3587703339724</v>
      </c>
      <c r="CK157" s="22">
        <f>+'QTR Raw'!BE81</f>
        <v>1771.75</v>
      </c>
      <c r="CL157" s="22">
        <f>+CL192*CL23/90</f>
        <v>1762.2674351246924</v>
      </c>
      <c r="CM157" s="23">
        <f t="shared" ref="CM157:DA157" si="1452">+CM192*CM23/90</f>
        <v>1827.4951754883361</v>
      </c>
      <c r="CN157" s="23">
        <f t="shared" si="1452"/>
        <v>1922.687329672744</v>
      </c>
      <c r="CO157" s="23">
        <f t="shared" si="1452"/>
        <v>2171.4628512181589</v>
      </c>
      <c r="CP157" s="23">
        <f t="shared" si="1452"/>
        <v>2058.5434265453828</v>
      </c>
      <c r="CQ157" s="23">
        <f t="shared" si="1452"/>
        <v>2127.2317477454703</v>
      </c>
      <c r="CR157" s="23">
        <f t="shared" si="1452"/>
        <v>2251.1381587649989</v>
      </c>
      <c r="CS157" s="23">
        <f t="shared" si="1452"/>
        <v>2538.7935338478806</v>
      </c>
      <c r="CT157" s="23">
        <f t="shared" si="1452"/>
        <v>2327.1215939182634</v>
      </c>
      <c r="CU157" s="23">
        <f t="shared" si="1452"/>
        <v>2390.91297427785</v>
      </c>
      <c r="CV157" s="23">
        <f t="shared" si="1452"/>
        <v>2538.8173268872938</v>
      </c>
      <c r="CW157" s="23">
        <f t="shared" si="1452"/>
        <v>2853.9576661180076</v>
      </c>
      <c r="CX157" s="23">
        <f t="shared" si="1452"/>
        <v>2633.4749410744935</v>
      </c>
      <c r="CY157" s="23">
        <f t="shared" si="1452"/>
        <v>2693.3856229023822</v>
      </c>
      <c r="CZ157" s="23">
        <f t="shared" si="1452"/>
        <v>2872.7233398618814</v>
      </c>
      <c r="DA157" s="23">
        <f t="shared" si="1452"/>
        <v>3227.414718340091</v>
      </c>
      <c r="DD157" s="122"/>
      <c r="DE157" s="22">
        <v>1771.75</v>
      </c>
    </row>
    <row r="158" spans="1:109" s="22" customFormat="1" outlineLevel="1" x14ac:dyDescent="0.2">
      <c r="A158" s="22" t="s">
        <v>62</v>
      </c>
      <c r="B158" s="22">
        <f>'Annual Raw'!C77</f>
        <v>0</v>
      </c>
      <c r="C158" s="22">
        <f>'Annual Raw'!D77</f>
        <v>0</v>
      </c>
      <c r="D158" s="22">
        <f>'Annual Raw'!E77</f>
        <v>56.65</v>
      </c>
      <c r="E158" s="22">
        <f>'Annual Raw'!F77</f>
        <v>52.52</v>
      </c>
      <c r="F158" s="22">
        <f>'Annual Raw'!G77</f>
        <v>49.66</v>
      </c>
      <c r="G158" s="22">
        <f>'Annual Raw'!H77</f>
        <v>65.599999999999994</v>
      </c>
      <c r="H158" s="22">
        <f>'Annual Raw'!I77</f>
        <v>85.82</v>
      </c>
      <c r="I158" s="22">
        <f>'Annual Raw'!J77</f>
        <v>104.67</v>
      </c>
      <c r="J158" s="22">
        <f>'Annual Raw'!K77</f>
        <v>114.5</v>
      </c>
      <c r="K158" s="22">
        <f>'Annual Raw'!L77</f>
        <v>108.91</v>
      </c>
      <c r="L158" s="22">
        <f>'Annual Raw'!M77</f>
        <v>131.44999999999999</v>
      </c>
      <c r="M158" s="22">
        <f>'Annual Raw'!N77</f>
        <v>214.3</v>
      </c>
      <c r="N158" s="22">
        <f>'Annual Raw'!O77</f>
        <v>254.71</v>
      </c>
      <c r="O158" s="22">
        <f>'Annual Raw'!P77</f>
        <v>290.60000000000002</v>
      </c>
      <c r="P158" s="22">
        <f>'Annual Raw'!Q77</f>
        <v>290.05</v>
      </c>
      <c r="Q158" s="22">
        <f>'Annual Raw'!R77</f>
        <v>336.44</v>
      </c>
      <c r="R158" s="22">
        <f>'Annual Raw'!S77</f>
        <v>326.27999999999997</v>
      </c>
      <c r="S158" s="22">
        <f>'Annual Raw'!T77</f>
        <v>640.17999999999995</v>
      </c>
      <c r="T158" s="22">
        <f>'Annual Raw'!U77</f>
        <v>751.33</v>
      </c>
      <c r="U158" s="22">
        <f>'Annual Raw'!V77</f>
        <v>631.94000000000005</v>
      </c>
      <c r="V158" s="22">
        <f>'Annual Raw'!W77</f>
        <v>691.72</v>
      </c>
      <c r="W158" s="22">
        <f>'Annual Raw'!X77</f>
        <v>846.27</v>
      </c>
      <c r="X158" s="22">
        <f>'Annual Raw'!Y77</f>
        <v>1032.4100000000001</v>
      </c>
      <c r="Y158" s="22">
        <f>'Annual Raw'!Z77</f>
        <v>1055.5899999999999</v>
      </c>
      <c r="Z158" s="22">
        <f>'Annual Raw'!AA77</f>
        <v>1292.92</v>
      </c>
      <c r="AA158" s="22">
        <f>'Annual Raw'!AB77</f>
        <v>1657.27</v>
      </c>
      <c r="AB158" s="23">
        <f t="shared" si="1422"/>
        <v>2027.6538666221008</v>
      </c>
      <c r="AC158" s="23">
        <f t="shared" si="1423"/>
        <v>2370.6574222874715</v>
      </c>
      <c r="AD158" s="23">
        <f t="shared" si="1424"/>
        <v>2664.9492500567694</v>
      </c>
      <c r="AE158" s="23">
        <f t="shared" si="1425"/>
        <v>3013.6734456056811</v>
      </c>
      <c r="AI158" s="22">
        <f>+'QTR Raw'!C82</f>
        <v>271.08999999999997</v>
      </c>
      <c r="AJ158" s="22">
        <f>+AJ193*AJ23/90</f>
        <v>254.00958986635794</v>
      </c>
      <c r="AK158" s="22">
        <f>+'QTR Raw'!E82</f>
        <v>254.71</v>
      </c>
      <c r="AL158" s="22">
        <f>+AL193*AL23/90</f>
        <v>244.06284022816314</v>
      </c>
      <c r="AM158" s="22">
        <f>+'QTR Raw'!G82</f>
        <v>239.52</v>
      </c>
      <c r="AN158" s="22">
        <f>+AN193*AN23/90</f>
        <v>292.03369250467847</v>
      </c>
      <c r="AO158" s="22">
        <f>+'QTR Raw'!I82</f>
        <v>290.60000000000002</v>
      </c>
      <c r="AP158" s="22">
        <f>+AP193*AP23/90</f>
        <v>295.65423384537263</v>
      </c>
      <c r="AQ158" s="22">
        <f>+'QTR Raw'!K82</f>
        <v>293.2</v>
      </c>
      <c r="AR158" s="22">
        <f>+AR193*AR23/90</f>
        <v>306.97801260943913</v>
      </c>
      <c r="AS158" s="22">
        <f>+'QTR Raw'!M82</f>
        <v>290.05</v>
      </c>
      <c r="AT158" s="22">
        <f>+AT193*AT23/90</f>
        <v>276.23294994179281</v>
      </c>
      <c r="AU158" s="22">
        <f>+'QTR Raw'!O82</f>
        <v>331.63</v>
      </c>
      <c r="AV158" s="22">
        <f>+AV193*AV23/90</f>
        <v>336.38050842358604</v>
      </c>
      <c r="AW158" s="22">
        <f>+'QTR Raw'!Q82</f>
        <v>336.44</v>
      </c>
      <c r="AX158" s="22">
        <f>+AX193*AX23/90</f>
        <v>312.18389787846093</v>
      </c>
      <c r="AY158" s="22">
        <f>+'QTR Raw'!S82</f>
        <v>347</v>
      </c>
      <c r="AZ158" s="22">
        <f>+AZ193*AZ23/90</f>
        <v>337.75352649245281</v>
      </c>
      <c r="BA158" s="22">
        <f>+'QTR Raw'!U82</f>
        <v>326.27999999999997</v>
      </c>
      <c r="BB158" s="22">
        <f>+BB193*BB23/90</f>
        <v>301.17952929875116</v>
      </c>
      <c r="BC158" s="22">
        <f>+'QTR Raw'!W82</f>
        <v>303.76</v>
      </c>
      <c r="BD158" s="22">
        <f>+BD193*BD23/90</f>
        <v>615.70039446855753</v>
      </c>
      <c r="BE158" s="22">
        <f>+'QTR Raw'!Y82</f>
        <v>319.89</v>
      </c>
      <c r="BF158" s="22">
        <f>+BF193*BF23/90</f>
        <v>339.12703231866612</v>
      </c>
      <c r="BG158" s="22">
        <f>+'QTR Raw'!AA82</f>
        <v>340.81</v>
      </c>
      <c r="BH158" s="22">
        <f>+BH193*BH23/90</f>
        <v>369.06886272335629</v>
      </c>
      <c r="BI158" s="22">
        <f>+'QTR Raw'!AC82</f>
        <v>751.33</v>
      </c>
      <c r="BJ158" s="22">
        <f>+BJ193*BJ23/90</f>
        <v>742.4631799138491</v>
      </c>
      <c r="BK158" s="22">
        <f>+'QTR Raw'!AE82</f>
        <v>782.2</v>
      </c>
      <c r="BL158" s="22">
        <f>+BL193*BL23/90</f>
        <v>725.09176502193975</v>
      </c>
      <c r="BM158" s="22">
        <f>+'QTR Raw'!AG82</f>
        <v>631.94000000000005</v>
      </c>
      <c r="BN158" s="22">
        <f>+BN193*BN23/90</f>
        <v>566.13463737493612</v>
      </c>
      <c r="BO158" s="22">
        <f>+'QTR Raw'!AI82</f>
        <v>483.16</v>
      </c>
      <c r="BP158" s="22">
        <f>+BP193*BP23/90</f>
        <v>1233.715945133066</v>
      </c>
      <c r="BQ158" s="22">
        <f>+'QTR Raw'!AK82</f>
        <v>691.72</v>
      </c>
      <c r="BR158" s="22">
        <f>+BR193*BR23/90</f>
        <v>715.09827551284775</v>
      </c>
      <c r="BS158" s="22">
        <f>+'QTR Raw'!AM82</f>
        <v>772.67</v>
      </c>
      <c r="BT158" s="22">
        <f>+BT193*BT23/90</f>
        <v>932.28790776143842</v>
      </c>
      <c r="BU158" s="22">
        <f>+'QTR Raw'!AO82</f>
        <v>846.27</v>
      </c>
      <c r="BV158" s="22">
        <f>+BV193*BV23/90</f>
        <v>870.87662169614373</v>
      </c>
      <c r="BW158" s="22">
        <f>+'QTR Raw'!AQ82</f>
        <v>1104.79</v>
      </c>
      <c r="BX158" s="22">
        <f>+BX193*BX23/90</f>
        <v>1109.5911550579531</v>
      </c>
      <c r="BY158" s="22">
        <f>+'QTR Raw'!AS82</f>
        <v>1032.4100000000001</v>
      </c>
      <c r="BZ158" s="22">
        <f>+BZ193*BZ23/90</f>
        <v>974.29037650795431</v>
      </c>
      <c r="CA158" s="22">
        <f>+'QTR Raw'!AU82</f>
        <v>1066.2</v>
      </c>
      <c r="CB158" s="22">
        <f>+CB193*CB23/90</f>
        <v>1080.4576576970596</v>
      </c>
      <c r="CC158" s="22">
        <f>+'QTR Raw'!AW82</f>
        <v>1055.5899999999999</v>
      </c>
      <c r="CD158" s="22">
        <f>+CD193*CD23/90</f>
        <v>1054.79037459657</v>
      </c>
      <c r="CE158" s="22">
        <f>+'QTR Raw'!AY82</f>
        <v>1352.25</v>
      </c>
      <c r="CF158" s="22">
        <f>+CF193*CF23/90</f>
        <v>1358.3538795067493</v>
      </c>
      <c r="CG158" s="22">
        <f t="shared" si="1451"/>
        <v>1292.92</v>
      </c>
      <c r="CH158" s="22">
        <f>+CH193*CH23/90</f>
        <v>1316.1325885976983</v>
      </c>
      <c r="CI158" s="22">
        <f>+'QTR Raw'!BC82</f>
        <v>1497.24</v>
      </c>
      <c r="CJ158" s="22">
        <f>+CJ193*CJ23/90</f>
        <v>1549.4647881696339</v>
      </c>
      <c r="CK158" s="22">
        <f>+'QTR Raw'!BE82</f>
        <v>1657.27</v>
      </c>
      <c r="CL158" s="22">
        <f>+CL193*CL23/90</f>
        <v>1645.5581438329668</v>
      </c>
      <c r="CM158" s="23">
        <f t="shared" ref="CM158:DA158" si="1453">+CM193*CM23/90</f>
        <v>1706.4660612238488</v>
      </c>
      <c r="CN158" s="23">
        <f t="shared" si="1453"/>
        <v>1795.3539459029821</v>
      </c>
      <c r="CO158" s="23">
        <f t="shared" si="1453"/>
        <v>2027.6538666221008</v>
      </c>
      <c r="CP158" s="23">
        <f t="shared" si="1453"/>
        <v>1922.2127314324969</v>
      </c>
      <c r="CQ158" s="23">
        <f t="shared" si="1453"/>
        <v>1986.3520465467325</v>
      </c>
      <c r="CR158" s="23">
        <f t="shared" si="1453"/>
        <v>2102.0525353955622</v>
      </c>
      <c r="CS158" s="23">
        <f t="shared" si="1453"/>
        <v>2370.6574222874715</v>
      </c>
      <c r="CT158" s="23">
        <f t="shared" si="1453"/>
        <v>2173.0038325827632</v>
      </c>
      <c r="CU158" s="23">
        <f t="shared" si="1453"/>
        <v>2232.5705154623324</v>
      </c>
      <c r="CV158" s="23">
        <f t="shared" si="1453"/>
        <v>2370.6796395905844</v>
      </c>
      <c r="CW158" s="23">
        <f t="shared" si="1453"/>
        <v>2664.9492500567694</v>
      </c>
      <c r="CX158" s="23">
        <f t="shared" si="1453"/>
        <v>2459.0683851333538</v>
      </c>
      <c r="CY158" s="23">
        <f t="shared" si="1453"/>
        <v>2515.0113756349588</v>
      </c>
      <c r="CZ158" s="23">
        <f t="shared" si="1453"/>
        <v>2682.4721337225837</v>
      </c>
      <c r="DA158" s="23">
        <f t="shared" si="1453"/>
        <v>3013.6734456056811</v>
      </c>
      <c r="DD158" s="122"/>
      <c r="DE158" s="22">
        <v>1657.27</v>
      </c>
    </row>
    <row r="159" spans="1:109" s="22" customFormat="1" outlineLevel="1" x14ac:dyDescent="0.2">
      <c r="A159" s="22" t="s">
        <v>63</v>
      </c>
      <c r="B159" s="22">
        <f>'Annual Raw'!C79</f>
        <v>0</v>
      </c>
      <c r="C159" s="22">
        <f>'Annual Raw'!D79</f>
        <v>0</v>
      </c>
      <c r="D159" s="22">
        <f>'Annual Raw'!E79</f>
        <v>0</v>
      </c>
      <c r="E159" s="22">
        <f>'Annual Raw'!F79</f>
        <v>0</v>
      </c>
      <c r="F159" s="22">
        <f>'Annual Raw'!G79</f>
        <v>0</v>
      </c>
      <c r="G159" s="22">
        <f>'Annual Raw'!H79</f>
        <v>0.31</v>
      </c>
      <c r="H159" s="22">
        <f>'Annual Raw'!I79</f>
        <v>0.21</v>
      </c>
      <c r="I159" s="22">
        <f>'Annual Raw'!J79</f>
        <v>1.31</v>
      </c>
      <c r="J159" s="22">
        <f>'Annual Raw'!K79</f>
        <v>1.0900000000000001</v>
      </c>
      <c r="K159" s="22">
        <f>'Annual Raw'!L79</f>
        <v>1.31</v>
      </c>
      <c r="L159" s="22">
        <f>'Annual Raw'!M79</f>
        <v>5.32</v>
      </c>
      <c r="M159" s="22">
        <f>'Annual Raw'!N79</f>
        <v>9.73</v>
      </c>
      <c r="N159" s="22">
        <f>'Annual Raw'!O79</f>
        <v>4.21</v>
      </c>
      <c r="O159" s="22">
        <f>'Annual Raw'!P79</f>
        <v>6.09</v>
      </c>
      <c r="P159" s="22">
        <f>'Annual Raw'!Q79</f>
        <v>9.51</v>
      </c>
      <c r="Q159" s="22">
        <f>'Annual Raw'!R79</f>
        <v>18.04</v>
      </c>
      <c r="R159" s="22">
        <f>'Annual Raw'!S79</f>
        <v>22.02</v>
      </c>
      <c r="S159" s="22">
        <f>'Annual Raw'!T79</f>
        <v>52.29</v>
      </c>
      <c r="T159" s="22">
        <f>'Annual Raw'!U79</f>
        <v>47.3</v>
      </c>
      <c r="U159" s="22">
        <f>'Annual Raw'!V79</f>
        <v>40.869999999999997</v>
      </c>
      <c r="V159" s="22">
        <f>'Annual Raw'!W79</f>
        <v>30.39</v>
      </c>
      <c r="W159" s="22">
        <f>'Annual Raw'!X79</f>
        <v>26.18</v>
      </c>
      <c r="X159" s="22">
        <f>'Annual Raw'!Y79</f>
        <v>37.61</v>
      </c>
      <c r="Y159" s="22">
        <f>'Annual Raw'!Z79</f>
        <v>43.45</v>
      </c>
      <c r="Z159" s="22">
        <f>'Annual Raw'!AA79</f>
        <v>59.74</v>
      </c>
      <c r="AA159" s="22">
        <f>'Annual Raw'!AB79</f>
        <v>55.79</v>
      </c>
      <c r="AB159" s="23">
        <f t="shared" si="1422"/>
        <v>537.28954278783112</v>
      </c>
      <c r="AC159" s="23">
        <f t="shared" si="1423"/>
        <v>628.17893304903123</v>
      </c>
      <c r="AD159" s="23">
        <f t="shared" si="1424"/>
        <v>706.16064590013798</v>
      </c>
      <c r="AE159" s="23">
        <f t="shared" si="1425"/>
        <v>798.56589645587746</v>
      </c>
      <c r="AI159" s="22">
        <f>+'QTR Raw'!C84</f>
        <v>3.79</v>
      </c>
      <c r="AJ159" s="22">
        <f t="shared" ref="AJ159:AJ160" si="1454">+AI159</f>
        <v>3.79</v>
      </c>
      <c r="AK159" s="22">
        <f>+'QTR Raw'!E84</f>
        <v>3.43</v>
      </c>
      <c r="AL159" s="22">
        <f t="shared" ref="AL159:AL160" si="1455">+AK159</f>
        <v>3.43</v>
      </c>
      <c r="AM159" s="22">
        <f>+'QTR Raw'!G84</f>
        <v>6.36</v>
      </c>
      <c r="AN159" s="22">
        <f t="shared" ref="AN159:AN160" si="1456">+AM159</f>
        <v>6.36</v>
      </c>
      <c r="AO159" s="22">
        <f>+'QTR Raw'!I84</f>
        <v>6.08</v>
      </c>
      <c r="AP159" s="22">
        <f t="shared" ref="AP159:AP160" si="1457">+AO159</f>
        <v>6.08</v>
      </c>
      <c r="AQ159" s="22">
        <f>+'QTR Raw'!K84</f>
        <v>5.75</v>
      </c>
      <c r="AR159" s="22">
        <f t="shared" ref="AR159:AR160" si="1458">+AQ159</f>
        <v>5.75</v>
      </c>
      <c r="AS159" s="22">
        <f>+'QTR Raw'!M84</f>
        <v>8.9600000000000009</v>
      </c>
      <c r="AT159" s="22">
        <f t="shared" ref="AT159:AT160" si="1459">+AS159</f>
        <v>8.9600000000000009</v>
      </c>
      <c r="AU159" s="22">
        <f>+'QTR Raw'!O84</f>
        <v>15.64</v>
      </c>
      <c r="AV159" s="22">
        <f t="shared" ref="AV159:AV160" si="1460">+AU159</f>
        <v>15.64</v>
      </c>
      <c r="AW159" s="22">
        <f>+'QTR Raw'!Q84</f>
        <v>17.05</v>
      </c>
      <c r="AX159" s="22">
        <f t="shared" ref="AX159:AX160" si="1461">+AW159</f>
        <v>17.05</v>
      </c>
      <c r="AY159" s="22">
        <f>+'QTR Raw'!S84</f>
        <v>27.07</v>
      </c>
      <c r="AZ159" s="22">
        <f t="shared" ref="AZ159:AZ160" si="1462">+AY159</f>
        <v>27.07</v>
      </c>
      <c r="BA159" s="22">
        <f>+'QTR Raw'!U84</f>
        <v>58.56</v>
      </c>
      <c r="BB159" s="22">
        <f t="shared" ref="BB159:BB160" si="1463">+BA159</f>
        <v>58.56</v>
      </c>
      <c r="BC159" s="22">
        <f>+'QTR Raw'!W84</f>
        <v>67.36</v>
      </c>
      <c r="BD159" s="22">
        <f t="shared" ref="BD159:BD160" si="1464">+BC159</f>
        <v>67.36</v>
      </c>
      <c r="BE159" s="22">
        <f>+'QTR Raw'!Y84</f>
        <v>85.75</v>
      </c>
      <c r="BF159" s="22">
        <f t="shared" ref="BF159:BF160" si="1465">+BE159</f>
        <v>85.75</v>
      </c>
      <c r="BG159" s="22">
        <f>+'QTR Raw'!AA84</f>
        <v>100.48</v>
      </c>
      <c r="BH159" s="22">
        <f t="shared" ref="BH159:BH160" si="1466">+BG159</f>
        <v>100.48</v>
      </c>
      <c r="BI159" s="22">
        <f>+'QTR Raw'!AC84</f>
        <v>150.41999999999999</v>
      </c>
      <c r="BJ159" s="22">
        <f t="shared" ref="BJ159:BJ160" si="1467">+BI159</f>
        <v>150.41999999999999</v>
      </c>
      <c r="BK159" s="22">
        <f>+'QTR Raw'!AE84</f>
        <v>135.21</v>
      </c>
      <c r="BL159" s="22">
        <f t="shared" ref="BL159:BL160" si="1468">+BK159</f>
        <v>135.21</v>
      </c>
      <c r="BM159" s="22">
        <f>+'QTR Raw'!AG84</f>
        <v>69.06</v>
      </c>
      <c r="BN159" s="22">
        <f t="shared" ref="BN159:BN160" si="1469">+BM159</f>
        <v>69.06</v>
      </c>
      <c r="BO159" s="22">
        <f>+'QTR Raw'!AI84</f>
        <v>120.51</v>
      </c>
      <c r="BP159" s="22">
        <f t="shared" ref="BP159:BP160" si="1470">+BO159</f>
        <v>120.51</v>
      </c>
      <c r="BQ159" s="22">
        <f>+'QTR Raw'!AK84</f>
        <v>69.81</v>
      </c>
      <c r="BR159" s="22">
        <f t="shared" ref="BR159:BR160" si="1471">+BQ159</f>
        <v>69.81</v>
      </c>
      <c r="BS159" s="22">
        <f>+'QTR Raw'!AM84</f>
        <v>97.9</v>
      </c>
      <c r="BT159" s="22">
        <f t="shared" ref="BT159:BT160" si="1472">+BS159</f>
        <v>97.9</v>
      </c>
      <c r="BU159" s="22">
        <f>+'QTR Raw'!AO84</f>
        <v>63.77</v>
      </c>
      <c r="BV159" s="22">
        <f t="shared" ref="BV159:BV160" si="1473">+BU159</f>
        <v>63.77</v>
      </c>
      <c r="BW159" s="22">
        <f>+'QTR Raw'!AQ84</f>
        <v>86.04</v>
      </c>
      <c r="BX159" s="22">
        <f t="shared" ref="BX159:BX160" si="1474">+BW159</f>
        <v>86.04</v>
      </c>
      <c r="BY159" s="22">
        <f>+'QTR Raw'!AS84</f>
        <v>122.97</v>
      </c>
      <c r="BZ159" s="22">
        <f t="shared" ref="BZ159:BZ160" si="1475">+BY159</f>
        <v>122.97</v>
      </c>
      <c r="CA159" s="22">
        <f>+'QTR Raw'!AU84</f>
        <v>176.94</v>
      </c>
      <c r="CB159" s="22">
        <f t="shared" ref="CB159:CB160" si="1476">+CA159</f>
        <v>176.94</v>
      </c>
      <c r="CC159" s="22">
        <f>+'QTR Raw'!AW84</f>
        <v>149.30000000000001</v>
      </c>
      <c r="CD159" s="22">
        <f t="shared" ref="CD159:CD160" si="1477">+CC159</f>
        <v>149.30000000000001</v>
      </c>
      <c r="CE159" s="22">
        <f>+'QTR Raw'!AY84</f>
        <v>128.21</v>
      </c>
      <c r="CF159" s="22">
        <f t="shared" si="1450"/>
        <v>128.21</v>
      </c>
      <c r="CG159" s="22">
        <f t="shared" si="1451"/>
        <v>59.74</v>
      </c>
      <c r="CH159" s="22">
        <f t="shared" si="1450"/>
        <v>59.74</v>
      </c>
      <c r="CI159" s="22">
        <f>+'QTR Raw'!BC84</f>
        <v>130.74</v>
      </c>
      <c r="CJ159" s="22">
        <f t="shared" si="1450"/>
        <v>130.74</v>
      </c>
      <c r="CK159" s="22">
        <f>+'QTR Raw'!BE84</f>
        <v>190.37</v>
      </c>
      <c r="CL159" s="22">
        <f t="shared" si="1450"/>
        <v>190.37</v>
      </c>
      <c r="CM159" s="23">
        <f t="shared" ref="CM159:DA159" si="1478">CM23/90*CM194</f>
        <v>452.18090962701353</v>
      </c>
      <c r="CN159" s="23">
        <f t="shared" si="1478"/>
        <v>475.73450114714353</v>
      </c>
      <c r="CO159" s="23">
        <f t="shared" si="1478"/>
        <v>537.28954278783112</v>
      </c>
      <c r="CP159" s="23">
        <f t="shared" si="1478"/>
        <v>509.34965607953893</v>
      </c>
      <c r="CQ159" s="23">
        <f t="shared" si="1478"/>
        <v>526.34534940754372</v>
      </c>
      <c r="CR159" s="23">
        <f t="shared" si="1478"/>
        <v>557.00376886326535</v>
      </c>
      <c r="CS159" s="23">
        <f t="shared" si="1478"/>
        <v>628.17893304903123</v>
      </c>
      <c r="CT159" s="23">
        <f t="shared" si="1478"/>
        <v>575.80450731939129</v>
      </c>
      <c r="CU159" s="23">
        <f t="shared" si="1478"/>
        <v>591.58854045077999</v>
      </c>
      <c r="CV159" s="23">
        <f t="shared" si="1478"/>
        <v>628.18482020996532</v>
      </c>
      <c r="CW159" s="23">
        <f t="shared" si="1478"/>
        <v>706.16064590013798</v>
      </c>
      <c r="CX159" s="23">
        <f t="shared" si="1478"/>
        <v>651.60614939342179</v>
      </c>
      <c r="CY159" s="23">
        <f t="shared" si="1478"/>
        <v>666.42997326374768</v>
      </c>
      <c r="CZ159" s="23">
        <f t="shared" si="1478"/>
        <v>710.80387535271427</v>
      </c>
      <c r="DA159" s="23">
        <f t="shared" si="1478"/>
        <v>798.56589645587746</v>
      </c>
      <c r="DD159" s="122"/>
      <c r="DE159" s="22">
        <v>190.37</v>
      </c>
    </row>
    <row r="160" spans="1:109" s="22" customFormat="1" outlineLevel="1" x14ac:dyDescent="0.2">
      <c r="A160" s="22" t="s">
        <v>64</v>
      </c>
      <c r="B160" s="22">
        <f>'Annual Raw'!C80</f>
        <v>0</v>
      </c>
      <c r="C160" s="22">
        <f>'Annual Raw'!D80</f>
        <v>0</v>
      </c>
      <c r="D160" s="22">
        <f>'Annual Raw'!E80</f>
        <v>14.04</v>
      </c>
      <c r="E160" s="22">
        <f>'Annual Raw'!F80</f>
        <v>15.87</v>
      </c>
      <c r="F160" s="22">
        <f>'Annual Raw'!G80</f>
        <v>17.95</v>
      </c>
      <c r="G160" s="22">
        <f>'Annual Raw'!H80</f>
        <v>25.68</v>
      </c>
      <c r="H160" s="22">
        <f>'Annual Raw'!I80</f>
        <v>25.37</v>
      </c>
      <c r="I160" s="22">
        <f>'Annual Raw'!J80</f>
        <v>31.73</v>
      </c>
      <c r="J160" s="22">
        <f>'Annual Raw'!K80</f>
        <v>47.01</v>
      </c>
      <c r="K160" s="22">
        <f>'Annual Raw'!L80</f>
        <v>76.92</v>
      </c>
      <c r="L160" s="22">
        <f>'Annual Raw'!M80</f>
        <v>75.84</v>
      </c>
      <c r="M160" s="22">
        <f>'Annual Raw'!N80</f>
        <v>21.77</v>
      </c>
      <c r="N160" s="22">
        <f>'Annual Raw'!O80</f>
        <v>74.760000000000005</v>
      </c>
      <c r="O160" s="22">
        <f>'Annual Raw'!P80</f>
        <v>34.700000000000003</v>
      </c>
      <c r="P160" s="22">
        <f>'Annual Raw'!Q80</f>
        <v>119.64</v>
      </c>
      <c r="Q160" s="22">
        <f>'Annual Raw'!R80</f>
        <v>84.32</v>
      </c>
      <c r="R160" s="22">
        <f>'Annual Raw'!S80</f>
        <v>36.54</v>
      </c>
      <c r="S160" s="22">
        <f>'Annual Raw'!T80</f>
        <v>63.92</v>
      </c>
      <c r="T160" s="22">
        <f>'Annual Raw'!U80</f>
        <v>107.43</v>
      </c>
      <c r="U160" s="22">
        <f>'Annual Raw'!V80</f>
        <v>36.03</v>
      </c>
      <c r="V160" s="22">
        <f>'Annual Raw'!W80</f>
        <v>44.41</v>
      </c>
      <c r="W160" s="22">
        <f>'Annual Raw'!X80</f>
        <v>41.21</v>
      </c>
      <c r="X160" s="22">
        <f>'Annual Raw'!Y80</f>
        <v>85.36</v>
      </c>
      <c r="Y160" s="22">
        <f>'Annual Raw'!Z80</f>
        <v>105.85</v>
      </c>
      <c r="Z160" s="22">
        <f>'Annual Raw'!AA80</f>
        <v>81.400000000000006</v>
      </c>
      <c r="AA160" s="22">
        <f>'Annual Raw'!AB80</f>
        <v>134.58000000000001</v>
      </c>
      <c r="AB160" s="23">
        <f t="shared" si="1422"/>
        <v>0</v>
      </c>
      <c r="AC160" s="23">
        <f t="shared" si="1423"/>
        <v>0</v>
      </c>
      <c r="AD160" s="23">
        <f t="shared" si="1424"/>
        <v>0</v>
      </c>
      <c r="AE160" s="23">
        <f t="shared" si="1425"/>
        <v>0</v>
      </c>
      <c r="AI160" s="22">
        <f>+'QTR Raw'!C85</f>
        <v>98.44</v>
      </c>
      <c r="AJ160" s="22">
        <f t="shared" si="1454"/>
        <v>98.44</v>
      </c>
      <c r="AK160" s="22">
        <f>+'QTR Raw'!E85</f>
        <v>75.540000000000006</v>
      </c>
      <c r="AL160" s="22">
        <f t="shared" si="1455"/>
        <v>75.540000000000006</v>
      </c>
      <c r="AM160" s="22">
        <f>+'QTR Raw'!G85</f>
        <v>30.13</v>
      </c>
      <c r="AN160" s="22">
        <f t="shared" si="1456"/>
        <v>30.13</v>
      </c>
      <c r="AO160" s="22">
        <f>+'QTR Raw'!I85</f>
        <v>34.71</v>
      </c>
      <c r="AP160" s="22">
        <f t="shared" si="1457"/>
        <v>34.71</v>
      </c>
      <c r="AQ160" s="22">
        <f>+'QTR Raw'!K85</f>
        <v>137.22</v>
      </c>
      <c r="AR160" s="22">
        <f t="shared" si="1458"/>
        <v>137.22</v>
      </c>
      <c r="AS160" s="22">
        <f>+'QTR Raw'!M85</f>
        <v>120.19</v>
      </c>
      <c r="AT160" s="22">
        <f t="shared" si="1459"/>
        <v>120.19</v>
      </c>
      <c r="AU160" s="22">
        <f>+'QTR Raw'!O85</f>
        <v>84.87</v>
      </c>
      <c r="AV160" s="22">
        <f t="shared" si="1460"/>
        <v>84.87</v>
      </c>
      <c r="AW160" s="22">
        <f>+'QTR Raw'!Q85</f>
        <v>85.31</v>
      </c>
      <c r="AX160" s="22">
        <f t="shared" si="1461"/>
        <v>85.31</v>
      </c>
      <c r="AY160" s="22">
        <f>+'QTR Raw'!S85</f>
        <v>17.89</v>
      </c>
      <c r="AZ160" s="22">
        <f t="shared" si="1462"/>
        <v>17.89</v>
      </c>
      <c r="BA160" s="22">
        <f>+'QTR Raw'!U85</f>
        <v>0</v>
      </c>
      <c r="BB160" s="22">
        <f t="shared" si="1463"/>
        <v>0</v>
      </c>
      <c r="BC160" s="22">
        <f>+'QTR Raw'!W85</f>
        <v>6.33</v>
      </c>
      <c r="BD160" s="22">
        <f t="shared" si="1464"/>
        <v>6.33</v>
      </c>
      <c r="BE160" s="22">
        <f>+'QTR Raw'!Y85</f>
        <v>53</v>
      </c>
      <c r="BF160" s="22">
        <f t="shared" si="1465"/>
        <v>53</v>
      </c>
      <c r="BG160" s="22">
        <f>+'QTR Raw'!AA85</f>
        <v>39</v>
      </c>
      <c r="BH160" s="22">
        <f t="shared" si="1466"/>
        <v>39</v>
      </c>
      <c r="BI160" s="22">
        <f>+'QTR Raw'!AC85</f>
        <v>4.3099999999999996</v>
      </c>
      <c r="BJ160" s="22">
        <f t="shared" si="1467"/>
        <v>4.3099999999999996</v>
      </c>
      <c r="BK160" s="22">
        <f>+'QTR Raw'!AE85</f>
        <v>0</v>
      </c>
      <c r="BL160" s="22">
        <f t="shared" si="1468"/>
        <v>0</v>
      </c>
      <c r="BM160" s="22">
        <f>+'QTR Raw'!AG85</f>
        <v>7.84</v>
      </c>
      <c r="BN160" s="22">
        <f t="shared" si="1469"/>
        <v>7.84</v>
      </c>
      <c r="BO160" s="22">
        <f>+'QTR Raw'!AI85</f>
        <v>6.5</v>
      </c>
      <c r="BP160" s="22">
        <f t="shared" si="1470"/>
        <v>6.5</v>
      </c>
      <c r="BQ160" s="22">
        <f>+'QTR Raw'!AK85</f>
        <v>4.99</v>
      </c>
      <c r="BR160" s="22">
        <f t="shared" si="1471"/>
        <v>4.99</v>
      </c>
      <c r="BS160" s="22">
        <f>+'QTR Raw'!AM85</f>
        <v>3.12</v>
      </c>
      <c r="BT160" s="22">
        <f t="shared" si="1472"/>
        <v>3.12</v>
      </c>
      <c r="BU160" s="22">
        <f>+'QTR Raw'!AO85</f>
        <v>3.62</v>
      </c>
      <c r="BV160" s="22">
        <f t="shared" si="1473"/>
        <v>3.62</v>
      </c>
      <c r="BW160" s="22">
        <f>+'QTR Raw'!AQ85</f>
        <v>0</v>
      </c>
      <c r="BX160" s="22">
        <f t="shared" si="1474"/>
        <v>0</v>
      </c>
      <c r="BY160" s="22">
        <f>+'QTR Raw'!AS85</f>
        <v>0</v>
      </c>
      <c r="BZ160" s="22">
        <f t="shared" si="1475"/>
        <v>0</v>
      </c>
      <c r="CA160" s="22">
        <f>+'QTR Raw'!AU85</f>
        <v>0</v>
      </c>
      <c r="CB160" s="22">
        <f t="shared" si="1476"/>
        <v>0</v>
      </c>
      <c r="CC160" s="22">
        <f>+'QTR Raw'!AW85</f>
        <v>0</v>
      </c>
      <c r="CD160" s="22">
        <f t="shared" si="1477"/>
        <v>0</v>
      </c>
      <c r="CE160" s="22">
        <f>+'QTR Raw'!AY85</f>
        <v>0</v>
      </c>
      <c r="CF160" s="22">
        <f t="shared" si="1450"/>
        <v>0</v>
      </c>
      <c r="CG160" s="22">
        <f t="shared" si="1451"/>
        <v>81.400000000000006</v>
      </c>
      <c r="CH160" s="22">
        <f t="shared" si="1450"/>
        <v>81.400000000000006</v>
      </c>
      <c r="CI160" s="22">
        <f>+'QTR Raw'!BC85</f>
        <v>0</v>
      </c>
      <c r="CJ160" s="22">
        <f t="shared" si="1450"/>
        <v>0</v>
      </c>
      <c r="CK160" s="22">
        <f>+'QTR Raw'!BE85</f>
        <v>0</v>
      </c>
      <c r="CL160" s="22">
        <f t="shared" si="1450"/>
        <v>0</v>
      </c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D160" s="122"/>
      <c r="DE160" s="22">
        <v>0</v>
      </c>
    </row>
    <row r="161" spans="1:109" s="21" customFormat="1" x14ac:dyDescent="0.2">
      <c r="A161" s="21" t="s">
        <v>65</v>
      </c>
      <c r="B161" s="21">
        <f>SUM(B155:B160)</f>
        <v>0</v>
      </c>
      <c r="C161" s="21">
        <f t="shared" ref="C161:V161" si="1479">SUM(C155:C160)</f>
        <v>0</v>
      </c>
      <c r="D161" s="21">
        <f t="shared" si="1479"/>
        <v>124.19999999999999</v>
      </c>
      <c r="E161" s="21">
        <f t="shared" si="1479"/>
        <v>116.62</v>
      </c>
      <c r="F161" s="21">
        <f t="shared" si="1479"/>
        <v>126.83</v>
      </c>
      <c r="G161" s="21">
        <f t="shared" si="1479"/>
        <v>161.11000000000001</v>
      </c>
      <c r="H161" s="21">
        <f t="shared" si="1479"/>
        <v>203.27</v>
      </c>
      <c r="I161" s="21">
        <f t="shared" si="1479"/>
        <v>235.98999999999998</v>
      </c>
      <c r="J161" s="21">
        <f t="shared" si="1479"/>
        <v>321.88999999999993</v>
      </c>
      <c r="K161" s="21">
        <f t="shared" si="1479"/>
        <v>287.87</v>
      </c>
      <c r="L161" s="21">
        <f>SUM(L155:L160)</f>
        <v>339.63</v>
      </c>
      <c r="M161" s="21">
        <f>SUM(M155:M160)</f>
        <v>528.22</v>
      </c>
      <c r="N161" s="21">
        <f t="shared" si="1479"/>
        <v>551.78000000000009</v>
      </c>
      <c r="O161" s="21">
        <f t="shared" si="1479"/>
        <v>678.94000000000017</v>
      </c>
      <c r="P161" s="21">
        <f t="shared" si="1479"/>
        <v>710.03</v>
      </c>
      <c r="Q161" s="21">
        <f t="shared" si="1479"/>
        <v>787.36999999999989</v>
      </c>
      <c r="R161" s="21">
        <f t="shared" si="1479"/>
        <v>800.49999999999989</v>
      </c>
      <c r="S161" s="21">
        <f t="shared" si="1479"/>
        <v>1472.27</v>
      </c>
      <c r="T161" s="21">
        <f t="shared" si="1479"/>
        <v>1994.8600000000001</v>
      </c>
      <c r="U161" s="21">
        <f t="shared" si="1479"/>
        <v>1725.53</v>
      </c>
      <c r="V161" s="21">
        <f t="shared" si="1479"/>
        <v>1800.3600000000004</v>
      </c>
      <c r="W161" s="21">
        <f t="shared" ref="W161" si="1480">SUM(W155:W160)</f>
        <v>2435</v>
      </c>
      <c r="X161" s="21">
        <f t="shared" ref="X161:Y161" si="1481">SUM(X155:X160)</f>
        <v>2983.6900000000005</v>
      </c>
      <c r="Y161" s="21">
        <f t="shared" si="1481"/>
        <v>2952.9199999999996</v>
      </c>
      <c r="Z161" s="21">
        <f t="shared" ref="Z161:AA161" si="1482">SUM(Z155:Z160)</f>
        <v>3328.23</v>
      </c>
      <c r="AA161" s="21">
        <f t="shared" ref="AA161" si="1483">SUM(AA155:AA160)</f>
        <v>4104.07</v>
      </c>
      <c r="AB161" s="20">
        <f t="shared" ref="AB161:AD161" si="1484">SUM(AB155:AB160)</f>
        <v>4736.4062606280904</v>
      </c>
      <c r="AC161" s="20">
        <f t="shared" si="1484"/>
        <v>5537.6298891843826</v>
      </c>
      <c r="AD161" s="20">
        <f t="shared" si="1484"/>
        <v>6225.0675620749153</v>
      </c>
      <c r="AE161" s="20">
        <f t="shared" ref="AE161" si="1485">SUM(AE155:AE160)</f>
        <v>7039.65406040165</v>
      </c>
      <c r="AI161" s="21">
        <f t="shared" ref="AI161:AL161" si="1486">SUM(AI155:AI160)</f>
        <v>579.45000000000005</v>
      </c>
      <c r="AJ161" s="21">
        <f t="shared" si="1486"/>
        <v>552.36102020414603</v>
      </c>
      <c r="AK161" s="21">
        <f t="shared" si="1486"/>
        <v>551.78000000000009</v>
      </c>
      <c r="AL161" s="21">
        <f t="shared" si="1486"/>
        <v>535.18830490896516</v>
      </c>
      <c r="AM161" s="21">
        <f t="shared" ref="AM161:AP161" si="1487">SUM(AM155:AM160)</f>
        <v>585.66</v>
      </c>
      <c r="AN161" s="21">
        <f t="shared" si="1487"/>
        <v>676.97796119373595</v>
      </c>
      <c r="AO161" s="21">
        <f t="shared" si="1487"/>
        <v>678.94000000000017</v>
      </c>
      <c r="AP161" s="21">
        <f t="shared" si="1487"/>
        <v>686.96103084930826</v>
      </c>
      <c r="AQ161" s="21">
        <f t="shared" ref="AQ161:AT161" si="1488">SUM(AQ155:AQ160)</f>
        <v>707.23</v>
      </c>
      <c r="AR161" s="21">
        <f t="shared" si="1488"/>
        <v>729.73909972688057</v>
      </c>
      <c r="AS161" s="21">
        <f t="shared" si="1488"/>
        <v>710.03</v>
      </c>
      <c r="AT161" s="21">
        <f t="shared" si="1488"/>
        <v>687.1195636786963</v>
      </c>
      <c r="AU161" s="21">
        <f t="shared" ref="AU161:AX161" si="1489">SUM(AU155:AU160)</f>
        <v>760.08999999999992</v>
      </c>
      <c r="AV161" s="21">
        <f t="shared" si="1489"/>
        <v>767.60475053225946</v>
      </c>
      <c r="AW161" s="21">
        <f t="shared" si="1489"/>
        <v>787.36999999999989</v>
      </c>
      <c r="AX161" s="21">
        <f t="shared" si="1489"/>
        <v>747.2346727795757</v>
      </c>
      <c r="AY161" s="21">
        <f t="shared" ref="AY161:BB161" si="1490">SUM(AY155:AY160)</f>
        <v>804.73</v>
      </c>
      <c r="AZ161" s="21">
        <f t="shared" si="1490"/>
        <v>788.83725726405964</v>
      </c>
      <c r="BA161" s="21">
        <f t="shared" si="1490"/>
        <v>800.5</v>
      </c>
      <c r="BB161" s="21">
        <f t="shared" si="1490"/>
        <v>754.32168828049953</v>
      </c>
      <c r="BC161" s="21">
        <f t="shared" ref="BC161:BF161" si="1491">SUM(BC155:BC160)</f>
        <v>822.03000000000009</v>
      </c>
      <c r="BD161" s="21">
        <f t="shared" si="1491"/>
        <v>1427.9086980922577</v>
      </c>
      <c r="BE161" s="21">
        <f t="shared" si="1491"/>
        <v>847.15</v>
      </c>
      <c r="BF161" s="21">
        <f t="shared" si="1491"/>
        <v>882.8415535073043</v>
      </c>
      <c r="BG161" s="21">
        <f t="shared" ref="BG161:BJ161" si="1492">SUM(BG155:BG160)</f>
        <v>970.83</v>
      </c>
      <c r="BH161" s="21">
        <f t="shared" si="1492"/>
        <v>1033.2431074473307</v>
      </c>
      <c r="BI161" s="21">
        <f t="shared" si="1492"/>
        <v>1994.8600000000001</v>
      </c>
      <c r="BJ161" s="21">
        <f t="shared" si="1492"/>
        <v>1975.2529899097185</v>
      </c>
      <c r="BK161" s="21">
        <f t="shared" ref="BK161:BN161" si="1493">SUM(BK155:BK160)</f>
        <v>2041.7900000000002</v>
      </c>
      <c r="BL161" s="21">
        <f t="shared" si="1493"/>
        <v>1914.4127905435657</v>
      </c>
      <c r="BM161" s="21">
        <f t="shared" si="1493"/>
        <v>1725.53</v>
      </c>
      <c r="BN161" s="21">
        <f t="shared" si="1493"/>
        <v>1584.6983600104197</v>
      </c>
      <c r="BO161" s="21">
        <f t="shared" ref="BO161:BR161" si="1494">SUM(BO155:BO160)</f>
        <v>1728.16</v>
      </c>
      <c r="BP161" s="21">
        <f t="shared" si="1494"/>
        <v>3847.6308179912512</v>
      </c>
      <c r="BQ161" s="21">
        <f t="shared" si="1494"/>
        <v>1794.3899999999999</v>
      </c>
      <c r="BR161" s="21">
        <f t="shared" si="1494"/>
        <v>1841.8870500953863</v>
      </c>
      <c r="BS161" s="21">
        <f t="shared" ref="BS161:BV161" si="1495">SUM(BS155:BS160)</f>
        <v>2123.23</v>
      </c>
      <c r="BT161" s="21">
        <f t="shared" si="1495"/>
        <v>2494.2264157386303</v>
      </c>
      <c r="BU161" s="21">
        <f t="shared" si="1495"/>
        <v>2354.1699999999996</v>
      </c>
      <c r="BV161" s="21">
        <f t="shared" si="1495"/>
        <v>2410.3680149945508</v>
      </c>
      <c r="BW161" s="21">
        <f t="shared" ref="BW161:BZ161" si="1496">SUM(BW155:BW160)</f>
        <v>2777.01</v>
      </c>
      <c r="BX161" s="21">
        <f t="shared" si="1496"/>
        <v>2787.2898579621806</v>
      </c>
      <c r="BY161" s="21">
        <f t="shared" si="1496"/>
        <v>2864.7599999999998</v>
      </c>
      <c r="BZ161" s="21">
        <f t="shared" si="1496"/>
        <v>2736.6447388627307</v>
      </c>
      <c r="CA161" s="21">
        <f t="shared" ref="CA161:CD161" si="1497">SUM(CA155:CA160)</f>
        <v>2991.9500000000003</v>
      </c>
      <c r="CB161" s="21">
        <f t="shared" si="1497"/>
        <v>3025.1161039614244</v>
      </c>
      <c r="CC161" s="21">
        <f t="shared" si="1497"/>
        <v>2819.13</v>
      </c>
      <c r="CD161" s="21">
        <f t="shared" si="1497"/>
        <v>2817.3337801072262</v>
      </c>
      <c r="CE161" s="21">
        <f t="shared" ref="CE161" si="1498">SUM(CE155:CE160)</f>
        <v>3431.87</v>
      </c>
      <c r="CF161" s="21">
        <f t="shared" ref="CF161:CH161" si="1499">SUM(CF155:CF160)</f>
        <v>3445.3935518596572</v>
      </c>
      <c r="CG161" s="21">
        <f t="shared" ref="CG161" si="1500">SUM(CG155:CG160)</f>
        <v>3328.23</v>
      </c>
      <c r="CH161" s="21">
        <f t="shared" si="1499"/>
        <v>3377.8275810604564</v>
      </c>
      <c r="CI161" s="21">
        <f t="shared" ref="CI161:CJ161" si="1501">SUM(CI155:CI160)</f>
        <v>3497.41</v>
      </c>
      <c r="CJ161" s="21">
        <f t="shared" si="1501"/>
        <v>3605.5635585036061</v>
      </c>
      <c r="CK161" s="21">
        <f t="shared" ref="CK161" si="1502">SUM(CK155:CK160)</f>
        <v>3901.39</v>
      </c>
      <c r="CL161" s="21">
        <f t="shared" ref="CL161:DA161" si="1503">SUM(CL155:CL160)</f>
        <v>3880.1955789576591</v>
      </c>
      <c r="CM161" s="20">
        <f t="shared" si="1503"/>
        <v>3986.1421463391985</v>
      </c>
      <c r="CN161" s="20">
        <f t="shared" si="1503"/>
        <v>4193.7757767228695</v>
      </c>
      <c r="CO161" s="20">
        <f t="shared" si="1503"/>
        <v>4736.4062606280904</v>
      </c>
      <c r="CP161" s="20">
        <f t="shared" si="1503"/>
        <v>4490.1058140574187</v>
      </c>
      <c r="CQ161" s="20">
        <f t="shared" si="1503"/>
        <v>4639.9291436997464</v>
      </c>
      <c r="CR161" s="20">
        <f t="shared" si="1503"/>
        <v>4910.1944630238268</v>
      </c>
      <c r="CS161" s="20">
        <f t="shared" si="1503"/>
        <v>5537.6298891843826</v>
      </c>
      <c r="CT161" s="20">
        <f t="shared" si="1503"/>
        <v>5075.9299338204182</v>
      </c>
      <c r="CU161" s="20">
        <f t="shared" si="1503"/>
        <v>5215.0720301909623</v>
      </c>
      <c r="CV161" s="20">
        <f t="shared" si="1503"/>
        <v>5537.6817866878437</v>
      </c>
      <c r="CW161" s="20">
        <f t="shared" si="1503"/>
        <v>6225.0675620749153</v>
      </c>
      <c r="CX161" s="20">
        <f t="shared" si="1503"/>
        <v>5744.1494756012698</v>
      </c>
      <c r="CY161" s="20">
        <f t="shared" si="1503"/>
        <v>5874.8269718010879</v>
      </c>
      <c r="CZ161" s="20">
        <f t="shared" si="1503"/>
        <v>6265.9993489371791</v>
      </c>
      <c r="DA161" s="20">
        <f t="shared" si="1503"/>
        <v>7039.65406040165</v>
      </c>
      <c r="DD161" s="125"/>
      <c r="DE161" s="21">
        <v>3901.39</v>
      </c>
    </row>
    <row r="162" spans="1:109" s="22" customFormat="1" outlineLevel="1" x14ac:dyDescent="0.2">
      <c r="A162" s="22" t="s">
        <v>66</v>
      </c>
      <c r="B162" s="22">
        <f>'Annual Raw'!C50+'Annual Raw'!C58</f>
        <v>0</v>
      </c>
      <c r="C162" s="22">
        <f>'Annual Raw'!D50+'Annual Raw'!D58</f>
        <v>0</v>
      </c>
      <c r="D162" s="22">
        <f>'Annual Raw'!E50+'Annual Raw'!E58</f>
        <v>0</v>
      </c>
      <c r="E162" s="22">
        <f>'Annual Raw'!F50+'Annual Raw'!F58</f>
        <v>0</v>
      </c>
      <c r="F162" s="22">
        <f>'Annual Raw'!G50+'Annual Raw'!G58</f>
        <v>0</v>
      </c>
      <c r="G162" s="22">
        <f>'Annual Raw'!H50+'Annual Raw'!H58</f>
        <v>0</v>
      </c>
      <c r="H162" s="22">
        <f>'Annual Raw'!I50+'Annual Raw'!I58</f>
        <v>0</v>
      </c>
      <c r="I162" s="22">
        <f>'Annual Raw'!J50+'Annual Raw'!J58</f>
        <v>0</v>
      </c>
      <c r="J162" s="22">
        <f>'Annual Raw'!K50+'Annual Raw'!K58</f>
        <v>0</v>
      </c>
      <c r="K162" s="22">
        <f>'Annual Raw'!L50+'Annual Raw'!L58</f>
        <v>0</v>
      </c>
      <c r="L162" s="22">
        <f>'Annual Raw'!M50+'Annual Raw'!M58</f>
        <v>0</v>
      </c>
      <c r="M162" s="22">
        <f>'Annual Raw'!N50+'Annual Raw'!N58</f>
        <v>1.44</v>
      </c>
      <c r="N162" s="22">
        <f>'Annual Raw'!O50+'Annual Raw'!O58</f>
        <v>1.52</v>
      </c>
      <c r="O162" s="22">
        <f>'Annual Raw'!P50+'Annual Raw'!P58</f>
        <v>1.61</v>
      </c>
      <c r="P162" s="22">
        <f>'Annual Raw'!Q50+'Annual Raw'!Q58</f>
        <v>1.52</v>
      </c>
      <c r="Q162" s="22">
        <f>'Annual Raw'!R50+'Annual Raw'!R58</f>
        <v>1.45</v>
      </c>
      <c r="R162" s="22">
        <f>'Annual Raw'!S50+'Annual Raw'!S58</f>
        <v>1.27</v>
      </c>
      <c r="S162" s="22">
        <f>'Annual Raw'!T50+'Annual Raw'!T58</f>
        <v>1.01</v>
      </c>
      <c r="T162" s="22">
        <f>'Annual Raw'!U50+'Annual Raw'!U58</f>
        <v>0.99</v>
      </c>
      <c r="U162" s="22">
        <f>'Annual Raw'!V50+'Annual Raw'!V58</f>
        <v>3.35</v>
      </c>
      <c r="V162" s="22">
        <f>'Annual Raw'!W50+'Annual Raw'!W58</f>
        <v>58.97</v>
      </c>
      <c r="W162" s="22">
        <f>'Annual Raw'!X50+'Annual Raw'!X58</f>
        <v>54.21</v>
      </c>
      <c r="X162" s="22">
        <f>'Annual Raw'!Y50+'Annual Raw'!Y58</f>
        <v>56.85</v>
      </c>
      <c r="Y162" s="22">
        <f>'Annual Raw'!Z50+'Annual Raw'!Z58</f>
        <v>51.53</v>
      </c>
      <c r="Z162" s="22">
        <f>'Annual Raw'!AA50+'Annual Raw'!AA58</f>
        <v>57.8</v>
      </c>
      <c r="AA162" s="22">
        <f>'Annual Raw'!AB50+'Annual Raw'!AB58</f>
        <v>54.99</v>
      </c>
      <c r="AB162" s="23">
        <f t="shared" ref="AB162:AB168" si="1504">+CO162</f>
        <v>0</v>
      </c>
      <c r="AC162" s="23">
        <f t="shared" ref="AC162:AC168" si="1505">+CS162</f>
        <v>0</v>
      </c>
      <c r="AD162" s="23">
        <f t="shared" ref="AD162:AD168" si="1506">+CW162</f>
        <v>0</v>
      </c>
      <c r="AE162" s="23">
        <f t="shared" ref="AE162:AE168" si="1507">+DA162</f>
        <v>0</v>
      </c>
      <c r="AI162" s="22">
        <f>+'QTR Raw'!C64</f>
        <v>1.51</v>
      </c>
      <c r="AJ162" s="22">
        <f t="shared" ref="AJ162:AJ165" si="1508">+AI162</f>
        <v>1.51</v>
      </c>
      <c r="AK162" s="22">
        <f>+'QTR Raw'!E64</f>
        <v>1.52</v>
      </c>
      <c r="AL162" s="22">
        <f t="shared" ref="AL162:AL165" si="1509">+AK162</f>
        <v>1.52</v>
      </c>
      <c r="AM162" s="22">
        <f>+'QTR Raw'!G64</f>
        <v>1.6</v>
      </c>
      <c r="AN162" s="22">
        <f t="shared" ref="AN162:AN165" si="1510">+AM162</f>
        <v>1.6</v>
      </c>
      <c r="AO162" s="22">
        <f>+'QTR Raw'!I64</f>
        <v>1.61</v>
      </c>
      <c r="AP162" s="22">
        <f t="shared" ref="AP162:AP165" si="1511">+AO162</f>
        <v>1.61</v>
      </c>
      <c r="AQ162" s="22">
        <f>+'QTR Raw'!K64</f>
        <v>1.72</v>
      </c>
      <c r="AR162" s="22">
        <f t="shared" ref="AR162:AR165" si="1512">+AQ162</f>
        <v>1.72</v>
      </c>
      <c r="AS162" s="22">
        <f>+'QTR Raw'!M64</f>
        <v>1.52</v>
      </c>
      <c r="AT162" s="22">
        <f t="shared" ref="AT162:AT165" si="1513">+AS162</f>
        <v>1.52</v>
      </c>
      <c r="AU162" s="22">
        <f>+'QTR Raw'!O64</f>
        <v>1.49</v>
      </c>
      <c r="AV162" s="22">
        <f t="shared" ref="AV162:AV165" si="1514">+AU162</f>
        <v>1.49</v>
      </c>
      <c r="AW162" s="22">
        <f>+'QTR Raw'!Q64</f>
        <v>1.45</v>
      </c>
      <c r="AX162" s="22">
        <f t="shared" ref="AX162:AX165" si="1515">+AW162</f>
        <v>1.45</v>
      </c>
      <c r="AY162" s="22">
        <f>+'QTR Raw'!S64</f>
        <v>1.46</v>
      </c>
      <c r="AZ162" s="22">
        <f t="shared" ref="AZ162:AZ165" si="1516">+AY162</f>
        <v>1.46</v>
      </c>
      <c r="BA162" s="22">
        <f>+'QTR Raw'!U64</f>
        <v>1.27</v>
      </c>
      <c r="BB162" s="22">
        <f t="shared" ref="BB162:BB165" si="1517">+BA162</f>
        <v>1.27</v>
      </c>
      <c r="BC162" s="22">
        <f>+'QTR Raw'!W64</f>
        <v>1.19</v>
      </c>
      <c r="BD162" s="22">
        <f t="shared" ref="BD162:BD165" si="1518">+BC162</f>
        <v>1.19</v>
      </c>
      <c r="BE162" s="22">
        <f>+'QTR Raw'!Y64</f>
        <v>1.01</v>
      </c>
      <c r="BF162" s="22">
        <f t="shared" ref="BF162:BF165" si="1519">+BE162</f>
        <v>1.01</v>
      </c>
      <c r="BG162" s="22">
        <f>+'QTR Raw'!AA64</f>
        <v>0.81</v>
      </c>
      <c r="BH162" s="22">
        <f t="shared" ref="BH162:BH165" si="1520">+BG162</f>
        <v>0.81</v>
      </c>
      <c r="BI162" s="22">
        <f>+'QTR Raw'!AC64</f>
        <v>0.99</v>
      </c>
      <c r="BJ162" s="22">
        <f t="shared" ref="BJ162:BJ165" si="1521">+BI162</f>
        <v>0.99</v>
      </c>
      <c r="BK162" s="22">
        <f>+'QTR Raw'!AE64</f>
        <v>2.63</v>
      </c>
      <c r="BL162" s="22">
        <f t="shared" ref="BL162:BL165" si="1522">+BK162</f>
        <v>2.63</v>
      </c>
      <c r="BM162" s="22">
        <f>+'QTR Raw'!AG64</f>
        <v>3.35</v>
      </c>
      <c r="BN162" s="22">
        <f t="shared" ref="BN162:BN165" si="1523">+BM162</f>
        <v>3.35</v>
      </c>
      <c r="BO162" s="22">
        <f>+'QTR Raw'!AI64</f>
        <v>60.4</v>
      </c>
      <c r="BP162" s="22">
        <f t="shared" ref="BP162:BP165" si="1524">+BO162</f>
        <v>60.4</v>
      </c>
      <c r="BQ162" s="22">
        <f>+'QTR Raw'!AK64</f>
        <v>58.97</v>
      </c>
      <c r="BR162" s="22">
        <f t="shared" ref="BR162:BR165" si="1525">+BQ162</f>
        <v>58.97</v>
      </c>
      <c r="BS162" s="22">
        <f>+'QTR Raw'!AM64</f>
        <v>57.26</v>
      </c>
      <c r="BT162" s="22">
        <f t="shared" ref="BT162:BT165" si="1526">+BS162</f>
        <v>57.26</v>
      </c>
      <c r="BU162" s="22">
        <f>+'QTR Raw'!AO64</f>
        <v>54.21</v>
      </c>
      <c r="BV162" s="22">
        <f t="shared" ref="BV162:BV165" si="1527">+BU162</f>
        <v>54.21</v>
      </c>
      <c r="BW162" s="22">
        <f>+'QTR Raw'!AQ64</f>
        <v>50.43</v>
      </c>
      <c r="BX162" s="22">
        <f t="shared" ref="BX162:BX165" si="1528">+BW162</f>
        <v>50.43</v>
      </c>
      <c r="BY162" s="22">
        <f>+'QTR Raw'!AS64</f>
        <v>56.85</v>
      </c>
      <c r="BZ162" s="22">
        <f t="shared" ref="BZ162:BZ165" si="1529">+BY162</f>
        <v>56.85</v>
      </c>
      <c r="CA162" s="22">
        <f>+'QTR Raw'!AU64</f>
        <v>46.91</v>
      </c>
      <c r="CB162" s="22">
        <f t="shared" ref="CB162:CB165" si="1530">+CA162</f>
        <v>46.91</v>
      </c>
      <c r="CC162" s="22">
        <f>+'QTR Raw'!AW64</f>
        <v>51.53</v>
      </c>
      <c r="CD162" s="22">
        <f t="shared" ref="CD162:CD165" si="1531">+CC162</f>
        <v>51.53</v>
      </c>
      <c r="CE162" s="22">
        <f>+'QTR Raw'!AY64</f>
        <v>60.05</v>
      </c>
      <c r="CF162" s="22">
        <f t="shared" ref="CF162:CL168" si="1532">+CE162</f>
        <v>60.05</v>
      </c>
      <c r="CG162" s="22">
        <f t="shared" ref="CG162:CG168" si="1533">+Z162</f>
        <v>57.8</v>
      </c>
      <c r="CH162" s="22">
        <f t="shared" si="1532"/>
        <v>57.8</v>
      </c>
      <c r="CI162" s="22">
        <f>+'QTR Raw'!BC64</f>
        <v>54.03</v>
      </c>
      <c r="CJ162" s="22">
        <f t="shared" si="1532"/>
        <v>54.03</v>
      </c>
      <c r="CK162" s="22">
        <f>+'QTR Raw'!BE64</f>
        <v>54.99</v>
      </c>
      <c r="CL162" s="22">
        <f t="shared" si="1532"/>
        <v>54.99</v>
      </c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  <c r="DE162" s="22">
        <v>54.99</v>
      </c>
    </row>
    <row r="163" spans="1:109" s="22" customFormat="1" outlineLevel="1" x14ac:dyDescent="0.2">
      <c r="A163" s="22" t="s">
        <v>67</v>
      </c>
      <c r="B163" s="22">
        <f>'Annual Raw'!C51</f>
        <v>0</v>
      </c>
      <c r="C163" s="22">
        <f>'Annual Raw'!D51</f>
        <v>0</v>
      </c>
      <c r="D163" s="22">
        <f>'Annual Raw'!E51</f>
        <v>0</v>
      </c>
      <c r="E163" s="22">
        <f>'Annual Raw'!F51</f>
        <v>0</v>
      </c>
      <c r="F163" s="22">
        <f>'Annual Raw'!G51</f>
        <v>0</v>
      </c>
      <c r="G163" s="22">
        <f>'Annual Raw'!H51</f>
        <v>0</v>
      </c>
      <c r="H163" s="22">
        <f>'Annual Raw'!I51</f>
        <v>0</v>
      </c>
      <c r="I163" s="22">
        <f>'Annual Raw'!J51</f>
        <v>0</v>
      </c>
      <c r="J163" s="22">
        <f>'Annual Raw'!K51</f>
        <v>0</v>
      </c>
      <c r="K163" s="22">
        <f>'Annual Raw'!L51</f>
        <v>0</v>
      </c>
      <c r="L163" s="22">
        <f>'Annual Raw'!M51</f>
        <v>0</v>
      </c>
      <c r="M163" s="22">
        <f>'Annual Raw'!N51</f>
        <v>0</v>
      </c>
      <c r="N163" s="22">
        <f>'Annual Raw'!O51</f>
        <v>0</v>
      </c>
      <c r="O163" s="22">
        <f>'Annual Raw'!P51</f>
        <v>0</v>
      </c>
      <c r="P163" s="22">
        <f>'Annual Raw'!Q51</f>
        <v>0</v>
      </c>
      <c r="Q163" s="22">
        <f>'Annual Raw'!R51</f>
        <v>0</v>
      </c>
      <c r="R163" s="22">
        <f>'Annual Raw'!S51</f>
        <v>0</v>
      </c>
      <c r="S163" s="22">
        <f>'Annual Raw'!T51</f>
        <v>0</v>
      </c>
      <c r="T163" s="22">
        <f>'Annual Raw'!U51</f>
        <v>0</v>
      </c>
      <c r="U163" s="22">
        <f>'Annual Raw'!V51</f>
        <v>0</v>
      </c>
      <c r="V163" s="22">
        <f>'Annual Raw'!W51</f>
        <v>0</v>
      </c>
      <c r="W163" s="22">
        <f>'Annual Raw'!X51</f>
        <v>0</v>
      </c>
      <c r="X163" s="22">
        <f>'Annual Raw'!Y51</f>
        <v>0</v>
      </c>
      <c r="Y163" s="22">
        <f>'Annual Raw'!Z51</f>
        <v>0</v>
      </c>
      <c r="Z163" s="22">
        <f>'Annual Raw'!AA51</f>
        <v>0</v>
      </c>
      <c r="AA163" s="22">
        <f>'Annual Raw'!AB51</f>
        <v>0</v>
      </c>
      <c r="AB163" s="23">
        <f t="shared" si="1504"/>
        <v>0</v>
      </c>
      <c r="AC163" s="23">
        <f t="shared" si="1505"/>
        <v>0</v>
      </c>
      <c r="AD163" s="23">
        <f t="shared" si="1506"/>
        <v>0</v>
      </c>
      <c r="AE163" s="23">
        <f t="shared" si="1507"/>
        <v>0</v>
      </c>
      <c r="AI163" s="22">
        <f>+'QTR Raw'!C65</f>
        <v>196.46</v>
      </c>
      <c r="AJ163" s="22">
        <f t="shared" si="1508"/>
        <v>196.46</v>
      </c>
      <c r="AK163" s="22">
        <f>+'QTR Raw'!E65</f>
        <v>0</v>
      </c>
      <c r="AL163" s="22">
        <f t="shared" si="1509"/>
        <v>0</v>
      </c>
      <c r="AM163" s="22">
        <f>+'QTR Raw'!G65</f>
        <v>0</v>
      </c>
      <c r="AN163" s="22">
        <f t="shared" si="1510"/>
        <v>0</v>
      </c>
      <c r="AO163" s="22">
        <f>+'QTR Raw'!I65</f>
        <v>0</v>
      </c>
      <c r="AP163" s="22">
        <f t="shared" si="1511"/>
        <v>0</v>
      </c>
      <c r="AQ163" s="22">
        <f>+'QTR Raw'!K65</f>
        <v>0</v>
      </c>
      <c r="AR163" s="22">
        <f t="shared" si="1512"/>
        <v>0</v>
      </c>
      <c r="AS163" s="22">
        <f>+'QTR Raw'!M65</f>
        <v>0</v>
      </c>
      <c r="AT163" s="22">
        <f t="shared" si="1513"/>
        <v>0</v>
      </c>
      <c r="AU163" s="22">
        <f>+'QTR Raw'!O65</f>
        <v>0</v>
      </c>
      <c r="AV163" s="22">
        <f t="shared" si="1514"/>
        <v>0</v>
      </c>
      <c r="AW163" s="22">
        <f>+'QTR Raw'!Q65</f>
        <v>0</v>
      </c>
      <c r="AX163" s="22">
        <f t="shared" si="1515"/>
        <v>0</v>
      </c>
      <c r="AY163" s="22">
        <f>+'QTR Raw'!S65</f>
        <v>0</v>
      </c>
      <c r="AZ163" s="22">
        <f t="shared" si="1516"/>
        <v>0</v>
      </c>
      <c r="BA163" s="22">
        <f>+'QTR Raw'!U65</f>
        <v>0</v>
      </c>
      <c r="BB163" s="22">
        <f t="shared" si="1517"/>
        <v>0</v>
      </c>
      <c r="BC163" s="22">
        <f>+'QTR Raw'!W65</f>
        <v>0</v>
      </c>
      <c r="BD163" s="22">
        <f t="shared" si="1518"/>
        <v>0</v>
      </c>
      <c r="BE163" s="22">
        <f>+'QTR Raw'!Y65</f>
        <v>0</v>
      </c>
      <c r="BF163" s="22">
        <f t="shared" si="1519"/>
        <v>0</v>
      </c>
      <c r="BG163" s="22">
        <f>+'QTR Raw'!AA65</f>
        <v>0</v>
      </c>
      <c r="BH163" s="22">
        <f t="shared" si="1520"/>
        <v>0</v>
      </c>
      <c r="BI163" s="22">
        <f>+'QTR Raw'!AC65</f>
        <v>0</v>
      </c>
      <c r="BJ163" s="22">
        <f t="shared" si="1521"/>
        <v>0</v>
      </c>
      <c r="BK163" s="22">
        <f>+'QTR Raw'!AE65</f>
        <v>0</v>
      </c>
      <c r="BL163" s="22">
        <f t="shared" si="1522"/>
        <v>0</v>
      </c>
      <c r="BM163" s="22">
        <f>+'QTR Raw'!AG65</f>
        <v>0</v>
      </c>
      <c r="BN163" s="22">
        <f t="shared" si="1523"/>
        <v>0</v>
      </c>
      <c r="BO163" s="22">
        <f>+'QTR Raw'!AI65</f>
        <v>0</v>
      </c>
      <c r="BP163" s="22">
        <f t="shared" si="1524"/>
        <v>0</v>
      </c>
      <c r="BQ163" s="22">
        <f>+'QTR Raw'!AK65</f>
        <v>0</v>
      </c>
      <c r="BR163" s="22">
        <f t="shared" si="1525"/>
        <v>0</v>
      </c>
      <c r="BS163" s="22">
        <f>+'QTR Raw'!AM65</f>
        <v>0</v>
      </c>
      <c r="BT163" s="22">
        <f t="shared" si="1526"/>
        <v>0</v>
      </c>
      <c r="BU163" s="22">
        <f>+'QTR Raw'!AO65</f>
        <v>0</v>
      </c>
      <c r="BV163" s="22">
        <f t="shared" si="1527"/>
        <v>0</v>
      </c>
      <c r="BW163" s="22">
        <f>+'QTR Raw'!AQ65</f>
        <v>0</v>
      </c>
      <c r="BX163" s="22">
        <f t="shared" si="1528"/>
        <v>0</v>
      </c>
      <c r="BY163" s="22">
        <f>+'QTR Raw'!AS65</f>
        <v>0</v>
      </c>
      <c r="BZ163" s="22">
        <f t="shared" si="1529"/>
        <v>0</v>
      </c>
      <c r="CA163" s="22">
        <f>+'QTR Raw'!AU65</f>
        <v>0</v>
      </c>
      <c r="CB163" s="22">
        <f t="shared" si="1530"/>
        <v>0</v>
      </c>
      <c r="CC163" s="22">
        <f>+'QTR Raw'!AW65</f>
        <v>0</v>
      </c>
      <c r="CD163" s="22">
        <f t="shared" si="1531"/>
        <v>0</v>
      </c>
      <c r="CE163" s="22">
        <f>+'QTR Raw'!AY65</f>
        <v>0</v>
      </c>
      <c r="CF163" s="22">
        <f t="shared" si="1532"/>
        <v>0</v>
      </c>
      <c r="CG163" s="22">
        <f t="shared" si="1533"/>
        <v>0</v>
      </c>
      <c r="CH163" s="22">
        <f t="shared" si="1532"/>
        <v>0</v>
      </c>
      <c r="CI163" s="22">
        <f>+'QTR Raw'!BC65</f>
        <v>0</v>
      </c>
      <c r="CJ163" s="22">
        <f t="shared" si="1532"/>
        <v>0</v>
      </c>
      <c r="CK163" s="22">
        <f>+'QTR Raw'!BE65</f>
        <v>0</v>
      </c>
      <c r="CL163" s="22">
        <f t="shared" si="1532"/>
        <v>0</v>
      </c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D163" s="122"/>
      <c r="DE163" s="22">
        <v>0</v>
      </c>
    </row>
    <row r="164" spans="1:109" s="22" customFormat="1" outlineLevel="1" x14ac:dyDescent="0.2">
      <c r="A164" s="22" t="s">
        <v>68</v>
      </c>
      <c r="B164" s="22">
        <f>'Annual Raw'!C52</f>
        <v>0</v>
      </c>
      <c r="C164" s="22">
        <f>'Annual Raw'!D52</f>
        <v>0</v>
      </c>
      <c r="D164" s="22">
        <f>'Annual Raw'!E52</f>
        <v>0</v>
      </c>
      <c r="E164" s="22">
        <f>'Annual Raw'!F52</f>
        <v>0</v>
      </c>
      <c r="F164" s="22">
        <f>'Annual Raw'!G52</f>
        <v>0</v>
      </c>
      <c r="G164" s="22">
        <f>'Annual Raw'!H52</f>
        <v>0</v>
      </c>
      <c r="H164" s="22">
        <f>'Annual Raw'!I52</f>
        <v>0</v>
      </c>
      <c r="I164" s="22">
        <f>'Annual Raw'!J52</f>
        <v>0</v>
      </c>
      <c r="J164" s="22">
        <f>'Annual Raw'!K52</f>
        <v>0</v>
      </c>
      <c r="K164" s="22">
        <f>'Annual Raw'!L52</f>
        <v>0</v>
      </c>
      <c r="L164" s="22">
        <f>'Annual Raw'!M52</f>
        <v>0</v>
      </c>
      <c r="M164" s="22">
        <f>'Annual Raw'!N52</f>
        <v>19.43</v>
      </c>
      <c r="N164" s="22">
        <f>'Annual Raw'!O52</f>
        <v>22.94</v>
      </c>
      <c r="O164" s="22">
        <f>'Annual Raw'!P52</f>
        <v>20.5</v>
      </c>
      <c r="P164" s="22">
        <f>'Annual Raw'!Q52</f>
        <v>32.9</v>
      </c>
      <c r="Q164" s="22">
        <f>'Annual Raw'!R52</f>
        <v>22.08</v>
      </c>
      <c r="R164" s="22">
        <f>'Annual Raw'!S52</f>
        <v>25.79</v>
      </c>
      <c r="S164" s="22">
        <f>'Annual Raw'!T52</f>
        <v>44.6</v>
      </c>
      <c r="T164" s="22">
        <f>'Annual Raw'!U52</f>
        <v>38.36</v>
      </c>
      <c r="U164" s="22">
        <f>'Annual Raw'!V52</f>
        <v>42.14</v>
      </c>
      <c r="V164" s="22">
        <f>'Annual Raw'!W52</f>
        <v>91.93</v>
      </c>
      <c r="W164" s="22">
        <f>'Annual Raw'!X52</f>
        <v>154.47999999999999</v>
      </c>
      <c r="X164" s="22">
        <f>'Annual Raw'!Y52</f>
        <v>228.08</v>
      </c>
      <c r="Y164" s="22">
        <f>'Annual Raw'!Z52</f>
        <v>233.43</v>
      </c>
      <c r="Z164" s="22">
        <f>'Annual Raw'!AA52</f>
        <v>237.77</v>
      </c>
      <c r="AA164" s="22">
        <f>'Annual Raw'!AB52</f>
        <v>300.33999999999997</v>
      </c>
      <c r="AB164" s="23">
        <f t="shared" si="1504"/>
        <v>0</v>
      </c>
      <c r="AC164" s="23">
        <f t="shared" si="1505"/>
        <v>0</v>
      </c>
      <c r="AD164" s="23">
        <f t="shared" si="1506"/>
        <v>0</v>
      </c>
      <c r="AE164" s="23">
        <f t="shared" si="1507"/>
        <v>0</v>
      </c>
      <c r="AI164" s="22">
        <f>+'QTR Raw'!C66</f>
        <v>13.18</v>
      </c>
      <c r="AJ164" s="22">
        <f t="shared" si="1508"/>
        <v>13.18</v>
      </c>
      <c r="AK164" s="22">
        <f>+'QTR Raw'!E66</f>
        <v>22.94</v>
      </c>
      <c r="AL164" s="22">
        <f t="shared" si="1509"/>
        <v>22.94</v>
      </c>
      <c r="AM164" s="22">
        <f>+'QTR Raw'!G66</f>
        <v>22.04</v>
      </c>
      <c r="AN164" s="22">
        <f t="shared" si="1510"/>
        <v>22.04</v>
      </c>
      <c r="AO164" s="22">
        <f>+'QTR Raw'!I66</f>
        <v>20.5</v>
      </c>
      <c r="AP164" s="22">
        <f t="shared" si="1511"/>
        <v>20.5</v>
      </c>
      <c r="AQ164" s="22">
        <f>+'QTR Raw'!K66</f>
        <v>21.46</v>
      </c>
      <c r="AR164" s="22">
        <f t="shared" si="1512"/>
        <v>21.46</v>
      </c>
      <c r="AS164" s="22">
        <f>+'QTR Raw'!M66</f>
        <v>32.9</v>
      </c>
      <c r="AT164" s="22">
        <f t="shared" si="1513"/>
        <v>32.9</v>
      </c>
      <c r="AU164" s="22">
        <f>+'QTR Raw'!O66</f>
        <v>26.69</v>
      </c>
      <c r="AV164" s="22">
        <f t="shared" si="1514"/>
        <v>26.69</v>
      </c>
      <c r="AW164" s="22">
        <f>+'QTR Raw'!Q66</f>
        <v>22.08</v>
      </c>
      <c r="AX164" s="22">
        <f t="shared" si="1515"/>
        <v>22.08</v>
      </c>
      <c r="AY164" s="22">
        <f>+'QTR Raw'!S66</f>
        <v>20.72</v>
      </c>
      <c r="AZ164" s="22">
        <f t="shared" si="1516"/>
        <v>20.72</v>
      </c>
      <c r="BA164" s="22">
        <f>+'QTR Raw'!U66</f>
        <v>25.79</v>
      </c>
      <c r="BB164" s="22">
        <f t="shared" si="1517"/>
        <v>25.79</v>
      </c>
      <c r="BC164" s="22">
        <f>+'QTR Raw'!W66</f>
        <v>28.24</v>
      </c>
      <c r="BD164" s="22">
        <f t="shared" si="1518"/>
        <v>28.24</v>
      </c>
      <c r="BE164" s="22">
        <f>+'QTR Raw'!Y66</f>
        <v>28.56</v>
      </c>
      <c r="BF164" s="22">
        <f t="shared" si="1519"/>
        <v>28.56</v>
      </c>
      <c r="BG164" s="22">
        <f>+'QTR Raw'!AA66</f>
        <v>27.8</v>
      </c>
      <c r="BH164" s="22">
        <f t="shared" si="1520"/>
        <v>27.8</v>
      </c>
      <c r="BI164" s="22">
        <f>+'QTR Raw'!AC66</f>
        <v>38.36</v>
      </c>
      <c r="BJ164" s="22">
        <f t="shared" si="1521"/>
        <v>38.36</v>
      </c>
      <c r="BK164" s="22">
        <f>+'QTR Raw'!AE66</f>
        <v>35.11</v>
      </c>
      <c r="BL164" s="22">
        <f t="shared" si="1522"/>
        <v>35.11</v>
      </c>
      <c r="BM164" s="22">
        <f>+'QTR Raw'!AG66</f>
        <v>42.14</v>
      </c>
      <c r="BN164" s="22">
        <f t="shared" si="1523"/>
        <v>42.14</v>
      </c>
      <c r="BO164" s="22">
        <f>+'QTR Raw'!AI66</f>
        <v>42.27</v>
      </c>
      <c r="BP164" s="22">
        <f t="shared" si="1524"/>
        <v>42.27</v>
      </c>
      <c r="BQ164" s="22">
        <f>+'QTR Raw'!AK66</f>
        <v>6.13</v>
      </c>
      <c r="BR164" s="22">
        <f t="shared" si="1525"/>
        <v>6.13</v>
      </c>
      <c r="BS164" s="22">
        <f>+'QTR Raw'!AM66</f>
        <v>2.5499999999999998</v>
      </c>
      <c r="BT164" s="22">
        <f t="shared" si="1526"/>
        <v>2.5499999999999998</v>
      </c>
      <c r="BU164" s="22">
        <f>+'QTR Raw'!AO66</f>
        <v>1.17</v>
      </c>
      <c r="BV164" s="22">
        <f t="shared" si="1527"/>
        <v>1.17</v>
      </c>
      <c r="BW164" s="22">
        <f>+'QTR Raw'!AQ66</f>
        <v>1.41</v>
      </c>
      <c r="BX164" s="22">
        <f t="shared" si="1528"/>
        <v>1.41</v>
      </c>
      <c r="BY164" s="22">
        <f>+'QTR Raw'!AS66</f>
        <v>6.08</v>
      </c>
      <c r="BZ164" s="22">
        <f t="shared" si="1529"/>
        <v>6.08</v>
      </c>
      <c r="CA164" s="22">
        <f>+'QTR Raw'!AU66</f>
        <v>1.2</v>
      </c>
      <c r="CB164" s="22">
        <f t="shared" si="1530"/>
        <v>1.2</v>
      </c>
      <c r="CC164" s="22">
        <f>+'QTR Raw'!AW66</f>
        <v>4.4800000000000004</v>
      </c>
      <c r="CD164" s="22">
        <f t="shared" si="1531"/>
        <v>4.4800000000000004</v>
      </c>
      <c r="CE164" s="22">
        <f>+'QTR Raw'!AY66</f>
        <v>4.1900000000000004</v>
      </c>
      <c r="CF164" s="22">
        <f t="shared" si="1532"/>
        <v>4.1900000000000004</v>
      </c>
      <c r="CG164" s="22">
        <f t="shared" si="1533"/>
        <v>237.77</v>
      </c>
      <c r="CH164" s="22">
        <f t="shared" si="1532"/>
        <v>237.77</v>
      </c>
      <c r="CI164" s="22">
        <f>+'QTR Raw'!BC66</f>
        <v>4.0999999999999996</v>
      </c>
      <c r="CJ164" s="22">
        <f t="shared" si="1532"/>
        <v>4.0999999999999996</v>
      </c>
      <c r="CK164" s="22">
        <f>+'QTR Raw'!BE66</f>
        <v>1.36</v>
      </c>
      <c r="CL164" s="22">
        <f t="shared" si="1532"/>
        <v>1.36</v>
      </c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D164" s="122"/>
      <c r="DE164" s="22">
        <v>1.36</v>
      </c>
    </row>
    <row r="165" spans="1:109" s="22" customFormat="1" outlineLevel="1" x14ac:dyDescent="0.2">
      <c r="A165" s="22" t="s">
        <v>69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3">
        <f t="shared" si="1504"/>
        <v>561.07036743710887</v>
      </c>
      <c r="AC165" s="23">
        <f t="shared" si="1505"/>
        <v>655.98258799771588</v>
      </c>
      <c r="AD165" s="23">
        <f t="shared" si="1506"/>
        <v>737.41582798918023</v>
      </c>
      <c r="AE165" s="23">
        <f t="shared" si="1507"/>
        <v>833.91100191982218</v>
      </c>
      <c r="AI165" s="22">
        <f>+'QTR Raw'!C87</f>
        <v>36.909999999999997</v>
      </c>
      <c r="AJ165" s="22">
        <f t="shared" si="1508"/>
        <v>36.909999999999997</v>
      </c>
      <c r="AK165" s="22">
        <f>+'QTR Raw'!E87</f>
        <v>0</v>
      </c>
      <c r="AL165" s="22">
        <f t="shared" si="1509"/>
        <v>0</v>
      </c>
      <c r="AM165" s="22">
        <f>+'QTR Raw'!G87</f>
        <v>239.32</v>
      </c>
      <c r="AN165" s="22">
        <f t="shared" si="1510"/>
        <v>239.32</v>
      </c>
      <c r="AO165" s="22">
        <f>+'QTR Raw'!I87</f>
        <v>0</v>
      </c>
      <c r="AP165" s="22">
        <f t="shared" si="1511"/>
        <v>0</v>
      </c>
      <c r="AQ165" s="22">
        <f>+'QTR Raw'!K87</f>
        <v>0</v>
      </c>
      <c r="AR165" s="22">
        <f t="shared" si="1512"/>
        <v>0</v>
      </c>
      <c r="AS165" s="22">
        <f>+'QTR Raw'!M87</f>
        <v>0</v>
      </c>
      <c r="AT165" s="22">
        <f t="shared" si="1513"/>
        <v>0</v>
      </c>
      <c r="AU165" s="22">
        <f>+'QTR Raw'!O87</f>
        <v>0</v>
      </c>
      <c r="AV165" s="22">
        <f t="shared" si="1514"/>
        <v>0</v>
      </c>
      <c r="AW165" s="22">
        <f>+'QTR Raw'!Q87</f>
        <v>0</v>
      </c>
      <c r="AX165" s="22">
        <f t="shared" si="1515"/>
        <v>0</v>
      </c>
      <c r="AY165" s="22">
        <f>+'QTR Raw'!S87</f>
        <v>0</v>
      </c>
      <c r="AZ165" s="22">
        <f t="shared" si="1516"/>
        <v>0</v>
      </c>
      <c r="BA165" s="22">
        <f>+'QTR Raw'!U87</f>
        <v>0</v>
      </c>
      <c r="BB165" s="22">
        <f t="shared" si="1517"/>
        <v>0</v>
      </c>
      <c r="BC165" s="22">
        <f>+'QTR Raw'!W87</f>
        <v>0</v>
      </c>
      <c r="BD165" s="22">
        <f t="shared" si="1518"/>
        <v>0</v>
      </c>
      <c r="BE165" s="22">
        <f>+'QTR Raw'!Y87</f>
        <v>0</v>
      </c>
      <c r="BF165" s="22">
        <f t="shared" si="1519"/>
        <v>0</v>
      </c>
      <c r="BG165" s="22">
        <f>+'QTR Raw'!AA87</f>
        <v>0</v>
      </c>
      <c r="BH165" s="22">
        <f t="shared" si="1520"/>
        <v>0</v>
      </c>
      <c r="BI165" s="22">
        <f>+'QTR Raw'!AC87</f>
        <v>0</v>
      </c>
      <c r="BJ165" s="22">
        <f t="shared" si="1521"/>
        <v>0</v>
      </c>
      <c r="BK165" s="22">
        <f>+'QTR Raw'!AE87</f>
        <v>0</v>
      </c>
      <c r="BL165" s="22">
        <f t="shared" si="1522"/>
        <v>0</v>
      </c>
      <c r="BM165" s="22">
        <f>+'QTR Raw'!AG87</f>
        <v>0</v>
      </c>
      <c r="BN165" s="22">
        <f t="shared" si="1523"/>
        <v>0</v>
      </c>
      <c r="BO165" s="22">
        <f>+'QTR Raw'!AI87</f>
        <v>0</v>
      </c>
      <c r="BP165" s="22">
        <f t="shared" si="1524"/>
        <v>0</v>
      </c>
      <c r="BQ165" s="22">
        <f>+'QTR Raw'!AK87</f>
        <v>0</v>
      </c>
      <c r="BR165" s="22">
        <f t="shared" si="1525"/>
        <v>0</v>
      </c>
      <c r="BS165" s="22">
        <f>+'QTR Raw'!AM87</f>
        <v>0</v>
      </c>
      <c r="BT165" s="22">
        <f t="shared" si="1526"/>
        <v>0</v>
      </c>
      <c r="BU165" s="22">
        <f>+'QTR Raw'!AO87</f>
        <v>0</v>
      </c>
      <c r="BV165" s="22">
        <f t="shared" si="1527"/>
        <v>0</v>
      </c>
      <c r="BW165" s="22">
        <f>+'QTR Raw'!AQ87</f>
        <v>0</v>
      </c>
      <c r="BX165" s="22">
        <f t="shared" si="1528"/>
        <v>0</v>
      </c>
      <c r="BY165" s="22">
        <f>+'QTR Raw'!AS87</f>
        <v>0</v>
      </c>
      <c r="BZ165" s="22">
        <f t="shared" si="1529"/>
        <v>0</v>
      </c>
      <c r="CA165" s="22">
        <f>+'QTR Raw'!AU87</f>
        <v>0</v>
      </c>
      <c r="CB165" s="22">
        <f t="shared" si="1530"/>
        <v>0</v>
      </c>
      <c r="CC165" s="22">
        <f>+'QTR Raw'!AW87</f>
        <v>0</v>
      </c>
      <c r="CD165" s="22">
        <f t="shared" si="1531"/>
        <v>0</v>
      </c>
      <c r="CE165" s="22">
        <f>+'QTR Raw'!AY87</f>
        <v>0</v>
      </c>
      <c r="CF165" s="22">
        <f t="shared" si="1532"/>
        <v>0</v>
      </c>
      <c r="CG165" s="22">
        <f t="shared" si="1533"/>
        <v>0</v>
      </c>
      <c r="CH165" s="22">
        <f t="shared" si="1532"/>
        <v>0</v>
      </c>
      <c r="CI165" s="22">
        <f>+'QTR Raw'!BC87</f>
        <v>0</v>
      </c>
      <c r="CJ165" s="22">
        <f t="shared" si="1532"/>
        <v>0</v>
      </c>
      <c r="CK165" s="22">
        <f>+'QTR Raw'!BE87</f>
        <v>0</v>
      </c>
      <c r="CL165" s="22">
        <f t="shared" si="1532"/>
        <v>0</v>
      </c>
      <c r="CM165" s="23">
        <f t="shared" ref="CM165:DA165" si="1534">CM23/90*CM197</f>
        <v>472.19476447666443</v>
      </c>
      <c r="CN165" s="23">
        <f t="shared" si="1534"/>
        <v>496.79085503166232</v>
      </c>
      <c r="CO165" s="23">
        <f t="shared" si="1534"/>
        <v>561.07036743710887</v>
      </c>
      <c r="CP165" s="23">
        <f t="shared" si="1534"/>
        <v>531.89384108926038</v>
      </c>
      <c r="CQ165" s="23">
        <f t="shared" si="1534"/>
        <v>549.6417761242767</v>
      </c>
      <c r="CR165" s="23">
        <f t="shared" si="1534"/>
        <v>581.65715944964211</v>
      </c>
      <c r="CS165" s="23">
        <f t="shared" si="1534"/>
        <v>655.98258799771588</v>
      </c>
      <c r="CT165" s="23">
        <f t="shared" si="1534"/>
        <v>601.29003221864195</v>
      </c>
      <c r="CU165" s="23">
        <f t="shared" si="1534"/>
        <v>617.77267809839771</v>
      </c>
      <c r="CV165" s="23">
        <f t="shared" si="1534"/>
        <v>655.98873572866069</v>
      </c>
      <c r="CW165" s="23">
        <f t="shared" si="1534"/>
        <v>737.41582798918023</v>
      </c>
      <c r="CX165" s="23">
        <f t="shared" si="1534"/>
        <v>680.44670992008582</v>
      </c>
      <c r="CY165" s="23">
        <f t="shared" si="1534"/>
        <v>695.92664698082081</v>
      </c>
      <c r="CZ165" s="23">
        <f t="shared" si="1534"/>
        <v>742.26457014324171</v>
      </c>
      <c r="DA165" s="23">
        <f t="shared" si="1534"/>
        <v>833.91100191982218</v>
      </c>
      <c r="DD165" s="122"/>
      <c r="DE165" s="22">
        <v>0</v>
      </c>
    </row>
    <row r="166" spans="1:109" s="22" customFormat="1" outlineLevel="1" x14ac:dyDescent="0.2">
      <c r="A166" s="22" t="s">
        <v>70</v>
      </c>
      <c r="B166" s="22">
        <f>'Annual Raw'!C54</f>
        <v>0</v>
      </c>
      <c r="C166" s="22">
        <f>'Annual Raw'!D54</f>
        <v>0</v>
      </c>
      <c r="D166" s="22">
        <f>'Annual Raw'!E54</f>
        <v>46.42</v>
      </c>
      <c r="E166" s="22">
        <f>'Annual Raw'!F54</f>
        <v>45.33</v>
      </c>
      <c r="F166" s="22">
        <f>'Annual Raw'!G54</f>
        <v>54.91</v>
      </c>
      <c r="G166" s="22">
        <f>'Annual Raw'!H54</f>
        <v>64.239999999999995</v>
      </c>
      <c r="H166" s="22">
        <f>'Annual Raw'!I54</f>
        <v>86.34</v>
      </c>
      <c r="I166" s="22">
        <f>'Annual Raw'!J54</f>
        <v>99.95</v>
      </c>
      <c r="J166" s="22">
        <f>'Annual Raw'!K54</f>
        <v>115.05</v>
      </c>
      <c r="K166" s="22">
        <f>'Annual Raw'!L54</f>
        <v>121.44</v>
      </c>
      <c r="L166" s="22">
        <f>'Annual Raw'!M54</f>
        <v>177.17</v>
      </c>
      <c r="M166" s="22">
        <f>'Annual Raw'!N54</f>
        <v>175.4</v>
      </c>
      <c r="N166" s="22">
        <f>'Annual Raw'!O54</f>
        <v>178.61</v>
      </c>
      <c r="O166" s="22">
        <f>'Annual Raw'!P54</f>
        <v>240.47</v>
      </c>
      <c r="P166" s="22">
        <f>'Annual Raw'!Q54</f>
        <v>216.06</v>
      </c>
      <c r="Q166" s="22">
        <f>'Annual Raw'!R54</f>
        <v>240.48</v>
      </c>
      <c r="R166" s="22">
        <f>'Annual Raw'!S54</f>
        <v>271</v>
      </c>
      <c r="S166" s="22">
        <f>'Annual Raw'!T54</f>
        <v>593.53</v>
      </c>
      <c r="T166" s="22">
        <f>'Annual Raw'!U54</f>
        <v>787.8</v>
      </c>
      <c r="U166" s="22">
        <f>'Annual Raw'!V54</f>
        <v>499.15</v>
      </c>
      <c r="V166" s="22">
        <f>'Annual Raw'!W54</f>
        <v>768.66</v>
      </c>
      <c r="W166" s="22">
        <f>'Annual Raw'!X54</f>
        <v>964.51</v>
      </c>
      <c r="X166" s="22">
        <f>'Annual Raw'!Y54</f>
        <v>1111.73</v>
      </c>
      <c r="Y166" s="22">
        <f>'Annual Raw'!Z54</f>
        <v>1055.1400000000001</v>
      </c>
      <c r="Z166" s="22">
        <f>'Annual Raw'!AA54</f>
        <v>1128.08</v>
      </c>
      <c r="AA166" s="22">
        <f>'Annual Raw'!AB54</f>
        <v>1682.58</v>
      </c>
      <c r="AB166" s="23">
        <f t="shared" si="1504"/>
        <v>1977.1128429369626</v>
      </c>
      <c r="AC166" s="23">
        <f t="shared" si="1505"/>
        <v>2311.5667387632748</v>
      </c>
      <c r="AD166" s="23">
        <f t="shared" si="1506"/>
        <v>2598.5230885782362</v>
      </c>
      <c r="AE166" s="23">
        <f t="shared" si="1507"/>
        <v>2938.5550323987109</v>
      </c>
      <c r="AI166" s="22">
        <f>+'QTR Raw'!C89</f>
        <v>0</v>
      </c>
      <c r="AJ166" s="22">
        <f>+AJ196*AJ23/90</f>
        <v>0</v>
      </c>
      <c r="AK166" s="22">
        <f>+'QTR Raw'!E89</f>
        <v>178.61</v>
      </c>
      <c r="AL166" s="22">
        <f>+AL196*AL23/90</f>
        <v>171.14390441345932</v>
      </c>
      <c r="AM166" s="22">
        <f>+'QTR Raw'!G89</f>
        <v>0</v>
      </c>
      <c r="AN166" s="22">
        <f>+AN196*AN23/90</f>
        <v>0</v>
      </c>
      <c r="AO166" s="22">
        <f>+'QTR Raw'!I89</f>
        <v>240.47</v>
      </c>
      <c r="AP166" s="22">
        <f>+AP196*AP23/90</f>
        <v>244.65235241843342</v>
      </c>
      <c r="AQ166" s="22">
        <f>+'QTR Raw'!K89</f>
        <v>209.09</v>
      </c>
      <c r="AR166" s="22">
        <f>+AR196*AR23/90</f>
        <v>218.9155274778569</v>
      </c>
      <c r="AS166" s="22">
        <f>+'QTR Raw'!M89</f>
        <v>216.06</v>
      </c>
      <c r="AT166" s="22">
        <f>+AT196*AT23/90</f>
        <v>205.76759580908035</v>
      </c>
      <c r="AU166" s="22">
        <f>+'QTR Raw'!O89</f>
        <v>236.97</v>
      </c>
      <c r="AV166" s="22">
        <f>+AV196*AV23/90</f>
        <v>240.36452999166897</v>
      </c>
      <c r="AW166" s="22">
        <f>+'QTR Raw'!Q89</f>
        <v>240.48</v>
      </c>
      <c r="AX166" s="22">
        <f>+AX196*AX23/90</f>
        <v>223.14226537216825</v>
      </c>
      <c r="AY166" s="22">
        <f>+'QTR Raw'!S89</f>
        <v>260.08999999999997</v>
      </c>
      <c r="AZ166" s="22">
        <f>+AZ196*AZ23/90</f>
        <v>253.15940837297421</v>
      </c>
      <c r="BA166" s="22">
        <f>+'QTR Raw'!U89</f>
        <v>271</v>
      </c>
      <c r="BB166" s="22">
        <f>+BB196*BB23/90</f>
        <v>250.1521773935319</v>
      </c>
      <c r="BC166" s="22">
        <f>+'QTR Raw'!W89</f>
        <v>253.24</v>
      </c>
      <c r="BD166" s="22">
        <f>+BD196*BD23/90</f>
        <v>513.29986797214087</v>
      </c>
      <c r="BE166" s="22">
        <f>+'QTR Raw'!Y89</f>
        <v>286.79000000000002</v>
      </c>
      <c r="BF166" s="22">
        <f>+BF196*BF23/90</f>
        <v>304.03651754875199</v>
      </c>
      <c r="BG166" s="22">
        <f>+'QTR Raw'!AA89</f>
        <v>378.04</v>
      </c>
      <c r="BH166" s="22">
        <f>+BH196*BH23/90</f>
        <v>409.38585388908081</v>
      </c>
      <c r="BI166" s="22">
        <f>+'QTR Raw'!AC89</f>
        <v>787.8</v>
      </c>
      <c r="BJ166" s="22">
        <f>+BJ196*BJ23/90</f>
        <v>778.50277925296507</v>
      </c>
      <c r="BK166" s="22">
        <f>+'QTR Raw'!AE89</f>
        <v>664.32</v>
      </c>
      <c r="BL166" s="22">
        <f>+BL196*BL23/90</f>
        <v>615.81815563714531</v>
      </c>
      <c r="BM166" s="22">
        <f>+'QTR Raw'!AG89</f>
        <v>499.15</v>
      </c>
      <c r="BN166" s="22">
        <f>+BN196*BN23/90</f>
        <v>447.17236485378248</v>
      </c>
      <c r="BO166" s="22">
        <f>+'QTR Raw'!AI89</f>
        <v>484.09</v>
      </c>
      <c r="BP166" s="22">
        <f>+BP196*BP23/90</f>
        <v>1236.0906363926358</v>
      </c>
      <c r="BQ166" s="22">
        <f>+'QTR Raw'!AK89</f>
        <v>768.66</v>
      </c>
      <c r="BR166" s="22">
        <f>+BR196*BR23/90</f>
        <v>794.63864057090359</v>
      </c>
      <c r="BS166" s="22">
        <f>+'QTR Raw'!AM89</f>
        <v>932.78</v>
      </c>
      <c r="BT166" s="22">
        <f>+BT196*BT23/90</f>
        <v>1125.4733775113755</v>
      </c>
      <c r="BU166" s="22">
        <f>+'QTR Raw'!AO89</f>
        <v>932.89</v>
      </c>
      <c r="BV166" s="22">
        <f>+BV196*BV23/90</f>
        <v>960.01523345281703</v>
      </c>
      <c r="BW166" s="22">
        <f>+'QTR Raw'!AQ89</f>
        <v>1161.7</v>
      </c>
      <c r="BX166" s="22">
        <f>+BX196*BX23/90</f>
        <v>1166.7484724072669</v>
      </c>
      <c r="BY166" s="22">
        <f>+'QTR Raw'!AS89</f>
        <v>1111.73</v>
      </c>
      <c r="BZ166" s="22">
        <f>+BZ196*BZ23/90</f>
        <v>1049.1450492296547</v>
      </c>
      <c r="CA166" s="22">
        <f>+'QTR Raw'!AU89</f>
        <v>1146.31</v>
      </c>
      <c r="CB166" s="22">
        <f>+CB196*CB23/90</f>
        <v>1161.6389210229943</v>
      </c>
      <c r="CC166" s="22">
        <f>+'QTR Raw'!AW89</f>
        <v>1055.1400000000001</v>
      </c>
      <c r="CD166" s="22">
        <f>+CD196*CD23/90</f>
        <v>1054.3407154783818</v>
      </c>
      <c r="CE166" s="22">
        <f>+'QTR Raw'!AY89</f>
        <v>1350.7</v>
      </c>
      <c r="CF166" s="22">
        <f>+CF196*CF23/90</f>
        <v>1356.7968830096256</v>
      </c>
      <c r="CG166" s="22">
        <f t="shared" si="1533"/>
        <v>1128.08</v>
      </c>
      <c r="CH166" s="22">
        <f>+CH196*CH23/90</f>
        <v>1148.3331146128853</v>
      </c>
      <c r="CI166" s="22">
        <f>+'QTR Raw'!BC89</f>
        <v>1459.92</v>
      </c>
      <c r="CJ166" s="22">
        <f>+CJ196*CJ23/90</f>
        <v>1510.8430402237532</v>
      </c>
      <c r="CK166" s="22">
        <f>+'QTR Raw'!BE89</f>
        <v>1682.58</v>
      </c>
      <c r="CL166" s="22">
        <f>+CL196*CL23/90</f>
        <v>1604.5411860120121</v>
      </c>
      <c r="CM166" s="23">
        <f t="shared" ref="CM166:DA166" si="1535">+CM196*CM23/90</f>
        <v>1663.9309209625185</v>
      </c>
      <c r="CN166" s="23">
        <f t="shared" si="1535"/>
        <v>1750.6031983534249</v>
      </c>
      <c r="CO166" s="23">
        <f t="shared" si="1535"/>
        <v>1977.1128429369626</v>
      </c>
      <c r="CP166" s="23">
        <f t="shared" si="1535"/>
        <v>1874.2999190997643</v>
      </c>
      <c r="CQ166" s="23">
        <f t="shared" si="1535"/>
        <v>1936.8405063947705</v>
      </c>
      <c r="CR166" s="23">
        <f t="shared" si="1535"/>
        <v>2049.6570606413729</v>
      </c>
      <c r="CS166" s="23">
        <f t="shared" si="1535"/>
        <v>2311.5667387632748</v>
      </c>
      <c r="CT166" s="23">
        <f t="shared" si="1535"/>
        <v>2118.8398354734231</v>
      </c>
      <c r="CU166" s="23">
        <f t="shared" si="1535"/>
        <v>2176.9217673410867</v>
      </c>
      <c r="CV166" s="23">
        <f t="shared" si="1535"/>
        <v>2311.5884022809214</v>
      </c>
      <c r="CW166" s="23">
        <f t="shared" si="1535"/>
        <v>2598.5230885782362</v>
      </c>
      <c r="CX166" s="23">
        <f t="shared" si="1535"/>
        <v>2397.7739820094885</v>
      </c>
      <c r="CY166" s="23">
        <f t="shared" si="1535"/>
        <v>2452.3225451610892</v>
      </c>
      <c r="CZ166" s="23">
        <f t="shared" si="1535"/>
        <v>2615.6091992361107</v>
      </c>
      <c r="DA166" s="23">
        <f t="shared" si="1535"/>
        <v>2938.5550323987109</v>
      </c>
      <c r="DD166" s="122"/>
      <c r="DE166" s="22">
        <v>1682.58</v>
      </c>
    </row>
    <row r="167" spans="1:109" s="22" customFormat="1" outlineLevel="1" x14ac:dyDescent="0.2">
      <c r="A167" s="22" t="s">
        <v>71</v>
      </c>
      <c r="B167" s="22">
        <f>'Annual Raw'!C55-Template!B139</f>
        <v>0</v>
      </c>
      <c r="C167" s="22">
        <f>'Annual Raw'!D55-Template!C139</f>
        <v>0</v>
      </c>
      <c r="D167" s="22">
        <f>'Annual Raw'!E55-Template!D139</f>
        <v>1.77</v>
      </c>
      <c r="E167" s="22">
        <f>'Annual Raw'!F55-Template!E139</f>
        <v>2.77</v>
      </c>
      <c r="F167" s="22">
        <f>'Annual Raw'!G55-Template!F139</f>
        <v>1.43</v>
      </c>
      <c r="G167" s="22">
        <f>'Annual Raw'!H55-Template!G139</f>
        <v>1.45</v>
      </c>
      <c r="H167" s="22">
        <f>'Annual Raw'!I55-Template!H139</f>
        <v>1.55</v>
      </c>
      <c r="I167" s="22">
        <f>'Annual Raw'!J55-Template!I139</f>
        <v>1.69</v>
      </c>
      <c r="J167" s="22">
        <f>'Annual Raw'!K55-Template!J139</f>
        <v>1.63</v>
      </c>
      <c r="K167" s="22">
        <f>'Annual Raw'!L55-Template!K139</f>
        <v>1.65</v>
      </c>
      <c r="L167" s="22">
        <f>'Annual Raw'!M55-Template!L139</f>
        <v>1.70999999999999</v>
      </c>
      <c r="M167" s="22">
        <f>'Annual Raw'!N55-Template!M139</f>
        <v>45.22</v>
      </c>
      <c r="N167" s="22">
        <f>'Annual Raw'!O55-Template!N139</f>
        <v>41.77</v>
      </c>
      <c r="O167" s="22">
        <f>'Annual Raw'!P55-Template!O139</f>
        <v>48.85</v>
      </c>
      <c r="P167" s="22">
        <f>'Annual Raw'!Q55-Template!P139</f>
        <v>42</v>
      </c>
      <c r="Q167" s="22">
        <f>'Annual Raw'!R55-Template!Q139</f>
        <v>69.040000000000006</v>
      </c>
      <c r="R167" s="22">
        <f>'Annual Raw'!S55-Template!R139</f>
        <v>75.489999999999995</v>
      </c>
      <c r="S167" s="22">
        <f>'Annual Raw'!T55-Template!S139</f>
        <v>132.55000000000001</v>
      </c>
      <c r="T167" s="22">
        <f>'Annual Raw'!U55-Template!T139</f>
        <v>146.56</v>
      </c>
      <c r="U167" s="22">
        <f>'Annual Raw'!V55-Template!U139</f>
        <v>116.85</v>
      </c>
      <c r="V167" s="22">
        <f>'Annual Raw'!W55-Template!V139</f>
        <v>127.94</v>
      </c>
      <c r="W167" s="22">
        <f>'Annual Raw'!X55-Template!W139</f>
        <v>135.68</v>
      </c>
      <c r="X167" s="22">
        <f>'Annual Raw'!Y55-Template!X139</f>
        <v>200.28</v>
      </c>
      <c r="Y167" s="22">
        <f>'Annual Raw'!Z55-Template!Y139</f>
        <v>267.56</v>
      </c>
      <c r="Z167" s="22">
        <f>'Annual Raw'!AA55-Template!Z139</f>
        <v>256.95999999999998</v>
      </c>
      <c r="AA167" s="22">
        <f>'Annual Raw'!AB55-Template!AA139</f>
        <v>282.58</v>
      </c>
      <c r="AB167" s="23">
        <f t="shared" si="1504"/>
        <v>0</v>
      </c>
      <c r="AC167" s="23">
        <f t="shared" si="1505"/>
        <v>0</v>
      </c>
      <c r="AD167" s="23">
        <f t="shared" si="1506"/>
        <v>0</v>
      </c>
      <c r="AE167" s="23">
        <f t="shared" si="1507"/>
        <v>0</v>
      </c>
      <c r="AI167" s="22">
        <f>+'QTR Raw'!C91</f>
        <v>0</v>
      </c>
      <c r="AJ167" s="22">
        <f t="shared" ref="AJ167:AJ168" si="1536">+AI167</f>
        <v>0</v>
      </c>
      <c r="AK167" s="22">
        <f>+'QTR Raw'!E91</f>
        <v>41.77</v>
      </c>
      <c r="AL167" s="22">
        <f t="shared" ref="AL167:AL168" si="1537">+AK167</f>
        <v>41.77</v>
      </c>
      <c r="AM167" s="22">
        <f>+'QTR Raw'!G91</f>
        <v>0</v>
      </c>
      <c r="AN167" s="22">
        <f t="shared" ref="AN167:AN168" si="1538">+AM167</f>
        <v>0</v>
      </c>
      <c r="AO167" s="22">
        <f>+'QTR Raw'!I91</f>
        <v>48.85</v>
      </c>
      <c r="AP167" s="22">
        <f t="shared" ref="AP167:AP168" si="1539">+AO167</f>
        <v>48.85</v>
      </c>
      <c r="AQ167" s="22">
        <f>+'QTR Raw'!K91</f>
        <v>48.01</v>
      </c>
      <c r="AR167" s="22">
        <f t="shared" ref="AR167:AR168" si="1540">+AQ167</f>
        <v>48.01</v>
      </c>
      <c r="AS167" s="22">
        <f>+'QTR Raw'!M91</f>
        <v>42</v>
      </c>
      <c r="AT167" s="22">
        <f t="shared" ref="AT167:AT168" si="1541">+AS167</f>
        <v>42</v>
      </c>
      <c r="AU167" s="22">
        <f>+'QTR Raw'!O91</f>
        <v>69.25</v>
      </c>
      <c r="AV167" s="22">
        <f t="shared" ref="AV167:AV168" si="1542">+AU167</f>
        <v>69.25</v>
      </c>
      <c r="AW167" s="22">
        <f>+'QTR Raw'!Q91</f>
        <v>69.040000000000006</v>
      </c>
      <c r="AX167" s="22">
        <f t="shared" ref="AX167:AX168" si="1543">+AW167</f>
        <v>69.040000000000006</v>
      </c>
      <c r="AY167" s="22">
        <f>+'QTR Raw'!S91</f>
        <v>57.4</v>
      </c>
      <c r="AZ167" s="22">
        <f t="shared" ref="AZ167:AZ168" si="1544">+AY167</f>
        <v>57.4</v>
      </c>
      <c r="BA167" s="22">
        <f>+'QTR Raw'!U91</f>
        <v>75.489999999999995</v>
      </c>
      <c r="BB167" s="22">
        <f t="shared" ref="BB167:BB168" si="1545">+BA167</f>
        <v>75.489999999999995</v>
      </c>
      <c r="BC167" s="22">
        <f>+'QTR Raw'!W91</f>
        <v>71.92</v>
      </c>
      <c r="BD167" s="22">
        <f t="shared" ref="BD167:BD168" si="1546">+BC167</f>
        <v>71.92</v>
      </c>
      <c r="BE167" s="22">
        <f>+'QTR Raw'!Y91</f>
        <v>74.11</v>
      </c>
      <c r="BF167" s="22">
        <f t="shared" ref="BF167:BF168" si="1547">+BE167</f>
        <v>74.11</v>
      </c>
      <c r="BG167" s="22">
        <f>+'QTR Raw'!AA91</f>
        <v>77.8</v>
      </c>
      <c r="BH167" s="22">
        <f t="shared" ref="BH167:BH168" si="1548">+BG167</f>
        <v>77.8</v>
      </c>
      <c r="BI167" s="22">
        <f>+'QTR Raw'!AC91</f>
        <v>161.30000000000001</v>
      </c>
      <c r="BJ167" s="22">
        <f t="shared" ref="BJ167:BJ168" si="1549">+BI167</f>
        <v>161.30000000000001</v>
      </c>
      <c r="BK167" s="22">
        <f>+'QTR Raw'!AE91</f>
        <v>111.25</v>
      </c>
      <c r="BL167" s="22">
        <f t="shared" ref="BL167:BL168" si="1550">+BK167</f>
        <v>111.25</v>
      </c>
      <c r="BM167" s="22">
        <f>+'QTR Raw'!AG91</f>
        <v>119.81</v>
      </c>
      <c r="BN167" s="22">
        <f t="shared" ref="BN167:BN168" si="1551">+BM167</f>
        <v>119.81</v>
      </c>
      <c r="BO167" s="22">
        <f>+'QTR Raw'!AI91</f>
        <v>237.71</v>
      </c>
      <c r="BP167" s="22">
        <f t="shared" ref="BP167:BP168" si="1552">+BO167</f>
        <v>237.71</v>
      </c>
      <c r="BQ167" s="22">
        <f>+'QTR Raw'!AK91</f>
        <v>129.19</v>
      </c>
      <c r="BR167" s="22">
        <f t="shared" ref="BR167:BR168" si="1553">+BQ167</f>
        <v>129.19</v>
      </c>
      <c r="BS167" s="22">
        <f>+'QTR Raw'!AM91</f>
        <v>126.91</v>
      </c>
      <c r="BT167" s="22">
        <f t="shared" ref="BT167:BT168" si="1554">+BS167</f>
        <v>126.91</v>
      </c>
      <c r="BU167" s="22">
        <f>+'QTR Raw'!AO91</f>
        <v>187.74</v>
      </c>
      <c r="BV167" s="22">
        <f t="shared" ref="BV167:BV168" si="1555">+BU167</f>
        <v>187.74</v>
      </c>
      <c r="BW167" s="22">
        <f>+'QTR Raw'!AQ91</f>
        <v>174.03</v>
      </c>
      <c r="BX167" s="22">
        <f t="shared" ref="BX167:BX168" si="1556">+BW167</f>
        <v>174.03</v>
      </c>
      <c r="BY167" s="22">
        <f>+'QTR Raw'!AS91</f>
        <v>208.34</v>
      </c>
      <c r="BZ167" s="22">
        <f t="shared" ref="BZ167:BZ168" si="1557">+BY167</f>
        <v>208.34</v>
      </c>
      <c r="CA167" s="22">
        <f>+'QTR Raw'!AU91</f>
        <v>212.1</v>
      </c>
      <c r="CB167" s="22">
        <f t="shared" ref="CB167:CB168" si="1558">+CA167</f>
        <v>212.1</v>
      </c>
      <c r="CC167" s="22">
        <f>+'QTR Raw'!AW91</f>
        <v>281.44</v>
      </c>
      <c r="CD167" s="22">
        <f t="shared" ref="CD167:CD168" si="1559">+CC167</f>
        <v>281.44</v>
      </c>
      <c r="CE167" s="22">
        <f>+'QTR Raw'!AY91</f>
        <v>288.68</v>
      </c>
      <c r="CF167" s="22">
        <f t="shared" si="1532"/>
        <v>288.68</v>
      </c>
      <c r="CG167" s="22">
        <f t="shared" si="1533"/>
        <v>256.95999999999998</v>
      </c>
      <c r="CH167" s="22">
        <f t="shared" si="1532"/>
        <v>256.95999999999998</v>
      </c>
      <c r="CI167" s="22">
        <f>+'QTR Raw'!BC91</f>
        <v>279.39999999999998</v>
      </c>
      <c r="CJ167" s="22">
        <f t="shared" si="1532"/>
        <v>279.39999999999998</v>
      </c>
      <c r="CK167" s="22">
        <f>+'QTR Raw'!BE91</f>
        <v>320.07</v>
      </c>
      <c r="CL167" s="22">
        <f t="shared" si="1532"/>
        <v>320.07</v>
      </c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  <c r="DE167" s="22">
        <v>320.07</v>
      </c>
    </row>
    <row r="168" spans="1:109" s="22" customFormat="1" outlineLevel="1" x14ac:dyDescent="0.2">
      <c r="A168" s="22" t="s">
        <v>72</v>
      </c>
      <c r="B168" s="22">
        <f>'Annual Raw'!C57</f>
        <v>0</v>
      </c>
      <c r="C168" s="22">
        <f>'Annual Raw'!D57</f>
        <v>0</v>
      </c>
      <c r="D168" s="22">
        <f>'Annual Raw'!E57</f>
        <v>13.22</v>
      </c>
      <c r="E168" s="22">
        <f>'Annual Raw'!F57</f>
        <v>16.52</v>
      </c>
      <c r="F168" s="22">
        <f>'Annual Raw'!G57</f>
        <v>13.78</v>
      </c>
      <c r="G168" s="22">
        <f>'Annual Raw'!H57</f>
        <v>16.829999999999998</v>
      </c>
      <c r="H168" s="22">
        <f>'Annual Raw'!I57</f>
        <v>16.71</v>
      </c>
      <c r="I168" s="22">
        <f>'Annual Raw'!J57</f>
        <v>17.059999999999999</v>
      </c>
      <c r="J168" s="22">
        <f>'Annual Raw'!K57</f>
        <v>21.76</v>
      </c>
      <c r="K168" s="22">
        <f>'Annual Raw'!L57</f>
        <v>20.36</v>
      </c>
      <c r="L168" s="22">
        <f>'Annual Raw'!M57</f>
        <v>22.29</v>
      </c>
      <c r="M168" s="22">
        <f>'Annual Raw'!N57</f>
        <v>22.1</v>
      </c>
      <c r="N168" s="22">
        <f>'Annual Raw'!O57</f>
        <v>12.88</v>
      </c>
      <c r="O168" s="22">
        <f>'Annual Raw'!P57</f>
        <v>14.88</v>
      </c>
      <c r="P168" s="22">
        <f>'Annual Raw'!Q57</f>
        <v>18.82</v>
      </c>
      <c r="Q168" s="22">
        <f>'Annual Raw'!R57</f>
        <v>24.41</v>
      </c>
      <c r="R168" s="22">
        <f>'Annual Raw'!S57</f>
        <v>5</v>
      </c>
      <c r="S168" s="22">
        <f>'Annual Raw'!T57</f>
        <v>14.15</v>
      </c>
      <c r="T168" s="22">
        <f>'Annual Raw'!U57</f>
        <v>29.8</v>
      </c>
      <c r="U168" s="22">
        <f>'Annual Raw'!V57</f>
        <v>21.58</v>
      </c>
      <c r="V168" s="22">
        <f>'Annual Raw'!W57</f>
        <v>61.04</v>
      </c>
      <c r="W168" s="22">
        <f>'Annual Raw'!X57</f>
        <v>87.03</v>
      </c>
      <c r="X168" s="22">
        <f>'Annual Raw'!Y57</f>
        <v>65.88</v>
      </c>
      <c r="Y168" s="22">
        <f>'Annual Raw'!Z57</f>
        <v>82.45</v>
      </c>
      <c r="Z168" s="22">
        <f>'Annual Raw'!AA57</f>
        <v>103</v>
      </c>
      <c r="AA168" s="22">
        <f>'Annual Raw'!AB57</f>
        <v>143.21</v>
      </c>
      <c r="AB168" s="23">
        <f t="shared" si="1504"/>
        <v>0</v>
      </c>
      <c r="AC168" s="23">
        <f t="shared" si="1505"/>
        <v>0</v>
      </c>
      <c r="AD168" s="23">
        <f t="shared" si="1506"/>
        <v>0</v>
      </c>
      <c r="AE168" s="23">
        <f t="shared" si="1507"/>
        <v>0</v>
      </c>
      <c r="AI168" s="22">
        <f>+'QTR Raw'!C92</f>
        <v>43.91</v>
      </c>
      <c r="AJ168" s="22">
        <f t="shared" si="1536"/>
        <v>43.91</v>
      </c>
      <c r="AK168" s="22">
        <f>+'QTR Raw'!E92</f>
        <v>12.88</v>
      </c>
      <c r="AL168" s="22">
        <f t="shared" si="1537"/>
        <v>12.88</v>
      </c>
      <c r="AM168" s="22">
        <f>+'QTR Raw'!G92</f>
        <v>9.1999999999999993</v>
      </c>
      <c r="AN168" s="22">
        <f t="shared" si="1538"/>
        <v>9.1999999999999993</v>
      </c>
      <c r="AO168" s="22">
        <f>+'QTR Raw'!I92</f>
        <v>14.88</v>
      </c>
      <c r="AP168" s="22">
        <f t="shared" si="1539"/>
        <v>14.88</v>
      </c>
      <c r="AQ168" s="22">
        <f>+'QTR Raw'!K92</f>
        <v>16.920000000000002</v>
      </c>
      <c r="AR168" s="22">
        <f t="shared" si="1540"/>
        <v>16.920000000000002</v>
      </c>
      <c r="AS168" s="22">
        <f>+'QTR Raw'!M92</f>
        <v>18.82</v>
      </c>
      <c r="AT168" s="22">
        <f t="shared" si="1541"/>
        <v>18.82</v>
      </c>
      <c r="AU168" s="22">
        <f>+'QTR Raw'!O92</f>
        <v>21.95</v>
      </c>
      <c r="AV168" s="22">
        <f t="shared" si="1542"/>
        <v>21.95</v>
      </c>
      <c r="AW168" s="22">
        <f>+'QTR Raw'!Q92</f>
        <v>24.41</v>
      </c>
      <c r="AX168" s="22">
        <f t="shared" si="1543"/>
        <v>24.41</v>
      </c>
      <c r="AY168" s="22">
        <f>+'QTR Raw'!S92</f>
        <v>15.56</v>
      </c>
      <c r="AZ168" s="22">
        <f t="shared" si="1544"/>
        <v>15.56</v>
      </c>
      <c r="BA168" s="22">
        <f>+'QTR Raw'!U92</f>
        <v>5</v>
      </c>
      <c r="BB168" s="22">
        <f t="shared" si="1545"/>
        <v>5</v>
      </c>
      <c r="BC168" s="22">
        <f>+'QTR Raw'!W92</f>
        <v>18.68</v>
      </c>
      <c r="BD168" s="22">
        <f t="shared" si="1546"/>
        <v>18.68</v>
      </c>
      <c r="BE168" s="22">
        <f>+'QTR Raw'!Y92</f>
        <v>7.18</v>
      </c>
      <c r="BF168" s="22">
        <f t="shared" si="1547"/>
        <v>7.18</v>
      </c>
      <c r="BG168" s="22">
        <f>+'QTR Raw'!AA92</f>
        <v>0.2</v>
      </c>
      <c r="BH168" s="22">
        <f t="shared" si="1548"/>
        <v>0.2</v>
      </c>
      <c r="BI168" s="22">
        <f>+'QTR Raw'!AC92</f>
        <v>15.06</v>
      </c>
      <c r="BJ168" s="22">
        <f t="shared" si="1549"/>
        <v>15.06</v>
      </c>
      <c r="BK168" s="22">
        <f>+'QTR Raw'!AE92</f>
        <v>33.979999999999997</v>
      </c>
      <c r="BL168" s="22">
        <f t="shared" si="1550"/>
        <v>33.979999999999997</v>
      </c>
      <c r="BM168" s="22">
        <f>+'QTR Raw'!AG92</f>
        <v>18.62</v>
      </c>
      <c r="BN168" s="22">
        <f t="shared" si="1551"/>
        <v>18.62</v>
      </c>
      <c r="BO168" s="22">
        <f>+'QTR Raw'!AI92</f>
        <v>17.78</v>
      </c>
      <c r="BP168" s="22">
        <f t="shared" si="1552"/>
        <v>17.78</v>
      </c>
      <c r="BQ168" s="22">
        <f>+'QTR Raw'!AK92</f>
        <v>59.79</v>
      </c>
      <c r="BR168" s="22">
        <f t="shared" si="1553"/>
        <v>59.79</v>
      </c>
      <c r="BS168" s="22">
        <f>+'QTR Raw'!AM92</f>
        <v>59.06</v>
      </c>
      <c r="BT168" s="22">
        <f t="shared" si="1554"/>
        <v>59.06</v>
      </c>
      <c r="BU168" s="22">
        <f>+'QTR Raw'!AO92</f>
        <v>66.59</v>
      </c>
      <c r="BV168" s="22">
        <f t="shared" si="1555"/>
        <v>66.59</v>
      </c>
      <c r="BW168" s="22">
        <f>+'QTR Raw'!AQ92</f>
        <v>59.34</v>
      </c>
      <c r="BX168" s="22">
        <f t="shared" si="1556"/>
        <v>59.34</v>
      </c>
      <c r="BY168" s="22">
        <f>+'QTR Raw'!AS92</f>
        <v>57.82</v>
      </c>
      <c r="BZ168" s="22">
        <f t="shared" si="1557"/>
        <v>57.82</v>
      </c>
      <c r="CA168" s="22">
        <f>+'QTR Raw'!AU92</f>
        <v>64.239999999999995</v>
      </c>
      <c r="CB168" s="22">
        <f t="shared" si="1558"/>
        <v>64.239999999999995</v>
      </c>
      <c r="CC168" s="22">
        <f>+'QTR Raw'!AW92</f>
        <v>68.569999999999993</v>
      </c>
      <c r="CD168" s="22">
        <f t="shared" si="1559"/>
        <v>68.569999999999993</v>
      </c>
      <c r="CE168" s="22">
        <f>+'QTR Raw'!AY92</f>
        <v>59.23</v>
      </c>
      <c r="CF168" s="22">
        <f t="shared" si="1532"/>
        <v>59.23</v>
      </c>
      <c r="CG168" s="22">
        <f t="shared" si="1533"/>
        <v>103</v>
      </c>
      <c r="CH168" s="22">
        <f t="shared" si="1532"/>
        <v>103</v>
      </c>
      <c r="CI168" s="22">
        <f>+'QTR Raw'!BC92</f>
        <v>76.77</v>
      </c>
      <c r="CJ168" s="22">
        <f t="shared" si="1532"/>
        <v>76.77</v>
      </c>
      <c r="CK168" s="22">
        <f>+'QTR Raw'!BE92</f>
        <v>105.72</v>
      </c>
      <c r="CL168" s="22">
        <f t="shared" si="1532"/>
        <v>105.72</v>
      </c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D168" s="122"/>
      <c r="DE168" s="22">
        <v>105.72</v>
      </c>
    </row>
    <row r="169" spans="1:109" s="21" customFormat="1" x14ac:dyDescent="0.2">
      <c r="A169" s="21" t="s">
        <v>73</v>
      </c>
      <c r="B169" s="21">
        <f>SUM(B162:B168)</f>
        <v>0</v>
      </c>
      <c r="C169" s="21">
        <f t="shared" ref="C169:V169" si="1560">SUM(C162:C168)</f>
        <v>0</v>
      </c>
      <c r="D169" s="21">
        <f t="shared" si="1560"/>
        <v>61.410000000000004</v>
      </c>
      <c r="E169" s="21">
        <f t="shared" si="1560"/>
        <v>64.62</v>
      </c>
      <c r="F169" s="21">
        <f t="shared" si="1560"/>
        <v>70.11999999999999</v>
      </c>
      <c r="G169" s="21">
        <f t="shared" si="1560"/>
        <v>82.52</v>
      </c>
      <c r="H169" s="21">
        <f t="shared" si="1560"/>
        <v>104.6</v>
      </c>
      <c r="I169" s="21">
        <f t="shared" si="1560"/>
        <v>118.7</v>
      </c>
      <c r="J169" s="21">
        <f t="shared" si="1560"/>
        <v>138.44</v>
      </c>
      <c r="K169" s="21">
        <f t="shared" si="1560"/>
        <v>143.44999999999999</v>
      </c>
      <c r="L169" s="21">
        <f t="shared" si="1560"/>
        <v>201.16999999999996</v>
      </c>
      <c r="M169" s="21">
        <f t="shared" si="1560"/>
        <v>263.59000000000003</v>
      </c>
      <c r="N169" s="21">
        <f t="shared" si="1560"/>
        <v>257.72000000000003</v>
      </c>
      <c r="O169" s="21">
        <f t="shared" si="1560"/>
        <v>326.31</v>
      </c>
      <c r="P169" s="21">
        <f t="shared" si="1560"/>
        <v>311.3</v>
      </c>
      <c r="Q169" s="21">
        <f t="shared" si="1560"/>
        <v>357.46000000000004</v>
      </c>
      <c r="R169" s="21">
        <f t="shared" si="1560"/>
        <v>378.55</v>
      </c>
      <c r="S169" s="21">
        <f t="shared" si="1560"/>
        <v>785.84</v>
      </c>
      <c r="T169" s="21">
        <f t="shared" si="1560"/>
        <v>1003.51</v>
      </c>
      <c r="U169" s="21">
        <f t="shared" si="1560"/>
        <v>683.07</v>
      </c>
      <c r="V169" s="21">
        <f t="shared" si="1560"/>
        <v>1108.54</v>
      </c>
      <c r="W169" s="21">
        <f t="shared" ref="W169" si="1561">SUM(W162:W168)</f>
        <v>1395.91</v>
      </c>
      <c r="X169" s="21">
        <f t="shared" ref="X169:Y169" si="1562">SUM(X162:X168)</f>
        <v>1662.8200000000002</v>
      </c>
      <c r="Y169" s="21">
        <f t="shared" si="1562"/>
        <v>1690.1100000000001</v>
      </c>
      <c r="Z169" s="21">
        <f t="shared" ref="Z169:AA169" si="1563">SUM(Z162:Z168)</f>
        <v>1783.61</v>
      </c>
      <c r="AA169" s="21">
        <f t="shared" ref="AA169" si="1564">SUM(AA162:AA168)</f>
        <v>2463.6999999999998</v>
      </c>
      <c r="AB169" s="20">
        <f t="shared" ref="AB169:AD169" si="1565">SUM(AB162:AB168)</f>
        <v>2538.1832103740717</v>
      </c>
      <c r="AC169" s="20">
        <f t="shared" si="1565"/>
        <v>2967.5493267609909</v>
      </c>
      <c r="AD169" s="20">
        <f t="shared" si="1565"/>
        <v>3335.9389165674165</v>
      </c>
      <c r="AE169" s="20">
        <f t="shared" ref="AE169" si="1566">SUM(AE162:AE168)</f>
        <v>3772.4660343185333</v>
      </c>
      <c r="AI169" s="21">
        <f t="shared" ref="AI169:AL169" si="1567">SUM(AI162:AI168)</f>
        <v>291.97000000000003</v>
      </c>
      <c r="AJ169" s="21">
        <f t="shared" si="1567"/>
        <v>291.97000000000003</v>
      </c>
      <c r="AK169" s="21">
        <f t="shared" si="1567"/>
        <v>257.72000000000003</v>
      </c>
      <c r="AL169" s="21">
        <f t="shared" si="1567"/>
        <v>250.25390441345934</v>
      </c>
      <c r="AM169" s="21">
        <f t="shared" ref="AM169:AP169" si="1568">SUM(AM162:AM168)</f>
        <v>272.15999999999997</v>
      </c>
      <c r="AN169" s="21">
        <f t="shared" si="1568"/>
        <v>272.15999999999997</v>
      </c>
      <c r="AO169" s="21">
        <f t="shared" si="1568"/>
        <v>326.31</v>
      </c>
      <c r="AP169" s="21">
        <f t="shared" si="1568"/>
        <v>330.49235241843343</v>
      </c>
      <c r="AQ169" s="21">
        <f t="shared" ref="AQ169:AT169" si="1569">SUM(AQ162:AQ168)</f>
        <v>297.20000000000005</v>
      </c>
      <c r="AR169" s="21">
        <f t="shared" si="1569"/>
        <v>307.02552747785694</v>
      </c>
      <c r="AS169" s="21">
        <f t="shared" si="1569"/>
        <v>311.3</v>
      </c>
      <c r="AT169" s="21">
        <f t="shared" si="1569"/>
        <v>301.00759580908033</v>
      </c>
      <c r="AU169" s="21">
        <f t="shared" ref="AU169:AX169" si="1570">SUM(AU162:AU168)</f>
        <v>356.34999999999997</v>
      </c>
      <c r="AV169" s="21">
        <f t="shared" si="1570"/>
        <v>359.74452999166897</v>
      </c>
      <c r="AW169" s="21">
        <f t="shared" si="1570"/>
        <v>357.46000000000004</v>
      </c>
      <c r="AX169" s="21">
        <f t="shared" si="1570"/>
        <v>340.12226537216827</v>
      </c>
      <c r="AY169" s="21">
        <f t="shared" ref="AY169:BB169" si="1571">SUM(AY162:AY168)</f>
        <v>355.22999999999996</v>
      </c>
      <c r="AZ169" s="21">
        <f t="shared" si="1571"/>
        <v>348.2994083729742</v>
      </c>
      <c r="BA169" s="21">
        <f t="shared" si="1571"/>
        <v>378.55</v>
      </c>
      <c r="BB169" s="21">
        <f t="shared" si="1571"/>
        <v>357.70217739353188</v>
      </c>
      <c r="BC169" s="21">
        <f t="shared" ref="BC169:BF169" si="1572">SUM(BC162:BC168)</f>
        <v>373.27000000000004</v>
      </c>
      <c r="BD169" s="21">
        <f t="shared" si="1572"/>
        <v>633.32986797214073</v>
      </c>
      <c r="BE169" s="21">
        <f t="shared" si="1572"/>
        <v>397.65000000000003</v>
      </c>
      <c r="BF169" s="21">
        <f t="shared" si="1572"/>
        <v>414.896517548752</v>
      </c>
      <c r="BG169" s="21">
        <f t="shared" ref="BG169:BJ169" si="1573">SUM(BG162:BG168)</f>
        <v>484.65000000000003</v>
      </c>
      <c r="BH169" s="21">
        <f t="shared" si="1573"/>
        <v>515.99585388908088</v>
      </c>
      <c r="BI169" s="21">
        <f t="shared" si="1573"/>
        <v>1003.51</v>
      </c>
      <c r="BJ169" s="21">
        <f t="shared" si="1573"/>
        <v>994.21277925296499</v>
      </c>
      <c r="BK169" s="21">
        <f t="shared" ref="BK169:BN169" si="1574">SUM(BK162:BK168)</f>
        <v>847.29000000000008</v>
      </c>
      <c r="BL169" s="21">
        <f t="shared" si="1574"/>
        <v>798.78815563714534</v>
      </c>
      <c r="BM169" s="21">
        <f t="shared" si="1574"/>
        <v>683.07</v>
      </c>
      <c r="BN169" s="21">
        <f t="shared" si="1574"/>
        <v>631.09236485378244</v>
      </c>
      <c r="BO169" s="21">
        <f t="shared" ref="BO169:BR169" si="1575">SUM(BO162:BO168)</f>
        <v>842.25</v>
      </c>
      <c r="BP169" s="21">
        <f t="shared" si="1575"/>
        <v>1594.2506363926359</v>
      </c>
      <c r="BQ169" s="21">
        <f t="shared" si="1575"/>
        <v>1022.74</v>
      </c>
      <c r="BR169" s="21">
        <f t="shared" si="1575"/>
        <v>1048.7186405709035</v>
      </c>
      <c r="BS169" s="21">
        <f t="shared" ref="BS169:BV169" si="1576">SUM(BS162:BS168)</f>
        <v>1178.56</v>
      </c>
      <c r="BT169" s="21">
        <f t="shared" si="1576"/>
        <v>1371.2533775113754</v>
      </c>
      <c r="BU169" s="21">
        <f t="shared" si="1576"/>
        <v>1242.5999999999999</v>
      </c>
      <c r="BV169" s="21">
        <f t="shared" si="1576"/>
        <v>1269.7252334528168</v>
      </c>
      <c r="BW169" s="21">
        <f t="shared" ref="BW169:BZ169" si="1577">SUM(BW162:BW168)</f>
        <v>1446.9099999999999</v>
      </c>
      <c r="BX169" s="21">
        <f t="shared" si="1577"/>
        <v>1451.9584724072668</v>
      </c>
      <c r="BY169" s="21">
        <f t="shared" si="1577"/>
        <v>1440.82</v>
      </c>
      <c r="BZ169" s="21">
        <f t="shared" si="1577"/>
        <v>1378.2350492296546</v>
      </c>
      <c r="CA169" s="21">
        <f t="shared" ref="CA169:CD169" si="1578">SUM(CA162:CA168)</f>
        <v>1470.7599999999998</v>
      </c>
      <c r="CB169" s="21">
        <f t="shared" si="1578"/>
        <v>1486.0889210229941</v>
      </c>
      <c r="CC169" s="21">
        <f t="shared" si="1578"/>
        <v>1461.16</v>
      </c>
      <c r="CD169" s="21">
        <f t="shared" si="1578"/>
        <v>1460.3607154783817</v>
      </c>
      <c r="CE169" s="21">
        <f t="shared" ref="CE169" si="1579">SUM(CE162:CE168)</f>
        <v>1762.8500000000001</v>
      </c>
      <c r="CF169" s="21">
        <f t="shared" ref="CF169:CH169" si="1580">SUM(CF162:CF168)</f>
        <v>1768.9468830096257</v>
      </c>
      <c r="CG169" s="21">
        <f t="shared" ref="CG169" si="1581">SUM(CG162:CG168)</f>
        <v>1783.61</v>
      </c>
      <c r="CH169" s="21">
        <f t="shared" si="1580"/>
        <v>1803.8631146128853</v>
      </c>
      <c r="CI169" s="21">
        <f t="shared" ref="CI169:CJ169" si="1582">SUM(CI162:CI168)</f>
        <v>1874.2200000000003</v>
      </c>
      <c r="CJ169" s="21">
        <f t="shared" si="1582"/>
        <v>1925.1430402237534</v>
      </c>
      <c r="CK169" s="21">
        <f t="shared" ref="CK169" si="1583">SUM(CK162:CK168)</f>
        <v>2164.7199999999998</v>
      </c>
      <c r="CL169" s="21">
        <f t="shared" ref="CL169:DA169" si="1584">SUM(CL162:CL168)</f>
        <v>2086.6811860120119</v>
      </c>
      <c r="CM169" s="20">
        <f t="shared" si="1584"/>
        <v>2136.1256854391831</v>
      </c>
      <c r="CN169" s="20">
        <f t="shared" si="1584"/>
        <v>2247.3940533850873</v>
      </c>
      <c r="CO169" s="20">
        <f t="shared" si="1584"/>
        <v>2538.1832103740717</v>
      </c>
      <c r="CP169" s="20">
        <f t="shared" si="1584"/>
        <v>2406.1937601890249</v>
      </c>
      <c r="CQ169" s="20">
        <f t="shared" si="1584"/>
        <v>2486.4822825190472</v>
      </c>
      <c r="CR169" s="20">
        <f t="shared" si="1584"/>
        <v>2631.3142200910152</v>
      </c>
      <c r="CS169" s="20">
        <f t="shared" si="1584"/>
        <v>2967.5493267609909</v>
      </c>
      <c r="CT169" s="20">
        <f t="shared" si="1584"/>
        <v>2720.1298676920651</v>
      </c>
      <c r="CU169" s="20">
        <f t="shared" si="1584"/>
        <v>2794.6944454394843</v>
      </c>
      <c r="CV169" s="20">
        <f t="shared" si="1584"/>
        <v>2967.5771380095821</v>
      </c>
      <c r="CW169" s="20">
        <f t="shared" si="1584"/>
        <v>3335.9389165674165</v>
      </c>
      <c r="CX169" s="20">
        <f t="shared" si="1584"/>
        <v>3078.2206919295741</v>
      </c>
      <c r="CY169" s="20">
        <f t="shared" si="1584"/>
        <v>3148.24919214191</v>
      </c>
      <c r="CZ169" s="20">
        <f t="shared" si="1584"/>
        <v>3357.8737693793523</v>
      </c>
      <c r="DA169" s="20">
        <f t="shared" si="1584"/>
        <v>3772.4660343185333</v>
      </c>
      <c r="DD169" s="125"/>
      <c r="DE169" s="21">
        <v>2164.7199999999998</v>
      </c>
    </row>
    <row r="170" spans="1:109" s="21" customFormat="1" x14ac:dyDescent="0.2">
      <c r="A170" s="21" t="s">
        <v>74</v>
      </c>
      <c r="B170" s="21">
        <f>B161-B169</f>
        <v>0</v>
      </c>
      <c r="C170" s="21">
        <f t="shared" ref="C170:V170" si="1585">C161-C169</f>
        <v>0</v>
      </c>
      <c r="D170" s="21">
        <f t="shared" si="1585"/>
        <v>62.789999999999985</v>
      </c>
      <c r="E170" s="21">
        <f t="shared" si="1585"/>
        <v>52</v>
      </c>
      <c r="F170" s="21">
        <f t="shared" si="1585"/>
        <v>56.710000000000008</v>
      </c>
      <c r="G170" s="21">
        <f t="shared" si="1585"/>
        <v>78.590000000000018</v>
      </c>
      <c r="H170" s="21">
        <f t="shared" si="1585"/>
        <v>98.670000000000016</v>
      </c>
      <c r="I170" s="21">
        <f t="shared" si="1585"/>
        <v>117.28999999999998</v>
      </c>
      <c r="J170" s="21">
        <f t="shared" si="1585"/>
        <v>183.44999999999993</v>
      </c>
      <c r="K170" s="21">
        <f t="shared" si="1585"/>
        <v>144.42000000000002</v>
      </c>
      <c r="L170" s="21">
        <f t="shared" si="1585"/>
        <v>138.46000000000004</v>
      </c>
      <c r="M170" s="21">
        <f t="shared" si="1585"/>
        <v>264.63</v>
      </c>
      <c r="N170" s="21">
        <f t="shared" si="1585"/>
        <v>294.06000000000006</v>
      </c>
      <c r="O170" s="21">
        <f t="shared" si="1585"/>
        <v>352.63000000000017</v>
      </c>
      <c r="P170" s="21">
        <f t="shared" si="1585"/>
        <v>398.72999999999996</v>
      </c>
      <c r="Q170" s="21">
        <f t="shared" si="1585"/>
        <v>429.90999999999985</v>
      </c>
      <c r="R170" s="21">
        <f t="shared" si="1585"/>
        <v>421.94999999999987</v>
      </c>
      <c r="S170" s="21">
        <f t="shared" si="1585"/>
        <v>686.43</v>
      </c>
      <c r="T170" s="21">
        <f t="shared" si="1585"/>
        <v>991.35000000000014</v>
      </c>
      <c r="U170" s="21">
        <f t="shared" si="1585"/>
        <v>1042.46</v>
      </c>
      <c r="V170" s="21">
        <f t="shared" si="1585"/>
        <v>691.82000000000039</v>
      </c>
      <c r="W170" s="21">
        <f t="shared" ref="W170" si="1586">W161-W169</f>
        <v>1039.0899999999999</v>
      </c>
      <c r="X170" s="21">
        <f t="shared" ref="X170:Y170" si="1587">X161-X169</f>
        <v>1320.8700000000003</v>
      </c>
      <c r="Y170" s="21">
        <f t="shared" si="1587"/>
        <v>1262.8099999999995</v>
      </c>
      <c r="Z170" s="21">
        <f t="shared" ref="Z170:AA170" si="1588">Z161-Z169</f>
        <v>1544.6200000000001</v>
      </c>
      <c r="AA170" s="21">
        <f t="shared" ref="AA170" si="1589">AA161-AA169</f>
        <v>1640.37</v>
      </c>
      <c r="AB170" s="20">
        <f t="shared" ref="AB170:AD170" si="1590">AB161-AB169</f>
        <v>2198.2230502540187</v>
      </c>
      <c r="AC170" s="20">
        <f t="shared" si="1590"/>
        <v>2570.0805624233917</v>
      </c>
      <c r="AD170" s="20">
        <f t="shared" si="1590"/>
        <v>2889.1286455074987</v>
      </c>
      <c r="AE170" s="20">
        <f t="shared" ref="AE170" si="1591">AE161-AE169</f>
        <v>3267.1880260831167</v>
      </c>
      <c r="AI170" s="21">
        <f t="shared" ref="AI170:AL170" si="1592">AI161-AI169</f>
        <v>287.48</v>
      </c>
      <c r="AJ170" s="21">
        <f t="shared" si="1592"/>
        <v>260.391020204146</v>
      </c>
      <c r="AK170" s="21">
        <f t="shared" si="1592"/>
        <v>294.06000000000006</v>
      </c>
      <c r="AL170" s="21">
        <f t="shared" si="1592"/>
        <v>284.93440049550583</v>
      </c>
      <c r="AM170" s="21">
        <f t="shared" ref="AM170:AP170" si="1593">AM161-AM169</f>
        <v>313.5</v>
      </c>
      <c r="AN170" s="21">
        <f t="shared" si="1593"/>
        <v>404.81796119373598</v>
      </c>
      <c r="AO170" s="21">
        <f t="shared" si="1593"/>
        <v>352.63000000000017</v>
      </c>
      <c r="AP170" s="21">
        <f t="shared" si="1593"/>
        <v>356.46867843087483</v>
      </c>
      <c r="AQ170" s="21">
        <f t="shared" ref="AQ170:AT170" si="1594">AQ161-AQ169</f>
        <v>410.03</v>
      </c>
      <c r="AR170" s="21">
        <f t="shared" si="1594"/>
        <v>422.71357224902363</v>
      </c>
      <c r="AS170" s="21">
        <f t="shared" si="1594"/>
        <v>398.72999999999996</v>
      </c>
      <c r="AT170" s="21">
        <f t="shared" si="1594"/>
        <v>386.11196786961597</v>
      </c>
      <c r="AU170" s="21">
        <f t="shared" ref="AU170:AX170" si="1595">AU161-AU169</f>
        <v>403.73999999999995</v>
      </c>
      <c r="AV170" s="21">
        <f t="shared" si="1595"/>
        <v>407.86022054059049</v>
      </c>
      <c r="AW170" s="21">
        <f t="shared" si="1595"/>
        <v>429.90999999999985</v>
      </c>
      <c r="AX170" s="21">
        <f t="shared" si="1595"/>
        <v>407.11240740740743</v>
      </c>
      <c r="AY170" s="21">
        <f t="shared" ref="AY170:BB170" si="1596">AY161-AY169</f>
        <v>449.50000000000006</v>
      </c>
      <c r="AZ170" s="21">
        <f t="shared" si="1596"/>
        <v>440.53784889108545</v>
      </c>
      <c r="BA170" s="21">
        <f t="shared" si="1596"/>
        <v>421.95</v>
      </c>
      <c r="BB170" s="21">
        <f t="shared" si="1596"/>
        <v>396.61951088696765</v>
      </c>
      <c r="BC170" s="21">
        <f t="shared" ref="BC170:BF170" si="1597">BC161-BC169</f>
        <v>448.76000000000005</v>
      </c>
      <c r="BD170" s="21">
        <f t="shared" si="1597"/>
        <v>794.578830120117</v>
      </c>
      <c r="BE170" s="21">
        <f t="shared" si="1597"/>
        <v>449.49999999999994</v>
      </c>
      <c r="BF170" s="21">
        <f t="shared" si="1597"/>
        <v>467.9450359585523</v>
      </c>
      <c r="BG170" s="21">
        <f t="shared" ref="BG170:BJ170" si="1598">BG161-BG169</f>
        <v>486.18</v>
      </c>
      <c r="BH170" s="21">
        <f t="shared" si="1598"/>
        <v>517.24725355824978</v>
      </c>
      <c r="BI170" s="21">
        <f t="shared" si="1598"/>
        <v>991.35000000000014</v>
      </c>
      <c r="BJ170" s="21">
        <f t="shared" si="1598"/>
        <v>981.04021065675352</v>
      </c>
      <c r="BK170" s="21">
        <f t="shared" ref="BK170:BN170" si="1599">BK161-BK169</f>
        <v>1194.5</v>
      </c>
      <c r="BL170" s="21">
        <f t="shared" si="1599"/>
        <v>1115.6246349064204</v>
      </c>
      <c r="BM170" s="21">
        <f t="shared" si="1599"/>
        <v>1042.46</v>
      </c>
      <c r="BN170" s="21">
        <f t="shared" si="1599"/>
        <v>953.60599515663728</v>
      </c>
      <c r="BO170" s="21">
        <f t="shared" ref="BO170:BR170" si="1600">BO161-BO169</f>
        <v>885.91000000000008</v>
      </c>
      <c r="BP170" s="21">
        <f t="shared" si="1600"/>
        <v>2253.3801815986153</v>
      </c>
      <c r="BQ170" s="21">
        <f t="shared" si="1600"/>
        <v>771.64999999999986</v>
      </c>
      <c r="BR170" s="21">
        <f t="shared" si="1600"/>
        <v>793.16840952448274</v>
      </c>
      <c r="BS170" s="21">
        <f t="shared" ref="BS170:BV170" si="1601">BS161-BS169</f>
        <v>944.67000000000007</v>
      </c>
      <c r="BT170" s="21">
        <f t="shared" si="1601"/>
        <v>1122.9730382272548</v>
      </c>
      <c r="BU170" s="21">
        <f t="shared" si="1601"/>
        <v>1111.5699999999997</v>
      </c>
      <c r="BV170" s="21">
        <f t="shared" si="1601"/>
        <v>1140.6427815417339</v>
      </c>
      <c r="BW170" s="21">
        <f t="shared" ref="BW170:BZ170" si="1602">BW161-BW169</f>
        <v>1330.1000000000004</v>
      </c>
      <c r="BX170" s="21">
        <f t="shared" si="1602"/>
        <v>1335.3313855549138</v>
      </c>
      <c r="BY170" s="21">
        <f t="shared" si="1602"/>
        <v>1423.9399999999998</v>
      </c>
      <c r="BZ170" s="21">
        <f t="shared" si="1602"/>
        <v>1358.4096896330761</v>
      </c>
      <c r="CA170" s="21">
        <f t="shared" ref="CA170:CD170" si="1603">CA161-CA169</f>
        <v>1521.1900000000005</v>
      </c>
      <c r="CB170" s="21">
        <f t="shared" si="1603"/>
        <v>1539.0271829384303</v>
      </c>
      <c r="CC170" s="21">
        <f t="shared" si="1603"/>
        <v>1357.97</v>
      </c>
      <c r="CD170" s="21">
        <f t="shared" si="1603"/>
        <v>1356.9730646288444</v>
      </c>
      <c r="CE170" s="21">
        <f t="shared" ref="CE170" si="1604">CE161-CE169</f>
        <v>1669.0199999999998</v>
      </c>
      <c r="CF170" s="21">
        <f t="shared" ref="CF170:CH170" si="1605">CF161-CF169</f>
        <v>1676.4466688500315</v>
      </c>
      <c r="CG170" s="21">
        <f t="shared" ref="CG170" si="1606">CG161-CG169</f>
        <v>1544.6200000000001</v>
      </c>
      <c r="CH170" s="21">
        <f t="shared" si="1605"/>
        <v>1573.9644664475711</v>
      </c>
      <c r="CI170" s="21">
        <f t="shared" ref="CI170:CJ170" si="1607">CI161-CI169</f>
        <v>1623.1899999999996</v>
      </c>
      <c r="CJ170" s="21">
        <f t="shared" si="1607"/>
        <v>1680.4205182798528</v>
      </c>
      <c r="CK170" s="21">
        <f t="shared" ref="CK170" si="1608">CK161-CK169</f>
        <v>1736.67</v>
      </c>
      <c r="CL170" s="21">
        <f t="shared" ref="CL170:DA170" si="1609">CL161-CL169</f>
        <v>1793.5143929456472</v>
      </c>
      <c r="CM170" s="20">
        <f t="shared" si="1609"/>
        <v>1850.0164609000153</v>
      </c>
      <c r="CN170" s="20">
        <f t="shared" si="1609"/>
        <v>1946.3817233377822</v>
      </c>
      <c r="CO170" s="20">
        <f t="shared" si="1609"/>
        <v>2198.2230502540187</v>
      </c>
      <c r="CP170" s="20">
        <f t="shared" si="1609"/>
        <v>2083.9120538683937</v>
      </c>
      <c r="CQ170" s="20">
        <f t="shared" si="1609"/>
        <v>2153.4468611806992</v>
      </c>
      <c r="CR170" s="20">
        <f t="shared" si="1609"/>
        <v>2278.8802429328116</v>
      </c>
      <c r="CS170" s="20">
        <f t="shared" si="1609"/>
        <v>2570.0805624233917</v>
      </c>
      <c r="CT170" s="20">
        <f t="shared" si="1609"/>
        <v>2355.8000661283531</v>
      </c>
      <c r="CU170" s="20">
        <f t="shared" si="1609"/>
        <v>2420.377584751478</v>
      </c>
      <c r="CV170" s="20">
        <f t="shared" si="1609"/>
        <v>2570.1046486782616</v>
      </c>
      <c r="CW170" s="20">
        <f t="shared" si="1609"/>
        <v>2889.1286455074987</v>
      </c>
      <c r="CX170" s="20">
        <f t="shared" si="1609"/>
        <v>2665.9287836716958</v>
      </c>
      <c r="CY170" s="20">
        <f t="shared" si="1609"/>
        <v>2726.5777796591778</v>
      </c>
      <c r="CZ170" s="20">
        <f t="shared" si="1609"/>
        <v>2908.1255795578268</v>
      </c>
      <c r="DA170" s="20">
        <f t="shared" si="1609"/>
        <v>3267.1880260831167</v>
      </c>
      <c r="DD170" s="125"/>
      <c r="DE170" s="21">
        <v>1736.67</v>
      </c>
    </row>
    <row r="171" spans="1:109" s="22" customFormat="1" x14ac:dyDescent="0.2">
      <c r="AB171" s="23"/>
      <c r="AC171" s="23"/>
      <c r="AD171" s="23"/>
      <c r="AE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D171" s="122"/>
    </row>
    <row r="172" spans="1:109" s="22" customFormat="1" outlineLevel="1" x14ac:dyDescent="0.2">
      <c r="A172" s="22" t="s">
        <v>75</v>
      </c>
      <c r="B172" s="22">
        <f>'Annual Raw'!C75</f>
        <v>0</v>
      </c>
      <c r="C172" s="22">
        <f>'Annual Raw'!D75</f>
        <v>0</v>
      </c>
      <c r="D172" s="22">
        <f>'Annual Raw'!E75</f>
        <v>0.56000000000000005</v>
      </c>
      <c r="E172" s="22">
        <f>'Annual Raw'!F75</f>
        <v>0.91</v>
      </c>
      <c r="F172" s="22">
        <f>'Annual Raw'!G75</f>
        <v>0.91</v>
      </c>
      <c r="G172" s="22">
        <f>'Annual Raw'!H75</f>
        <v>0.91</v>
      </c>
      <c r="H172" s="22">
        <f>'Annual Raw'!I75</f>
        <v>0.91</v>
      </c>
      <c r="I172" s="22">
        <f>'Annual Raw'!J75</f>
        <v>0.92</v>
      </c>
      <c r="J172" s="22">
        <f>'Annual Raw'!K75</f>
        <v>0</v>
      </c>
      <c r="K172" s="22">
        <f>'Annual Raw'!L75</f>
        <v>0</v>
      </c>
      <c r="L172" s="22">
        <f>'Annual Raw'!M75</f>
        <v>0</v>
      </c>
      <c r="M172" s="22">
        <f>'Annual Raw'!N75</f>
        <v>0</v>
      </c>
      <c r="N172" s="22">
        <f>'Annual Raw'!O75</f>
        <v>0</v>
      </c>
      <c r="O172" s="22">
        <f>'Annual Raw'!P75</f>
        <v>0</v>
      </c>
      <c r="P172" s="22">
        <f>'Annual Raw'!Q75</f>
        <v>0</v>
      </c>
      <c r="Q172" s="22">
        <f>'Annual Raw'!R75</f>
        <v>0</v>
      </c>
      <c r="R172" s="22">
        <f>'Annual Raw'!S75</f>
        <v>0</v>
      </c>
      <c r="S172" s="22">
        <f>'Annual Raw'!T75</f>
        <v>0</v>
      </c>
      <c r="T172" s="22">
        <f>'Annual Raw'!U75</f>
        <v>0</v>
      </c>
      <c r="U172" s="22">
        <f>'Annual Raw'!V75</f>
        <v>0</v>
      </c>
      <c r="V172" s="22">
        <f>'Annual Raw'!W75</f>
        <v>0</v>
      </c>
      <c r="W172" s="22">
        <f>'Annual Raw'!X75</f>
        <v>0</v>
      </c>
      <c r="X172" s="22">
        <f>'Annual Raw'!Y75</f>
        <v>0</v>
      </c>
      <c r="Y172" s="22">
        <f>'Annual Raw'!Z75</f>
        <v>0</v>
      </c>
      <c r="Z172" s="22">
        <f>'Annual Raw'!AA75</f>
        <v>0</v>
      </c>
      <c r="AA172" s="22">
        <f>'Annual Raw'!AB75</f>
        <v>0</v>
      </c>
      <c r="AB172" s="23">
        <f t="shared" ref="AB172:AB173" si="1610">+CO172</f>
        <v>0</v>
      </c>
      <c r="AC172" s="23">
        <f t="shared" ref="AC172:AC173" si="1611">+CS172</f>
        <v>0</v>
      </c>
      <c r="AD172" s="23">
        <f t="shared" ref="AD172:AD173" si="1612">+CW172</f>
        <v>0</v>
      </c>
      <c r="AE172" s="23">
        <f t="shared" ref="AE172:AE173" si="1613">+DA172</f>
        <v>0</v>
      </c>
      <c r="AI172" s="22">
        <f>+'QTR Raw'!C80</f>
        <v>0</v>
      </c>
      <c r="AK172" s="22">
        <f>+'QTR Raw'!E80</f>
        <v>0</v>
      </c>
      <c r="AM172" s="22">
        <f>+'QTR Raw'!G80</f>
        <v>0</v>
      </c>
      <c r="AO172" s="22">
        <f>+'QTR Raw'!I80</f>
        <v>0</v>
      </c>
      <c r="AQ172" s="22">
        <f>+'QTR Raw'!K80</f>
        <v>0</v>
      </c>
      <c r="AS172" s="22">
        <f>+'QTR Raw'!M80</f>
        <v>0</v>
      </c>
      <c r="AU172" s="22">
        <f>+'QTR Raw'!O80</f>
        <v>0</v>
      </c>
      <c r="AW172" s="22">
        <f>+'QTR Raw'!Q80</f>
        <v>0</v>
      </c>
      <c r="AY172" s="22">
        <f>+'QTR Raw'!S80</f>
        <v>0</v>
      </c>
      <c r="BA172" s="22">
        <f>+'QTR Raw'!U80</f>
        <v>0</v>
      </c>
      <c r="BC172" s="22">
        <f>+'QTR Raw'!W80</f>
        <v>0</v>
      </c>
      <c r="BE172" s="22">
        <f>+'QTR Raw'!Y80</f>
        <v>0</v>
      </c>
      <c r="BG172" s="22">
        <f>+'QTR Raw'!AA80</f>
        <v>0</v>
      </c>
      <c r="BI172" s="22">
        <f>+'QTR Raw'!AC80</f>
        <v>0</v>
      </c>
      <c r="BK172" s="22">
        <f>+'QTR Raw'!AE80</f>
        <v>0</v>
      </c>
      <c r="BM172" s="22">
        <f>+'QTR Raw'!AG80</f>
        <v>0</v>
      </c>
      <c r="BO172" s="22">
        <f>+'QTR Raw'!AI80</f>
        <v>0</v>
      </c>
      <c r="BQ172" s="22">
        <f>+'QTR Raw'!AK80</f>
        <v>0</v>
      </c>
      <c r="BS172" s="22">
        <f>+'QTR Raw'!AM80</f>
        <v>0</v>
      </c>
      <c r="BU172" s="22">
        <f>+'QTR Raw'!AO80</f>
        <v>0</v>
      </c>
      <c r="BW172" s="22">
        <f>+'QTR Raw'!AQ80</f>
        <v>0</v>
      </c>
      <c r="BY172" s="22">
        <f>+'QTR Raw'!AS80</f>
        <v>0</v>
      </c>
      <c r="CA172" s="22">
        <f>+'QTR Raw'!AU80</f>
        <v>0</v>
      </c>
      <c r="CC172" s="22">
        <f>+'QTR Raw'!AW80</f>
        <v>0</v>
      </c>
      <c r="CE172" s="22">
        <f>+'QTR Raw'!AY80</f>
        <v>0</v>
      </c>
      <c r="CG172" s="22">
        <f t="shared" ref="CG172:CG173" si="1614">+Z172</f>
        <v>0</v>
      </c>
      <c r="CI172" s="22">
        <f>+'QTR Raw'!BC80</f>
        <v>0</v>
      </c>
      <c r="CK172" s="22">
        <f>+'QTR Raw'!BE80</f>
        <v>0</v>
      </c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D172" s="122"/>
      <c r="DE172" s="22">
        <v>0</v>
      </c>
    </row>
    <row r="173" spans="1:109" s="22" customFormat="1" outlineLevel="1" x14ac:dyDescent="0.2">
      <c r="A173" s="22" t="s">
        <v>76</v>
      </c>
      <c r="B173" s="22">
        <f>'Annual Raw'!C78</f>
        <v>0</v>
      </c>
      <c r="C173" s="22">
        <f>'Annual Raw'!D78</f>
        <v>0</v>
      </c>
      <c r="D173" s="22">
        <f>'Annual Raw'!E78</f>
        <v>2.4700000000000002</v>
      </c>
      <c r="E173" s="22">
        <f>'Annual Raw'!F78</f>
        <v>4.47</v>
      </c>
      <c r="F173" s="22">
        <f>'Annual Raw'!G78</f>
        <v>2.58</v>
      </c>
      <c r="G173" s="22">
        <f>'Annual Raw'!H78</f>
        <v>7.98</v>
      </c>
      <c r="H173" s="22">
        <f>'Annual Raw'!I78</f>
        <v>12.29</v>
      </c>
      <c r="I173" s="22">
        <f>'Annual Raw'!J78</f>
        <v>63.93</v>
      </c>
      <c r="J173" s="22">
        <f>'Annual Raw'!K78</f>
        <v>63.55</v>
      </c>
      <c r="K173" s="22">
        <f>'Annual Raw'!L78</f>
        <v>173.07</v>
      </c>
      <c r="L173" s="22">
        <f>'Annual Raw'!M78</f>
        <v>288.01</v>
      </c>
      <c r="M173" s="22">
        <f>'Annual Raw'!N78</f>
        <v>233.42</v>
      </c>
      <c r="N173" s="22">
        <f>'Annual Raw'!O78</f>
        <v>194.82</v>
      </c>
      <c r="O173" s="22">
        <f>'Annual Raw'!P78</f>
        <v>237.66</v>
      </c>
      <c r="P173" s="22">
        <f>'Annual Raw'!Q78</f>
        <v>329.45</v>
      </c>
      <c r="Q173" s="22">
        <f>'Annual Raw'!R78</f>
        <v>470.41</v>
      </c>
      <c r="R173" s="22">
        <f>'Annual Raw'!S78</f>
        <v>640.54999999999995</v>
      </c>
      <c r="S173" s="22">
        <f>'Annual Raw'!T78</f>
        <v>893.77</v>
      </c>
      <c r="T173" s="22">
        <f>'Annual Raw'!U78</f>
        <v>847.6</v>
      </c>
      <c r="U173" s="22">
        <f>'Annual Raw'!V78</f>
        <v>835.36</v>
      </c>
      <c r="V173" s="22">
        <f>'Annual Raw'!W78</f>
        <v>1245.9000000000001</v>
      </c>
      <c r="W173" s="22">
        <f>'Annual Raw'!X78</f>
        <v>1415.67</v>
      </c>
      <c r="X173" s="22">
        <f>'Annual Raw'!Y78</f>
        <v>1554.53</v>
      </c>
      <c r="Y173" s="22">
        <f>'Annual Raw'!Z78</f>
        <v>1585.66</v>
      </c>
      <c r="Z173" s="22">
        <f>'Annual Raw'!AA78</f>
        <v>1350.03</v>
      </c>
      <c r="AA173" s="22">
        <f>'Annual Raw'!AB78</f>
        <v>1845.64</v>
      </c>
      <c r="AB173" s="23">
        <f t="shared" si="1610"/>
        <v>2788.5316241168703</v>
      </c>
      <c r="AC173" s="23">
        <f t="shared" si="1611"/>
        <v>4133.2926874328314</v>
      </c>
      <c r="AD173" s="23">
        <f t="shared" si="1612"/>
        <v>5742.5169234798041</v>
      </c>
      <c r="AE173" s="23">
        <f t="shared" si="1613"/>
        <v>7648.5925618270394</v>
      </c>
      <c r="AI173" s="22">
        <f>+'QTR Raw'!C83</f>
        <v>184.62</v>
      </c>
      <c r="AJ173" s="22">
        <f t="shared" ref="AJ173" si="1615">+AJ223</f>
        <v>248.64897979585402</v>
      </c>
      <c r="AK173" s="22">
        <f>+'QTR Raw'!E83</f>
        <v>194.82</v>
      </c>
      <c r="AL173" s="22">
        <f t="shared" ref="AL173" si="1616">+AL223</f>
        <v>229.39559950449416</v>
      </c>
      <c r="AM173" s="22">
        <f>+'QTR Raw'!G83</f>
        <v>227.76</v>
      </c>
      <c r="AN173" s="22">
        <f t="shared" ref="AN173" si="1617">+AN223</f>
        <v>172.33203880626402</v>
      </c>
      <c r="AO173" s="22">
        <f>+'QTR Raw'!I83</f>
        <v>237.66</v>
      </c>
      <c r="AP173" s="22">
        <f t="shared" ref="AP173" si="1618">+AP223</f>
        <v>268.5013215691252</v>
      </c>
      <c r="AQ173" s="22">
        <f>+'QTR Raw'!K83</f>
        <v>268.75</v>
      </c>
      <c r="AR173" s="22">
        <f t="shared" ref="AR173" si="1619">+AR223</f>
        <v>293.57642775097639</v>
      </c>
      <c r="AS173" s="22">
        <f>+'QTR Raw'!M83</f>
        <v>329.45</v>
      </c>
      <c r="AT173" s="22">
        <f t="shared" ref="AT173" si="1620">+AT223</f>
        <v>383.4680321303839</v>
      </c>
      <c r="AU173" s="22">
        <f>+'QTR Raw'!O83</f>
        <v>408.19</v>
      </c>
      <c r="AV173" s="22">
        <f t="shared" ref="AV173" si="1621">+AV223</f>
        <v>454.66977945940948</v>
      </c>
      <c r="AW173" s="22">
        <f>+'QTR Raw'!Q83</f>
        <v>470.41</v>
      </c>
      <c r="AX173" s="22">
        <f t="shared" ref="AX173" si="1622">+AX223</f>
        <v>534.66759259259243</v>
      </c>
      <c r="AY173" s="22">
        <f>+'QTR Raw'!S83</f>
        <v>529.16</v>
      </c>
      <c r="AZ173" s="22">
        <f t="shared" ref="AZ173" si="1623">+AZ223</f>
        <v>590.6421511089145</v>
      </c>
      <c r="BA173" s="22">
        <f>+'QTR Raw'!U83</f>
        <v>640.54999999999995</v>
      </c>
      <c r="BB173" s="22">
        <f t="shared" ref="BB173" si="1624">+BB223</f>
        <v>723.36048911303237</v>
      </c>
      <c r="BC173" s="22">
        <f>+'QTR Raw'!W83</f>
        <v>720.99</v>
      </c>
      <c r="BD173" s="22">
        <f t="shared" ref="BD173" si="1625">+BD223</f>
        <v>470.65116987988307</v>
      </c>
      <c r="BE173" s="22">
        <f>+'QTR Raw'!Y83</f>
        <v>830.64</v>
      </c>
      <c r="BF173" s="22">
        <f t="shared" ref="BF173" si="1626">+BF223</f>
        <v>922.73496404144771</v>
      </c>
      <c r="BG173" s="22">
        <f>+'QTR Raw'!AA83</f>
        <v>883.51</v>
      </c>
      <c r="BH173" s="22">
        <f t="shared" ref="BH173" si="1627">+BH223</f>
        <v>943.10274644175024</v>
      </c>
      <c r="BI173" s="22">
        <f>+'QTR Raw'!AC83</f>
        <v>847.6</v>
      </c>
      <c r="BJ173" s="22">
        <f t="shared" ref="BJ173" si="1628">+BJ223</f>
        <v>964.08978934324659</v>
      </c>
      <c r="BK173" s="22">
        <f>+'QTR Raw'!AE83</f>
        <v>596.28</v>
      </c>
      <c r="BL173" s="22">
        <f t="shared" ref="BL173" si="1629">+BL223</f>
        <v>769.58536509357987</v>
      </c>
      <c r="BM173" s="22">
        <f>+'QTR Raw'!AG83</f>
        <v>835.36</v>
      </c>
      <c r="BN173" s="22">
        <f t="shared" ref="BN173" si="1630">+BN223</f>
        <v>1002.5640048433627</v>
      </c>
      <c r="BO173" s="22">
        <f>+'QTR Raw'!AI83</f>
        <v>873.49</v>
      </c>
      <c r="BP173" s="22">
        <f t="shared" ref="BP173" si="1631">+BP223</f>
        <v>-380.51018159861519</v>
      </c>
      <c r="BQ173" s="22">
        <f>+'QTR Raw'!AK83</f>
        <v>1245.9000000000001</v>
      </c>
      <c r="BR173" s="22">
        <f t="shared" ref="BR173" si="1632">+BR223</f>
        <v>1363.9215904755172</v>
      </c>
      <c r="BS173" s="22">
        <f>+'QTR Raw'!AM83</f>
        <v>1236.9000000000001</v>
      </c>
      <c r="BT173" s="22">
        <f t="shared" ref="BT173" si="1633">+BT223</f>
        <v>1229.4069617727453</v>
      </c>
      <c r="BU173" s="22">
        <f>+'QTR Raw'!AO83</f>
        <v>1415.67</v>
      </c>
      <c r="BV173" s="22">
        <f t="shared" ref="BV173" si="1634">+BV223</f>
        <v>1593.717218458266</v>
      </c>
      <c r="BW173" s="22">
        <f>+'QTR Raw'!AQ83</f>
        <v>1339.61</v>
      </c>
      <c r="BX173" s="22">
        <f t="shared" ref="BX173" si="1635">+BX223</f>
        <v>1549.7386144450863</v>
      </c>
      <c r="BY173" s="22">
        <f>+'QTR Raw'!AS83</f>
        <v>1554.53</v>
      </c>
      <c r="BZ173" s="22">
        <f t="shared" ref="BZ173" si="1636">+BZ223</f>
        <v>1839.4303103669233</v>
      </c>
      <c r="CA173" s="22">
        <f>+'QTR Raw'!AU83</f>
        <v>1394.86</v>
      </c>
      <c r="CB173" s="22">
        <f t="shared" ref="CB173" si="1637">+CB223</f>
        <v>1609.7828170615701</v>
      </c>
      <c r="CC173" s="22">
        <f>+'QTR Raw'!AW83</f>
        <v>1585.66</v>
      </c>
      <c r="CD173" s="22">
        <f t="shared" ref="CD173" si="1638">+CD223</f>
        <v>1806.3769353711559</v>
      </c>
      <c r="CE173" s="22">
        <f>+'QTR Raw'!AY83</f>
        <v>1115.94</v>
      </c>
      <c r="CF173" s="22">
        <f t="shared" ref="CF173:CH173" si="1639">+CF223</f>
        <v>1344.9233311499681</v>
      </c>
      <c r="CG173" s="22">
        <f t="shared" si="1614"/>
        <v>1350.03</v>
      </c>
      <c r="CH173" s="22">
        <f t="shared" si="1639"/>
        <v>1572.3055335524286</v>
      </c>
      <c r="CI173" s="22">
        <f>+'QTR Raw'!BC83</f>
        <v>1402.77</v>
      </c>
      <c r="CJ173" s="22">
        <f t="shared" ref="CJ173:CL173" si="1640">+CJ223</f>
        <v>1634.799481720147</v>
      </c>
      <c r="CK173" s="22">
        <f>+'QTR Raw'!BE83</f>
        <v>1845.64</v>
      </c>
      <c r="CL173" s="22">
        <f t="shared" si="1640"/>
        <v>2104.8656070543525</v>
      </c>
      <c r="CM173" s="23">
        <f t="shared" ref="CM173:DA173" si="1641">+CM223</f>
        <v>2377.9602203694621</v>
      </c>
      <c r="CN173" s="23">
        <f t="shared" si="1641"/>
        <v>2635.0152846021956</v>
      </c>
      <c r="CO173" s="23">
        <f t="shared" si="1641"/>
        <v>2788.5316241168703</v>
      </c>
      <c r="CP173" s="23">
        <f t="shared" si="1641"/>
        <v>3287.5824195157602</v>
      </c>
      <c r="CQ173" s="23">
        <f t="shared" si="1641"/>
        <v>3622.8689502980792</v>
      </c>
      <c r="CR173" s="23">
        <f t="shared" si="1641"/>
        <v>3931.0725656897412</v>
      </c>
      <c r="CS173" s="23">
        <f t="shared" si="1641"/>
        <v>4133.2926874328314</v>
      </c>
      <c r="CT173" s="23">
        <f t="shared" si="1641"/>
        <v>4783.7828007124508</v>
      </c>
      <c r="CU173" s="23">
        <f t="shared" si="1641"/>
        <v>5175.3115939766058</v>
      </c>
      <c r="CV173" s="23">
        <f t="shared" si="1641"/>
        <v>5513.0276379912366</v>
      </c>
      <c r="CW173" s="23">
        <f t="shared" si="1641"/>
        <v>5742.5169234798041</v>
      </c>
      <c r="CX173" s="23">
        <f t="shared" si="1641"/>
        <v>6481.5850515670618</v>
      </c>
      <c r="CY173" s="23">
        <f t="shared" si="1641"/>
        <v>6958.6782833079133</v>
      </c>
      <c r="CZ173" s="23">
        <f t="shared" si="1641"/>
        <v>7355.6719830945449</v>
      </c>
      <c r="DA173" s="23">
        <f t="shared" si="1641"/>
        <v>7648.5925618270394</v>
      </c>
      <c r="DD173" s="122"/>
      <c r="DE173" s="22">
        <v>1845.64</v>
      </c>
    </row>
    <row r="174" spans="1:109" s="21" customFormat="1" x14ac:dyDescent="0.2">
      <c r="A174" s="21" t="s">
        <v>77</v>
      </c>
      <c r="B174" s="21">
        <f>B172+B173</f>
        <v>0</v>
      </c>
      <c r="C174" s="21">
        <f t="shared" ref="C174:V174" si="1642">C172+C173</f>
        <v>0</v>
      </c>
      <c r="D174" s="21">
        <f t="shared" si="1642"/>
        <v>3.0300000000000002</v>
      </c>
      <c r="E174" s="21">
        <f t="shared" si="1642"/>
        <v>5.38</v>
      </c>
      <c r="F174" s="21">
        <f t="shared" si="1642"/>
        <v>3.49</v>
      </c>
      <c r="G174" s="21">
        <f t="shared" si="1642"/>
        <v>8.89</v>
      </c>
      <c r="H174" s="21">
        <f t="shared" si="1642"/>
        <v>13.2</v>
      </c>
      <c r="I174" s="21">
        <f t="shared" si="1642"/>
        <v>64.849999999999994</v>
      </c>
      <c r="J174" s="21">
        <f t="shared" si="1642"/>
        <v>63.55</v>
      </c>
      <c r="K174" s="21">
        <f t="shared" si="1642"/>
        <v>173.07</v>
      </c>
      <c r="L174" s="21">
        <f t="shared" si="1642"/>
        <v>288.01</v>
      </c>
      <c r="M174" s="21">
        <f t="shared" si="1642"/>
        <v>233.42</v>
      </c>
      <c r="N174" s="21">
        <f t="shared" si="1642"/>
        <v>194.82</v>
      </c>
      <c r="O174" s="21">
        <f t="shared" si="1642"/>
        <v>237.66</v>
      </c>
      <c r="P174" s="21">
        <f t="shared" si="1642"/>
        <v>329.45</v>
      </c>
      <c r="Q174" s="21">
        <f t="shared" si="1642"/>
        <v>470.41</v>
      </c>
      <c r="R174" s="21">
        <f t="shared" si="1642"/>
        <v>640.54999999999995</v>
      </c>
      <c r="S174" s="21">
        <f t="shared" si="1642"/>
        <v>893.77</v>
      </c>
      <c r="T174" s="21">
        <f t="shared" si="1642"/>
        <v>847.6</v>
      </c>
      <c r="U174" s="21">
        <f t="shared" si="1642"/>
        <v>835.36</v>
      </c>
      <c r="V174" s="21">
        <f t="shared" si="1642"/>
        <v>1245.9000000000001</v>
      </c>
      <c r="W174" s="21">
        <f t="shared" ref="W174" si="1643">W172+W173</f>
        <v>1415.67</v>
      </c>
      <c r="X174" s="21">
        <f t="shared" ref="X174:Y174" si="1644">X172+X173</f>
        <v>1554.53</v>
      </c>
      <c r="Y174" s="21">
        <f t="shared" si="1644"/>
        <v>1585.66</v>
      </c>
      <c r="Z174" s="21">
        <f t="shared" ref="Z174:AA174" si="1645">Z172+Z173</f>
        <v>1350.03</v>
      </c>
      <c r="AA174" s="21">
        <f t="shared" ref="AA174" si="1646">AA172+AA173</f>
        <v>1845.64</v>
      </c>
      <c r="AB174" s="20">
        <f t="shared" ref="AB174:AD174" si="1647">AB172+AB173</f>
        <v>2788.5316241168703</v>
      </c>
      <c r="AC174" s="20">
        <f t="shared" si="1647"/>
        <v>4133.2926874328314</v>
      </c>
      <c r="AD174" s="20">
        <f t="shared" si="1647"/>
        <v>5742.5169234798041</v>
      </c>
      <c r="AE174" s="20">
        <f t="shared" ref="AE174" si="1648">AE172+AE173</f>
        <v>7648.5925618270394</v>
      </c>
      <c r="AI174" s="21">
        <f t="shared" ref="AI174:AL174" si="1649">AI172+AI173</f>
        <v>184.62</v>
      </c>
      <c r="AJ174" s="21">
        <f t="shared" si="1649"/>
        <v>248.64897979585402</v>
      </c>
      <c r="AK174" s="21">
        <f t="shared" si="1649"/>
        <v>194.82</v>
      </c>
      <c r="AL174" s="21">
        <f t="shared" si="1649"/>
        <v>229.39559950449416</v>
      </c>
      <c r="AM174" s="21">
        <f t="shared" ref="AM174:AP174" si="1650">AM172+AM173</f>
        <v>227.76</v>
      </c>
      <c r="AN174" s="21">
        <f t="shared" si="1650"/>
        <v>172.33203880626402</v>
      </c>
      <c r="AO174" s="21">
        <f t="shared" si="1650"/>
        <v>237.66</v>
      </c>
      <c r="AP174" s="21">
        <f t="shared" si="1650"/>
        <v>268.5013215691252</v>
      </c>
      <c r="AQ174" s="21">
        <f t="shared" ref="AQ174:AT174" si="1651">AQ172+AQ173</f>
        <v>268.75</v>
      </c>
      <c r="AR174" s="21">
        <f t="shared" si="1651"/>
        <v>293.57642775097639</v>
      </c>
      <c r="AS174" s="21">
        <f t="shared" si="1651"/>
        <v>329.45</v>
      </c>
      <c r="AT174" s="21">
        <f t="shared" si="1651"/>
        <v>383.4680321303839</v>
      </c>
      <c r="AU174" s="21">
        <f t="shared" ref="AU174:AX174" si="1652">AU172+AU173</f>
        <v>408.19</v>
      </c>
      <c r="AV174" s="21">
        <f t="shared" si="1652"/>
        <v>454.66977945940948</v>
      </c>
      <c r="AW174" s="21">
        <f t="shared" si="1652"/>
        <v>470.41</v>
      </c>
      <c r="AX174" s="21">
        <f t="shared" si="1652"/>
        <v>534.66759259259243</v>
      </c>
      <c r="AY174" s="21">
        <f t="shared" ref="AY174:BB174" si="1653">AY172+AY173</f>
        <v>529.16</v>
      </c>
      <c r="AZ174" s="21">
        <f t="shared" si="1653"/>
        <v>590.6421511089145</v>
      </c>
      <c r="BA174" s="21">
        <f t="shared" si="1653"/>
        <v>640.54999999999995</v>
      </c>
      <c r="BB174" s="21">
        <f t="shared" si="1653"/>
        <v>723.36048911303237</v>
      </c>
      <c r="BC174" s="21">
        <f t="shared" ref="BC174:BF174" si="1654">BC172+BC173</f>
        <v>720.99</v>
      </c>
      <c r="BD174" s="21">
        <f t="shared" si="1654"/>
        <v>470.65116987988307</v>
      </c>
      <c r="BE174" s="21">
        <f t="shared" si="1654"/>
        <v>830.64</v>
      </c>
      <c r="BF174" s="21">
        <f t="shared" si="1654"/>
        <v>922.73496404144771</v>
      </c>
      <c r="BG174" s="21">
        <f t="shared" ref="BG174:BJ174" si="1655">BG172+BG173</f>
        <v>883.51</v>
      </c>
      <c r="BH174" s="21">
        <f t="shared" si="1655"/>
        <v>943.10274644175024</v>
      </c>
      <c r="BI174" s="21">
        <f t="shared" si="1655"/>
        <v>847.6</v>
      </c>
      <c r="BJ174" s="21">
        <f t="shared" si="1655"/>
        <v>964.08978934324659</v>
      </c>
      <c r="BK174" s="21">
        <f t="shared" ref="BK174:BN174" si="1656">BK172+BK173</f>
        <v>596.28</v>
      </c>
      <c r="BL174" s="21">
        <f t="shared" si="1656"/>
        <v>769.58536509357987</v>
      </c>
      <c r="BM174" s="21">
        <f t="shared" si="1656"/>
        <v>835.36</v>
      </c>
      <c r="BN174" s="21">
        <f t="shared" si="1656"/>
        <v>1002.5640048433627</v>
      </c>
      <c r="BO174" s="21">
        <f t="shared" ref="BO174:BR174" si="1657">BO172+BO173</f>
        <v>873.49</v>
      </c>
      <c r="BP174" s="21">
        <f t="shared" si="1657"/>
        <v>-380.51018159861519</v>
      </c>
      <c r="BQ174" s="21">
        <f t="shared" si="1657"/>
        <v>1245.9000000000001</v>
      </c>
      <c r="BR174" s="21">
        <f t="shared" si="1657"/>
        <v>1363.9215904755172</v>
      </c>
      <c r="BS174" s="21">
        <f t="shared" ref="BS174:BV174" si="1658">BS172+BS173</f>
        <v>1236.9000000000001</v>
      </c>
      <c r="BT174" s="21">
        <f t="shared" si="1658"/>
        <v>1229.4069617727453</v>
      </c>
      <c r="BU174" s="21">
        <f t="shared" si="1658"/>
        <v>1415.67</v>
      </c>
      <c r="BV174" s="21">
        <f t="shared" si="1658"/>
        <v>1593.717218458266</v>
      </c>
      <c r="BW174" s="21">
        <f t="shared" ref="BW174:BZ174" si="1659">BW172+BW173</f>
        <v>1339.61</v>
      </c>
      <c r="BX174" s="21">
        <f t="shared" si="1659"/>
        <v>1549.7386144450863</v>
      </c>
      <c r="BY174" s="21">
        <f t="shared" si="1659"/>
        <v>1554.53</v>
      </c>
      <c r="BZ174" s="21">
        <f t="shared" si="1659"/>
        <v>1839.4303103669233</v>
      </c>
      <c r="CA174" s="21">
        <f t="shared" ref="CA174:CD174" si="1660">CA172+CA173</f>
        <v>1394.86</v>
      </c>
      <c r="CB174" s="21">
        <f t="shared" si="1660"/>
        <v>1609.7828170615701</v>
      </c>
      <c r="CC174" s="21">
        <f t="shared" si="1660"/>
        <v>1585.66</v>
      </c>
      <c r="CD174" s="21">
        <f t="shared" si="1660"/>
        <v>1806.3769353711559</v>
      </c>
      <c r="CE174" s="21">
        <f t="shared" ref="CE174" si="1661">CE172+CE173</f>
        <v>1115.94</v>
      </c>
      <c r="CF174" s="21">
        <f t="shared" ref="CF174:CH174" si="1662">CF172+CF173</f>
        <v>1344.9233311499681</v>
      </c>
      <c r="CG174" s="21">
        <f t="shared" ref="CG174" si="1663">CG172+CG173</f>
        <v>1350.03</v>
      </c>
      <c r="CH174" s="21">
        <f t="shared" si="1662"/>
        <v>1572.3055335524286</v>
      </c>
      <c r="CI174" s="21">
        <f t="shared" ref="CI174:CJ174" si="1664">CI172+CI173</f>
        <v>1402.77</v>
      </c>
      <c r="CJ174" s="21">
        <f t="shared" si="1664"/>
        <v>1634.799481720147</v>
      </c>
      <c r="CK174" s="21">
        <f t="shared" ref="CK174" si="1665">CK172+CK173</f>
        <v>1845.64</v>
      </c>
      <c r="CL174" s="21">
        <f t="shared" ref="CL174:DA174" si="1666">CL172+CL173</f>
        <v>2104.8656070543525</v>
      </c>
      <c r="CM174" s="20">
        <f t="shared" si="1666"/>
        <v>2377.9602203694621</v>
      </c>
      <c r="CN174" s="20">
        <f t="shared" si="1666"/>
        <v>2635.0152846021956</v>
      </c>
      <c r="CO174" s="20">
        <f t="shared" si="1666"/>
        <v>2788.5316241168703</v>
      </c>
      <c r="CP174" s="20">
        <f t="shared" si="1666"/>
        <v>3287.5824195157602</v>
      </c>
      <c r="CQ174" s="20">
        <f t="shared" si="1666"/>
        <v>3622.8689502980792</v>
      </c>
      <c r="CR174" s="20">
        <f t="shared" si="1666"/>
        <v>3931.0725656897412</v>
      </c>
      <c r="CS174" s="20">
        <f t="shared" si="1666"/>
        <v>4133.2926874328314</v>
      </c>
      <c r="CT174" s="20">
        <f t="shared" si="1666"/>
        <v>4783.7828007124508</v>
      </c>
      <c r="CU174" s="20">
        <f t="shared" si="1666"/>
        <v>5175.3115939766058</v>
      </c>
      <c r="CV174" s="20">
        <f t="shared" si="1666"/>
        <v>5513.0276379912366</v>
      </c>
      <c r="CW174" s="20">
        <f t="shared" si="1666"/>
        <v>5742.5169234798041</v>
      </c>
      <c r="CX174" s="20">
        <f t="shared" si="1666"/>
        <v>6481.5850515670618</v>
      </c>
      <c r="CY174" s="20">
        <f t="shared" si="1666"/>
        <v>6958.6782833079133</v>
      </c>
      <c r="CZ174" s="20">
        <f t="shared" si="1666"/>
        <v>7355.6719830945449</v>
      </c>
      <c r="DA174" s="20">
        <f t="shared" si="1666"/>
        <v>7648.5925618270394</v>
      </c>
      <c r="DD174" s="125"/>
      <c r="DE174" s="21">
        <v>1845.64</v>
      </c>
    </row>
    <row r="175" spans="1:109" s="22" customFormat="1" x14ac:dyDescent="0.2">
      <c r="AB175" s="23"/>
      <c r="AC175" s="23"/>
      <c r="AD175" s="23"/>
      <c r="AE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D175" s="122"/>
    </row>
    <row r="176" spans="1:109" s="22" customFormat="1" x14ac:dyDescent="0.2">
      <c r="A176" s="22" t="s">
        <v>78</v>
      </c>
      <c r="B176" s="22">
        <f>-'Annual Raw'!C49</f>
        <v>0</v>
      </c>
      <c r="C176" s="22">
        <f>-'Annual Raw'!D49</f>
        <v>0</v>
      </c>
      <c r="D176" s="22">
        <f>-'Annual Raw'!E49</f>
        <v>-8.59</v>
      </c>
      <c r="E176" s="22">
        <f>-'Annual Raw'!F49</f>
        <v>-8.86</v>
      </c>
      <c r="F176" s="22">
        <f>-'Annual Raw'!G49</f>
        <v>-8.36</v>
      </c>
      <c r="G176" s="22">
        <f>-'Annual Raw'!H49</f>
        <v>-6.83</v>
      </c>
      <c r="H176" s="22">
        <f>-'Annual Raw'!I49</f>
        <v>-5.18</v>
      </c>
      <c r="I176" s="22">
        <f>-'Annual Raw'!J49</f>
        <v>-6.63</v>
      </c>
      <c r="J176" s="22">
        <f>-'Annual Raw'!K49</f>
        <v>-5.76</v>
      </c>
      <c r="K176" s="22">
        <f>-'Annual Raw'!L49</f>
        <v>-4.51</v>
      </c>
      <c r="L176" s="22">
        <f>-'Annual Raw'!M49</f>
        <v>-2.93</v>
      </c>
      <c r="M176" s="22">
        <f>-'Annual Raw'!N49</f>
        <v>-3.17</v>
      </c>
      <c r="N176" s="22">
        <f>-'Annual Raw'!O49</f>
        <v>-6.44</v>
      </c>
      <c r="O176" s="22">
        <f>-'Annual Raw'!P49</f>
        <v>-17.41</v>
      </c>
      <c r="P176" s="22">
        <f>-'Annual Raw'!Q49</f>
        <v>-15.4</v>
      </c>
      <c r="Q176" s="22">
        <f>-'Annual Raw'!R49</f>
        <v>-8.68</v>
      </c>
      <c r="R176" s="22">
        <f>-'Annual Raw'!S49</f>
        <v>2.37</v>
      </c>
      <c r="S176" s="22">
        <f>-'Annual Raw'!T49</f>
        <v>16.670000000000002</v>
      </c>
      <c r="T176" s="22">
        <f>-'Annual Raw'!U49</f>
        <v>32.49</v>
      </c>
      <c r="U176" s="22">
        <f>-'Annual Raw'!V49</f>
        <v>23.5</v>
      </c>
      <c r="V176" s="22">
        <f>-'Annual Raw'!W49</f>
        <v>36.32</v>
      </c>
      <c r="W176" s="22">
        <f>-'Annual Raw'!X49</f>
        <v>39.979999999999997</v>
      </c>
      <c r="X176" s="22">
        <f>-'Annual Raw'!Y49</f>
        <v>38.450000000000003</v>
      </c>
      <c r="Y176" s="22">
        <f>-'Annual Raw'!Z49</f>
        <v>24.92</v>
      </c>
      <c r="Z176" s="22">
        <f>-'Annual Raw'!AA49</f>
        <v>21.15</v>
      </c>
      <c r="AA176" s="22">
        <f>-'Annual Raw'!AB49</f>
        <v>32.53</v>
      </c>
      <c r="AB176" s="23">
        <f t="shared" ref="AB176:AB177" si="1667">+CO176</f>
        <v>32.53</v>
      </c>
      <c r="AC176" s="23">
        <f t="shared" ref="AC176:AC177" si="1668">+CS176</f>
        <v>32.53</v>
      </c>
      <c r="AD176" s="23">
        <f t="shared" ref="AD176:AD177" si="1669">+CW176</f>
        <v>32.53</v>
      </c>
      <c r="AE176" s="23">
        <f t="shared" ref="AE176:AE177" si="1670">+DA176</f>
        <v>32.53</v>
      </c>
      <c r="AI176" s="22">
        <f>+'QTR Raw'!C96</f>
        <v>-3.37</v>
      </c>
      <c r="AJ176" s="22">
        <f t="shared" ref="AJ176:AJ177" si="1671">+AI176</f>
        <v>-3.37</v>
      </c>
      <c r="AK176" s="22">
        <f>+'QTR Raw'!E96</f>
        <v>-6.44</v>
      </c>
      <c r="AL176" s="22">
        <f t="shared" ref="AL176:AL177" si="1672">+AK176</f>
        <v>-6.44</v>
      </c>
      <c r="AM176" s="22">
        <f>+'QTR Raw'!G96</f>
        <v>-12.8</v>
      </c>
      <c r="AN176" s="22">
        <f t="shared" ref="AN176:AN177" si="1673">+AM176</f>
        <v>-12.8</v>
      </c>
      <c r="AO176" s="22">
        <f>+'QTR Raw'!I96</f>
        <v>-17.41</v>
      </c>
      <c r="AP176" s="22">
        <f t="shared" ref="AP176:AP177" si="1674">+AO176</f>
        <v>-17.41</v>
      </c>
      <c r="AQ176" s="22">
        <f>+'QTR Raw'!K96</f>
        <v>-16.829999999999998</v>
      </c>
      <c r="AR176" s="22">
        <f t="shared" ref="AR176:AR177" si="1675">+AQ176</f>
        <v>-16.829999999999998</v>
      </c>
      <c r="AS176" s="22">
        <f>+'QTR Raw'!M96</f>
        <v>-15.4</v>
      </c>
      <c r="AT176" s="22">
        <f t="shared" ref="AT176:AT177" si="1676">+AS176</f>
        <v>-15.4</v>
      </c>
      <c r="AU176" s="22">
        <f>+'QTR Raw'!O96</f>
        <v>-10.62</v>
      </c>
      <c r="AV176" s="22">
        <f t="shared" ref="AV176:AV177" si="1677">+AU176</f>
        <v>-10.62</v>
      </c>
      <c r="AW176" s="22">
        <f>+'QTR Raw'!Q96</f>
        <v>-8.68</v>
      </c>
      <c r="AX176" s="22">
        <f t="shared" ref="AX176:AX177" si="1678">+AW176</f>
        <v>-8.68</v>
      </c>
      <c r="AY176" s="22">
        <f>+'QTR Raw'!S96</f>
        <v>-4.96</v>
      </c>
      <c r="AZ176" s="22">
        <f t="shared" ref="AZ176:AZ177" si="1679">+AY176</f>
        <v>-4.96</v>
      </c>
      <c r="BA176" s="22">
        <f>+'QTR Raw'!U96</f>
        <v>2.37</v>
      </c>
      <c r="BB176" s="22">
        <f t="shared" ref="BB176:BB177" si="1680">+BA176</f>
        <v>2.37</v>
      </c>
      <c r="BC176" s="22">
        <f>+'QTR Raw'!W96</f>
        <v>1.71</v>
      </c>
      <c r="BD176" s="22">
        <f t="shared" ref="BD176:BD177" si="1681">+BC176</f>
        <v>1.71</v>
      </c>
      <c r="BE176" s="22">
        <f>+'QTR Raw'!Y96</f>
        <v>2.6</v>
      </c>
      <c r="BF176" s="22">
        <f t="shared" ref="BF176:BF177" si="1682">+BE176</f>
        <v>2.6</v>
      </c>
      <c r="BG176" s="22">
        <f>+'QTR Raw'!AA96</f>
        <v>5.57</v>
      </c>
      <c r="BH176" s="22">
        <f t="shared" ref="BH176:BH177" si="1683">+BG176</f>
        <v>5.57</v>
      </c>
      <c r="BI176" s="22">
        <f>+'QTR Raw'!AC96</f>
        <v>32.49</v>
      </c>
      <c r="BJ176" s="22">
        <f t="shared" ref="BJ176:BJ177" si="1684">+BI176</f>
        <v>32.49</v>
      </c>
      <c r="BK176" s="22">
        <f>+'QTR Raw'!AE96</f>
        <v>31.69</v>
      </c>
      <c r="BL176" s="22">
        <f t="shared" ref="BL176:BL177" si="1685">+BK176</f>
        <v>31.69</v>
      </c>
      <c r="BM176" s="22">
        <f>+'QTR Raw'!AG96</f>
        <v>23.5</v>
      </c>
      <c r="BN176" s="22">
        <f t="shared" ref="BN176:BN177" si="1686">+BM176</f>
        <v>23.5</v>
      </c>
      <c r="BO176" s="22">
        <f>+'QTR Raw'!AI96</f>
        <v>29.01</v>
      </c>
      <c r="BP176" s="22">
        <f t="shared" ref="BP176:BP177" si="1687">+BO176</f>
        <v>29.01</v>
      </c>
      <c r="BQ176" s="22">
        <f>+'QTR Raw'!AK96</f>
        <v>36.32</v>
      </c>
      <c r="BR176" s="22">
        <f t="shared" ref="BR176:BR177" si="1688">+BQ176</f>
        <v>36.32</v>
      </c>
      <c r="BS176" s="22">
        <f>+'QTR Raw'!AM96</f>
        <v>37.28</v>
      </c>
      <c r="BT176" s="22">
        <f t="shared" ref="BT176:BT177" si="1689">+BS176</f>
        <v>37.28</v>
      </c>
      <c r="BU176" s="22">
        <f>+'QTR Raw'!AO96</f>
        <v>39.979999999999997</v>
      </c>
      <c r="BV176" s="22">
        <f t="shared" ref="BV176:BV177" si="1690">+BU176</f>
        <v>39.979999999999997</v>
      </c>
      <c r="BW176" s="22">
        <f>+'QTR Raw'!AQ96</f>
        <v>39.450000000000003</v>
      </c>
      <c r="BX176" s="22">
        <f t="shared" ref="BX176:BX177" si="1691">+BW176</f>
        <v>39.450000000000003</v>
      </c>
      <c r="BY176" s="22">
        <f>+'QTR Raw'!AS96</f>
        <v>38.450000000000003</v>
      </c>
      <c r="BZ176" s="22">
        <f t="shared" ref="BZ176:BZ177" si="1692">+BY176</f>
        <v>38.450000000000003</v>
      </c>
      <c r="CA176" s="22">
        <f>+'QTR Raw'!AU96</f>
        <v>41.45</v>
      </c>
      <c r="CB176" s="22">
        <f t="shared" ref="CB176:CB177" si="1693">+CA176</f>
        <v>41.45</v>
      </c>
      <c r="CC176" s="22">
        <f>+'QTR Raw'!AW96</f>
        <v>24.92</v>
      </c>
      <c r="CD176" s="22">
        <f t="shared" ref="CD176:CD177" si="1694">+CC176</f>
        <v>24.92</v>
      </c>
      <c r="CE176" s="22">
        <f>+'QTR Raw'!AY96</f>
        <v>22.48</v>
      </c>
      <c r="CF176" s="22">
        <f t="shared" ref="CF176:CL176" si="1695">+CE176</f>
        <v>22.48</v>
      </c>
      <c r="CG176" s="22">
        <f>+'QTR Raw'!BA96</f>
        <v>21.15</v>
      </c>
      <c r="CH176" s="22">
        <f t="shared" si="1695"/>
        <v>21.15</v>
      </c>
      <c r="CI176" s="22">
        <f>+'QTR Raw'!BC96</f>
        <v>25.7</v>
      </c>
      <c r="CJ176" s="22">
        <f t="shared" si="1695"/>
        <v>25.7</v>
      </c>
      <c r="CK176" s="22">
        <f>+'QTR Raw'!BE96</f>
        <v>32.53</v>
      </c>
      <c r="CL176" s="22">
        <f t="shared" si="1695"/>
        <v>32.53</v>
      </c>
      <c r="CM176" s="23">
        <f t="shared" ref="CM176:CM177" si="1696">+CL176</f>
        <v>32.53</v>
      </c>
      <c r="CN176" s="23">
        <f t="shared" ref="CN176:CN177" si="1697">+CM176</f>
        <v>32.53</v>
      </c>
      <c r="CO176" s="23">
        <f t="shared" ref="CO176:CO177" si="1698">+CN176</f>
        <v>32.53</v>
      </c>
      <c r="CP176" s="23">
        <f t="shared" ref="CP176:CP177" si="1699">+CO176</f>
        <v>32.53</v>
      </c>
      <c r="CQ176" s="23">
        <f t="shared" ref="CQ176:CQ177" si="1700">+CP176</f>
        <v>32.53</v>
      </c>
      <c r="CR176" s="23">
        <f t="shared" ref="CR176:CR177" si="1701">+CQ176</f>
        <v>32.53</v>
      </c>
      <c r="CS176" s="23">
        <f t="shared" ref="CS176:CS177" si="1702">+CR176</f>
        <v>32.53</v>
      </c>
      <c r="CT176" s="23">
        <f t="shared" ref="CT176:CT177" si="1703">+CS176</f>
        <v>32.53</v>
      </c>
      <c r="CU176" s="23">
        <f t="shared" ref="CU176:CU177" si="1704">+CT176</f>
        <v>32.53</v>
      </c>
      <c r="CV176" s="23">
        <f t="shared" ref="CV176:CV177" si="1705">+CU176</f>
        <v>32.53</v>
      </c>
      <c r="CW176" s="23">
        <f t="shared" ref="CW176:CW177" si="1706">+CV176</f>
        <v>32.53</v>
      </c>
      <c r="CX176" s="23">
        <f t="shared" ref="CX176:CX177" si="1707">+CW176</f>
        <v>32.53</v>
      </c>
      <c r="CY176" s="23">
        <f t="shared" ref="CY176:CY177" si="1708">+CX176</f>
        <v>32.53</v>
      </c>
      <c r="CZ176" s="23">
        <f t="shared" ref="CZ176:CZ177" si="1709">+CY176</f>
        <v>32.53</v>
      </c>
      <c r="DA176" s="23">
        <f t="shared" ref="DA176:DA177" si="1710">+CZ176</f>
        <v>32.53</v>
      </c>
      <c r="DD176" s="122"/>
      <c r="DE176" s="22">
        <v>32.53</v>
      </c>
    </row>
    <row r="177" spans="1:109" s="22" customFormat="1" x14ac:dyDescent="0.2">
      <c r="A177" s="22" t="s">
        <v>79</v>
      </c>
      <c r="B177" s="22">
        <f>'Annual Raw'!C83</f>
        <v>0</v>
      </c>
      <c r="C177" s="22">
        <f>'Annual Raw'!D83</f>
        <v>0</v>
      </c>
      <c r="D177" s="22">
        <f>'Annual Raw'!E83</f>
        <v>0</v>
      </c>
      <c r="E177" s="22">
        <f>'Annual Raw'!F83</f>
        <v>0</v>
      </c>
      <c r="F177" s="22">
        <f>'Annual Raw'!G83</f>
        <v>0</v>
      </c>
      <c r="G177" s="22">
        <f>'Annual Raw'!H83</f>
        <v>0</v>
      </c>
      <c r="H177" s="22">
        <f>'Annual Raw'!I83</f>
        <v>0</v>
      </c>
      <c r="I177" s="22">
        <f>'Annual Raw'!J83</f>
        <v>0</v>
      </c>
      <c r="J177" s="22">
        <f>'Annual Raw'!K83</f>
        <v>0</v>
      </c>
      <c r="K177" s="22">
        <f>'Annual Raw'!L83</f>
        <v>0</v>
      </c>
      <c r="L177" s="22">
        <f>'Annual Raw'!M83</f>
        <v>0</v>
      </c>
      <c r="M177" s="22">
        <f>'Annual Raw'!N83</f>
        <v>0</v>
      </c>
      <c r="N177" s="22">
        <f>'Annual Raw'!O83</f>
        <v>0</v>
      </c>
      <c r="O177" s="22">
        <f>'Annual Raw'!P83</f>
        <v>0</v>
      </c>
      <c r="P177" s="22">
        <f>'Annual Raw'!Q83</f>
        <v>0</v>
      </c>
      <c r="Q177" s="22">
        <f>'Annual Raw'!R83</f>
        <v>0</v>
      </c>
      <c r="R177" s="22">
        <f>'Annual Raw'!S83</f>
        <v>0</v>
      </c>
      <c r="S177" s="22">
        <f>'Annual Raw'!T83</f>
        <v>0</v>
      </c>
      <c r="T177" s="22">
        <f>'Annual Raw'!U83</f>
        <v>0</v>
      </c>
      <c r="U177" s="22">
        <f>'Annual Raw'!V83</f>
        <v>0</v>
      </c>
      <c r="V177" s="22">
        <f>'Annual Raw'!W83</f>
        <v>0</v>
      </c>
      <c r="W177" s="22">
        <f>'Annual Raw'!X83</f>
        <v>0</v>
      </c>
      <c r="X177" s="22">
        <f>'Annual Raw'!Y83</f>
        <v>0</v>
      </c>
      <c r="Y177" s="22">
        <f>'Annual Raw'!Z83</f>
        <v>0</v>
      </c>
      <c r="Z177" s="22">
        <f>'Annual Raw'!AA83</f>
        <v>0</v>
      </c>
      <c r="AA177" s="22">
        <f>'Annual Raw'!AB83</f>
        <v>0</v>
      </c>
      <c r="AB177" s="23">
        <f t="shared" si="1667"/>
        <v>0</v>
      </c>
      <c r="AC177" s="23">
        <f t="shared" si="1668"/>
        <v>0</v>
      </c>
      <c r="AD177" s="23">
        <f t="shared" si="1669"/>
        <v>0</v>
      </c>
      <c r="AE177" s="23">
        <f t="shared" si="1670"/>
        <v>0</v>
      </c>
      <c r="AI177" s="22">
        <f>+'QTR Raw'!C95</f>
        <v>0</v>
      </c>
      <c r="AJ177" s="22">
        <f t="shared" si="1671"/>
        <v>0</v>
      </c>
      <c r="AK177" s="22">
        <f>+'QTR Raw'!E95</f>
        <v>0</v>
      </c>
      <c r="AL177" s="22">
        <f t="shared" si="1672"/>
        <v>0</v>
      </c>
      <c r="AM177" s="22">
        <f>+'QTR Raw'!G95</f>
        <v>0</v>
      </c>
      <c r="AN177" s="22">
        <f t="shared" si="1673"/>
        <v>0</v>
      </c>
      <c r="AO177" s="22">
        <f>+'QTR Raw'!I95</f>
        <v>0</v>
      </c>
      <c r="AP177" s="22">
        <f t="shared" si="1674"/>
        <v>0</v>
      </c>
      <c r="AQ177" s="22">
        <f>+'QTR Raw'!K95</f>
        <v>0</v>
      </c>
      <c r="AR177" s="22">
        <f t="shared" si="1675"/>
        <v>0</v>
      </c>
      <c r="AS177" s="22">
        <f>+'QTR Raw'!M95</f>
        <v>0</v>
      </c>
      <c r="AT177" s="22">
        <f t="shared" si="1676"/>
        <v>0</v>
      </c>
      <c r="AU177" s="22">
        <f>+'QTR Raw'!O95</f>
        <v>0</v>
      </c>
      <c r="AV177" s="22">
        <f t="shared" si="1677"/>
        <v>0</v>
      </c>
      <c r="AW177" s="22">
        <f>+'QTR Raw'!Q95</f>
        <v>0</v>
      </c>
      <c r="AX177" s="22">
        <f t="shared" si="1678"/>
        <v>0</v>
      </c>
      <c r="AY177" s="22">
        <f>+'QTR Raw'!S95</f>
        <v>0</v>
      </c>
      <c r="AZ177" s="22">
        <f t="shared" si="1679"/>
        <v>0</v>
      </c>
      <c r="BA177" s="22">
        <f>+'QTR Raw'!U95</f>
        <v>0</v>
      </c>
      <c r="BB177" s="22">
        <f t="shared" si="1680"/>
        <v>0</v>
      </c>
      <c r="BC177" s="22">
        <f>+'QTR Raw'!W95</f>
        <v>0</v>
      </c>
      <c r="BD177" s="22">
        <f t="shared" si="1681"/>
        <v>0</v>
      </c>
      <c r="BE177" s="22">
        <f>+'QTR Raw'!Y95</f>
        <v>0</v>
      </c>
      <c r="BF177" s="22">
        <f t="shared" si="1682"/>
        <v>0</v>
      </c>
      <c r="BG177" s="22">
        <f>+'QTR Raw'!AA95</f>
        <v>0</v>
      </c>
      <c r="BH177" s="22">
        <f t="shared" si="1683"/>
        <v>0</v>
      </c>
      <c r="BI177" s="22">
        <f>+'QTR Raw'!AC95</f>
        <v>0</v>
      </c>
      <c r="BJ177" s="22">
        <f t="shared" si="1684"/>
        <v>0</v>
      </c>
      <c r="BK177" s="22">
        <f>+'QTR Raw'!AE95</f>
        <v>0</v>
      </c>
      <c r="BL177" s="22">
        <f t="shared" si="1685"/>
        <v>0</v>
      </c>
      <c r="BM177" s="22">
        <f>+'QTR Raw'!AG95</f>
        <v>0</v>
      </c>
      <c r="BN177" s="22">
        <f t="shared" si="1686"/>
        <v>0</v>
      </c>
      <c r="BO177" s="22">
        <f>+'QTR Raw'!AI95</f>
        <v>0</v>
      </c>
      <c r="BP177" s="22">
        <f t="shared" si="1687"/>
        <v>0</v>
      </c>
      <c r="BQ177" s="22">
        <f>+'QTR Raw'!AK95</f>
        <v>0</v>
      </c>
      <c r="BR177" s="22">
        <f t="shared" si="1688"/>
        <v>0</v>
      </c>
      <c r="BS177" s="22">
        <f>+'QTR Raw'!AM95</f>
        <v>0</v>
      </c>
      <c r="BT177" s="22">
        <f t="shared" si="1689"/>
        <v>0</v>
      </c>
      <c r="BU177" s="22">
        <f>+'QTR Raw'!AO95</f>
        <v>0</v>
      </c>
      <c r="BV177" s="22">
        <f t="shared" si="1690"/>
        <v>0</v>
      </c>
      <c r="BW177" s="22">
        <f>+'QTR Raw'!AQ95</f>
        <v>0</v>
      </c>
      <c r="BX177" s="22">
        <f t="shared" si="1691"/>
        <v>0</v>
      </c>
      <c r="BY177" s="22">
        <f>+'QTR Raw'!AS95</f>
        <v>0</v>
      </c>
      <c r="BZ177" s="22">
        <f t="shared" si="1692"/>
        <v>0</v>
      </c>
      <c r="CA177" s="22">
        <f>+'QTR Raw'!AU95</f>
        <v>0</v>
      </c>
      <c r="CB177" s="22">
        <f t="shared" si="1693"/>
        <v>0</v>
      </c>
      <c r="CC177" s="22">
        <f>+'QTR Raw'!AW95</f>
        <v>0</v>
      </c>
      <c r="CD177" s="22">
        <f t="shared" si="1694"/>
        <v>0</v>
      </c>
      <c r="CE177" s="22">
        <f>+'QTR Raw'!AY95</f>
        <v>0</v>
      </c>
      <c r="CF177" s="22">
        <f t="shared" ref="CF177:CL177" si="1711">+CE177</f>
        <v>0</v>
      </c>
      <c r="CG177" s="22">
        <f>+'QTR Raw'!BA95</f>
        <v>0</v>
      </c>
      <c r="CH177" s="22">
        <f t="shared" si="1711"/>
        <v>0</v>
      </c>
      <c r="CI177" s="22">
        <f>+'QTR Raw'!BC95</f>
        <v>0</v>
      </c>
      <c r="CJ177" s="22">
        <f t="shared" si="1711"/>
        <v>0</v>
      </c>
      <c r="CK177" s="22">
        <f>+'QTR Raw'!BE95</f>
        <v>0</v>
      </c>
      <c r="CL177" s="22">
        <f t="shared" si="1711"/>
        <v>0</v>
      </c>
      <c r="CM177" s="23">
        <f t="shared" si="1696"/>
        <v>0</v>
      </c>
      <c r="CN177" s="23">
        <f t="shared" si="1697"/>
        <v>0</v>
      </c>
      <c r="CO177" s="23">
        <f t="shared" si="1698"/>
        <v>0</v>
      </c>
      <c r="CP177" s="23">
        <f t="shared" si="1699"/>
        <v>0</v>
      </c>
      <c r="CQ177" s="23">
        <f t="shared" si="1700"/>
        <v>0</v>
      </c>
      <c r="CR177" s="23">
        <f t="shared" si="1701"/>
        <v>0</v>
      </c>
      <c r="CS177" s="23">
        <f t="shared" si="1702"/>
        <v>0</v>
      </c>
      <c r="CT177" s="23">
        <f t="shared" si="1703"/>
        <v>0</v>
      </c>
      <c r="CU177" s="23">
        <f t="shared" si="1704"/>
        <v>0</v>
      </c>
      <c r="CV177" s="23">
        <f t="shared" si="1705"/>
        <v>0</v>
      </c>
      <c r="CW177" s="23">
        <f t="shared" si="1706"/>
        <v>0</v>
      </c>
      <c r="CX177" s="23">
        <f t="shared" si="1707"/>
        <v>0</v>
      </c>
      <c r="CY177" s="23">
        <f t="shared" si="1708"/>
        <v>0</v>
      </c>
      <c r="CZ177" s="23">
        <f t="shared" si="1709"/>
        <v>0</v>
      </c>
      <c r="DA177" s="23">
        <f t="shared" si="1710"/>
        <v>0</v>
      </c>
      <c r="DD177" s="122"/>
      <c r="DE177" s="22">
        <v>0</v>
      </c>
    </row>
    <row r="178" spans="1:109" s="25" customFormat="1" x14ac:dyDescent="0.2">
      <c r="A178" s="25" t="s">
        <v>437</v>
      </c>
      <c r="B178" s="25">
        <f t="shared" ref="B178:W178" si="1712">B176+B174+B170+B153+B151+B177</f>
        <v>0</v>
      </c>
      <c r="C178" s="25">
        <f t="shared" si="1712"/>
        <v>0</v>
      </c>
      <c r="D178" s="25">
        <f t="shared" si="1712"/>
        <v>156.94</v>
      </c>
      <c r="E178" s="25">
        <f t="shared" si="1712"/>
        <v>141.07</v>
      </c>
      <c r="F178" s="25">
        <f t="shared" si="1712"/>
        <v>140.47000000000003</v>
      </c>
      <c r="G178" s="25">
        <f t="shared" si="1712"/>
        <v>192.76000000000005</v>
      </c>
      <c r="H178" s="25">
        <f t="shared" si="1712"/>
        <v>247.63000000000002</v>
      </c>
      <c r="I178" s="25">
        <f t="shared" si="1712"/>
        <v>318.10000000000002</v>
      </c>
      <c r="J178" s="25">
        <f t="shared" si="1712"/>
        <v>405.00999999999993</v>
      </c>
      <c r="K178" s="25">
        <f t="shared" si="1712"/>
        <v>461.74</v>
      </c>
      <c r="L178" s="25">
        <f t="shared" si="1712"/>
        <v>573.46</v>
      </c>
      <c r="M178" s="25">
        <f t="shared" si="1712"/>
        <v>730.04</v>
      </c>
      <c r="N178" s="25">
        <f t="shared" si="1712"/>
        <v>879.5</v>
      </c>
      <c r="O178" s="25">
        <f t="shared" si="1712"/>
        <v>989.55000000000018</v>
      </c>
      <c r="P178" s="25">
        <f t="shared" si="1712"/>
        <v>1107.49</v>
      </c>
      <c r="Q178" s="25">
        <f t="shared" si="1712"/>
        <v>1289.2399999999998</v>
      </c>
      <c r="R178" s="25">
        <f t="shared" si="1712"/>
        <v>1475.1599999999999</v>
      </c>
      <c r="S178" s="25">
        <f t="shared" si="1712"/>
        <v>2394.54</v>
      </c>
      <c r="T178" s="25">
        <f t="shared" si="1712"/>
        <v>2763.86</v>
      </c>
      <c r="U178" s="25">
        <f t="shared" si="1712"/>
        <v>2962.16</v>
      </c>
      <c r="V178" s="25">
        <f t="shared" si="1712"/>
        <v>3140.2900000000004</v>
      </c>
      <c r="W178" s="25">
        <f t="shared" si="1712"/>
        <v>3653.6699999999996</v>
      </c>
      <c r="X178" s="25">
        <f t="shared" ref="X178:Y178" si="1713">X176+X174+X170+X153+X151+X177</f>
        <v>4285.8999999999996</v>
      </c>
      <c r="Y178" s="25">
        <f t="shared" si="1713"/>
        <v>4805.3499999999995</v>
      </c>
      <c r="Z178" s="25">
        <f t="shared" ref="Z178:AA178" si="1714">Z176+Z174+Z170+Z153+Z151+Z177</f>
        <v>5334.43</v>
      </c>
      <c r="AA178" s="25">
        <f t="shared" ref="AA178" si="1715">AA176+AA174+AA170+AA153+AA151+AA177</f>
        <v>6047.9599999999991</v>
      </c>
      <c r="AB178" s="26">
        <f t="shared" ref="AB178:AD178" si="1716">AB176+AB174+AB170+AB153+AB151+AB177</f>
        <v>7421.0246743708885</v>
      </c>
      <c r="AC178" s="26">
        <f t="shared" si="1716"/>
        <v>9095.8032498562225</v>
      </c>
      <c r="AD178" s="26">
        <f t="shared" si="1716"/>
        <v>10916.592408987302</v>
      </c>
      <c r="AE178" s="26">
        <f t="shared" ref="AE178" si="1717">AE176+AE174+AE170+AE153+AE151+AE177</f>
        <v>13093.244267910157</v>
      </c>
      <c r="AI178" s="25">
        <f t="shared" ref="AI178:AL178" si="1718">AI176+AI174+AI170+AI153+AI151+AI177</f>
        <v>803.25</v>
      </c>
      <c r="AJ178" s="25">
        <f t="shared" si="1718"/>
        <v>840.19</v>
      </c>
      <c r="AK178" s="25">
        <f t="shared" si="1718"/>
        <v>879.5</v>
      </c>
      <c r="AL178" s="25">
        <f t="shared" si="1718"/>
        <v>904.95</v>
      </c>
      <c r="AM178" s="25">
        <f t="shared" ref="AM178:AP178" si="1719">AM176+AM174+AM170+AM153+AM151+AM177</f>
        <v>930.44</v>
      </c>
      <c r="AN178" s="25">
        <f t="shared" si="1719"/>
        <v>966.33</v>
      </c>
      <c r="AO178" s="25">
        <f t="shared" si="1719"/>
        <v>989.55000000000018</v>
      </c>
      <c r="AP178" s="25">
        <f t="shared" si="1719"/>
        <v>1024.23</v>
      </c>
      <c r="AQ178" s="25">
        <f t="shared" ref="AQ178:AT178" si="1720">AQ176+AQ174+AQ170+AQ153+AQ151+AQ177</f>
        <v>1064.97</v>
      </c>
      <c r="AR178" s="25">
        <f t="shared" si="1720"/>
        <v>1102.48</v>
      </c>
      <c r="AS178" s="25">
        <f t="shared" si="1720"/>
        <v>1107.49</v>
      </c>
      <c r="AT178" s="25">
        <f t="shared" si="1720"/>
        <v>1148.8899999999999</v>
      </c>
      <c r="AU178" s="25">
        <f t="shared" ref="AU178:AX178" si="1721">AU176+AU174+AU170+AU153+AU151+AU177</f>
        <v>1208.4099999999999</v>
      </c>
      <c r="AV178" s="25">
        <f t="shared" si="1721"/>
        <v>1259.01</v>
      </c>
      <c r="AW178" s="25">
        <f t="shared" si="1721"/>
        <v>1289.2399999999998</v>
      </c>
      <c r="AX178" s="25">
        <f t="shared" si="1721"/>
        <v>1330.6999999999998</v>
      </c>
      <c r="AY178" s="25">
        <f t="shared" ref="AY178:BB178" si="1722">AY176+AY174+AY170+AY153+AY151+AY177</f>
        <v>1376.5900000000001</v>
      </c>
      <c r="AZ178" s="25">
        <f t="shared" si="1722"/>
        <v>1429.1099999999997</v>
      </c>
      <c r="BA178" s="25">
        <f t="shared" si="1722"/>
        <v>1475.1599999999999</v>
      </c>
      <c r="BB178" s="25">
        <f t="shared" si="1722"/>
        <v>1532.6399999999999</v>
      </c>
      <c r="BC178" s="25">
        <f t="shared" ref="BC178:BF178" si="1723">BC176+BC174+BC170+BC153+BC151+BC177</f>
        <v>1567.02</v>
      </c>
      <c r="BD178" s="25">
        <f t="shared" si="1723"/>
        <v>1662.5</v>
      </c>
      <c r="BE178" s="25">
        <f t="shared" si="1723"/>
        <v>1695.3200000000002</v>
      </c>
      <c r="BF178" s="25">
        <f t="shared" si="1723"/>
        <v>1805.8600000000001</v>
      </c>
      <c r="BG178" s="25">
        <f t="shared" ref="BG178:BJ178" si="1724">BG176+BG174+BG170+BG153+BG151+BG177</f>
        <v>1786.74</v>
      </c>
      <c r="BH178" s="25">
        <f t="shared" si="1724"/>
        <v>1877.4</v>
      </c>
      <c r="BI178" s="25">
        <f t="shared" si="1724"/>
        <v>2763.86</v>
      </c>
      <c r="BJ178" s="25">
        <f t="shared" si="1724"/>
        <v>2870.04</v>
      </c>
      <c r="BK178" s="25">
        <f t="shared" ref="BK178:BN178" si="1725">BK176+BK174+BK170+BK153+BK151+BK177</f>
        <v>2792.7200000000003</v>
      </c>
      <c r="BL178" s="25">
        <f t="shared" si="1725"/>
        <v>2887.1500000000005</v>
      </c>
      <c r="BM178" s="25">
        <f t="shared" si="1725"/>
        <v>2962.1600000000003</v>
      </c>
      <c r="BN178" s="25">
        <f t="shared" si="1725"/>
        <v>3040.51</v>
      </c>
      <c r="BO178" s="25">
        <f t="shared" ref="BO178:BR178" si="1726">BO176+BO174+BO170+BO153+BO151+BO177</f>
        <v>2887.21</v>
      </c>
      <c r="BP178" s="25">
        <f t="shared" si="1726"/>
        <v>3000.6800000000003</v>
      </c>
      <c r="BQ178" s="25">
        <f t="shared" si="1726"/>
        <v>3140.29</v>
      </c>
      <c r="BR178" s="25">
        <f t="shared" si="1726"/>
        <v>3279.83</v>
      </c>
      <c r="BS178" s="25">
        <f t="shared" ref="BS178:BV178" si="1727">BS176+BS174+BS170+BS153+BS151+BS177</f>
        <v>3296.2700000000004</v>
      </c>
      <c r="BT178" s="25">
        <f t="shared" si="1727"/>
        <v>3467.08</v>
      </c>
      <c r="BU178" s="25">
        <f t="shared" si="1727"/>
        <v>3653.67</v>
      </c>
      <c r="BV178" s="25">
        <f t="shared" si="1727"/>
        <v>3860.79</v>
      </c>
      <c r="BW178" s="25">
        <f t="shared" ref="BW178:BZ178" si="1728">BW176+BW174+BW170+BW153+BW151+BW177</f>
        <v>3840.5300000000007</v>
      </c>
      <c r="BX178" s="25">
        <f t="shared" si="1728"/>
        <v>4055.8900000000003</v>
      </c>
      <c r="BY178" s="25">
        <f t="shared" si="1728"/>
        <v>4285.8999999999996</v>
      </c>
      <c r="BZ178" s="25">
        <f t="shared" si="1728"/>
        <v>4505.2699999999995</v>
      </c>
      <c r="CA178" s="25">
        <f t="shared" ref="CA178:CD178" si="1729">CA176+CA174+CA170+CA153+CA151+CA177</f>
        <v>4366.7700000000004</v>
      </c>
      <c r="CB178" s="25">
        <f t="shared" si="1729"/>
        <v>4599.5300000000007</v>
      </c>
      <c r="CC178" s="25">
        <f t="shared" si="1729"/>
        <v>4805.3500000000004</v>
      </c>
      <c r="CD178" s="25">
        <f t="shared" si="1729"/>
        <v>5025.0700000000006</v>
      </c>
      <c r="CE178" s="25">
        <f t="shared" ref="CE178" si="1730">CE176+CE174+CE170+CE153+CE151+CE177</f>
        <v>4866.1499999999996</v>
      </c>
      <c r="CF178" s="25">
        <f t="shared" ref="CF178:CH178" si="1731">CF176+CF174+CF170+CF153+CF151+CF177</f>
        <v>5102.5599999999995</v>
      </c>
      <c r="CG178" s="25">
        <f t="shared" ref="CG178" si="1732">CG176+CG174+CG170+CG153+CG151+CG177</f>
        <v>5334.43</v>
      </c>
      <c r="CH178" s="25">
        <f t="shared" si="1731"/>
        <v>5586.05</v>
      </c>
      <c r="CI178" s="25">
        <f t="shared" ref="CI178:CJ178" si="1733">CI176+CI174+CI170+CI153+CI151+CI177</f>
        <v>5434.87</v>
      </c>
      <c r="CJ178" s="25">
        <f t="shared" si="1733"/>
        <v>5724.13</v>
      </c>
      <c r="CK178" s="25">
        <f t="shared" ref="CK178" si="1734">CK176+CK174+CK170+CK153+CK151+CK177</f>
        <v>6047.96</v>
      </c>
      <c r="CL178" s="25">
        <f t="shared" ref="CL178:DA178" si="1735">CL176+CL174+CL170+CL153+CL151+CL177</f>
        <v>6364.03</v>
      </c>
      <c r="CM178" s="26">
        <f t="shared" si="1735"/>
        <v>6693.6266812694776</v>
      </c>
      <c r="CN178" s="26">
        <f t="shared" si="1735"/>
        <v>7047.0470079399774</v>
      </c>
      <c r="CO178" s="26">
        <f t="shared" si="1735"/>
        <v>7452.4046743708886</v>
      </c>
      <c r="CP178" s="26">
        <f t="shared" si="1735"/>
        <v>7837.1444733841536</v>
      </c>
      <c r="CQ178" s="26">
        <f t="shared" si="1735"/>
        <v>8241.9658114787781</v>
      </c>
      <c r="CR178" s="26">
        <f t="shared" si="1735"/>
        <v>8675.6028086225524</v>
      </c>
      <c r="CS178" s="26">
        <f t="shared" si="1735"/>
        <v>9169.0232498562218</v>
      </c>
      <c r="CT178" s="26">
        <f t="shared" si="1735"/>
        <v>9605.2328668408045</v>
      </c>
      <c r="CU178" s="26">
        <f t="shared" si="1735"/>
        <v>10061.339178728083</v>
      </c>
      <c r="CV178" s="26">
        <f t="shared" si="1735"/>
        <v>10548.782286669499</v>
      </c>
      <c r="CW178" s="26">
        <f t="shared" si="1735"/>
        <v>11097.295568987302</v>
      </c>
      <c r="CX178" s="26">
        <f t="shared" si="1735"/>
        <v>11613.163835238756</v>
      </c>
      <c r="CY178" s="26">
        <f t="shared" si="1735"/>
        <v>12150.906062967089</v>
      </c>
      <c r="CZ178" s="26">
        <f t="shared" si="1735"/>
        <v>12729.447562652371</v>
      </c>
      <c r="DA178" s="26">
        <f t="shared" si="1735"/>
        <v>13381.430587910156</v>
      </c>
      <c r="DD178" s="120"/>
      <c r="DE178" s="25">
        <v>6047.9600000000009</v>
      </c>
    </row>
    <row r="179" spans="1:109" s="22" customFormat="1" x14ac:dyDescent="0.2">
      <c r="A179" s="27" t="s">
        <v>438</v>
      </c>
      <c r="B179" s="22">
        <f t="shared" ref="B179:W179" si="1736">B178-B142</f>
        <v>0</v>
      </c>
      <c r="C179" s="22">
        <f t="shared" si="1736"/>
        <v>0</v>
      </c>
      <c r="D179" s="22">
        <f t="shared" si="1736"/>
        <v>0</v>
      </c>
      <c r="E179" s="22">
        <f t="shared" si="1736"/>
        <v>0</v>
      </c>
      <c r="F179" s="22">
        <f t="shared" si="1736"/>
        <v>0</v>
      </c>
      <c r="G179" s="22">
        <f t="shared" si="1736"/>
        <v>0</v>
      </c>
      <c r="H179" s="22">
        <f t="shared" si="1736"/>
        <v>0</v>
      </c>
      <c r="I179" s="22">
        <f t="shared" si="1736"/>
        <v>0</v>
      </c>
      <c r="J179" s="22">
        <f t="shared" si="1736"/>
        <v>0</v>
      </c>
      <c r="K179" s="22">
        <f t="shared" si="1736"/>
        <v>0</v>
      </c>
      <c r="L179" s="22">
        <f t="shared" si="1736"/>
        <v>0</v>
      </c>
      <c r="M179" s="22">
        <f t="shared" si="1736"/>
        <v>0</v>
      </c>
      <c r="N179" s="22">
        <f t="shared" si="1736"/>
        <v>0</v>
      </c>
      <c r="O179" s="22">
        <f t="shared" si="1736"/>
        <v>0</v>
      </c>
      <c r="P179" s="22">
        <f t="shared" si="1736"/>
        <v>0</v>
      </c>
      <c r="Q179" s="22">
        <f t="shared" si="1736"/>
        <v>0</v>
      </c>
      <c r="R179" s="22">
        <f t="shared" si="1736"/>
        <v>0</v>
      </c>
      <c r="S179" s="22">
        <f t="shared" si="1736"/>
        <v>0</v>
      </c>
      <c r="T179" s="22">
        <f t="shared" si="1736"/>
        <v>0</v>
      </c>
      <c r="U179" s="22">
        <f t="shared" si="1736"/>
        <v>0</v>
      </c>
      <c r="V179" s="22">
        <f t="shared" si="1736"/>
        <v>0</v>
      </c>
      <c r="W179" s="22">
        <f t="shared" si="1736"/>
        <v>0</v>
      </c>
      <c r="X179" s="22">
        <f t="shared" ref="X179:Y179" si="1737">X178-X142</f>
        <v>0</v>
      </c>
      <c r="Y179" s="22">
        <f t="shared" si="1737"/>
        <v>0</v>
      </c>
      <c r="Z179" s="22">
        <f t="shared" ref="Z179:AA179" si="1738">Z178-Z142</f>
        <v>0</v>
      </c>
      <c r="AA179" s="22">
        <f t="shared" ref="AA179" si="1739">AA178-AA142</f>
        <v>0</v>
      </c>
      <c r="AB179" s="23">
        <f t="shared" ref="AB179:AD179" si="1740">AB178-AB142</f>
        <v>-31.380000000000109</v>
      </c>
      <c r="AC179" s="23">
        <f t="shared" si="1740"/>
        <v>-73.220000000001164</v>
      </c>
      <c r="AD179" s="23">
        <f t="shared" si="1740"/>
        <v>-180.70315999999912</v>
      </c>
      <c r="AE179" s="23">
        <f t="shared" ref="AE179" si="1741">AE178-AE142</f>
        <v>-288.18631999999889</v>
      </c>
      <c r="AI179" s="22">
        <f t="shared" ref="AI179:AL179" si="1742">AI178-AI142</f>
        <v>0</v>
      </c>
      <c r="AJ179" s="22">
        <f t="shared" si="1742"/>
        <v>0</v>
      </c>
      <c r="AK179" s="22">
        <f t="shared" si="1742"/>
        <v>0</v>
      </c>
      <c r="AL179" s="22">
        <f t="shared" si="1742"/>
        <v>0</v>
      </c>
      <c r="AM179" s="22">
        <f t="shared" ref="AM179:AP179" si="1743">AM178-AM142</f>
        <v>0</v>
      </c>
      <c r="AN179" s="22">
        <f t="shared" si="1743"/>
        <v>0</v>
      </c>
      <c r="AO179" s="22">
        <f t="shared" si="1743"/>
        <v>0</v>
      </c>
      <c r="AP179" s="22">
        <f t="shared" si="1743"/>
        <v>0</v>
      </c>
      <c r="AQ179" s="22">
        <f t="shared" ref="AQ179:AT179" si="1744">AQ178-AQ142</f>
        <v>0</v>
      </c>
      <c r="AR179" s="22">
        <f t="shared" si="1744"/>
        <v>0</v>
      </c>
      <c r="AS179" s="22">
        <f t="shared" si="1744"/>
        <v>0</v>
      </c>
      <c r="AT179" s="22">
        <f t="shared" si="1744"/>
        <v>0</v>
      </c>
      <c r="AU179" s="22">
        <f t="shared" ref="AU179:AX179" si="1745">AU178-AU142</f>
        <v>0</v>
      </c>
      <c r="AV179" s="22">
        <f t="shared" si="1745"/>
        <v>0</v>
      </c>
      <c r="AW179" s="22">
        <f t="shared" si="1745"/>
        <v>0</v>
      </c>
      <c r="AX179" s="22">
        <f t="shared" si="1745"/>
        <v>0</v>
      </c>
      <c r="AY179" s="22">
        <f t="shared" ref="AY179:BB179" si="1746">AY178-AY142</f>
        <v>0</v>
      </c>
      <c r="AZ179" s="22">
        <f t="shared" si="1746"/>
        <v>0</v>
      </c>
      <c r="BA179" s="22">
        <f t="shared" si="1746"/>
        <v>0</v>
      </c>
      <c r="BB179" s="22">
        <f t="shared" si="1746"/>
        <v>0</v>
      </c>
      <c r="BC179" s="22">
        <f t="shared" ref="BC179:BF179" si="1747">BC178-BC142</f>
        <v>0</v>
      </c>
      <c r="BD179" s="22">
        <f t="shared" si="1747"/>
        <v>0</v>
      </c>
      <c r="BE179" s="22">
        <f t="shared" si="1747"/>
        <v>0</v>
      </c>
      <c r="BF179" s="22">
        <f t="shared" si="1747"/>
        <v>0</v>
      </c>
      <c r="BG179" s="22">
        <f t="shared" ref="BG179:BJ179" si="1748">BG178-BG142</f>
        <v>-9.9999999999909051E-3</v>
      </c>
      <c r="BH179" s="22">
        <f t="shared" si="1748"/>
        <v>-9.9999999999909051E-3</v>
      </c>
      <c r="BI179" s="22">
        <f t="shared" si="1748"/>
        <v>0</v>
      </c>
      <c r="BJ179" s="22">
        <f t="shared" si="1748"/>
        <v>0</v>
      </c>
      <c r="BK179" s="22">
        <f t="shared" ref="BK179:BN179" si="1749">BK178-BK142</f>
        <v>0</v>
      </c>
      <c r="BL179" s="22">
        <f t="shared" si="1749"/>
        <v>0</v>
      </c>
      <c r="BM179" s="22">
        <f t="shared" si="1749"/>
        <v>0</v>
      </c>
      <c r="BN179" s="22">
        <f t="shared" si="1749"/>
        <v>0</v>
      </c>
      <c r="BO179" s="22">
        <f t="shared" ref="BO179:BR179" si="1750">BO178-BO142</f>
        <v>0</v>
      </c>
      <c r="BP179" s="22">
        <f t="shared" si="1750"/>
        <v>0</v>
      </c>
      <c r="BQ179" s="22">
        <f t="shared" si="1750"/>
        <v>0</v>
      </c>
      <c r="BR179" s="22">
        <f t="shared" si="1750"/>
        <v>0</v>
      </c>
      <c r="BS179" s="22">
        <f t="shared" ref="BS179:BV179" si="1751">BS178-BS142</f>
        <v>0</v>
      </c>
      <c r="BT179" s="22">
        <f t="shared" si="1751"/>
        <v>0</v>
      </c>
      <c r="BU179" s="22">
        <f t="shared" si="1751"/>
        <v>0</v>
      </c>
      <c r="BV179" s="22">
        <f t="shared" si="1751"/>
        <v>0</v>
      </c>
      <c r="BW179" s="22">
        <f t="shared" ref="BW179:BZ179" si="1752">BW178-BW142</f>
        <v>0</v>
      </c>
      <c r="BX179" s="22">
        <f t="shared" si="1752"/>
        <v>0</v>
      </c>
      <c r="BY179" s="22">
        <f t="shared" si="1752"/>
        <v>0</v>
      </c>
      <c r="BZ179" s="22">
        <f t="shared" si="1752"/>
        <v>0</v>
      </c>
      <c r="CA179" s="22">
        <f t="shared" ref="CA179:CD179" si="1753">CA178-CA142</f>
        <v>0</v>
      </c>
      <c r="CB179" s="22">
        <f t="shared" si="1753"/>
        <v>0</v>
      </c>
      <c r="CC179" s="22">
        <f t="shared" si="1753"/>
        <v>0</v>
      </c>
      <c r="CD179" s="22">
        <f t="shared" si="1753"/>
        <v>0</v>
      </c>
      <c r="CE179" s="22">
        <f t="shared" ref="CE179" si="1754">CE178-CE142</f>
        <v>0</v>
      </c>
      <c r="CF179" s="22">
        <f t="shared" ref="CF179:CH179" si="1755">CF178-CF142</f>
        <v>0</v>
      </c>
      <c r="CG179" s="22">
        <f t="shared" ref="CG179" si="1756">CG178-CG142</f>
        <v>0</v>
      </c>
      <c r="CH179" s="22">
        <f t="shared" si="1755"/>
        <v>0</v>
      </c>
      <c r="CI179" s="22">
        <f t="shared" ref="CI179:CJ179" si="1757">CI178-CI142</f>
        <v>0</v>
      </c>
      <c r="CJ179" s="22">
        <f t="shared" si="1757"/>
        <v>0</v>
      </c>
      <c r="CK179" s="22">
        <f t="shared" ref="CK179" si="1758">CK178-CK142</f>
        <v>0</v>
      </c>
      <c r="CL179" s="22">
        <f t="shared" ref="CL179:DA179" si="1759">CL178-CL142</f>
        <v>0</v>
      </c>
      <c r="CM179" s="23">
        <f t="shared" si="1759"/>
        <v>0</v>
      </c>
      <c r="CN179" s="23">
        <f t="shared" si="1759"/>
        <v>0</v>
      </c>
      <c r="CO179" s="23">
        <f t="shared" si="1759"/>
        <v>0</v>
      </c>
      <c r="CP179" s="23">
        <f t="shared" si="1759"/>
        <v>0</v>
      </c>
      <c r="CQ179" s="23">
        <f t="shared" si="1759"/>
        <v>0</v>
      </c>
      <c r="CR179" s="23">
        <f t="shared" si="1759"/>
        <v>0</v>
      </c>
      <c r="CS179" s="23">
        <f t="shared" si="1759"/>
        <v>0</v>
      </c>
      <c r="CT179" s="23">
        <f t="shared" si="1759"/>
        <v>0</v>
      </c>
      <c r="CU179" s="23">
        <f t="shared" si="1759"/>
        <v>0</v>
      </c>
      <c r="CV179" s="23">
        <f t="shared" si="1759"/>
        <v>0</v>
      </c>
      <c r="CW179" s="23">
        <f t="shared" si="1759"/>
        <v>0</v>
      </c>
      <c r="CX179" s="23">
        <f t="shared" si="1759"/>
        <v>0</v>
      </c>
      <c r="CY179" s="23">
        <f t="shared" si="1759"/>
        <v>0</v>
      </c>
      <c r="CZ179" s="23">
        <f t="shared" si="1759"/>
        <v>0</v>
      </c>
      <c r="DA179" s="23">
        <f t="shared" si="1759"/>
        <v>0</v>
      </c>
      <c r="DD179" s="122"/>
      <c r="DE179" s="22">
        <v>0</v>
      </c>
    </row>
    <row r="180" spans="1:109" s="22" customFormat="1" x14ac:dyDescent="0.2">
      <c r="A180" s="27"/>
      <c r="AB180" s="23"/>
      <c r="AC180" s="23"/>
      <c r="AD180" s="23"/>
      <c r="AE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D180" s="122"/>
    </row>
    <row r="181" spans="1:109" s="21" customFormat="1" x14ac:dyDescent="0.2">
      <c r="A181" s="21" t="s">
        <v>80</v>
      </c>
      <c r="B181" s="21">
        <f t="shared" ref="B181:W181" si="1760">B141-B174</f>
        <v>0</v>
      </c>
      <c r="C181" s="21">
        <f t="shared" si="1760"/>
        <v>0</v>
      </c>
      <c r="D181" s="21">
        <f t="shared" si="1760"/>
        <v>51.53</v>
      </c>
      <c r="E181" s="21">
        <f t="shared" si="1760"/>
        <v>19.5</v>
      </c>
      <c r="F181" s="21">
        <f t="shared" si="1760"/>
        <v>-3.45</v>
      </c>
      <c r="G181" s="21">
        <f t="shared" si="1760"/>
        <v>2.2999999999999989</v>
      </c>
      <c r="H181" s="21">
        <f t="shared" si="1760"/>
        <v>-13.2</v>
      </c>
      <c r="I181" s="21">
        <f t="shared" si="1760"/>
        <v>-64.849999999999994</v>
      </c>
      <c r="J181" s="21">
        <f t="shared" si="1760"/>
        <v>-63.55</v>
      </c>
      <c r="K181" s="21">
        <f t="shared" si="1760"/>
        <v>-173.07</v>
      </c>
      <c r="L181" s="21">
        <f t="shared" si="1760"/>
        <v>-288.01</v>
      </c>
      <c r="M181" s="21">
        <f t="shared" si="1760"/>
        <v>-233.42</v>
      </c>
      <c r="N181" s="21">
        <f t="shared" si="1760"/>
        <v>-194.82</v>
      </c>
      <c r="O181" s="21">
        <f t="shared" si="1760"/>
        <v>-237.66</v>
      </c>
      <c r="P181" s="21">
        <f t="shared" si="1760"/>
        <v>-329.45</v>
      </c>
      <c r="Q181" s="21">
        <f t="shared" si="1760"/>
        <v>-470.41</v>
      </c>
      <c r="R181" s="21">
        <f t="shared" si="1760"/>
        <v>-640.54999999999995</v>
      </c>
      <c r="S181" s="21">
        <f t="shared" si="1760"/>
        <v>-824.39</v>
      </c>
      <c r="T181" s="21">
        <f t="shared" si="1760"/>
        <v>-789.86</v>
      </c>
      <c r="U181" s="21">
        <f t="shared" si="1760"/>
        <v>-835.36</v>
      </c>
      <c r="V181" s="21">
        <f t="shared" si="1760"/>
        <v>-1245.9000000000001</v>
      </c>
      <c r="W181" s="21">
        <f t="shared" si="1760"/>
        <v>-1415.67</v>
      </c>
      <c r="X181" s="21">
        <f t="shared" ref="X181:Y181" si="1761">X141-X174</f>
        <v>-1554.53</v>
      </c>
      <c r="Y181" s="21">
        <f t="shared" si="1761"/>
        <v>-1585.66</v>
      </c>
      <c r="Z181" s="21">
        <f t="shared" ref="Z181:AA181" si="1762">Z141-Z174</f>
        <v>-1350.03</v>
      </c>
      <c r="AA181" s="21">
        <f t="shared" ref="AA181" si="1763">AA141-AA174</f>
        <v>-1845.64</v>
      </c>
      <c r="AB181" s="20">
        <f t="shared" ref="AB181:AD181" si="1764">AB141-AB174</f>
        <v>-2788.5316241168703</v>
      </c>
      <c r="AC181" s="20">
        <f t="shared" si="1764"/>
        <v>-4133.2926874328314</v>
      </c>
      <c r="AD181" s="20">
        <f t="shared" si="1764"/>
        <v>-5742.5169234798041</v>
      </c>
      <c r="AE181" s="20">
        <f t="shared" ref="AE181" si="1765">AE141-AE174</f>
        <v>-7648.5925618270394</v>
      </c>
      <c r="AI181" s="21">
        <f t="shared" ref="AI181:AL181" si="1766">AI141-AI174</f>
        <v>-184.62</v>
      </c>
      <c r="AJ181" s="21">
        <f t="shared" si="1766"/>
        <v>-248.64897979585402</v>
      </c>
      <c r="AK181" s="21">
        <f t="shared" si="1766"/>
        <v>-194.82</v>
      </c>
      <c r="AL181" s="21">
        <f t="shared" si="1766"/>
        <v>-229.39559950449416</v>
      </c>
      <c r="AM181" s="21">
        <f t="shared" ref="AM181:AP181" si="1767">AM141-AM174</f>
        <v>-227.76</v>
      </c>
      <c r="AN181" s="21">
        <f t="shared" si="1767"/>
        <v>-172.33203880626402</v>
      </c>
      <c r="AO181" s="21">
        <f t="shared" si="1767"/>
        <v>-237.66</v>
      </c>
      <c r="AP181" s="21">
        <f t="shared" si="1767"/>
        <v>-268.5013215691252</v>
      </c>
      <c r="AQ181" s="21">
        <f t="shared" ref="AQ181:AT181" si="1768">AQ141-AQ174</f>
        <v>-268.75</v>
      </c>
      <c r="AR181" s="21">
        <f t="shared" si="1768"/>
        <v>-293.57642775097639</v>
      </c>
      <c r="AS181" s="21">
        <f t="shared" si="1768"/>
        <v>-329.45</v>
      </c>
      <c r="AT181" s="21">
        <f t="shared" si="1768"/>
        <v>-383.4680321303839</v>
      </c>
      <c r="AU181" s="21">
        <f t="shared" ref="AU181:AX181" si="1769">AU141-AU174</f>
        <v>-408.19</v>
      </c>
      <c r="AV181" s="21">
        <f t="shared" si="1769"/>
        <v>-454.66977945940948</v>
      </c>
      <c r="AW181" s="21">
        <f t="shared" si="1769"/>
        <v>-470.41</v>
      </c>
      <c r="AX181" s="21">
        <f t="shared" si="1769"/>
        <v>-534.66759259259243</v>
      </c>
      <c r="AY181" s="21">
        <f t="shared" ref="AY181:BB181" si="1770">AY141-AY174</f>
        <v>-529.16</v>
      </c>
      <c r="AZ181" s="21">
        <f t="shared" si="1770"/>
        <v>-590.6421511089145</v>
      </c>
      <c r="BA181" s="21">
        <f t="shared" si="1770"/>
        <v>-640.54999999999995</v>
      </c>
      <c r="BB181" s="21">
        <f t="shared" si="1770"/>
        <v>-723.36048911303237</v>
      </c>
      <c r="BC181" s="21">
        <f t="shared" ref="BC181:BF181" si="1771">BC141-BC174</f>
        <v>-720.99</v>
      </c>
      <c r="BD181" s="21">
        <f t="shared" si="1771"/>
        <v>-470.65116987988307</v>
      </c>
      <c r="BE181" s="21">
        <f t="shared" si="1771"/>
        <v>-830.64</v>
      </c>
      <c r="BF181" s="21">
        <f t="shared" si="1771"/>
        <v>-922.73496404144771</v>
      </c>
      <c r="BG181" s="21">
        <f t="shared" ref="BG181:BJ181" si="1772">BG141-BG174</f>
        <v>-883.51</v>
      </c>
      <c r="BH181" s="21">
        <f t="shared" si="1772"/>
        <v>-943.10274644175024</v>
      </c>
      <c r="BI181" s="21">
        <f t="shared" si="1772"/>
        <v>-789.86</v>
      </c>
      <c r="BJ181" s="21">
        <f t="shared" si="1772"/>
        <v>-906.34978934324658</v>
      </c>
      <c r="BK181" s="21">
        <f t="shared" ref="BK181:BN181" si="1773">BK141-BK174</f>
        <v>-586.28</v>
      </c>
      <c r="BL181" s="21">
        <f t="shared" si="1773"/>
        <v>-759.58536509357987</v>
      </c>
      <c r="BM181" s="21">
        <f t="shared" si="1773"/>
        <v>-835.36</v>
      </c>
      <c r="BN181" s="21">
        <f t="shared" si="1773"/>
        <v>-1002.5640048433627</v>
      </c>
      <c r="BO181" s="21">
        <f t="shared" ref="BO181:BR181" si="1774">BO141-BO174</f>
        <v>-873.49</v>
      </c>
      <c r="BP181" s="21">
        <f t="shared" si="1774"/>
        <v>380.51018159861519</v>
      </c>
      <c r="BQ181" s="21">
        <f t="shared" si="1774"/>
        <v>-1245.9000000000001</v>
      </c>
      <c r="BR181" s="21">
        <f t="shared" si="1774"/>
        <v>-1363.9215904755172</v>
      </c>
      <c r="BS181" s="21">
        <f t="shared" ref="BS181:BV181" si="1775">BS141-BS174</f>
        <v>-1236.9000000000001</v>
      </c>
      <c r="BT181" s="21">
        <f t="shared" si="1775"/>
        <v>-1229.4069617727453</v>
      </c>
      <c r="BU181" s="21">
        <f t="shared" si="1775"/>
        <v>-1415.67</v>
      </c>
      <c r="BV181" s="21">
        <f t="shared" si="1775"/>
        <v>-1593.717218458266</v>
      </c>
      <c r="BW181" s="21">
        <f t="shared" ref="BW181:BZ181" si="1776">BW141-BW174</f>
        <v>-1339.61</v>
      </c>
      <c r="BX181" s="21">
        <f t="shared" si="1776"/>
        <v>-1549.7386144450863</v>
      </c>
      <c r="BY181" s="21">
        <f t="shared" si="1776"/>
        <v>-1554.53</v>
      </c>
      <c r="BZ181" s="21">
        <f t="shared" si="1776"/>
        <v>-1839.4303103669233</v>
      </c>
      <c r="CA181" s="21">
        <f t="shared" ref="CA181:CD181" si="1777">CA141-CA174</f>
        <v>-1394.86</v>
      </c>
      <c r="CB181" s="21">
        <f t="shared" si="1777"/>
        <v>-1609.7828170615701</v>
      </c>
      <c r="CC181" s="21">
        <f t="shared" si="1777"/>
        <v>-1585.66</v>
      </c>
      <c r="CD181" s="21">
        <f t="shared" si="1777"/>
        <v>-1806.3769353711559</v>
      </c>
      <c r="CE181" s="21">
        <f t="shared" ref="CE181" si="1778">CE141-CE174</f>
        <v>-1115.94</v>
      </c>
      <c r="CF181" s="21">
        <f t="shared" ref="CF181" si="1779">CF141-CF174</f>
        <v>-1344.9233311499681</v>
      </c>
      <c r="CG181" s="21">
        <f t="shared" ref="CG181" si="1780">CG141-CG174</f>
        <v>-1350.03</v>
      </c>
      <c r="CH181" s="21">
        <f t="shared" ref="CH181:CI181" si="1781">CH141-CH174</f>
        <v>-1572.3055335524286</v>
      </c>
      <c r="CI181" s="21">
        <f t="shared" si="1781"/>
        <v>-1402.77</v>
      </c>
      <c r="CJ181" s="21">
        <f t="shared" ref="CJ181:CL181" si="1782">CJ141-CJ174</f>
        <v>-1634.799481720147</v>
      </c>
      <c r="CK181" s="21">
        <f t="shared" si="1782"/>
        <v>-1845.64</v>
      </c>
      <c r="CL181" s="21">
        <f t="shared" si="1782"/>
        <v>-2104.8656070543525</v>
      </c>
      <c r="CM181" s="20">
        <f t="shared" ref="CM181:DA181" si="1783">CM141-CM174</f>
        <v>-2377.9602203694621</v>
      </c>
      <c r="CN181" s="20">
        <f t="shared" si="1783"/>
        <v>-2635.0152846021956</v>
      </c>
      <c r="CO181" s="20">
        <f t="shared" si="1783"/>
        <v>-2788.5316241168703</v>
      </c>
      <c r="CP181" s="20">
        <f t="shared" si="1783"/>
        <v>-3287.5824195157602</v>
      </c>
      <c r="CQ181" s="20">
        <f t="shared" si="1783"/>
        <v>-3622.8689502980792</v>
      </c>
      <c r="CR181" s="20">
        <f t="shared" si="1783"/>
        <v>-3931.0725656897412</v>
      </c>
      <c r="CS181" s="20">
        <f t="shared" si="1783"/>
        <v>-4133.2926874328314</v>
      </c>
      <c r="CT181" s="20">
        <f t="shared" si="1783"/>
        <v>-4783.7828007124508</v>
      </c>
      <c r="CU181" s="20">
        <f t="shared" si="1783"/>
        <v>-5175.3115939766058</v>
      </c>
      <c r="CV181" s="20">
        <f t="shared" si="1783"/>
        <v>-5513.0276379912366</v>
      </c>
      <c r="CW181" s="20">
        <f t="shared" si="1783"/>
        <v>-5742.5169234798041</v>
      </c>
      <c r="CX181" s="20">
        <f t="shared" si="1783"/>
        <v>-6481.5850515670618</v>
      </c>
      <c r="CY181" s="20">
        <f t="shared" si="1783"/>
        <v>-6958.6782833079133</v>
      </c>
      <c r="CZ181" s="20">
        <f t="shared" si="1783"/>
        <v>-7355.6719830945449</v>
      </c>
      <c r="DA181" s="20">
        <f t="shared" si="1783"/>
        <v>-7648.5925618270394</v>
      </c>
      <c r="DD181" s="125"/>
      <c r="DE181" s="21">
        <v>-1845.64</v>
      </c>
    </row>
    <row r="182" spans="1:109" x14ac:dyDescent="0.2">
      <c r="AA182" s="2"/>
      <c r="AI182" s="110"/>
      <c r="AK182" s="110"/>
      <c r="AM182" s="110"/>
      <c r="AO182" s="110"/>
      <c r="AQ182" s="110"/>
      <c r="AS182" s="110"/>
      <c r="AU182" s="110"/>
      <c r="AW182" s="110"/>
      <c r="AY182" s="110"/>
      <c r="BA182" s="110"/>
      <c r="BC182" s="110"/>
      <c r="BE182" s="110"/>
      <c r="BG182" s="110"/>
      <c r="BI182" s="110"/>
      <c r="BK182" s="110"/>
      <c r="BM182" s="110"/>
      <c r="BO182" s="110"/>
      <c r="BQ182" s="110"/>
      <c r="BS182" s="110"/>
      <c r="BU182" s="110"/>
      <c r="BW182" s="110"/>
      <c r="BY182" s="110"/>
      <c r="CA182" s="110"/>
      <c r="CC182" s="110"/>
      <c r="CE182" s="110"/>
      <c r="CG182" s="110"/>
      <c r="CL182" s="2"/>
    </row>
    <row r="183" spans="1:109" s="48" customFormat="1" x14ac:dyDescent="0.2">
      <c r="A183" s="48" t="s">
        <v>81</v>
      </c>
      <c r="B183" s="48">
        <f>'Annual Raw'!C85</f>
        <v>0</v>
      </c>
      <c r="C183" s="48">
        <f>'Annual Raw'!D85</f>
        <v>0</v>
      </c>
      <c r="D183" s="48">
        <f>'Annual Raw'!E85</f>
        <v>16.32</v>
      </c>
      <c r="E183" s="48">
        <f>'Annual Raw'!F85</f>
        <v>11.05</v>
      </c>
      <c r="F183" s="48">
        <f>'Annual Raw'!G85</f>
        <v>17.84</v>
      </c>
      <c r="G183" s="48">
        <f>'Annual Raw'!H85</f>
        <v>17.8</v>
      </c>
      <c r="H183" s="48">
        <f>'Annual Raw'!I85</f>
        <v>37.57</v>
      </c>
      <c r="I183" s="48">
        <f>'Annual Raw'!J85</f>
        <v>58.05</v>
      </c>
      <c r="J183" s="48">
        <f>'Annual Raw'!K85</f>
        <v>76.94</v>
      </c>
      <c r="K183" s="48">
        <f>'Annual Raw'!L85</f>
        <v>72.27</v>
      </c>
      <c r="L183" s="48">
        <f>'Annual Raw'!M85</f>
        <v>68.61</v>
      </c>
      <c r="M183" s="48">
        <f>'Annual Raw'!N85</f>
        <v>61.49</v>
      </c>
      <c r="N183" s="48">
        <f>'Annual Raw'!O85</f>
        <v>69.62</v>
      </c>
      <c r="O183" s="48">
        <f>'Annual Raw'!P85</f>
        <v>63.74</v>
      </c>
      <c r="P183" s="48">
        <f>'Annual Raw'!Q85</f>
        <v>62.78</v>
      </c>
      <c r="Q183" s="48">
        <f>'Annual Raw'!R85</f>
        <v>56.48</v>
      </c>
      <c r="R183" s="48">
        <f>'Annual Raw'!S85</f>
        <v>33.19</v>
      </c>
      <c r="S183" s="48">
        <f>'Annual Raw'!T85</f>
        <v>72.66</v>
      </c>
      <c r="T183" s="48">
        <f>'Annual Raw'!U85</f>
        <v>105.17</v>
      </c>
      <c r="U183" s="48">
        <f>'Annual Raw'!V85</f>
        <v>58.11</v>
      </c>
      <c r="V183" s="48">
        <f>'Annual Raw'!W85</f>
        <v>62.33</v>
      </c>
      <c r="W183" s="48">
        <f>'Annual Raw'!X85</f>
        <v>78.510000000000005</v>
      </c>
      <c r="X183" s="48">
        <f>'Annual Raw'!Y85</f>
        <v>75.92</v>
      </c>
      <c r="Y183" s="48">
        <f>'Annual Raw'!Z85</f>
        <v>85.28</v>
      </c>
      <c r="Z183" s="48">
        <f>'Annual Raw'!AA85</f>
        <v>91.56</v>
      </c>
      <c r="AA183" s="48">
        <f>'Annual Raw'!AB85</f>
        <v>87.74</v>
      </c>
      <c r="AB183" s="49"/>
      <c r="AC183" s="49"/>
      <c r="AD183" s="49"/>
      <c r="AE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D183" s="137"/>
      <c r="DE183" s="48">
        <v>87.74</v>
      </c>
    </row>
    <row r="184" spans="1:109" s="28" customFormat="1" x14ac:dyDescent="0.2">
      <c r="A184" s="28" t="s">
        <v>82</v>
      </c>
      <c r="B184" s="28">
        <f>'Annual Raw'!C95</f>
        <v>0</v>
      </c>
      <c r="C184" s="28">
        <f>'Annual Raw'!D95</f>
        <v>0</v>
      </c>
      <c r="D184" s="28">
        <f>'Annual Raw'!E95</f>
        <v>0</v>
      </c>
      <c r="E184" s="28">
        <f>'Annual Raw'!F95</f>
        <v>0</v>
      </c>
      <c r="F184" s="28">
        <f>'Annual Raw'!G95</f>
        <v>0</v>
      </c>
      <c r="G184" s="28">
        <f>'Annual Raw'!H95</f>
        <v>0</v>
      </c>
      <c r="H184" s="28">
        <f>'Annual Raw'!I95</f>
        <v>0</v>
      </c>
      <c r="I184" s="28">
        <f>'Annual Raw'!J95</f>
        <v>0</v>
      </c>
      <c r="J184" s="28">
        <f>'Annual Raw'!K95</f>
        <v>1.55</v>
      </c>
      <c r="K184" s="28">
        <f>'Annual Raw'!L95</f>
        <v>1.74</v>
      </c>
      <c r="L184" s="28">
        <f>'Annual Raw'!M95</f>
        <v>2.5499999999999998</v>
      </c>
      <c r="M184" s="28">
        <f>'Annual Raw'!N95</f>
        <v>0</v>
      </c>
      <c r="N184" s="28">
        <f>'Annual Raw'!O95</f>
        <v>0</v>
      </c>
      <c r="O184" s="28">
        <f>'Annual Raw'!P95</f>
        <v>0</v>
      </c>
      <c r="P184" s="28">
        <f>'Annual Raw'!Q95</f>
        <v>0</v>
      </c>
      <c r="Q184" s="28">
        <f>'Annual Raw'!R95</f>
        <v>0</v>
      </c>
      <c r="R184" s="28">
        <f>'Annual Raw'!S95</f>
        <v>0</v>
      </c>
      <c r="S184" s="28">
        <f>'Annual Raw'!T95</f>
        <v>0</v>
      </c>
      <c r="T184" s="28">
        <f>'Annual Raw'!U95</f>
        <v>0</v>
      </c>
      <c r="U184" s="28">
        <f>'Annual Raw'!V95</f>
        <v>0</v>
      </c>
      <c r="V184" s="28">
        <f>'Annual Raw'!W95</f>
        <v>0</v>
      </c>
      <c r="W184" s="28">
        <f>'Annual Raw'!X95</f>
        <v>0</v>
      </c>
      <c r="X184" s="28">
        <f>'Annual Raw'!Y95</f>
        <v>0</v>
      </c>
      <c r="Y184" s="28">
        <f>'Annual Raw'!Z95</f>
        <v>0</v>
      </c>
      <c r="Z184" s="28">
        <f>'Annual Raw'!AA95</f>
        <v>0</v>
      </c>
      <c r="AA184" s="28">
        <f>'Annual Raw'!AB95</f>
        <v>0</v>
      </c>
      <c r="AB184" s="29"/>
      <c r="AC184" s="29"/>
      <c r="AD184" s="29"/>
      <c r="AE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D184" s="138"/>
      <c r="DE184" s="28">
        <v>0</v>
      </c>
    </row>
    <row r="185" spans="1:109" s="28" customFormat="1" x14ac:dyDescent="0.2">
      <c r="A185" s="28" t="s">
        <v>83</v>
      </c>
      <c r="B185" s="28">
        <f>'Annual Raw'!C93</f>
        <v>0</v>
      </c>
      <c r="C185" s="28">
        <f>'Annual Raw'!D93</f>
        <v>0</v>
      </c>
      <c r="D185" s="28">
        <f>'Annual Raw'!E93</f>
        <v>15.95</v>
      </c>
      <c r="E185" s="28">
        <f>'Annual Raw'!F93</f>
        <v>10.26</v>
      </c>
      <c r="F185" s="28">
        <f>'Annual Raw'!G93</f>
        <v>17.84</v>
      </c>
      <c r="G185" s="28">
        <f>'Annual Raw'!H93</f>
        <v>17.8</v>
      </c>
      <c r="H185" s="28">
        <f>'Annual Raw'!I93</f>
        <v>37.57</v>
      </c>
      <c r="I185" s="28">
        <f>'Annual Raw'!J93</f>
        <v>58.05</v>
      </c>
      <c r="J185" s="28">
        <f>'Annual Raw'!K93</f>
        <v>75.39</v>
      </c>
      <c r="K185" s="28">
        <f>'Annual Raw'!L93</f>
        <v>70.53</v>
      </c>
      <c r="L185" s="28">
        <f>'Annual Raw'!M93</f>
        <v>66.06</v>
      </c>
      <c r="M185" s="28">
        <f>'Annual Raw'!N93</f>
        <v>61.49</v>
      </c>
      <c r="N185" s="28">
        <f>'Annual Raw'!O93</f>
        <v>69.62</v>
      </c>
      <c r="O185" s="28">
        <f>'Annual Raw'!P93</f>
        <v>63.74</v>
      </c>
      <c r="P185" s="28">
        <f>'Annual Raw'!Q93</f>
        <v>62.78</v>
      </c>
      <c r="Q185" s="28">
        <f>'Annual Raw'!R93</f>
        <v>56.48</v>
      </c>
      <c r="R185" s="28">
        <f>'Annual Raw'!S93</f>
        <v>33.19</v>
      </c>
      <c r="S185" s="28">
        <f>'Annual Raw'!T93</f>
        <v>72.66</v>
      </c>
      <c r="T185" s="28">
        <f>'Annual Raw'!U93</f>
        <v>105.17</v>
      </c>
      <c r="U185" s="28">
        <f>'Annual Raw'!V93</f>
        <v>58.11</v>
      </c>
      <c r="V185" s="28">
        <f>'Annual Raw'!W93</f>
        <v>62.33</v>
      </c>
      <c r="W185" s="28">
        <f>'Annual Raw'!X93</f>
        <v>78.510000000000005</v>
      </c>
      <c r="X185" s="28">
        <f>'Annual Raw'!Y93</f>
        <v>75.92</v>
      </c>
      <c r="Y185" s="28">
        <f>'Annual Raw'!Z93</f>
        <v>85.28</v>
      </c>
      <c r="Z185" s="28">
        <f>'Annual Raw'!AA93</f>
        <v>91.56</v>
      </c>
      <c r="AA185" s="28">
        <f>'Annual Raw'!AB93</f>
        <v>87.74</v>
      </c>
      <c r="AB185" s="29"/>
      <c r="AC185" s="29"/>
      <c r="AD185" s="29"/>
      <c r="AE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D185" s="138"/>
      <c r="DE185" s="28">
        <v>87.74</v>
      </c>
    </row>
    <row r="186" spans="1:109" s="28" customFormat="1" x14ac:dyDescent="0.2">
      <c r="A186" s="28" t="s">
        <v>84</v>
      </c>
      <c r="B186" s="28">
        <f t="shared" ref="B186:V186" si="1784">B183-B184-B185</f>
        <v>0</v>
      </c>
      <c r="C186" s="28">
        <f t="shared" si="1784"/>
        <v>0</v>
      </c>
      <c r="D186" s="28">
        <f t="shared" si="1784"/>
        <v>0.37000000000000099</v>
      </c>
      <c r="E186" s="28">
        <f t="shared" si="1784"/>
        <v>0.79000000000000092</v>
      </c>
      <c r="F186" s="28">
        <f t="shared" si="1784"/>
        <v>0</v>
      </c>
      <c r="G186" s="28">
        <f t="shared" si="1784"/>
        <v>0</v>
      </c>
      <c r="H186" s="28">
        <f t="shared" si="1784"/>
        <v>0</v>
      </c>
      <c r="I186" s="28">
        <f t="shared" si="1784"/>
        <v>0</v>
      </c>
      <c r="J186" s="28">
        <f t="shared" si="1784"/>
        <v>0</v>
      </c>
      <c r="K186" s="28">
        <f t="shared" si="1784"/>
        <v>0</v>
      </c>
      <c r="L186" s="28">
        <f t="shared" si="1784"/>
        <v>0</v>
      </c>
      <c r="M186" s="28">
        <f t="shared" si="1784"/>
        <v>0</v>
      </c>
      <c r="N186" s="28">
        <f t="shared" si="1784"/>
        <v>0</v>
      </c>
      <c r="O186" s="28">
        <f t="shared" si="1784"/>
        <v>0</v>
      </c>
      <c r="P186" s="28">
        <f t="shared" si="1784"/>
        <v>0</v>
      </c>
      <c r="Q186" s="28">
        <f t="shared" si="1784"/>
        <v>0</v>
      </c>
      <c r="R186" s="28">
        <f t="shared" si="1784"/>
        <v>0</v>
      </c>
      <c r="S186" s="28">
        <f t="shared" si="1784"/>
        <v>0</v>
      </c>
      <c r="T186" s="28">
        <f t="shared" si="1784"/>
        <v>0</v>
      </c>
      <c r="U186" s="28">
        <f t="shared" si="1784"/>
        <v>0</v>
      </c>
      <c r="V186" s="28">
        <f t="shared" si="1784"/>
        <v>0</v>
      </c>
      <c r="W186" s="28">
        <f t="shared" ref="W186" si="1785">W183-W184-W185</f>
        <v>0</v>
      </c>
      <c r="X186" s="28">
        <f t="shared" ref="X186:Y186" si="1786">X183-X184-X185</f>
        <v>0</v>
      </c>
      <c r="Y186" s="28">
        <f t="shared" si="1786"/>
        <v>0</v>
      </c>
      <c r="Z186" s="28">
        <f t="shared" ref="Z186:AA186" si="1787">Z183-Z184-Z185</f>
        <v>0</v>
      </c>
      <c r="AA186" s="28">
        <f t="shared" ref="AA186" si="1788">AA183-AA184-AA185</f>
        <v>0</v>
      </c>
      <c r="AB186" s="29">
        <f t="shared" ref="AB186:AD186" si="1789">AB183-AB184-AB185</f>
        <v>0</v>
      </c>
      <c r="AC186" s="29">
        <f t="shared" si="1789"/>
        <v>0</v>
      </c>
      <c r="AD186" s="29">
        <f t="shared" si="1789"/>
        <v>0</v>
      </c>
      <c r="AE186" s="29">
        <f t="shared" ref="AE186" si="1790">AE183-AE184-AE185</f>
        <v>0</v>
      </c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D186" s="138"/>
      <c r="DE186" s="28">
        <v>0</v>
      </c>
    </row>
    <row r="187" spans="1:109" s="5" customFormat="1" x14ac:dyDescent="0.2">
      <c r="AB187" s="62"/>
      <c r="AC187" s="62"/>
      <c r="AD187" s="62"/>
      <c r="AE187" s="62"/>
      <c r="AI187" s="111"/>
      <c r="AK187" s="111"/>
      <c r="AM187" s="111"/>
      <c r="AO187" s="111"/>
      <c r="AQ187" s="111"/>
      <c r="AS187" s="111"/>
      <c r="AU187" s="111"/>
      <c r="AW187" s="111"/>
      <c r="AY187" s="111"/>
      <c r="BA187" s="111"/>
      <c r="BC187" s="111"/>
      <c r="BE187" s="111"/>
      <c r="BG187" s="111"/>
      <c r="BI187" s="111"/>
      <c r="BK187" s="111"/>
      <c r="BM187" s="111"/>
      <c r="BO187" s="111"/>
      <c r="BQ187" s="111"/>
      <c r="BS187" s="111"/>
      <c r="BU187" s="111"/>
      <c r="BW187" s="111"/>
      <c r="BY187" s="111"/>
      <c r="CA187" s="111"/>
      <c r="CC187" s="111"/>
      <c r="CE187" s="111"/>
      <c r="CG187" s="111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D187" s="138"/>
    </row>
    <row r="188" spans="1:109" s="94" customFormat="1" x14ac:dyDescent="0.2">
      <c r="A188" s="94" t="s">
        <v>85</v>
      </c>
      <c r="B188" s="94" t="e">
        <f t="shared" ref="B188:W188" si="1791">B183/B133</f>
        <v>#DIV/0!</v>
      </c>
      <c r="C188" s="94" t="e">
        <f t="shared" si="1791"/>
        <v>#DIV/0!</v>
      </c>
      <c r="D188" s="94">
        <f t="shared" si="1791"/>
        <v>0.15940613401054893</v>
      </c>
      <c r="E188" s="94">
        <f t="shared" si="1791"/>
        <v>9.5102848782167154E-2</v>
      </c>
      <c r="F188" s="94">
        <f t="shared" si="1791"/>
        <v>0.12703838211208429</v>
      </c>
      <c r="G188" s="94">
        <f t="shared" si="1791"/>
        <v>9.8033816159057124E-2</v>
      </c>
      <c r="H188" s="94">
        <f t="shared" si="1791"/>
        <v>0.15171828938335419</v>
      </c>
      <c r="I188" s="94">
        <f t="shared" si="1791"/>
        <v>0.1824897830870795</v>
      </c>
      <c r="J188" s="94">
        <f t="shared" si="1791"/>
        <v>0.18997061800943185</v>
      </c>
      <c r="K188" s="94">
        <f t="shared" si="1791"/>
        <v>0.15651665439424783</v>
      </c>
      <c r="L188" s="94">
        <f t="shared" si="1791"/>
        <v>0.11964217207826178</v>
      </c>
      <c r="M188" s="94">
        <f t="shared" si="1791"/>
        <v>8.4228261465125201E-2</v>
      </c>
      <c r="N188" s="94">
        <f t="shared" si="1791"/>
        <v>7.9158612848209214E-2</v>
      </c>
      <c r="O188" s="94">
        <f t="shared" si="1791"/>
        <v>6.4413117073417209E-2</v>
      </c>
      <c r="P188" s="94">
        <f t="shared" si="1791"/>
        <v>5.6686742092479404E-2</v>
      </c>
      <c r="Q188" s="94">
        <f t="shared" si="1791"/>
        <v>4.3808755545903015E-2</v>
      </c>
      <c r="R188" s="94">
        <f t="shared" si="1791"/>
        <v>2.2499254318175656E-2</v>
      </c>
      <c r="S188" s="94">
        <f t="shared" si="1791"/>
        <v>3.1249462402587344E-2</v>
      </c>
      <c r="T188" s="94">
        <f t="shared" si="1791"/>
        <v>3.8863760661020201E-2</v>
      </c>
      <c r="U188" s="94">
        <f t="shared" si="1791"/>
        <v>1.9617441326599507E-2</v>
      </c>
      <c r="V188" s="94">
        <f t="shared" si="1791"/>
        <v>1.9848485330972613E-2</v>
      </c>
      <c r="W188" s="94">
        <f t="shared" si="1791"/>
        <v>2.1487983315406155E-2</v>
      </c>
      <c r="X188" s="94">
        <f t="shared" ref="X188:Y188" si="1792">X183/X133</f>
        <v>1.7713899064373876E-2</v>
      </c>
      <c r="Y188" s="94">
        <f t="shared" si="1792"/>
        <v>1.7746886282997074E-2</v>
      </c>
      <c r="Z188" s="94">
        <f t="shared" ref="Z188:AA188" si="1793">Z183/Z133</f>
        <v>1.716397065853334E-2</v>
      </c>
      <c r="AA188" s="94">
        <f t="shared" ref="AA188" si="1794">AA183/AA133</f>
        <v>1.4507371080496562E-2</v>
      </c>
      <c r="AB188" s="86">
        <f t="shared" ref="AB188:AD188" si="1795">AB183/AB133</f>
        <v>0</v>
      </c>
      <c r="AC188" s="86">
        <f t="shared" si="1795"/>
        <v>0</v>
      </c>
      <c r="AD188" s="86">
        <f t="shared" si="1795"/>
        <v>0</v>
      </c>
      <c r="AE188" s="86">
        <f t="shared" ref="AE188" si="1796">AE183/AE133</f>
        <v>0</v>
      </c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D188" s="139"/>
      <c r="DE188" s="94">
        <v>0</v>
      </c>
    </row>
    <row r="189" spans="1:109" x14ac:dyDescent="0.2">
      <c r="A189" s="151" t="s">
        <v>492</v>
      </c>
      <c r="AA189" s="2"/>
      <c r="AI189" s="110"/>
      <c r="AK189" s="110"/>
      <c r="AM189" s="110"/>
      <c r="AO189" s="110"/>
      <c r="AQ189" s="110"/>
      <c r="AS189" s="110"/>
      <c r="AU189" s="110"/>
      <c r="AW189" s="110"/>
      <c r="AY189" s="110"/>
      <c r="BA189" s="110"/>
      <c r="BC189" s="110"/>
      <c r="BE189" s="110"/>
      <c r="BG189" s="110"/>
      <c r="BI189" s="110"/>
      <c r="BK189" s="110"/>
      <c r="BM189" s="110"/>
      <c r="BO189" s="110"/>
      <c r="BQ189" s="110"/>
      <c r="BS189" s="110"/>
      <c r="BU189" s="110"/>
      <c r="BW189" s="110"/>
      <c r="BY189" s="110"/>
      <c r="CA189" s="110"/>
      <c r="CC189" s="110"/>
      <c r="CE189" s="110"/>
      <c r="CG189" s="110"/>
      <c r="CL189" s="2"/>
    </row>
    <row r="190" spans="1:109" s="6" customFormat="1" x14ac:dyDescent="0.2">
      <c r="AB190" s="18"/>
      <c r="AC190" s="18"/>
      <c r="AD190" s="18"/>
      <c r="AE190" s="18"/>
      <c r="AI190" s="112"/>
      <c r="AK190" s="112"/>
      <c r="AM190" s="112"/>
      <c r="AO190" s="112"/>
      <c r="AQ190" s="112"/>
      <c r="AS190" s="112"/>
      <c r="AU190" s="112"/>
      <c r="AW190" s="112"/>
      <c r="AY190" s="112"/>
      <c r="BA190" s="112"/>
      <c r="BC190" s="112"/>
      <c r="BE190" s="112"/>
      <c r="BG190" s="112"/>
      <c r="BI190" s="112"/>
      <c r="BK190" s="112"/>
      <c r="BM190" s="112"/>
      <c r="BO190" s="112"/>
      <c r="BQ190" s="112"/>
      <c r="BS190" s="112"/>
      <c r="BU190" s="112"/>
      <c r="BW190" s="112"/>
      <c r="BY190" s="112"/>
      <c r="CA190" s="112"/>
      <c r="CC190" s="112"/>
      <c r="CE190" s="112"/>
      <c r="CG190" s="112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D190" s="122"/>
    </row>
    <row r="191" spans="1:109" s="61" customFormat="1" x14ac:dyDescent="0.2">
      <c r="A191" s="152" t="s">
        <v>493</v>
      </c>
      <c r="AB191" s="62"/>
      <c r="AC191" s="62"/>
      <c r="AD191" s="62"/>
      <c r="AE191" s="62"/>
      <c r="AI191" s="113"/>
      <c r="AK191" s="113"/>
      <c r="AM191" s="113"/>
      <c r="AO191" s="113"/>
      <c r="AQ191" s="113"/>
      <c r="AS191" s="113"/>
      <c r="AU191" s="113"/>
      <c r="AW191" s="113"/>
      <c r="AY191" s="113"/>
      <c r="BA191" s="113"/>
      <c r="BC191" s="113"/>
      <c r="BE191" s="113"/>
      <c r="BG191" s="113"/>
      <c r="BI191" s="113"/>
      <c r="BK191" s="113"/>
      <c r="BM191" s="113"/>
      <c r="BO191" s="113"/>
      <c r="BQ191" s="113"/>
      <c r="BS191" s="113"/>
      <c r="BU191" s="113"/>
      <c r="BW191" s="113"/>
      <c r="BY191" s="113"/>
      <c r="CA191" s="113"/>
      <c r="CC191" s="113"/>
      <c r="CE191" s="113"/>
      <c r="CG191" s="113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D191" s="138"/>
    </row>
    <row r="192" spans="1:109" s="61" customFormat="1" outlineLevel="1" x14ac:dyDescent="0.2">
      <c r="A192" s="67" t="s">
        <v>463</v>
      </c>
      <c r="B192" s="66" t="e">
        <f t="shared" ref="B192:AE192" si="1797">B157/B21*365</f>
        <v>#DIV/0!</v>
      </c>
      <c r="C192" s="66" t="e">
        <f t="shared" si="1797"/>
        <v>#DIV/0!</v>
      </c>
      <c r="D192" s="66">
        <f t="shared" si="1797"/>
        <v>70.107146703040314</v>
      </c>
      <c r="E192" s="66">
        <f t="shared" si="1797"/>
        <v>57.570639021518744</v>
      </c>
      <c r="F192" s="66">
        <f t="shared" si="1797"/>
        <v>58.617762711864408</v>
      </c>
      <c r="G192" s="66">
        <f t="shared" si="1797"/>
        <v>54.846644331568143</v>
      </c>
      <c r="H192" s="66">
        <f t="shared" si="1797"/>
        <v>54.769375255206207</v>
      </c>
      <c r="I192" s="66">
        <f t="shared" si="1797"/>
        <v>50.102937273908125</v>
      </c>
      <c r="J192" s="66">
        <f t="shared" si="1797"/>
        <v>71.292104520986342</v>
      </c>
      <c r="K192" s="66">
        <f t="shared" si="1797"/>
        <v>43.487432728132944</v>
      </c>
      <c r="L192" s="66">
        <f t="shared" si="1797"/>
        <v>41.665738011359551</v>
      </c>
      <c r="M192" s="66">
        <f t="shared" si="1797"/>
        <v>42.338997955302631</v>
      </c>
      <c r="N192" s="66">
        <f t="shared" si="1797"/>
        <v>33.257717492984099</v>
      </c>
      <c r="O192" s="66">
        <f t="shared" si="1797"/>
        <v>40.940904936315157</v>
      </c>
      <c r="P192" s="66">
        <f t="shared" si="1797"/>
        <v>39.891703881827553</v>
      </c>
      <c r="Q192" s="66">
        <f t="shared" si="1797"/>
        <v>43.048906524439872</v>
      </c>
      <c r="R192" s="66">
        <f t="shared" si="1797"/>
        <v>51.412917189331473</v>
      </c>
      <c r="S192" s="66">
        <f t="shared" si="1797"/>
        <v>53.476174795409371</v>
      </c>
      <c r="T192" s="66">
        <f t="shared" si="1797"/>
        <v>71.990938703504241</v>
      </c>
      <c r="U192" s="66">
        <f t="shared" si="1797"/>
        <v>59.643888277785969</v>
      </c>
      <c r="V192" s="66">
        <f t="shared" si="1797"/>
        <v>68.278316600697266</v>
      </c>
      <c r="W192" s="66">
        <f t="shared" si="1797"/>
        <v>70.525076070274537</v>
      </c>
      <c r="X192" s="66">
        <f t="shared" si="1797"/>
        <v>65.38631271836617</v>
      </c>
      <c r="Y192" s="66">
        <f t="shared" si="1797"/>
        <v>65.486438976759146</v>
      </c>
      <c r="Z192" s="66">
        <f t="shared" si="1797"/>
        <v>64.323146251732751</v>
      </c>
      <c r="AA192" s="66">
        <f t="shared" ref="AA192" si="1798">AA157/AA21*365</f>
        <v>65.828040973502411</v>
      </c>
      <c r="AB192" s="17">
        <f t="shared" si="1797"/>
        <v>70.301825045213135</v>
      </c>
      <c r="AC192" s="17">
        <f t="shared" si="1797"/>
        <v>70.364781841076564</v>
      </c>
      <c r="AD192" s="17">
        <f t="shared" si="1797"/>
        <v>70.21957862977753</v>
      </c>
      <c r="AE192" s="17">
        <f t="shared" si="1797"/>
        <v>70.261792136037286</v>
      </c>
      <c r="AI192" s="66">
        <f>AI157/AI21*90</f>
        <v>37.610491423760919</v>
      </c>
      <c r="AJ192" s="66">
        <f t="shared" ref="AJ192:CL197" si="1799">+AI192</f>
        <v>37.610491423760919</v>
      </c>
      <c r="AK192" s="66">
        <f>AK157/AK21*90</f>
        <v>36.871687024660062</v>
      </c>
      <c r="AL192" s="66">
        <f t="shared" si="1799"/>
        <v>36.871687024660062</v>
      </c>
      <c r="AM192" s="66">
        <f>AM157/AM21*90</f>
        <v>52.296858071505966</v>
      </c>
      <c r="AN192" s="66">
        <f t="shared" si="1799"/>
        <v>52.296858071505966</v>
      </c>
      <c r="AO192" s="66">
        <f>AO157/AO21*90</f>
        <v>38.979814650247562</v>
      </c>
      <c r="AP192" s="66">
        <f t="shared" si="1799"/>
        <v>38.979814650247562</v>
      </c>
      <c r="AQ192" s="66">
        <f>AQ157/AQ21*90</f>
        <v>42.683206983689409</v>
      </c>
      <c r="AR192" s="66">
        <f t="shared" si="1799"/>
        <v>42.683206983689409</v>
      </c>
      <c r="AS192" s="66">
        <f>AS157/AS21*90</f>
        <v>40.000232828870779</v>
      </c>
      <c r="AT192" s="66">
        <f t="shared" si="1799"/>
        <v>40.000232828870779</v>
      </c>
      <c r="AU192" s="66">
        <f>AU157/AU21*90</f>
        <v>40.190919189114133</v>
      </c>
      <c r="AV192" s="66">
        <f t="shared" si="1799"/>
        <v>40.190919189114133</v>
      </c>
      <c r="AW192" s="66">
        <f>AW157/AW21*90</f>
        <v>44.54894822006473</v>
      </c>
      <c r="AX192" s="66">
        <f t="shared" si="1799"/>
        <v>44.54894822006473</v>
      </c>
      <c r="AY192" s="66">
        <f>AY157/AY21*90</f>
        <v>46.225983814171862</v>
      </c>
      <c r="AZ192" s="66">
        <f t="shared" si="1799"/>
        <v>46.225983814171862</v>
      </c>
      <c r="BA192" s="66">
        <f>BA157/BA21*90</f>
        <v>49.349783861671476</v>
      </c>
      <c r="BB192" s="66">
        <f t="shared" si="1799"/>
        <v>49.349783861671476</v>
      </c>
      <c r="BC192" s="66">
        <f>BC157/BC21*90</f>
        <v>52.005046936509537</v>
      </c>
      <c r="BD192" s="66">
        <f t="shared" si="1799"/>
        <v>52.005046936509537</v>
      </c>
      <c r="BE192" s="66">
        <f>BE157/BE21*90</f>
        <v>24.095458948542579</v>
      </c>
      <c r="BF192" s="66">
        <f t="shared" si="1799"/>
        <v>24.095458948542579</v>
      </c>
      <c r="BG192" s="66">
        <f>BG157/BG21*90</f>
        <v>33.693763292312724</v>
      </c>
      <c r="BH192" s="66">
        <f t="shared" si="1799"/>
        <v>33.693763292312724</v>
      </c>
      <c r="BI192" s="66">
        <f>BI157/BI21*90</f>
        <v>69.044078597981951</v>
      </c>
      <c r="BJ192" s="66">
        <f t="shared" si="1799"/>
        <v>69.044078597981951</v>
      </c>
      <c r="BK192" s="66">
        <f>BK157/BK21*90</f>
        <v>77.569087489925664</v>
      </c>
      <c r="BL192" s="66">
        <f t="shared" si="1799"/>
        <v>77.569087489925664</v>
      </c>
      <c r="BM192" s="66">
        <f>BM157/BM21*90</f>
        <v>62.562447538278967</v>
      </c>
      <c r="BN192" s="66">
        <f t="shared" si="1799"/>
        <v>62.562447538278967</v>
      </c>
      <c r="BO192" s="66">
        <f>BO157/BO21*90</f>
        <v>180.70953335763761</v>
      </c>
      <c r="BP192" s="66">
        <f t="shared" si="1799"/>
        <v>180.70953335763761</v>
      </c>
      <c r="BQ192" s="66">
        <f>BQ157/BQ21*90</f>
        <v>50.422525259662265</v>
      </c>
      <c r="BR192" s="66">
        <f t="shared" si="1799"/>
        <v>50.422525259662265</v>
      </c>
      <c r="BS192" s="66">
        <f>BS157/BS21*90</f>
        <v>74.694984954051051</v>
      </c>
      <c r="BT192" s="66">
        <f t="shared" si="1799"/>
        <v>74.694984954051051</v>
      </c>
      <c r="BU192" s="66">
        <f>BU157/BU21*90</f>
        <v>64.195651317603506</v>
      </c>
      <c r="BV192" s="66">
        <f t="shared" si="1799"/>
        <v>64.195651317603506</v>
      </c>
      <c r="BW192" s="66">
        <f>BW157/BW21*90</f>
        <v>64.879376497429718</v>
      </c>
      <c r="BX192" s="66">
        <f t="shared" si="1799"/>
        <v>64.879376497429718</v>
      </c>
      <c r="BY192" s="66">
        <f>BY157/BY21*90</f>
        <v>62.353829437494774</v>
      </c>
      <c r="BZ192" s="66">
        <f t="shared" si="1799"/>
        <v>62.353829437494774</v>
      </c>
      <c r="CA192" s="66">
        <f>CA157/CA21*90</f>
        <v>69.573187399542959</v>
      </c>
      <c r="CB192" s="66">
        <f t="shared" si="1799"/>
        <v>69.573187399542959</v>
      </c>
      <c r="CC192" s="66">
        <f>CC157/CC21*90</f>
        <v>63.164439465471716</v>
      </c>
      <c r="CD192" s="66">
        <f t="shared" si="1799"/>
        <v>63.164439465471716</v>
      </c>
      <c r="CE192" s="66">
        <f>CE157/CE21*90</f>
        <v>70.217719428148314</v>
      </c>
      <c r="CF192" s="66">
        <f t="shared" si="1799"/>
        <v>70.217719428148314</v>
      </c>
      <c r="CG192" s="66">
        <f>CG157/CG21*90</f>
        <v>61.920451672705823</v>
      </c>
      <c r="CH192" s="66">
        <f t="shared" si="1799"/>
        <v>61.920451672705823</v>
      </c>
      <c r="CI192" s="66">
        <f>CI157/CI21*90</f>
        <v>61.340352547617734</v>
      </c>
      <c r="CJ192" s="66">
        <f t="shared" si="1799"/>
        <v>61.340352547617734</v>
      </c>
      <c r="CK192" s="66">
        <f t="shared" ref="CK192:CK193" si="1800">+CJ192</f>
        <v>61.340352547617734</v>
      </c>
      <c r="CL192" s="66">
        <f t="shared" si="1799"/>
        <v>61.340352547617734</v>
      </c>
      <c r="CM192" s="29">
        <f t="shared" ref="CM192:CM193" si="1801">+CL192</f>
        <v>61.340352547617734</v>
      </c>
      <c r="CN192" s="29">
        <f t="shared" ref="CN192:CN193" si="1802">+CM192</f>
        <v>61.340352547617734</v>
      </c>
      <c r="CO192" s="29">
        <f t="shared" ref="CO192:CO193" si="1803">+CN192</f>
        <v>61.340352547617734</v>
      </c>
      <c r="CP192" s="29">
        <f t="shared" ref="CP192:CP193" si="1804">+CO192</f>
        <v>61.340352547617734</v>
      </c>
      <c r="CQ192" s="29">
        <f t="shared" ref="CQ192:CQ193" si="1805">+CP192</f>
        <v>61.340352547617734</v>
      </c>
      <c r="CR192" s="29">
        <f t="shared" ref="CR192:CR193" si="1806">+CQ192</f>
        <v>61.340352547617734</v>
      </c>
      <c r="CS192" s="29">
        <f t="shared" ref="CS192:CS193" si="1807">+CR192</f>
        <v>61.340352547617734</v>
      </c>
      <c r="CT192" s="29">
        <f t="shared" ref="CT192:CT193" si="1808">+CS192</f>
        <v>61.340352547617734</v>
      </c>
      <c r="CU192" s="29">
        <f t="shared" ref="CU192:CU193" si="1809">+CT192</f>
        <v>61.340352547617734</v>
      </c>
      <c r="CV192" s="29">
        <f t="shared" ref="CV192:CV193" si="1810">+CU192</f>
        <v>61.340352547617734</v>
      </c>
      <c r="CW192" s="29">
        <f t="shared" ref="CW192:CW193" si="1811">+CV192</f>
        <v>61.340352547617734</v>
      </c>
      <c r="CX192" s="29">
        <f t="shared" ref="CX192:CX193" si="1812">+CW192</f>
        <v>61.340352547617734</v>
      </c>
      <c r="CY192" s="29">
        <f t="shared" ref="CY192:CY193" si="1813">+CX192</f>
        <v>61.340352547617734</v>
      </c>
      <c r="CZ192" s="29">
        <f t="shared" ref="CZ192:CZ193" si="1814">+CY192</f>
        <v>61.340352547617734</v>
      </c>
      <c r="DA192" s="29">
        <f t="shared" ref="DA192:DA193" si="1815">+CZ192</f>
        <v>61.340352547617734</v>
      </c>
      <c r="DD192" s="138"/>
      <c r="DE192" s="61">
        <v>66.766339557189099</v>
      </c>
    </row>
    <row r="193" spans="1:109" s="61" customFormat="1" outlineLevel="1" x14ac:dyDescent="0.2">
      <c r="A193" s="67" t="s">
        <v>464</v>
      </c>
      <c r="B193" s="66" t="e">
        <f t="shared" ref="B193:AE193" si="1816">B158/B21*365</f>
        <v>#DIV/0!</v>
      </c>
      <c r="C193" s="66" t="e">
        <f t="shared" si="1816"/>
        <v>#DIV/0!</v>
      </c>
      <c r="D193" s="66">
        <f t="shared" si="1816"/>
        <v>74.221077569187699</v>
      </c>
      <c r="E193" s="66">
        <f t="shared" si="1816"/>
        <v>62.691477532866777</v>
      </c>
      <c r="F193" s="66">
        <f t="shared" si="1816"/>
        <v>49.154983050847456</v>
      </c>
      <c r="G193" s="66">
        <f t="shared" si="1816"/>
        <v>51.754025721387656</v>
      </c>
      <c r="H193" s="66">
        <f t="shared" si="1816"/>
        <v>51.162596978358515</v>
      </c>
      <c r="I193" s="66">
        <f t="shared" si="1816"/>
        <v>53.360545832925958</v>
      </c>
      <c r="J193" s="66">
        <f t="shared" si="1816"/>
        <v>51.245815604576165</v>
      </c>
      <c r="K193" s="66">
        <f t="shared" si="1816"/>
        <v>47.018924832929208</v>
      </c>
      <c r="L193" s="66">
        <f t="shared" si="1816"/>
        <v>43.118888848946717</v>
      </c>
      <c r="M193" s="66">
        <f t="shared" si="1816"/>
        <v>55.921400689191707</v>
      </c>
      <c r="N193" s="66">
        <f t="shared" si="1816"/>
        <v>59.567352666043028</v>
      </c>
      <c r="O193" s="66">
        <f t="shared" si="1816"/>
        <v>69.746904528626942</v>
      </c>
      <c r="P193" s="66">
        <f t="shared" si="1816"/>
        <v>60.613907019351892</v>
      </c>
      <c r="Q193" s="66">
        <f t="shared" si="1816"/>
        <v>65.75879278584587</v>
      </c>
      <c r="R193" s="66">
        <f t="shared" si="1816"/>
        <v>61.224886384667577</v>
      </c>
      <c r="S193" s="66">
        <f t="shared" si="1816"/>
        <v>56.996499701194004</v>
      </c>
      <c r="T193" s="66">
        <f t="shared" si="1816"/>
        <v>59.433836931339172</v>
      </c>
      <c r="U193" s="66">
        <f t="shared" si="1816"/>
        <v>52.313507138564134</v>
      </c>
      <c r="V193" s="66">
        <f t="shared" si="1816"/>
        <v>66.182023119872085</v>
      </c>
      <c r="W193" s="66">
        <f t="shared" si="1816"/>
        <v>54.93217252435938</v>
      </c>
      <c r="X193" s="66">
        <f t="shared" si="1816"/>
        <v>54.292353131866157</v>
      </c>
      <c r="Y193" s="66">
        <f t="shared" si="1816"/>
        <v>52.543557832090968</v>
      </c>
      <c r="Z193" s="66">
        <f t="shared" si="1816"/>
        <v>56.589242288340067</v>
      </c>
      <c r="AA193" s="66">
        <f t="shared" ref="AA193" si="1817">AA158/AA21*365</f>
        <v>61.574622528097258</v>
      </c>
      <c r="AB193" s="17">
        <f t="shared" si="1816"/>
        <v>65.645961801073256</v>
      </c>
      <c r="AC193" s="17">
        <f t="shared" si="1816"/>
        <v>65.704749171297451</v>
      </c>
      <c r="AD193" s="17">
        <f t="shared" si="1816"/>
        <v>65.569162300598165</v>
      </c>
      <c r="AE193" s="17">
        <f t="shared" si="1816"/>
        <v>65.608580142419967</v>
      </c>
      <c r="AI193" s="66">
        <f>AI158/AI21*90</f>
        <v>64.185257287172462</v>
      </c>
      <c r="AJ193" s="66">
        <f t="shared" si="1799"/>
        <v>64.185257287172462</v>
      </c>
      <c r="AK193" s="66">
        <f>AK158/AK21*90</f>
        <v>66.040274256741185</v>
      </c>
      <c r="AL193" s="66">
        <f t="shared" si="1799"/>
        <v>66.040274256741185</v>
      </c>
      <c r="AM193" s="66">
        <f>AM158/AM21*90</f>
        <v>70.773170491480357</v>
      </c>
      <c r="AN193" s="66">
        <f t="shared" si="1799"/>
        <v>70.773170491480357</v>
      </c>
      <c r="AO193" s="66">
        <f>AO158/AO21*90</f>
        <v>66.405992128983129</v>
      </c>
      <c r="AP193" s="66">
        <f t="shared" si="1799"/>
        <v>66.405992128983129</v>
      </c>
      <c r="AQ193" s="66">
        <f>AQ158/AQ21*90</f>
        <v>67.355846542614273</v>
      </c>
      <c r="AR193" s="66">
        <f t="shared" si="1799"/>
        <v>67.355846542614273</v>
      </c>
      <c r="AS193" s="66">
        <f>AS158/AS21*90</f>
        <v>60.77881257275903</v>
      </c>
      <c r="AT193" s="66">
        <f t="shared" si="1799"/>
        <v>60.77881257275903</v>
      </c>
      <c r="AU193" s="66">
        <f>AU158/AU21*90</f>
        <v>69.070397111913351</v>
      </c>
      <c r="AV193" s="66">
        <f t="shared" si="1799"/>
        <v>69.070397111913351</v>
      </c>
      <c r="AW193" s="66">
        <f>AW158/AW21*90</f>
        <v>68.050161812297731</v>
      </c>
      <c r="AX193" s="66">
        <f t="shared" si="1799"/>
        <v>68.050161812297731</v>
      </c>
      <c r="AY193" s="66">
        <f>AY158/AY21*90</f>
        <v>64.310866744918769</v>
      </c>
      <c r="AZ193" s="66">
        <f t="shared" si="1799"/>
        <v>64.310866744918769</v>
      </c>
      <c r="BA193" s="66">
        <f>BA158/BA21*90</f>
        <v>58.76801152737751</v>
      </c>
      <c r="BB193" s="66">
        <f t="shared" si="1799"/>
        <v>58.76801152737751</v>
      </c>
      <c r="BC193" s="66">
        <f>BC158/BC21*90</f>
        <v>55.190067628949222</v>
      </c>
      <c r="BD193" s="66">
        <f t="shared" si="1799"/>
        <v>55.190067628949222</v>
      </c>
      <c r="BE193" s="66">
        <f>BE158/BE21*90</f>
        <v>28.170076613731762</v>
      </c>
      <c r="BF193" s="66">
        <f t="shared" si="1799"/>
        <v>28.170076613731762</v>
      </c>
      <c r="BG193" s="66">
        <f>BG158/BG21*90</f>
        <v>27.877865231854287</v>
      </c>
      <c r="BH193" s="66">
        <f t="shared" si="1799"/>
        <v>27.877865231854287</v>
      </c>
      <c r="BI193" s="66">
        <f>BI158/BI21*90</f>
        <v>57.000986268113195</v>
      </c>
      <c r="BJ193" s="66">
        <f t="shared" si="1799"/>
        <v>57.000986268113195</v>
      </c>
      <c r="BK193" s="66">
        <f>BK158/BK21*90</f>
        <v>63.041103250649236</v>
      </c>
      <c r="BL193" s="66">
        <f t="shared" si="1799"/>
        <v>63.041103250649236</v>
      </c>
      <c r="BM193" s="66">
        <f>BM158/BM21*90</f>
        <v>54.873368259573368</v>
      </c>
      <c r="BN193" s="66">
        <f t="shared" si="1799"/>
        <v>54.873368259573368</v>
      </c>
      <c r="BO193" s="66">
        <f>BO158/BO21*90</f>
        <v>99.080386438206347</v>
      </c>
      <c r="BP193" s="66">
        <f t="shared" si="1799"/>
        <v>99.080386438206347</v>
      </c>
      <c r="BQ193" s="66">
        <f>BQ158/BQ21*90</f>
        <v>48.874443580866249</v>
      </c>
      <c r="BR193" s="66">
        <f t="shared" si="1799"/>
        <v>48.874443580866249</v>
      </c>
      <c r="BS193" s="66">
        <f>BS158/BS21*90</f>
        <v>56.404302086966389</v>
      </c>
      <c r="BT193" s="66">
        <f t="shared" si="1799"/>
        <v>56.404302086966389</v>
      </c>
      <c r="BU193" s="66">
        <f>BU158/BU21*90</f>
        <v>50.002166463150431</v>
      </c>
      <c r="BV193" s="66">
        <f t="shared" si="1799"/>
        <v>50.002166463150431</v>
      </c>
      <c r="BW193" s="66">
        <f>BW158/BW21*90</f>
        <v>56.855783581022742</v>
      </c>
      <c r="BX193" s="66">
        <f t="shared" si="1799"/>
        <v>56.855783581022742</v>
      </c>
      <c r="BY193" s="66">
        <f>BY158/BY21*90</f>
        <v>51.774384977572232</v>
      </c>
      <c r="BZ193" s="66">
        <f t="shared" si="1799"/>
        <v>51.774384977572232</v>
      </c>
      <c r="CA193" s="66">
        <f>CA158/CA21*90</f>
        <v>52.460719245109722</v>
      </c>
      <c r="CB193" s="66">
        <f t="shared" si="1799"/>
        <v>52.460719245109722</v>
      </c>
      <c r="CC193" s="66">
        <f>CC158/CC21*90</f>
        <v>50.680483315995836</v>
      </c>
      <c r="CD193" s="66">
        <f t="shared" si="1799"/>
        <v>50.680483315995836</v>
      </c>
      <c r="CE193" s="66">
        <f>CE158/CE21*90</f>
        <v>57.765421199521555</v>
      </c>
      <c r="CF193" s="66">
        <f t="shared" si="1799"/>
        <v>57.765421199521555</v>
      </c>
      <c r="CG193" s="66">
        <f>CG158/CG21*90</f>
        <v>54.475436083256085</v>
      </c>
      <c r="CH193" s="66">
        <f t="shared" si="1799"/>
        <v>54.475436083256085</v>
      </c>
      <c r="CI193" s="66">
        <f>CI158/CI21*90</f>
        <v>57.277978738326688</v>
      </c>
      <c r="CJ193" s="66">
        <f t="shared" si="1799"/>
        <v>57.277978738326688</v>
      </c>
      <c r="CK193" s="66">
        <f t="shared" si="1800"/>
        <v>57.277978738326688</v>
      </c>
      <c r="CL193" s="66">
        <f t="shared" si="1799"/>
        <v>57.277978738326688</v>
      </c>
      <c r="CM193" s="29">
        <f t="shared" si="1801"/>
        <v>57.277978738326688</v>
      </c>
      <c r="CN193" s="29">
        <f t="shared" si="1802"/>
        <v>57.277978738326688</v>
      </c>
      <c r="CO193" s="29">
        <f t="shared" si="1803"/>
        <v>57.277978738326688</v>
      </c>
      <c r="CP193" s="29">
        <f t="shared" si="1804"/>
        <v>57.277978738326688</v>
      </c>
      <c r="CQ193" s="29">
        <f t="shared" si="1805"/>
        <v>57.277978738326688</v>
      </c>
      <c r="CR193" s="29">
        <f t="shared" si="1806"/>
        <v>57.277978738326688</v>
      </c>
      <c r="CS193" s="29">
        <f t="shared" si="1807"/>
        <v>57.277978738326688</v>
      </c>
      <c r="CT193" s="29">
        <f t="shared" si="1808"/>
        <v>57.277978738326688</v>
      </c>
      <c r="CU193" s="29">
        <f t="shared" si="1809"/>
        <v>57.277978738326688</v>
      </c>
      <c r="CV193" s="29">
        <f t="shared" si="1810"/>
        <v>57.277978738326688</v>
      </c>
      <c r="CW193" s="29">
        <f t="shared" si="1811"/>
        <v>57.277978738326688</v>
      </c>
      <c r="CX193" s="29">
        <f t="shared" si="1812"/>
        <v>57.277978738326688</v>
      </c>
      <c r="CY193" s="29">
        <f t="shared" si="1813"/>
        <v>57.277978738326688</v>
      </c>
      <c r="CZ193" s="29">
        <f t="shared" si="1814"/>
        <v>57.277978738326688</v>
      </c>
      <c r="DA193" s="29">
        <f t="shared" si="1815"/>
        <v>57.277978738326688</v>
      </c>
      <c r="DD193" s="138"/>
      <c r="DE193" s="61">
        <v>62.452293810042498</v>
      </c>
    </row>
    <row r="194" spans="1:109" s="61" customFormat="1" outlineLevel="1" x14ac:dyDescent="0.2">
      <c r="A194" s="67" t="s">
        <v>465</v>
      </c>
      <c r="B194" s="66" t="e">
        <f>B195-B193-B192</f>
        <v>#DIV/0!</v>
      </c>
      <c r="C194" s="66" t="e">
        <f t="shared" ref="C194:U194" si="1818">C195-C193-C192</f>
        <v>#DIV/0!</v>
      </c>
      <c r="D194" s="66">
        <f t="shared" si="1818"/>
        <v>18.394773681754558</v>
      </c>
      <c r="E194" s="66">
        <f t="shared" si="1818"/>
        <v>18.943521486035721</v>
      </c>
      <c r="F194" s="66">
        <f t="shared" si="1818"/>
        <v>17.767457627118624</v>
      </c>
      <c r="G194" s="66">
        <f t="shared" si="1818"/>
        <v>20.504376958824196</v>
      </c>
      <c r="H194" s="66">
        <f t="shared" si="1818"/>
        <v>15.24981625153125</v>
      </c>
      <c r="I194" s="66">
        <f t="shared" si="1818"/>
        <v>16.843722502339475</v>
      </c>
      <c r="J194" s="66">
        <f t="shared" si="1818"/>
        <v>21.527718171005333</v>
      </c>
      <c r="K194" s="66">
        <f t="shared" si="1818"/>
        <v>33.773670826187242</v>
      </c>
      <c r="L194" s="66">
        <f t="shared" si="1818"/>
        <v>26.622510604644461</v>
      </c>
      <c r="M194" s="66">
        <f t="shared" si="1818"/>
        <v>39.57815605473499</v>
      </c>
      <c r="N194" s="66">
        <f t="shared" si="1818"/>
        <v>36.216089803554738</v>
      </c>
      <c r="O194" s="66">
        <f t="shared" si="1818"/>
        <v>52.264576497432266</v>
      </c>
      <c r="P194" s="66">
        <f t="shared" si="1818"/>
        <v>47.874642161914565</v>
      </c>
      <c r="Q194" s="66">
        <f t="shared" si="1818"/>
        <v>45.08749946450753</v>
      </c>
      <c r="R194" s="66">
        <f t="shared" si="1818"/>
        <v>37.572204857183969</v>
      </c>
      <c r="S194" s="66">
        <f t="shared" si="1818"/>
        <v>20.606454209505678</v>
      </c>
      <c r="T194" s="66">
        <f t="shared" si="1818"/>
        <v>26.378298834233092</v>
      </c>
      <c r="U194" s="66">
        <f t="shared" si="1818"/>
        <v>30.886111835614592</v>
      </c>
      <c r="V194" s="66">
        <f>V195-V193-V192</f>
        <v>37.793559464206169</v>
      </c>
      <c r="W194" s="66">
        <f t="shared" ref="W194" si="1819">W195-W193-W192</f>
        <v>32.600865360504628</v>
      </c>
      <c r="X194" s="66">
        <f t="shared" ref="X194:Y194" si="1820">X195-X193-X192</f>
        <v>37.227554659078677</v>
      </c>
      <c r="Y194" s="66">
        <f t="shared" si="1820"/>
        <v>28.955975769080766</v>
      </c>
      <c r="Z194" s="66">
        <f t="shared" ref="Z194:AA194" si="1821">Z195-Z193-Z192</f>
        <v>24.759434822023834</v>
      </c>
      <c r="AA194" s="66">
        <f t="shared" ref="AA194" si="1822">AA195-AA193-AA192</f>
        <v>25.080975904705966</v>
      </c>
      <c r="AB194" s="17">
        <f t="shared" ref="AB194:AD194" si="1823">AB195-AB193-AB192</f>
        <v>17.394925920331929</v>
      </c>
      <c r="AC194" s="17">
        <f t="shared" si="1823"/>
        <v>17.410503450495909</v>
      </c>
      <c r="AD194" s="17">
        <f t="shared" si="1823"/>
        <v>17.374575519715847</v>
      </c>
      <c r="AE194" s="17">
        <f t="shared" ref="AE194" si="1824">AE195-AE193-AE192</f>
        <v>17.38502049484633</v>
      </c>
      <c r="AI194" s="66">
        <f t="shared" ref="AI194:AK194" si="1825">AI195-AI193-AI192</f>
        <v>35.399084499631712</v>
      </c>
      <c r="AJ194" s="66">
        <f t="shared" si="1799"/>
        <v>35.399084499631712</v>
      </c>
      <c r="AK194" s="66">
        <f t="shared" si="1825"/>
        <v>40.15153261120075</v>
      </c>
      <c r="AL194" s="66">
        <f t="shared" si="1799"/>
        <v>40.15153261120075</v>
      </c>
      <c r="AM194" s="66">
        <f t="shared" ref="AM194:AO194" si="1826">AM195-AM193-AM192</f>
        <v>49.980301388752082</v>
      </c>
      <c r="AN194" s="66">
        <f t="shared" si="1799"/>
        <v>49.980301388752082</v>
      </c>
      <c r="AO194" s="66">
        <f t="shared" si="1826"/>
        <v>49.761076551986818</v>
      </c>
      <c r="AP194" s="66">
        <f t="shared" si="1799"/>
        <v>49.761076551986818</v>
      </c>
      <c r="AQ194" s="66">
        <f t="shared" ref="AQ194:BA194" si="1827">AQ195-AQ193-AQ192</f>
        <v>52.43050769584196</v>
      </c>
      <c r="AR194" s="66">
        <f t="shared" si="1799"/>
        <v>52.43050769584196</v>
      </c>
      <c r="AS194" s="66">
        <f t="shared" si="1827"/>
        <v>48.004889406286381</v>
      </c>
      <c r="AT194" s="66">
        <f t="shared" si="1799"/>
        <v>48.004889406286381</v>
      </c>
      <c r="AU194" s="66">
        <f t="shared" si="1827"/>
        <v>49.046792557622858</v>
      </c>
      <c r="AV194" s="66">
        <f t="shared" si="1799"/>
        <v>49.046792557622858</v>
      </c>
      <c r="AW194" s="66">
        <f t="shared" si="1827"/>
        <v>46.658576051779932</v>
      </c>
      <c r="AX194" s="66">
        <f t="shared" si="1799"/>
        <v>46.658576051779932</v>
      </c>
      <c r="AY194" s="66">
        <f t="shared" si="1827"/>
        <v>38.606906777043314</v>
      </c>
      <c r="AZ194" s="66">
        <f t="shared" si="1799"/>
        <v>38.606906777043314</v>
      </c>
      <c r="BA194" s="66">
        <f t="shared" si="1827"/>
        <v>36.064481268011541</v>
      </c>
      <c r="BB194" s="66">
        <f t="shared" si="1799"/>
        <v>36.064481268011541</v>
      </c>
      <c r="BC194" s="66">
        <f t="shared" ref="BC194:BE194" si="1828">BC195-BC193-BC192</f>
        <v>42.159281316241056</v>
      </c>
      <c r="BD194" s="66">
        <f t="shared" si="1799"/>
        <v>42.159281316241056</v>
      </c>
      <c r="BE194" s="66">
        <f t="shared" si="1828"/>
        <v>22.335984970792843</v>
      </c>
      <c r="BF194" s="66">
        <f t="shared" si="1799"/>
        <v>22.335984970792843</v>
      </c>
      <c r="BG194" s="66">
        <f t="shared" ref="BG194:BI194" si="1829">BG195-BG193-BG192</f>
        <v>17.841146638067372</v>
      </c>
      <c r="BH194" s="66">
        <f t="shared" si="1799"/>
        <v>17.841146638067372</v>
      </c>
      <c r="BI194" s="66">
        <f t="shared" si="1829"/>
        <v>25.298535771185811</v>
      </c>
      <c r="BJ194" s="66">
        <f t="shared" si="1799"/>
        <v>25.298535771185811</v>
      </c>
      <c r="BK194" s="66">
        <f t="shared" ref="BK194:BM194" si="1830">BK195-BK193-BK192</f>
        <v>23.947076206680407</v>
      </c>
      <c r="BL194" s="66">
        <f t="shared" si="1799"/>
        <v>23.947076206680407</v>
      </c>
      <c r="BM194" s="66">
        <f t="shared" si="1830"/>
        <v>32.397464470751665</v>
      </c>
      <c r="BN194" s="66">
        <f t="shared" si="1799"/>
        <v>32.397464470751665</v>
      </c>
      <c r="BO194" s="66">
        <f t="shared" ref="BO194:BQ194" si="1831">BO195-BO193-BO192</f>
        <v>74.599434925264347</v>
      </c>
      <c r="BP194" s="66">
        <f t="shared" si="1799"/>
        <v>74.599434925264347</v>
      </c>
      <c r="BQ194" s="66">
        <f t="shared" si="1831"/>
        <v>27.488165053345583</v>
      </c>
      <c r="BR194" s="66">
        <f t="shared" si="1799"/>
        <v>27.488165053345583</v>
      </c>
      <c r="BS194" s="66">
        <f t="shared" ref="BS194:BU194" si="1832">BS195-BS193-BS192</f>
        <v>23.89483246680561</v>
      </c>
      <c r="BT194" s="66">
        <f t="shared" si="1799"/>
        <v>23.89483246680561</v>
      </c>
      <c r="BU194" s="66">
        <f t="shared" si="1832"/>
        <v>24.899160987907166</v>
      </c>
      <c r="BV194" s="66">
        <f t="shared" si="1799"/>
        <v>24.899160987907166</v>
      </c>
      <c r="BW194" s="66">
        <f t="shared" ref="BW194:BY194" si="1833">BW195-BW193-BW192</f>
        <v>21.178044749918541</v>
      </c>
      <c r="BX194" s="66">
        <f t="shared" si="1799"/>
        <v>21.178044749918541</v>
      </c>
      <c r="BY194" s="66">
        <f t="shared" si="1833"/>
        <v>29.536789903323744</v>
      </c>
      <c r="BZ194" s="66">
        <f t="shared" si="1799"/>
        <v>29.536789903323744</v>
      </c>
      <c r="CA194" s="66">
        <f t="shared" ref="CA194:CC194" si="1834">CA195-CA193-CA192</f>
        <v>25.180357982439844</v>
      </c>
      <c r="CB194" s="66">
        <f t="shared" si="1799"/>
        <v>25.180357982439844</v>
      </c>
      <c r="CC194" s="66">
        <f t="shared" si="1834"/>
        <v>21.505801392334163</v>
      </c>
      <c r="CD194" s="66">
        <f t="shared" si="1799"/>
        <v>21.505801392334163</v>
      </c>
      <c r="CE194" s="66">
        <f t="shared" ref="CE194" si="1835">CE195-CE193-CE192</f>
        <v>18.619496497123649</v>
      </c>
      <c r="CF194" s="66">
        <f t="shared" si="1799"/>
        <v>18.619496497123649</v>
      </c>
      <c r="CG194" s="66">
        <f t="shared" ref="CG194" si="1836">CG195-CG193-CG192</f>
        <v>23.834583298221972</v>
      </c>
      <c r="CH194" s="66">
        <f t="shared" si="1799"/>
        <v>23.834583298221972</v>
      </c>
      <c r="CI194" s="66">
        <f t="shared" ref="CI194" si="1837">CI195-CI193-CI192</f>
        <v>15.177570252360162</v>
      </c>
      <c r="CJ194" s="66">
        <f t="shared" si="1799"/>
        <v>15.177570252360162</v>
      </c>
      <c r="CK194" s="66">
        <f t="shared" ref="CK194:DA194" si="1838">CJ194</f>
        <v>15.177570252360162</v>
      </c>
      <c r="CL194" s="66">
        <f t="shared" si="1799"/>
        <v>15.177570252360162</v>
      </c>
      <c r="CM194" s="29">
        <f t="shared" si="1838"/>
        <v>15.177570252360162</v>
      </c>
      <c r="CN194" s="29">
        <f t="shared" si="1838"/>
        <v>15.177570252360162</v>
      </c>
      <c r="CO194" s="29">
        <f t="shared" si="1838"/>
        <v>15.177570252360162</v>
      </c>
      <c r="CP194" s="29">
        <f t="shared" si="1838"/>
        <v>15.177570252360162</v>
      </c>
      <c r="CQ194" s="29">
        <f t="shared" si="1838"/>
        <v>15.177570252360162</v>
      </c>
      <c r="CR194" s="29">
        <f t="shared" si="1838"/>
        <v>15.177570252360162</v>
      </c>
      <c r="CS194" s="29">
        <f t="shared" si="1838"/>
        <v>15.177570252360162</v>
      </c>
      <c r="CT194" s="29">
        <f t="shared" si="1838"/>
        <v>15.177570252360162</v>
      </c>
      <c r="CU194" s="29">
        <f t="shared" si="1838"/>
        <v>15.177570252360162</v>
      </c>
      <c r="CV194" s="29">
        <f t="shared" si="1838"/>
        <v>15.177570252360162</v>
      </c>
      <c r="CW194" s="29">
        <f t="shared" si="1838"/>
        <v>15.177570252360162</v>
      </c>
      <c r="CX194" s="29">
        <f t="shared" si="1838"/>
        <v>15.177570252360162</v>
      </c>
      <c r="CY194" s="29">
        <f t="shared" si="1838"/>
        <v>15.177570252360162</v>
      </c>
      <c r="CZ194" s="29">
        <f t="shared" si="1838"/>
        <v>15.177570252360162</v>
      </c>
      <c r="DA194" s="29">
        <f t="shared" si="1838"/>
        <v>15.177570252360162</v>
      </c>
      <c r="DD194" s="138"/>
      <c r="DE194" s="61">
        <v>17.800714444266617</v>
      </c>
    </row>
    <row r="195" spans="1:109" s="7" customFormat="1" outlineLevel="1" x14ac:dyDescent="0.2">
      <c r="A195" s="68" t="s">
        <v>466</v>
      </c>
      <c r="B195" s="69" t="e">
        <f t="shared" ref="B195:AE195" si="1839">B161/B21*365</f>
        <v>#DIV/0!</v>
      </c>
      <c r="C195" s="69" t="e">
        <f t="shared" si="1839"/>
        <v>#DIV/0!</v>
      </c>
      <c r="D195" s="69">
        <f t="shared" si="1839"/>
        <v>162.72299795398257</v>
      </c>
      <c r="E195" s="69">
        <f t="shared" si="1839"/>
        <v>139.20563804042123</v>
      </c>
      <c r="F195" s="69">
        <f t="shared" si="1839"/>
        <v>125.54020338983049</v>
      </c>
      <c r="G195" s="69">
        <f t="shared" si="1839"/>
        <v>127.10504701177999</v>
      </c>
      <c r="H195" s="69">
        <f t="shared" si="1839"/>
        <v>121.18178848509596</v>
      </c>
      <c r="I195" s="69">
        <f t="shared" si="1839"/>
        <v>120.30720560917355</v>
      </c>
      <c r="J195" s="69">
        <f t="shared" si="1839"/>
        <v>144.06563829656784</v>
      </c>
      <c r="K195" s="69">
        <f t="shared" si="1839"/>
        <v>124.28002838724939</v>
      </c>
      <c r="L195" s="69">
        <f t="shared" si="1839"/>
        <v>111.40713746495074</v>
      </c>
      <c r="M195" s="69">
        <f t="shared" si="1839"/>
        <v>137.83855469922932</v>
      </c>
      <c r="N195" s="69">
        <f t="shared" si="1839"/>
        <v>129.04115996258187</v>
      </c>
      <c r="O195" s="69">
        <f t="shared" si="1839"/>
        <v>162.95238596237436</v>
      </c>
      <c r="P195" s="69">
        <f t="shared" si="1839"/>
        <v>148.38025306309402</v>
      </c>
      <c r="Q195" s="69">
        <f t="shared" si="1839"/>
        <v>153.89519877479327</v>
      </c>
      <c r="R195" s="69">
        <f t="shared" si="1839"/>
        <v>150.21000843118301</v>
      </c>
      <c r="S195" s="69">
        <f t="shared" si="1839"/>
        <v>131.07912870610906</v>
      </c>
      <c r="T195" s="69">
        <f t="shared" si="1839"/>
        <v>157.80307446907651</v>
      </c>
      <c r="U195" s="69">
        <f t="shared" si="1839"/>
        <v>142.8435072519647</v>
      </c>
      <c r="V195" s="69">
        <f t="shared" si="1839"/>
        <v>172.25389918477552</v>
      </c>
      <c r="W195" s="69">
        <f t="shared" si="1839"/>
        <v>158.05811395513854</v>
      </c>
      <c r="X195" s="69">
        <f t="shared" si="1839"/>
        <v>156.906220509311</v>
      </c>
      <c r="Y195" s="69">
        <f t="shared" si="1839"/>
        <v>146.98597257793088</v>
      </c>
      <c r="Z195" s="69">
        <f t="shared" si="1839"/>
        <v>145.67182336209666</v>
      </c>
      <c r="AA195" s="69">
        <f t="shared" ref="AA195" si="1840">AA161/AA21*365</f>
        <v>152.48363940630563</v>
      </c>
      <c r="AB195" s="70">
        <f t="shared" si="1839"/>
        <v>153.34271276661832</v>
      </c>
      <c r="AC195" s="70">
        <f t="shared" si="1839"/>
        <v>153.48003446286992</v>
      </c>
      <c r="AD195" s="70">
        <f t="shared" si="1839"/>
        <v>153.16331645009154</v>
      </c>
      <c r="AE195" s="70">
        <f t="shared" si="1839"/>
        <v>153.25539277330358</v>
      </c>
      <c r="AI195" s="69">
        <f>AI161/AI21*90</f>
        <v>137.19483321056509</v>
      </c>
      <c r="AJ195" s="69">
        <f>+AJ192+AJ193+AJ194</f>
        <v>137.19483321056509</v>
      </c>
      <c r="AK195" s="69">
        <f>AK161/AK21*90</f>
        <v>143.063493892602</v>
      </c>
      <c r="AL195" s="69">
        <f>+AL192+AL193+AL194</f>
        <v>143.063493892602</v>
      </c>
      <c r="AM195" s="69">
        <f>AM161/AM21*90</f>
        <v>173.05032995173841</v>
      </c>
      <c r="AN195" s="69">
        <f>+AN192+AN193+AN194</f>
        <v>173.05032995173841</v>
      </c>
      <c r="AO195" s="69">
        <f>AO161/AO21*90</f>
        <v>155.14688333121751</v>
      </c>
      <c r="AP195" s="69">
        <f>+AP192+AP193+AP194</f>
        <v>155.14688333121751</v>
      </c>
      <c r="AQ195" s="69">
        <f>AQ161/AQ21*90</f>
        <v>162.46956122214564</v>
      </c>
      <c r="AR195" s="69">
        <f>+AR192+AR193+AR194</f>
        <v>162.46956122214564</v>
      </c>
      <c r="AS195" s="69">
        <f>AS161/AS21*90</f>
        <v>148.78393480791618</v>
      </c>
      <c r="AT195" s="69">
        <f>+AT192+AT193+AT194</f>
        <v>148.78393480791618</v>
      </c>
      <c r="AU195" s="69">
        <f>AU161/AU21*90</f>
        <v>158.30810885865034</v>
      </c>
      <c r="AV195" s="69">
        <f>+AV192+AV193+AV194</f>
        <v>158.30810885865034</v>
      </c>
      <c r="AW195" s="69">
        <f>AW161/AW21*90</f>
        <v>159.25768608414239</v>
      </c>
      <c r="AX195" s="69">
        <f>+AX192+AX193+AX194</f>
        <v>159.25768608414239</v>
      </c>
      <c r="AY195" s="69">
        <f>AY161/AY21*90</f>
        <v>149.14375733613394</v>
      </c>
      <c r="AZ195" s="69">
        <f>+AZ192+AZ193+AZ194</f>
        <v>149.14375733613394</v>
      </c>
      <c r="BA195" s="69">
        <f>BA161/BA21*90</f>
        <v>144.18227665706053</v>
      </c>
      <c r="BB195" s="69">
        <f>+BB192+BB193+BB194</f>
        <v>144.18227665706053</v>
      </c>
      <c r="BC195" s="69">
        <f>BC161/BC21*90</f>
        <v>149.35439588169982</v>
      </c>
      <c r="BD195" s="69">
        <f>+BD192+BD193+BD194</f>
        <v>149.35439588169982</v>
      </c>
      <c r="BE195" s="69">
        <f>BE161/BE21*90</f>
        <v>74.601520533067188</v>
      </c>
      <c r="BF195" s="69">
        <f>+BF192+BF193+BF194</f>
        <v>74.601520533067173</v>
      </c>
      <c r="BG195" s="69">
        <f>BG161/BG21*90</f>
        <v>79.412775162234382</v>
      </c>
      <c r="BH195" s="69">
        <f>+BH192+BH193+BH194</f>
        <v>79.412775162234382</v>
      </c>
      <c r="BI195" s="69">
        <f>BI161/BI21*90</f>
        <v>151.34360063728096</v>
      </c>
      <c r="BJ195" s="69">
        <f>+BJ192+BJ193+BJ194</f>
        <v>151.34360063728096</v>
      </c>
      <c r="BK195" s="69">
        <f>BK161/BK21*90</f>
        <v>164.5572669472553</v>
      </c>
      <c r="BL195" s="69">
        <f>+BL192+BL193+BL194</f>
        <v>164.5572669472553</v>
      </c>
      <c r="BM195" s="69">
        <f>BM161/BM21*90</f>
        <v>149.833280268604</v>
      </c>
      <c r="BN195" s="69">
        <f>+BN192+BN193+BN194</f>
        <v>149.833280268604</v>
      </c>
      <c r="BO195" s="69">
        <f>BO161/BO21*90</f>
        <v>354.3893547211083</v>
      </c>
      <c r="BP195" s="69">
        <f>+BP192+BP193+BP194</f>
        <v>354.3893547211083</v>
      </c>
      <c r="BQ195" s="69">
        <f>BQ161/BQ21*90</f>
        <v>126.78513389387409</v>
      </c>
      <c r="BR195" s="69">
        <f>+BR192+BR193+BR194</f>
        <v>126.78513389387409</v>
      </c>
      <c r="BS195" s="69">
        <f>BS161/BS21*90</f>
        <v>154.99411950782306</v>
      </c>
      <c r="BT195" s="69">
        <f>+BT192+BT193+BT194</f>
        <v>154.99411950782306</v>
      </c>
      <c r="BU195" s="69">
        <f>BU161/BU21*90</f>
        <v>139.0969787686611</v>
      </c>
      <c r="BV195" s="69">
        <f>+BV192+BV193+BV194</f>
        <v>139.0969787686611</v>
      </c>
      <c r="BW195" s="69">
        <f>BW161/BW21*90</f>
        <v>142.91320482837099</v>
      </c>
      <c r="BX195" s="69">
        <f>+BX192+BX193+BX194</f>
        <v>142.91320482837099</v>
      </c>
      <c r="BY195" s="69">
        <f>BY161/BY21*90</f>
        <v>143.66500431839074</v>
      </c>
      <c r="BZ195" s="69">
        <f>+BZ192+BZ193+BZ194</f>
        <v>143.66500431839074</v>
      </c>
      <c r="CA195" s="69">
        <f>CA161/CA21*90</f>
        <v>147.21426462709252</v>
      </c>
      <c r="CB195" s="69">
        <f>+CB192+CB193+CB194</f>
        <v>147.21426462709252</v>
      </c>
      <c r="CC195" s="69">
        <f>CC161/CC21*90</f>
        <v>135.35072417380172</v>
      </c>
      <c r="CD195" s="69">
        <f>+CD192+CD193+CD194</f>
        <v>135.35072417380172</v>
      </c>
      <c r="CE195" s="69">
        <f>CE161/CE21*90</f>
        <v>146.60263712479352</v>
      </c>
      <c r="CF195" s="69">
        <f>+CF192+CF193+CF194</f>
        <v>146.60263712479352</v>
      </c>
      <c r="CG195" s="69">
        <f>CG161/CG21*90</f>
        <v>140.23047105418388</v>
      </c>
      <c r="CH195" s="69">
        <f>+CH192+CH193+CH194</f>
        <v>140.23047105418388</v>
      </c>
      <c r="CI195" s="69">
        <f>CI161/CI21*90</f>
        <v>133.79590153830458</v>
      </c>
      <c r="CJ195" s="69">
        <f>+CJ192+CJ193+CJ194</f>
        <v>133.79590153830458</v>
      </c>
      <c r="CK195" s="69">
        <f t="shared" ref="CK195:DA195" si="1841">CK192+CK193+CK194</f>
        <v>133.79590153830458</v>
      </c>
      <c r="CL195" s="69">
        <f>+CL192+CL193+CL194</f>
        <v>133.79590153830458</v>
      </c>
      <c r="CM195" s="49">
        <f t="shared" si="1841"/>
        <v>133.79590153830458</v>
      </c>
      <c r="CN195" s="49">
        <f t="shared" si="1841"/>
        <v>133.79590153830458</v>
      </c>
      <c r="CO195" s="49">
        <f t="shared" si="1841"/>
        <v>133.79590153830458</v>
      </c>
      <c r="CP195" s="49">
        <f t="shared" si="1841"/>
        <v>133.79590153830458</v>
      </c>
      <c r="CQ195" s="49">
        <f t="shared" si="1841"/>
        <v>133.79590153830458</v>
      </c>
      <c r="CR195" s="49">
        <f t="shared" si="1841"/>
        <v>133.79590153830458</v>
      </c>
      <c r="CS195" s="49">
        <f t="shared" si="1841"/>
        <v>133.79590153830458</v>
      </c>
      <c r="CT195" s="49">
        <f t="shared" si="1841"/>
        <v>133.79590153830458</v>
      </c>
      <c r="CU195" s="49">
        <f t="shared" si="1841"/>
        <v>133.79590153830458</v>
      </c>
      <c r="CV195" s="49">
        <f t="shared" si="1841"/>
        <v>133.79590153830458</v>
      </c>
      <c r="CW195" s="49">
        <f t="shared" si="1841"/>
        <v>133.79590153830458</v>
      </c>
      <c r="CX195" s="49">
        <f t="shared" si="1841"/>
        <v>133.79590153830458</v>
      </c>
      <c r="CY195" s="49">
        <f t="shared" si="1841"/>
        <v>133.79590153830458</v>
      </c>
      <c r="CZ195" s="49">
        <f t="shared" si="1841"/>
        <v>133.79590153830458</v>
      </c>
      <c r="DA195" s="49">
        <f t="shared" si="1841"/>
        <v>133.79590153830458</v>
      </c>
      <c r="DD195" s="137"/>
      <c r="DE195" s="7">
        <v>147.01934781149822</v>
      </c>
    </row>
    <row r="196" spans="1:109" s="61" customFormat="1" outlineLevel="1" x14ac:dyDescent="0.2">
      <c r="A196" s="67" t="s">
        <v>467</v>
      </c>
      <c r="B196" s="66" t="e">
        <f t="shared" ref="B196:AE196" si="1842">B166/B21*365</f>
        <v>#DIV/0!</v>
      </c>
      <c r="C196" s="66" t="e">
        <f t="shared" si="1842"/>
        <v>#DIV/0!</v>
      </c>
      <c r="D196" s="66">
        <f t="shared" si="1842"/>
        <v>60.8180480275674</v>
      </c>
      <c r="E196" s="66">
        <f t="shared" si="1842"/>
        <v>54.108999934593506</v>
      </c>
      <c r="F196" s="66">
        <f t="shared" si="1842"/>
        <v>54.351593220338984</v>
      </c>
      <c r="G196" s="66">
        <f t="shared" si="1842"/>
        <v>50.681076407651567</v>
      </c>
      <c r="H196" s="66">
        <f t="shared" si="1842"/>
        <v>51.472601061657819</v>
      </c>
      <c r="I196" s="66">
        <f t="shared" si="1842"/>
        <v>50.954299761163178</v>
      </c>
      <c r="J196" s="66">
        <f t="shared" si="1842"/>
        <v>51.491974544161458</v>
      </c>
      <c r="K196" s="66">
        <f t="shared" si="1842"/>
        <v>52.428410905434966</v>
      </c>
      <c r="L196" s="66">
        <f t="shared" si="1842"/>
        <v>58.116192752893809</v>
      </c>
      <c r="M196" s="66">
        <f t="shared" si="1842"/>
        <v>45.770479145516688</v>
      </c>
      <c r="N196" s="66">
        <f t="shared" si="1842"/>
        <v>41.77034611786717</v>
      </c>
      <c r="O196" s="66">
        <f t="shared" si="1842"/>
        <v>57.715203482446391</v>
      </c>
      <c r="P196" s="66">
        <f t="shared" si="1842"/>
        <v>45.15166609412573</v>
      </c>
      <c r="Q196" s="66">
        <f t="shared" si="1842"/>
        <v>47.00295591826243</v>
      </c>
      <c r="R196" s="66">
        <f t="shared" si="1842"/>
        <v>50.851857944847723</v>
      </c>
      <c r="S196" s="66">
        <f t="shared" si="1842"/>
        <v>52.843157342699989</v>
      </c>
      <c r="T196" s="66">
        <f t="shared" si="1842"/>
        <v>62.318790324503205</v>
      </c>
      <c r="U196" s="66">
        <f t="shared" si="1842"/>
        <v>41.32083281358085</v>
      </c>
      <c r="V196" s="66">
        <f t="shared" si="1842"/>
        <v>73.543448058926828</v>
      </c>
      <c r="W196" s="66">
        <f t="shared" si="1842"/>
        <v>62.607240858673791</v>
      </c>
      <c r="X196" s="66">
        <f t="shared" si="1842"/>
        <v>58.463631451932429</v>
      </c>
      <c r="Y196" s="66">
        <f t="shared" si="1842"/>
        <v>52.521158414680386</v>
      </c>
      <c r="Z196" s="66">
        <f t="shared" si="1842"/>
        <v>49.374433407040378</v>
      </c>
      <c r="AA196" s="66">
        <f t="shared" ref="AA196" si="1843">AA166/AA21*365</f>
        <v>62.5149965746836</v>
      </c>
      <c r="AB196" s="17">
        <f t="shared" si="1842"/>
        <v>64.009679512050766</v>
      </c>
      <c r="AC196" s="17">
        <f t="shared" si="1842"/>
        <v>64.067001556303978</v>
      </c>
      <c r="AD196" s="17">
        <f t="shared" si="1842"/>
        <v>63.934794305448207</v>
      </c>
      <c r="AE196" s="17">
        <f t="shared" si="1842"/>
        <v>63.973229623521789</v>
      </c>
      <c r="AI196" s="66">
        <f>AI166/AI21*90</f>
        <v>0</v>
      </c>
      <c r="AJ196" s="66">
        <f t="shared" si="1799"/>
        <v>0</v>
      </c>
      <c r="AK196" s="66">
        <f>AK166/AK21*90</f>
        <v>46.309345471306756</v>
      </c>
      <c r="AL196" s="66">
        <f t="shared" si="1799"/>
        <v>46.309345471306756</v>
      </c>
      <c r="AM196" s="66">
        <f>AM166/AM21*90</f>
        <v>0</v>
      </c>
      <c r="AN196" s="66">
        <f t="shared" si="1799"/>
        <v>0</v>
      </c>
      <c r="AO196" s="66">
        <f>AO166/AO21*90</f>
        <v>54.950615716643398</v>
      </c>
      <c r="AP196" s="66">
        <f t="shared" si="1799"/>
        <v>54.950615716643398</v>
      </c>
      <c r="AQ196" s="66">
        <f>AQ166/AQ21*90</f>
        <v>48.03354008729611</v>
      </c>
      <c r="AR196" s="66">
        <f t="shared" si="1799"/>
        <v>48.03354008729611</v>
      </c>
      <c r="AS196" s="66">
        <f>AS166/AS21*90</f>
        <v>45.274505238649596</v>
      </c>
      <c r="AT196" s="66">
        <f t="shared" si="1799"/>
        <v>45.274505238649596</v>
      </c>
      <c r="AU196" s="66">
        <f>AU166/AU21*90</f>
        <v>49.35504026659261</v>
      </c>
      <c r="AV196" s="66">
        <f t="shared" si="1799"/>
        <v>49.35504026659261</v>
      </c>
      <c r="AW196" s="66">
        <f>AW166/AW21*90</f>
        <v>48.640776699029125</v>
      </c>
      <c r="AX196" s="66">
        <f t="shared" si="1799"/>
        <v>48.640776699029125</v>
      </c>
      <c r="AY196" s="66">
        <f>AY166/AY21*90</f>
        <v>48.203496633100634</v>
      </c>
      <c r="AZ196" s="66">
        <f t="shared" si="1799"/>
        <v>48.203496633100634</v>
      </c>
      <c r="BA196" s="66">
        <f>BA166/BA21*90</f>
        <v>48.81123919308358</v>
      </c>
      <c r="BB196" s="66">
        <f t="shared" si="1799"/>
        <v>48.81123919308358</v>
      </c>
      <c r="BC196" s="66">
        <f>BC166/BC21*90</f>
        <v>46.011103260320979</v>
      </c>
      <c r="BD196" s="66">
        <f t="shared" si="1799"/>
        <v>46.011103260320979</v>
      </c>
      <c r="BE196" s="66">
        <f>BE166/BE21*90</f>
        <v>25.255232336278514</v>
      </c>
      <c r="BF196" s="66">
        <f t="shared" si="1799"/>
        <v>25.255232336278514</v>
      </c>
      <c r="BG196" s="66">
        <f>BG166/BG21*90</f>
        <v>30.923236325959323</v>
      </c>
      <c r="BH196" s="66">
        <f t="shared" si="1799"/>
        <v>30.923236325959323</v>
      </c>
      <c r="BI196" s="66">
        <f>BI166/BI21*90</f>
        <v>59.767847659509904</v>
      </c>
      <c r="BJ196" s="66">
        <f t="shared" si="1799"/>
        <v>59.767847659509904</v>
      </c>
      <c r="BK196" s="66">
        <f>BK166/BK21*90</f>
        <v>53.540610728037976</v>
      </c>
      <c r="BL196" s="66">
        <f t="shared" si="1799"/>
        <v>53.540610728037976</v>
      </c>
      <c r="BM196" s="66">
        <f>BM166/BM21*90</f>
        <v>43.342788503285185</v>
      </c>
      <c r="BN196" s="66">
        <f t="shared" si="1799"/>
        <v>43.342788503285185</v>
      </c>
      <c r="BO196" s="66">
        <f>BO166/BO21*90</f>
        <v>99.271099161501994</v>
      </c>
      <c r="BP196" s="66">
        <f t="shared" si="1799"/>
        <v>99.271099161501994</v>
      </c>
      <c r="BQ196" s="66">
        <f>BQ166/BQ21*90</f>
        <v>54.310746838126192</v>
      </c>
      <c r="BR196" s="66">
        <f t="shared" si="1799"/>
        <v>54.310746838126192</v>
      </c>
      <c r="BS196" s="66">
        <f>BS166/BS21*90</f>
        <v>68.092206117334058</v>
      </c>
      <c r="BT196" s="66">
        <f t="shared" si="1799"/>
        <v>68.092206117334058</v>
      </c>
      <c r="BU196" s="66">
        <f>BU166/BU21*90</f>
        <v>55.120140229251191</v>
      </c>
      <c r="BV196" s="66">
        <f t="shared" si="1799"/>
        <v>55.120140229251191</v>
      </c>
      <c r="BW196" s="66">
        <f>BW166/BW21*90</f>
        <v>59.784541664998898</v>
      </c>
      <c r="BX196" s="66">
        <f t="shared" si="1799"/>
        <v>59.784541664998898</v>
      </c>
      <c r="BY196" s="66">
        <f>BY166/BY21*90</f>
        <v>55.752207951411137</v>
      </c>
      <c r="BZ196" s="66">
        <f t="shared" si="1799"/>
        <v>55.752207951411137</v>
      </c>
      <c r="CA196" s="66">
        <f>CA166/CA21*90</f>
        <v>56.402407688859242</v>
      </c>
      <c r="CB196" s="66">
        <f t="shared" si="1799"/>
        <v>56.402407688859242</v>
      </c>
      <c r="CC196" s="66">
        <f>CC166/CC21*90</f>
        <v>50.65887813075139</v>
      </c>
      <c r="CD196" s="66">
        <f t="shared" si="1799"/>
        <v>50.65887813075139</v>
      </c>
      <c r="CE196" s="66">
        <f>CE166/CE21*90</f>
        <v>57.699208292988544</v>
      </c>
      <c r="CF196" s="66">
        <f t="shared" si="1799"/>
        <v>57.699208292988544</v>
      </c>
      <c r="CG196" s="66">
        <f>CG166/CG21*90</f>
        <v>47.530125558270839</v>
      </c>
      <c r="CH196" s="66">
        <f t="shared" si="1799"/>
        <v>47.530125558270839</v>
      </c>
      <c r="CI196" s="66">
        <f>CI166/CI21*90</f>
        <v>55.850275653641297</v>
      </c>
      <c r="CJ196" s="66">
        <f t="shared" si="1799"/>
        <v>55.850275653641297</v>
      </c>
      <c r="CK196" s="66">
        <f t="shared" ref="CK196" si="1844">+CJ196</f>
        <v>55.850275653641297</v>
      </c>
      <c r="CL196" s="66">
        <f t="shared" si="1799"/>
        <v>55.850275653641297</v>
      </c>
      <c r="CM196" s="29">
        <f t="shared" ref="CM196" si="1845">+CL196</f>
        <v>55.850275653641297</v>
      </c>
      <c r="CN196" s="29">
        <f t="shared" ref="CN196" si="1846">+CM196</f>
        <v>55.850275653641297</v>
      </c>
      <c r="CO196" s="29">
        <f t="shared" ref="CO196" si="1847">+CN196</f>
        <v>55.850275653641297</v>
      </c>
      <c r="CP196" s="29">
        <f t="shared" ref="CP196" si="1848">+CO196</f>
        <v>55.850275653641297</v>
      </c>
      <c r="CQ196" s="29">
        <f t="shared" ref="CQ196" si="1849">+CP196</f>
        <v>55.850275653641297</v>
      </c>
      <c r="CR196" s="29">
        <f t="shared" ref="CR196" si="1850">+CQ196</f>
        <v>55.850275653641297</v>
      </c>
      <c r="CS196" s="29">
        <f t="shared" ref="CS196" si="1851">+CR196</f>
        <v>55.850275653641297</v>
      </c>
      <c r="CT196" s="29">
        <f t="shared" ref="CT196" si="1852">+CS196</f>
        <v>55.850275653641297</v>
      </c>
      <c r="CU196" s="29">
        <f t="shared" ref="CU196" si="1853">+CT196</f>
        <v>55.850275653641297</v>
      </c>
      <c r="CV196" s="29">
        <f t="shared" ref="CV196" si="1854">+CU196</f>
        <v>55.850275653641297</v>
      </c>
      <c r="CW196" s="29">
        <f t="shared" ref="CW196" si="1855">+CV196</f>
        <v>55.850275653641297</v>
      </c>
      <c r="CX196" s="29">
        <f t="shared" ref="CX196" si="1856">+CW196</f>
        <v>55.850275653641297</v>
      </c>
      <c r="CY196" s="29">
        <f t="shared" ref="CY196" si="1857">+CX196</f>
        <v>55.850275653641297</v>
      </c>
      <c r="CZ196" s="29">
        <f t="shared" ref="CZ196" si="1858">+CY196</f>
        <v>55.850275653641297</v>
      </c>
      <c r="DA196" s="29">
        <f t="shared" ref="DA196" si="1859">+CZ196</f>
        <v>55.850275653641297</v>
      </c>
      <c r="DD196" s="138"/>
      <c r="DE196" s="61">
        <v>63.406071743832506</v>
      </c>
    </row>
    <row r="197" spans="1:109" s="61" customFormat="1" outlineLevel="1" x14ac:dyDescent="0.2">
      <c r="A197" s="67" t="s">
        <v>465</v>
      </c>
      <c r="B197" s="66" t="e">
        <f>B198-B196</f>
        <v>#DIV/0!</v>
      </c>
      <c r="C197" s="66" t="e">
        <f t="shared" ref="C197:V197" si="1860">C198-C196</f>
        <v>#DIV/0!</v>
      </c>
      <c r="D197" s="66">
        <f t="shared" si="1860"/>
        <v>19.639434294123987</v>
      </c>
      <c r="E197" s="66">
        <f t="shared" si="1860"/>
        <v>23.025868271306173</v>
      </c>
      <c r="F197" s="66">
        <f t="shared" si="1860"/>
        <v>15.055322033898292</v>
      </c>
      <c r="G197" s="66">
        <f t="shared" si="1860"/>
        <v>14.42170106992328</v>
      </c>
      <c r="H197" s="66">
        <f t="shared" si="1860"/>
        <v>10.885912617394851</v>
      </c>
      <c r="I197" s="66">
        <f t="shared" si="1860"/>
        <v>9.5587105604983407</v>
      </c>
      <c r="J197" s="66">
        <f t="shared" si="1860"/>
        <v>10.468468358000322</v>
      </c>
      <c r="K197" s="66">
        <f t="shared" si="1860"/>
        <v>9.5022177538588934</v>
      </c>
      <c r="L197" s="66">
        <f t="shared" si="1860"/>
        <v>7.8726004745128932</v>
      </c>
      <c r="M197" s="66">
        <f t="shared" si="1860"/>
        <v>23.013104651329058</v>
      </c>
      <c r="N197" s="66">
        <f t="shared" si="1860"/>
        <v>18.500935453695043</v>
      </c>
      <c r="O197" s="66">
        <f t="shared" si="1860"/>
        <v>20.6024579653728</v>
      </c>
      <c r="P197" s="66">
        <f t="shared" si="1860"/>
        <v>19.903011565326921</v>
      </c>
      <c r="Q197" s="66">
        <f t="shared" si="1860"/>
        <v>22.864295506147471</v>
      </c>
      <c r="R197" s="66">
        <f t="shared" si="1860"/>
        <v>20.181244730510599</v>
      </c>
      <c r="S197" s="66">
        <f t="shared" si="1860"/>
        <v>17.121742099935368</v>
      </c>
      <c r="T197" s="66">
        <f t="shared" si="1860"/>
        <v>17.063704316956837</v>
      </c>
      <c r="U197" s="66">
        <f t="shared" si="1860"/>
        <v>15.225338217116693</v>
      </c>
      <c r="V197" s="66">
        <f t="shared" si="1860"/>
        <v>32.518860258460251</v>
      </c>
      <c r="W197" s="66">
        <f t="shared" ref="W197" si="1861">W198-W196</f>
        <v>28.002575096610585</v>
      </c>
      <c r="X197" s="66">
        <f t="shared" ref="X197:Y197" si="1862">X198-X196</f>
        <v>28.980708136728751</v>
      </c>
      <c r="Y197" s="66">
        <f t="shared" si="1862"/>
        <v>31.606573496000152</v>
      </c>
      <c r="Z197" s="66">
        <f t="shared" ref="Z197:AA197" si="1863">Z198-Z196</f>
        <v>28.691601953156855</v>
      </c>
      <c r="AA197" s="66">
        <f t="shared" ref="AA197" si="1864">AA198-AA196</f>
        <v>29.021927114560292</v>
      </c>
      <c r="AB197" s="17">
        <f t="shared" ref="AB197:AD197" si="1865">AB198-AB196</f>
        <v>18.164837951286813</v>
      </c>
      <c r="AC197" s="17">
        <f t="shared" si="1865"/>
        <v>18.181104954228161</v>
      </c>
      <c r="AD197" s="17">
        <f t="shared" si="1865"/>
        <v>18.143586827187249</v>
      </c>
      <c r="AE197" s="17">
        <f t="shared" ref="AE197" si="1866">AE198-AE196</f>
        <v>18.154494104488677</v>
      </c>
      <c r="AI197" s="66">
        <f t="shared" ref="AI197:AK197" si="1867">AI198-AI196</f>
        <v>69.128959276018108</v>
      </c>
      <c r="AJ197" s="66">
        <f t="shared" si="1799"/>
        <v>69.128959276018108</v>
      </c>
      <c r="AK197" s="66">
        <f t="shared" si="1867"/>
        <v>20.511350541599441</v>
      </c>
      <c r="AL197" s="66">
        <f t="shared" si="1799"/>
        <v>20.511350541599441</v>
      </c>
      <c r="AM197" s="66">
        <f t="shared" ref="AM197:AO197" si="1868">AM198-AM196</f>
        <v>80.417610558455621</v>
      </c>
      <c r="AN197" s="66">
        <f t="shared" si="1799"/>
        <v>80.417610558455621</v>
      </c>
      <c r="AO197" s="66">
        <f t="shared" si="1868"/>
        <v>19.615589691506912</v>
      </c>
      <c r="AP197" s="66">
        <f t="shared" si="1799"/>
        <v>19.615589691506912</v>
      </c>
      <c r="AQ197" s="66">
        <f t="shared" ref="AQ197:BA197" si="1869">AQ198-AQ196</f>
        <v>20.241212956581684</v>
      </c>
      <c r="AR197" s="66">
        <f t="shared" si="1799"/>
        <v>20.241212956581684</v>
      </c>
      <c r="AS197" s="66">
        <f t="shared" si="1869"/>
        <v>19.95715948777648</v>
      </c>
      <c r="AT197" s="66">
        <f t="shared" si="1799"/>
        <v>19.95715948777648</v>
      </c>
      <c r="AU197" s="66">
        <f t="shared" si="1869"/>
        <v>24.86392668703138</v>
      </c>
      <c r="AV197" s="66">
        <f t="shared" si="1799"/>
        <v>24.86392668703138</v>
      </c>
      <c r="AW197" s="66">
        <f t="shared" si="1869"/>
        <v>23.661003236245968</v>
      </c>
      <c r="AX197" s="66">
        <f t="shared" si="1799"/>
        <v>23.661003236245968</v>
      </c>
      <c r="AY197" s="66">
        <f t="shared" si="1869"/>
        <v>17.632668190523255</v>
      </c>
      <c r="AZ197" s="66">
        <f t="shared" si="1799"/>
        <v>17.632668190523255</v>
      </c>
      <c r="BA197" s="66">
        <f t="shared" si="1869"/>
        <v>19.371397694524489</v>
      </c>
      <c r="BB197" s="66">
        <f t="shared" si="1799"/>
        <v>19.371397694524489</v>
      </c>
      <c r="BC197" s="66">
        <f t="shared" ref="BC197:BE197" si="1870">BC198-BC196</f>
        <v>21.808216412637535</v>
      </c>
      <c r="BD197" s="66">
        <f t="shared" si="1799"/>
        <v>21.808216412637535</v>
      </c>
      <c r="BE197" s="66">
        <f t="shared" si="1870"/>
        <v>9.7625267854521987</v>
      </c>
      <c r="BF197" s="66">
        <f t="shared" si="1799"/>
        <v>9.7625267854521987</v>
      </c>
      <c r="BG197" s="66">
        <f t="shared" ref="BG197:BI197" si="1871">BG198-BG196</f>
        <v>8.7205751367858468</v>
      </c>
      <c r="BH197" s="66">
        <f t="shared" si="1799"/>
        <v>8.7205751367858468</v>
      </c>
      <c r="BI197" s="66">
        <f t="shared" si="1871"/>
        <v>16.365222668993248</v>
      </c>
      <c r="BJ197" s="66">
        <f t="shared" si="1799"/>
        <v>16.365222668993248</v>
      </c>
      <c r="BK197" s="66">
        <f t="shared" ref="BK197:BM197" si="1872">BK198-BK196</f>
        <v>14.746395629981194</v>
      </c>
      <c r="BL197" s="66">
        <f t="shared" si="1799"/>
        <v>14.746395629981194</v>
      </c>
      <c r="BM197" s="66">
        <f t="shared" si="1872"/>
        <v>15.970360936640724</v>
      </c>
      <c r="BN197" s="66">
        <f t="shared" si="1799"/>
        <v>15.970360936640724</v>
      </c>
      <c r="BO197" s="66">
        <f t="shared" ref="BO197:BQ197" si="1873">BO198-BO196</f>
        <v>73.446955887714196</v>
      </c>
      <c r="BP197" s="66">
        <f t="shared" si="1799"/>
        <v>73.446955887714196</v>
      </c>
      <c r="BQ197" s="66">
        <f t="shared" si="1873"/>
        <v>17.952377587790579</v>
      </c>
      <c r="BR197" s="66">
        <f t="shared" si="1799"/>
        <v>17.952377587790579</v>
      </c>
      <c r="BS197" s="66">
        <f t="shared" ref="BS197:BU197" si="1874">BS198-BS196</f>
        <v>17.941746627841894</v>
      </c>
      <c r="BT197" s="66">
        <f t="shared" si="1799"/>
        <v>17.941746627841894</v>
      </c>
      <c r="BU197" s="66">
        <f t="shared" si="1874"/>
        <v>18.299326426911406</v>
      </c>
      <c r="BV197" s="66">
        <f t="shared" si="1799"/>
        <v>18.299326426911406</v>
      </c>
      <c r="BW197" s="66">
        <f t="shared" ref="BW197:BY197" si="1875">BW198-BW196</f>
        <v>14.677755985430238</v>
      </c>
      <c r="BX197" s="66">
        <f t="shared" si="1799"/>
        <v>14.677755985430238</v>
      </c>
      <c r="BY197" s="66">
        <f t="shared" si="1875"/>
        <v>16.503552224667757</v>
      </c>
      <c r="BZ197" s="66">
        <f t="shared" si="1799"/>
        <v>16.503552224667757</v>
      </c>
      <c r="CA197" s="66">
        <f t="shared" ref="CA197:CC197" si="1876">CA198-CA196</f>
        <v>15.964059612714152</v>
      </c>
      <c r="CB197" s="66">
        <f t="shared" si="1799"/>
        <v>15.964059612714152</v>
      </c>
      <c r="CC197" s="66">
        <f t="shared" si="1876"/>
        <v>19.493638473233574</v>
      </c>
      <c r="CD197" s="66">
        <f t="shared" si="1799"/>
        <v>19.493638473233574</v>
      </c>
      <c r="CE197" s="66">
        <f t="shared" ref="CE197" si="1877">CE198-CE196</f>
        <v>17.606225437147586</v>
      </c>
      <c r="CF197" s="66">
        <f t="shared" si="1799"/>
        <v>17.606225437147586</v>
      </c>
      <c r="CG197" s="66">
        <f t="shared" ref="CG197" si="1878">CG198-CG196</f>
        <v>27.619870228364363</v>
      </c>
      <c r="CH197" s="66">
        <f t="shared" si="1799"/>
        <v>27.619870228364363</v>
      </c>
      <c r="CI197" s="66">
        <f t="shared" ref="CI197" si="1879">CI198-CI196</f>
        <v>15.849340514071734</v>
      </c>
      <c r="CJ197" s="66">
        <f t="shared" si="1799"/>
        <v>15.849340514071734</v>
      </c>
      <c r="CK197" s="66">
        <f t="shared" ref="CK197:DA197" si="1880">CJ197</f>
        <v>15.849340514071734</v>
      </c>
      <c r="CL197" s="66">
        <f t="shared" si="1799"/>
        <v>15.849340514071734</v>
      </c>
      <c r="CM197" s="29">
        <f t="shared" si="1880"/>
        <v>15.849340514071734</v>
      </c>
      <c r="CN197" s="29">
        <f t="shared" si="1880"/>
        <v>15.849340514071734</v>
      </c>
      <c r="CO197" s="29">
        <f t="shared" si="1880"/>
        <v>15.849340514071734</v>
      </c>
      <c r="CP197" s="29">
        <f t="shared" si="1880"/>
        <v>15.849340514071734</v>
      </c>
      <c r="CQ197" s="29">
        <f t="shared" si="1880"/>
        <v>15.849340514071734</v>
      </c>
      <c r="CR197" s="29">
        <f t="shared" si="1880"/>
        <v>15.849340514071734</v>
      </c>
      <c r="CS197" s="29">
        <f t="shared" si="1880"/>
        <v>15.849340514071734</v>
      </c>
      <c r="CT197" s="29">
        <f t="shared" si="1880"/>
        <v>15.849340514071734</v>
      </c>
      <c r="CU197" s="29">
        <f t="shared" si="1880"/>
        <v>15.849340514071734</v>
      </c>
      <c r="CV197" s="29">
        <f t="shared" si="1880"/>
        <v>15.849340514071734</v>
      </c>
      <c r="CW197" s="29">
        <f t="shared" si="1880"/>
        <v>15.849340514071734</v>
      </c>
      <c r="CX197" s="29">
        <f t="shared" si="1880"/>
        <v>15.849340514071734</v>
      </c>
      <c r="CY197" s="29">
        <f t="shared" si="1880"/>
        <v>15.849340514071734</v>
      </c>
      <c r="CZ197" s="29">
        <f t="shared" si="1880"/>
        <v>15.849340514071734</v>
      </c>
      <c r="DA197" s="29">
        <f t="shared" si="1880"/>
        <v>15.849340514071734</v>
      </c>
      <c r="DD197" s="138"/>
      <c r="DE197" s="61">
        <v>18.168885539214408</v>
      </c>
    </row>
    <row r="198" spans="1:109" s="7" customFormat="1" outlineLevel="1" x14ac:dyDescent="0.2">
      <c r="A198" s="68" t="s">
        <v>468</v>
      </c>
      <c r="B198" s="69" t="e">
        <f t="shared" ref="B198:AE198" si="1881">B169/B21*365</f>
        <v>#DIV/0!</v>
      </c>
      <c r="C198" s="69" t="e">
        <f t="shared" si="1881"/>
        <v>#DIV/0!</v>
      </c>
      <c r="D198" s="69">
        <f t="shared" si="1881"/>
        <v>80.457482321691387</v>
      </c>
      <c r="E198" s="69">
        <f t="shared" si="1881"/>
        <v>77.134868205899679</v>
      </c>
      <c r="F198" s="69">
        <f t="shared" si="1881"/>
        <v>69.406915254237276</v>
      </c>
      <c r="G198" s="69">
        <f t="shared" si="1881"/>
        <v>65.102777477574847</v>
      </c>
      <c r="H198" s="69">
        <f t="shared" si="1881"/>
        <v>62.35851367905267</v>
      </c>
      <c r="I198" s="69">
        <f t="shared" si="1881"/>
        <v>60.513010321661518</v>
      </c>
      <c r="J198" s="69">
        <f t="shared" si="1881"/>
        <v>61.96044290216178</v>
      </c>
      <c r="K198" s="69">
        <f t="shared" si="1881"/>
        <v>61.930628659293859</v>
      </c>
      <c r="L198" s="69">
        <f t="shared" si="1881"/>
        <v>65.988793227406703</v>
      </c>
      <c r="M198" s="69">
        <f t="shared" si="1881"/>
        <v>68.783583796845747</v>
      </c>
      <c r="N198" s="69">
        <f t="shared" si="1881"/>
        <v>60.271281571562213</v>
      </c>
      <c r="O198" s="69">
        <f t="shared" si="1881"/>
        <v>78.317661447819191</v>
      </c>
      <c r="P198" s="69">
        <f t="shared" si="1881"/>
        <v>65.054677659452651</v>
      </c>
      <c r="Q198" s="69">
        <f t="shared" si="1881"/>
        <v>69.867251424409901</v>
      </c>
      <c r="R198" s="69">
        <f t="shared" si="1881"/>
        <v>71.033102675358322</v>
      </c>
      <c r="S198" s="69">
        <f t="shared" si="1881"/>
        <v>69.964899442635357</v>
      </c>
      <c r="T198" s="69">
        <f t="shared" si="1881"/>
        <v>79.382494641460042</v>
      </c>
      <c r="U198" s="69">
        <f t="shared" si="1881"/>
        <v>56.546171030697543</v>
      </c>
      <c r="V198" s="69">
        <f t="shared" si="1881"/>
        <v>106.06230831738708</v>
      </c>
      <c r="W198" s="69">
        <f t="shared" si="1881"/>
        <v>90.609815955284375</v>
      </c>
      <c r="X198" s="69">
        <f t="shared" si="1881"/>
        <v>87.44433958866118</v>
      </c>
      <c r="Y198" s="69">
        <f t="shared" si="1881"/>
        <v>84.127731910680538</v>
      </c>
      <c r="Z198" s="69">
        <f t="shared" si="1881"/>
        <v>78.066035360197233</v>
      </c>
      <c r="AA198" s="69">
        <f t="shared" ref="AA198" si="1882">AA169/AA21*365</f>
        <v>91.536923689243892</v>
      </c>
      <c r="AB198" s="70">
        <f t="shared" si="1881"/>
        <v>82.17451746333758</v>
      </c>
      <c r="AC198" s="70">
        <f t="shared" si="1881"/>
        <v>82.248106510532139</v>
      </c>
      <c r="AD198" s="70">
        <f t="shared" si="1881"/>
        <v>82.078381132635457</v>
      </c>
      <c r="AE198" s="70">
        <f t="shared" si="1881"/>
        <v>82.127723728010466</v>
      </c>
      <c r="AI198" s="69">
        <f>AI169/AI21*90</f>
        <v>69.128959276018108</v>
      </c>
      <c r="AJ198" s="69">
        <f>+AJ196+AJ197</f>
        <v>69.128959276018108</v>
      </c>
      <c r="AK198" s="69">
        <f>AK169/AK21*90</f>
        <v>66.820696012906197</v>
      </c>
      <c r="AL198" s="69">
        <f>+AL196+AL197</f>
        <v>66.820696012906197</v>
      </c>
      <c r="AM198" s="69">
        <f>AM169/AM21*90</f>
        <v>80.417610558455621</v>
      </c>
      <c r="AN198" s="69">
        <f>+AN196+AN197</f>
        <v>80.417610558455621</v>
      </c>
      <c r="AO198" s="69">
        <f>AO169/AO21*90</f>
        <v>74.56620540815031</v>
      </c>
      <c r="AP198" s="69">
        <f>+AP196+AP197</f>
        <v>74.56620540815031</v>
      </c>
      <c r="AQ198" s="69">
        <f>AQ169/AQ21*90</f>
        <v>68.274753043877794</v>
      </c>
      <c r="AR198" s="69">
        <f>+AR196+AR197</f>
        <v>68.274753043877794</v>
      </c>
      <c r="AS198" s="69">
        <f>AS169/AS21*90</f>
        <v>65.231664726426075</v>
      </c>
      <c r="AT198" s="69">
        <f>+AT196+AT197</f>
        <v>65.231664726426075</v>
      </c>
      <c r="AU198" s="69">
        <f>AU169/AU21*90</f>
        <v>74.21896695362399</v>
      </c>
      <c r="AV198" s="69">
        <f>+AV196+AV197</f>
        <v>74.21896695362399</v>
      </c>
      <c r="AW198" s="69">
        <f>AW169/AW21*90</f>
        <v>72.301779935275093</v>
      </c>
      <c r="AX198" s="69">
        <f>+AX196+AX197</f>
        <v>72.301779935275093</v>
      </c>
      <c r="AY198" s="69">
        <f>AY169/AY21*90</f>
        <v>65.836164823623889</v>
      </c>
      <c r="AZ198" s="69">
        <f>+AZ196+AZ197</f>
        <v>65.836164823623889</v>
      </c>
      <c r="BA198" s="69">
        <f>BA169/BA21*90</f>
        <v>68.182636887608069</v>
      </c>
      <c r="BB198" s="69">
        <f>+BB196+BB197</f>
        <v>68.182636887608069</v>
      </c>
      <c r="BC198" s="69">
        <f>BC169/BC21*90</f>
        <v>67.819319672958514</v>
      </c>
      <c r="BD198" s="69">
        <f>+BD196+BD197</f>
        <v>67.819319672958514</v>
      </c>
      <c r="BE198" s="69">
        <f>BE169/BE21*90</f>
        <v>35.017759121730712</v>
      </c>
      <c r="BF198" s="69">
        <f>+BF196+BF197</f>
        <v>35.017759121730712</v>
      </c>
      <c r="BG198" s="69">
        <f>BG169/BG21*90</f>
        <v>39.64381146274517</v>
      </c>
      <c r="BH198" s="69">
        <f>+BH196+BH197</f>
        <v>39.64381146274517</v>
      </c>
      <c r="BI198" s="69">
        <f>BI169/BI21*90</f>
        <v>76.133070328503152</v>
      </c>
      <c r="BJ198" s="69">
        <f>+BJ196+BJ197</f>
        <v>76.133070328503152</v>
      </c>
      <c r="BK198" s="69">
        <f>BK169/BK21*90</f>
        <v>68.28700635801917</v>
      </c>
      <c r="BL198" s="69">
        <f>+BL196+BL197</f>
        <v>68.28700635801917</v>
      </c>
      <c r="BM198" s="69">
        <f>BM169/BM21*90</f>
        <v>59.313149439925908</v>
      </c>
      <c r="BN198" s="69">
        <f>+BN196+BN197</f>
        <v>59.313149439925908</v>
      </c>
      <c r="BO198" s="69">
        <f>BO169/BO21*90</f>
        <v>172.71805504921619</v>
      </c>
      <c r="BP198" s="69">
        <f>+BP196+BP197</f>
        <v>172.71805504921619</v>
      </c>
      <c r="BQ198" s="69">
        <f>BQ169/BQ21*90</f>
        <v>72.263124425916772</v>
      </c>
      <c r="BR198" s="69">
        <f>+BR196+BR197</f>
        <v>72.263124425916772</v>
      </c>
      <c r="BS198" s="69">
        <f>BS169/BS21*90</f>
        <v>86.033952745175952</v>
      </c>
      <c r="BT198" s="69">
        <f>+BT196+BT197</f>
        <v>86.033952745175952</v>
      </c>
      <c r="BU198" s="69">
        <f>BU169/BU21*90</f>
        <v>73.419466656162598</v>
      </c>
      <c r="BV198" s="69">
        <f>+BV196+BV197</f>
        <v>73.419466656162598</v>
      </c>
      <c r="BW198" s="69">
        <f>BW169/BW21*90</f>
        <v>74.462297650429136</v>
      </c>
      <c r="BX198" s="69">
        <f>+BX196+BX197</f>
        <v>74.462297650429136</v>
      </c>
      <c r="BY198" s="69">
        <f>BY169/BY21*90</f>
        <v>72.255760176078894</v>
      </c>
      <c r="BZ198" s="69">
        <f>+BZ196+BZ197</f>
        <v>72.255760176078894</v>
      </c>
      <c r="CA198" s="69">
        <f>CA169/CA21*90</f>
        <v>72.366467301573394</v>
      </c>
      <c r="CB198" s="69">
        <f>+CB196+CB197</f>
        <v>72.366467301573394</v>
      </c>
      <c r="CC198" s="69">
        <f>CC169/CC21*90</f>
        <v>70.152516603984964</v>
      </c>
      <c r="CD198" s="69">
        <f>+CD196+CD197</f>
        <v>70.152516603984964</v>
      </c>
      <c r="CE198" s="69">
        <f>CE169/CE21*90</f>
        <v>75.30543373013613</v>
      </c>
      <c r="CF198" s="69">
        <f>+CF196+CF197</f>
        <v>75.30543373013613</v>
      </c>
      <c r="CG198" s="69">
        <f>CG169/CG21*90</f>
        <v>75.149995786635202</v>
      </c>
      <c r="CH198" s="69">
        <f>+CH196+CH197</f>
        <v>75.149995786635202</v>
      </c>
      <c r="CI198" s="69">
        <f>CI169/CI21*90</f>
        <v>71.699616167713032</v>
      </c>
      <c r="CJ198" s="69">
        <f>+CJ196+CJ197</f>
        <v>71.699616167713032</v>
      </c>
      <c r="CK198" s="69">
        <f t="shared" ref="CK198:DA198" si="1883">CK196+CK197</f>
        <v>71.699616167713032</v>
      </c>
      <c r="CL198" s="69">
        <f>+CL196+CL197</f>
        <v>71.699616167713032</v>
      </c>
      <c r="CM198" s="49">
        <f t="shared" si="1883"/>
        <v>71.699616167713032</v>
      </c>
      <c r="CN198" s="49">
        <f t="shared" si="1883"/>
        <v>71.699616167713032</v>
      </c>
      <c r="CO198" s="49">
        <f t="shared" si="1883"/>
        <v>71.699616167713032</v>
      </c>
      <c r="CP198" s="49">
        <f t="shared" si="1883"/>
        <v>71.699616167713032</v>
      </c>
      <c r="CQ198" s="49">
        <f t="shared" si="1883"/>
        <v>71.699616167713032</v>
      </c>
      <c r="CR198" s="49">
        <f t="shared" si="1883"/>
        <v>71.699616167713032</v>
      </c>
      <c r="CS198" s="49">
        <f t="shared" si="1883"/>
        <v>71.699616167713032</v>
      </c>
      <c r="CT198" s="49">
        <f t="shared" si="1883"/>
        <v>71.699616167713032</v>
      </c>
      <c r="CU198" s="49">
        <f t="shared" si="1883"/>
        <v>71.699616167713032</v>
      </c>
      <c r="CV198" s="49">
        <f t="shared" si="1883"/>
        <v>71.699616167713032</v>
      </c>
      <c r="CW198" s="49">
        <f t="shared" si="1883"/>
        <v>71.699616167713032</v>
      </c>
      <c r="CX198" s="49">
        <f t="shared" si="1883"/>
        <v>71.699616167713032</v>
      </c>
      <c r="CY198" s="49">
        <f t="shared" si="1883"/>
        <v>71.699616167713032</v>
      </c>
      <c r="CZ198" s="49">
        <f t="shared" si="1883"/>
        <v>71.699616167713032</v>
      </c>
      <c r="DA198" s="49">
        <f t="shared" si="1883"/>
        <v>71.699616167713032</v>
      </c>
      <c r="DD198" s="137"/>
      <c r="DE198" s="7">
        <v>81.574957283046913</v>
      </c>
    </row>
    <row r="199" spans="1:109" s="7" customFormat="1" x14ac:dyDescent="0.2">
      <c r="A199" s="68" t="s">
        <v>469</v>
      </c>
      <c r="B199" s="69" t="e">
        <f>B195-B198</f>
        <v>#DIV/0!</v>
      </c>
      <c r="C199" s="69" t="e">
        <f t="shared" ref="C199:V199" si="1884">C195-C198</f>
        <v>#DIV/0!</v>
      </c>
      <c r="D199" s="69">
        <f t="shared" si="1884"/>
        <v>82.265515632291184</v>
      </c>
      <c r="E199" s="69">
        <f t="shared" si="1884"/>
        <v>62.070769834521556</v>
      </c>
      <c r="F199" s="69">
        <f t="shared" si="1884"/>
        <v>56.133288135593219</v>
      </c>
      <c r="G199" s="69">
        <f t="shared" si="1884"/>
        <v>62.002269534205141</v>
      </c>
      <c r="H199" s="69">
        <f t="shared" si="1884"/>
        <v>58.823274806043294</v>
      </c>
      <c r="I199" s="69">
        <f t="shared" si="1884"/>
        <v>59.794195287512032</v>
      </c>
      <c r="J199" s="69">
        <f t="shared" si="1884"/>
        <v>82.105195394406053</v>
      </c>
      <c r="K199" s="69">
        <f t="shared" si="1884"/>
        <v>62.349399727955529</v>
      </c>
      <c r="L199" s="69">
        <f t="shared" si="1884"/>
        <v>45.418344237544034</v>
      </c>
      <c r="M199" s="69">
        <f t="shared" si="1884"/>
        <v>69.054970902383573</v>
      </c>
      <c r="N199" s="69">
        <f t="shared" si="1884"/>
        <v>68.76987839101966</v>
      </c>
      <c r="O199" s="69">
        <f t="shared" si="1884"/>
        <v>84.634724514555174</v>
      </c>
      <c r="P199" s="69">
        <f t="shared" si="1884"/>
        <v>83.325575403641366</v>
      </c>
      <c r="Q199" s="69">
        <f t="shared" si="1884"/>
        <v>84.027947350383371</v>
      </c>
      <c r="R199" s="69">
        <f t="shared" si="1884"/>
        <v>79.176905755824691</v>
      </c>
      <c r="S199" s="69">
        <f t="shared" si="1884"/>
        <v>61.114229263473703</v>
      </c>
      <c r="T199" s="69">
        <f t="shared" si="1884"/>
        <v>78.420579827616464</v>
      </c>
      <c r="U199" s="69">
        <f t="shared" si="1884"/>
        <v>86.297336221267159</v>
      </c>
      <c r="V199" s="69">
        <f t="shared" si="1884"/>
        <v>66.191590867388442</v>
      </c>
      <c r="W199" s="69">
        <f t="shared" ref="W199" si="1885">W195-W198</f>
        <v>67.448297999854162</v>
      </c>
      <c r="X199" s="69">
        <f t="shared" ref="X199:Y199" si="1886">X195-X198</f>
        <v>69.461880920649818</v>
      </c>
      <c r="Y199" s="69">
        <f t="shared" si="1886"/>
        <v>62.858240667250342</v>
      </c>
      <c r="Z199" s="69">
        <f t="shared" ref="Z199:AA199" si="1887">Z195-Z198</f>
        <v>67.605788001899427</v>
      </c>
      <c r="AA199" s="69">
        <f t="shared" ref="AA199" si="1888">AA195-AA198</f>
        <v>60.946715717061736</v>
      </c>
      <c r="AB199" s="70">
        <f t="shared" ref="AB199:AD199" si="1889">AB195-AB198</f>
        <v>71.16819530328074</v>
      </c>
      <c r="AC199" s="70">
        <f t="shared" si="1889"/>
        <v>71.231927952337784</v>
      </c>
      <c r="AD199" s="70">
        <f t="shared" si="1889"/>
        <v>71.084935317456086</v>
      </c>
      <c r="AE199" s="70">
        <f t="shared" ref="AE199" si="1890">AE195-AE198</f>
        <v>71.127669045293118</v>
      </c>
      <c r="AI199" s="69">
        <f t="shared" ref="AI199:AL199" si="1891">AI195-AI198</f>
        <v>68.065873934546985</v>
      </c>
      <c r="AJ199" s="69">
        <f t="shared" si="1891"/>
        <v>68.065873934546985</v>
      </c>
      <c r="AK199" s="69">
        <f t="shared" si="1891"/>
        <v>76.2427978796958</v>
      </c>
      <c r="AL199" s="69">
        <f t="shared" si="1891"/>
        <v>76.2427978796958</v>
      </c>
      <c r="AM199" s="69">
        <f t="shared" ref="AM199:AP199" si="1892">AM195-AM198</f>
        <v>92.632719393282784</v>
      </c>
      <c r="AN199" s="69">
        <f t="shared" si="1892"/>
        <v>92.632719393282784</v>
      </c>
      <c r="AO199" s="69">
        <f t="shared" si="1892"/>
        <v>80.580677923067199</v>
      </c>
      <c r="AP199" s="69">
        <f t="shared" si="1892"/>
        <v>80.580677923067199</v>
      </c>
      <c r="AQ199" s="69">
        <f t="shared" ref="AQ199:BB199" si="1893">AQ195-AQ198</f>
        <v>94.194808178267849</v>
      </c>
      <c r="AR199" s="69">
        <f t="shared" si="1893"/>
        <v>94.194808178267849</v>
      </c>
      <c r="AS199" s="69">
        <f t="shared" si="1893"/>
        <v>83.552270081490107</v>
      </c>
      <c r="AT199" s="69">
        <f t="shared" si="1893"/>
        <v>83.552270081490107</v>
      </c>
      <c r="AU199" s="69">
        <f t="shared" si="1893"/>
        <v>84.089141905026352</v>
      </c>
      <c r="AV199" s="69">
        <f t="shared" si="1893"/>
        <v>84.089141905026352</v>
      </c>
      <c r="AW199" s="69">
        <f t="shared" si="1893"/>
        <v>86.9559061488673</v>
      </c>
      <c r="AX199" s="69">
        <f t="shared" si="1893"/>
        <v>86.9559061488673</v>
      </c>
      <c r="AY199" s="69">
        <f t="shared" si="1893"/>
        <v>83.307592512510055</v>
      </c>
      <c r="AZ199" s="69">
        <f t="shared" si="1893"/>
        <v>83.307592512510055</v>
      </c>
      <c r="BA199" s="69">
        <f t="shared" si="1893"/>
        <v>75.999639769452457</v>
      </c>
      <c r="BB199" s="69">
        <f t="shared" si="1893"/>
        <v>75.999639769452457</v>
      </c>
      <c r="BC199" s="69">
        <f t="shared" ref="BC199:BF199" si="1894">BC195-BC198</f>
        <v>81.535076208741302</v>
      </c>
      <c r="BD199" s="69">
        <f t="shared" si="1894"/>
        <v>81.535076208741302</v>
      </c>
      <c r="BE199" s="69">
        <f t="shared" si="1894"/>
        <v>39.583761411336475</v>
      </c>
      <c r="BF199" s="69">
        <f t="shared" si="1894"/>
        <v>39.583761411336461</v>
      </c>
      <c r="BG199" s="69">
        <f t="shared" ref="BG199:BJ199" si="1895">BG195-BG198</f>
        <v>39.768963699489213</v>
      </c>
      <c r="BH199" s="69">
        <f t="shared" si="1895"/>
        <v>39.768963699489213</v>
      </c>
      <c r="BI199" s="69">
        <f t="shared" si="1895"/>
        <v>75.210530308777805</v>
      </c>
      <c r="BJ199" s="69">
        <f t="shared" si="1895"/>
        <v>75.210530308777805</v>
      </c>
      <c r="BK199" s="69">
        <f t="shared" ref="BK199:BN199" si="1896">BK195-BK198</f>
        <v>96.27026058923613</v>
      </c>
      <c r="BL199" s="69">
        <f t="shared" si="1896"/>
        <v>96.27026058923613</v>
      </c>
      <c r="BM199" s="69">
        <f t="shared" si="1896"/>
        <v>90.520130828678091</v>
      </c>
      <c r="BN199" s="69">
        <f t="shared" si="1896"/>
        <v>90.520130828678091</v>
      </c>
      <c r="BO199" s="69">
        <f t="shared" ref="BO199:BR199" si="1897">BO195-BO198</f>
        <v>181.67129967189211</v>
      </c>
      <c r="BP199" s="69">
        <f t="shared" si="1897"/>
        <v>181.67129967189211</v>
      </c>
      <c r="BQ199" s="69">
        <f t="shared" si="1897"/>
        <v>54.522009467957318</v>
      </c>
      <c r="BR199" s="69">
        <f t="shared" si="1897"/>
        <v>54.522009467957318</v>
      </c>
      <c r="BS199" s="69">
        <f t="shared" ref="BS199:BV199" si="1898">BS195-BS198</f>
        <v>68.960166762647106</v>
      </c>
      <c r="BT199" s="69">
        <f t="shared" si="1898"/>
        <v>68.960166762647106</v>
      </c>
      <c r="BU199" s="69">
        <f t="shared" si="1898"/>
        <v>65.677512112498505</v>
      </c>
      <c r="BV199" s="69">
        <f t="shared" si="1898"/>
        <v>65.677512112498505</v>
      </c>
      <c r="BW199" s="69">
        <f t="shared" ref="BW199:BZ199" si="1899">BW195-BW198</f>
        <v>68.450907177941858</v>
      </c>
      <c r="BX199" s="69">
        <f t="shared" si="1899"/>
        <v>68.450907177941858</v>
      </c>
      <c r="BY199" s="69">
        <f t="shared" si="1899"/>
        <v>71.409244142311849</v>
      </c>
      <c r="BZ199" s="69">
        <f t="shared" si="1899"/>
        <v>71.409244142311849</v>
      </c>
      <c r="CA199" s="69">
        <f t="shared" ref="CA199:CD199" si="1900">CA195-CA198</f>
        <v>74.847797325519124</v>
      </c>
      <c r="CB199" s="69">
        <f t="shared" si="1900"/>
        <v>74.847797325519124</v>
      </c>
      <c r="CC199" s="69">
        <f t="shared" si="1900"/>
        <v>65.198207569816759</v>
      </c>
      <c r="CD199" s="69">
        <f t="shared" si="1900"/>
        <v>65.198207569816759</v>
      </c>
      <c r="CE199" s="69">
        <f t="shared" ref="CE199:CF199" si="1901">CE195-CE198</f>
        <v>71.297203394657387</v>
      </c>
      <c r="CF199" s="69">
        <f t="shared" si="1901"/>
        <v>71.297203394657387</v>
      </c>
      <c r="CG199" s="69">
        <f t="shared" ref="CG199:CI199" si="1902">CG195-CG198</f>
        <v>65.080475267548678</v>
      </c>
      <c r="CH199" s="69">
        <f t="shared" ref="CH199:CJ199" si="1903">CH195-CH198</f>
        <v>65.080475267548678</v>
      </c>
      <c r="CI199" s="69">
        <f t="shared" si="1902"/>
        <v>62.096285370591545</v>
      </c>
      <c r="CJ199" s="69">
        <f t="shared" si="1903"/>
        <v>62.096285370591545</v>
      </c>
      <c r="CK199" s="69">
        <f t="shared" ref="CK199:DA199" si="1904">CK195-CK198</f>
        <v>62.096285370591545</v>
      </c>
      <c r="CL199" s="69">
        <f t="shared" si="1904"/>
        <v>62.096285370591545</v>
      </c>
      <c r="CM199" s="49">
        <f t="shared" si="1904"/>
        <v>62.096285370591545</v>
      </c>
      <c r="CN199" s="49">
        <f t="shared" si="1904"/>
        <v>62.096285370591545</v>
      </c>
      <c r="CO199" s="49">
        <f t="shared" si="1904"/>
        <v>62.096285370591545</v>
      </c>
      <c r="CP199" s="49">
        <f t="shared" si="1904"/>
        <v>62.096285370591545</v>
      </c>
      <c r="CQ199" s="49">
        <f t="shared" si="1904"/>
        <v>62.096285370591545</v>
      </c>
      <c r="CR199" s="49">
        <f t="shared" si="1904"/>
        <v>62.096285370591545</v>
      </c>
      <c r="CS199" s="49">
        <f t="shared" si="1904"/>
        <v>62.096285370591545</v>
      </c>
      <c r="CT199" s="49">
        <f t="shared" si="1904"/>
        <v>62.096285370591545</v>
      </c>
      <c r="CU199" s="49">
        <f t="shared" si="1904"/>
        <v>62.096285370591545</v>
      </c>
      <c r="CV199" s="49">
        <f t="shared" si="1904"/>
        <v>62.096285370591545</v>
      </c>
      <c r="CW199" s="49">
        <f t="shared" si="1904"/>
        <v>62.096285370591545</v>
      </c>
      <c r="CX199" s="49">
        <f t="shared" si="1904"/>
        <v>62.096285370591545</v>
      </c>
      <c r="CY199" s="49">
        <f t="shared" si="1904"/>
        <v>62.096285370591545</v>
      </c>
      <c r="CZ199" s="49">
        <f t="shared" si="1904"/>
        <v>62.096285370591545</v>
      </c>
      <c r="DA199" s="49">
        <f t="shared" si="1904"/>
        <v>62.096285370591545</v>
      </c>
      <c r="DD199" s="137"/>
      <c r="DE199" s="7">
        <v>65.444390528451308</v>
      </c>
    </row>
    <row r="200" spans="1:109" s="7" customFormat="1" x14ac:dyDescent="0.2">
      <c r="A200" s="68" t="s">
        <v>86</v>
      </c>
      <c r="AB200" s="76"/>
      <c r="AC200" s="76"/>
      <c r="AD200" s="76"/>
      <c r="AE200" s="76"/>
      <c r="CE200" s="114"/>
      <c r="CG200" s="114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D200" s="137"/>
    </row>
    <row r="201" spans="1:109" s="85" customFormat="1" x14ac:dyDescent="0.2">
      <c r="A201" s="85" t="s">
        <v>439</v>
      </c>
      <c r="C201" s="85" t="e">
        <f t="shared" ref="C201:AE201" si="1905">C23/B23-1</f>
        <v>#DIV/0!</v>
      </c>
      <c r="D201" s="85" t="e">
        <f t="shared" si="1905"/>
        <v>#DIV/0!</v>
      </c>
      <c r="E201" s="85">
        <f t="shared" si="1905"/>
        <v>9.2505423437436063E-2</v>
      </c>
      <c r="F201" s="85">
        <f t="shared" si="1905"/>
        <v>0.2105953317597693</v>
      </c>
      <c r="G201" s="85">
        <f t="shared" si="1905"/>
        <v>0.26367912849715269</v>
      </c>
      <c r="H201" s="85">
        <f t="shared" si="1905"/>
        <v>0.32748824451410652</v>
      </c>
      <c r="I201" s="85">
        <f t="shared" si="1905"/>
        <v>0.18312301675153142</v>
      </c>
      <c r="J201" s="85">
        <f t="shared" si="1905"/>
        <v>0.16078278496803344</v>
      </c>
      <c r="K201" s="85">
        <f t="shared" si="1905"/>
        <v>7.1573460861622085E-2</v>
      </c>
      <c r="L201" s="85">
        <f t="shared" si="1905"/>
        <v>0.30386490992741533</v>
      </c>
      <c r="M201" s="85">
        <f t="shared" si="1905"/>
        <v>0.25812437504807328</v>
      </c>
      <c r="N201" s="85">
        <f t="shared" si="1905"/>
        <v>0.10553666271827611</v>
      </c>
      <c r="O201" s="85">
        <f t="shared" si="1905"/>
        <v>-3.0574084954895775E-2</v>
      </c>
      <c r="P201" s="85">
        <f t="shared" si="1905"/>
        <v>0.16380970037506581</v>
      </c>
      <c r="Q201" s="85">
        <f t="shared" si="1905"/>
        <v>5.6538921055050206E-2</v>
      </c>
      <c r="R201" s="85">
        <f t="shared" si="1905"/>
        <v>4.1689137860046577E-2</v>
      </c>
      <c r="S201" s="85">
        <f t="shared" si="1905"/>
        <v>1.1895541996971581</v>
      </c>
      <c r="T201" s="85">
        <f t="shared" si="1905"/>
        <v>0.159762937500318</v>
      </c>
      <c r="U201" s="85">
        <f t="shared" si="1905"/>
        <v>-4.4038048804014629E-2</v>
      </c>
      <c r="V201" s="85">
        <f t="shared" si="1905"/>
        <v>-0.13731731424129068</v>
      </c>
      <c r="W201" s="85">
        <f t="shared" si="1905"/>
        <v>0.47813569955128332</v>
      </c>
      <c r="X201" s="85">
        <f t="shared" si="1905"/>
        <v>0.23503419650355806</v>
      </c>
      <c r="Y201" s="85">
        <f t="shared" si="1905"/>
        <v>5.5841931904557995E-2</v>
      </c>
      <c r="Z201" s="85">
        <f t="shared" si="1905"/>
        <v>0.13535818262811139</v>
      </c>
      <c r="AA201" s="85">
        <f t="shared" si="1905"/>
        <v>0.17655526105451913</v>
      </c>
      <c r="AB201" s="86">
        <f t="shared" si="1905"/>
        <v>0.16396770271309014</v>
      </c>
      <c r="AC201" s="86">
        <f t="shared" si="1905"/>
        <v>0.16811670179652904</v>
      </c>
      <c r="AD201" s="86">
        <f t="shared" si="1905"/>
        <v>0.12646387756747757</v>
      </c>
      <c r="AE201" s="86">
        <f t="shared" si="1905"/>
        <v>0.13017642682422736</v>
      </c>
      <c r="AN201" s="85">
        <f t="shared" ref="AN201:BS201" si="1906">+(AN23+AM23)/(AJ23+AI23)-1</f>
        <v>-8.1937823411970756E-2</v>
      </c>
      <c r="AO201" s="85">
        <f t="shared" si="1906"/>
        <v>8.8057558048600271E-2</v>
      </c>
      <c r="AP201" s="85">
        <f t="shared" si="1906"/>
        <v>0.16892001235784782</v>
      </c>
      <c r="AQ201" s="85">
        <f t="shared" si="1906"/>
        <v>0.24367545511613331</v>
      </c>
      <c r="AR201" s="85">
        <f t="shared" si="1906"/>
        <v>0.18638676844783708</v>
      </c>
      <c r="AS201" s="85">
        <f t="shared" si="1906"/>
        <v>9.7305350095397536E-2</v>
      </c>
      <c r="AT201" s="85">
        <f t="shared" si="1906"/>
        <v>5.5364671826820144E-2</v>
      </c>
      <c r="AU201" s="85">
        <f t="shared" si="1906"/>
        <v>6.144081163955728E-2</v>
      </c>
      <c r="AV201" s="85">
        <f t="shared" si="1906"/>
        <v>8.5391857347715039E-2</v>
      </c>
      <c r="AW201" s="85">
        <f t="shared" si="1906"/>
        <v>5.1912633384146201E-2</v>
      </c>
      <c r="AX201" s="85">
        <f t="shared" si="1906"/>
        <v>2.3016194814797108E-2</v>
      </c>
      <c r="AY201" s="85">
        <f t="shared" si="1906"/>
        <v>2.3467592372438117E-2</v>
      </c>
      <c r="AZ201" s="85">
        <f t="shared" si="1906"/>
        <v>5.7741576002665385E-2</v>
      </c>
      <c r="BA201" s="85">
        <f t="shared" si="1906"/>
        <v>5.9041969046837339E-2</v>
      </c>
      <c r="BB201" s="85">
        <f t="shared" si="1906"/>
        <v>7.7112282010631361E-2</v>
      </c>
      <c r="BC201" s="85">
        <f t="shared" si="1906"/>
        <v>6.918341270763162E-2</v>
      </c>
      <c r="BD201" s="85">
        <f t="shared" si="1906"/>
        <v>0.58930801898576068</v>
      </c>
      <c r="BE201" s="85">
        <f t="shared" si="1906"/>
        <v>1.1659254666353078</v>
      </c>
      <c r="BF201" s="85">
        <f t="shared" si="1906"/>
        <v>1.2786826697258626</v>
      </c>
      <c r="BG201" s="85">
        <f t="shared" si="1906"/>
        <v>1.3724333485431197</v>
      </c>
      <c r="BH201" s="85">
        <f t="shared" si="1906"/>
        <v>0.56619466123587059</v>
      </c>
      <c r="BI201" s="85">
        <f t="shared" si="1906"/>
        <v>0.17360381036993155</v>
      </c>
      <c r="BJ201" s="85">
        <f t="shared" si="1906"/>
        <v>0.12021011835780904</v>
      </c>
      <c r="BK201" s="85">
        <f t="shared" si="1906"/>
        <v>4.820192972574433E-2</v>
      </c>
      <c r="BL201" s="85">
        <f t="shared" si="1906"/>
        <v>-6.1036325951783654E-2</v>
      </c>
      <c r="BM201" s="85">
        <f t="shared" si="1906"/>
        <v>-0.12875034696229237</v>
      </c>
      <c r="BN201" s="85">
        <f t="shared" si="1906"/>
        <v>-0.16686735238999739</v>
      </c>
      <c r="BO201" s="85">
        <f t="shared" si="1906"/>
        <v>-0.40260988470897641</v>
      </c>
      <c r="BP201" s="85">
        <f t="shared" si="1906"/>
        <v>-0.27526755798445057</v>
      </c>
      <c r="BQ201" s="85">
        <f t="shared" si="1906"/>
        <v>0.15580892433048188</v>
      </c>
      <c r="BR201" s="85">
        <f t="shared" si="1906"/>
        <v>0.31835970300405614</v>
      </c>
      <c r="BS201" s="85">
        <f t="shared" si="1906"/>
        <v>0.86461365198695339</v>
      </c>
      <c r="BT201" s="85">
        <f t="shared" ref="BT201:CL201" si="1907">+(BT23+BS23)/(BP23+BO23)-1</f>
        <v>0.74441658704866209</v>
      </c>
      <c r="BU201" s="85">
        <f t="shared" si="1907"/>
        <v>0.25742350965995953</v>
      </c>
      <c r="BV201" s="85">
        <f t="shared" si="1907"/>
        <v>0.1930602681242497</v>
      </c>
      <c r="BW201" s="85">
        <f t="shared" si="1907"/>
        <v>0.30067340991720637</v>
      </c>
      <c r="BX201" s="85">
        <f t="shared" si="1907"/>
        <v>0.28847588835752647</v>
      </c>
      <c r="BY201" s="85">
        <f t="shared" si="1907"/>
        <v>0.17944732297063903</v>
      </c>
      <c r="BZ201" s="85">
        <f t="shared" si="1907"/>
        <v>0.12862333494028921</v>
      </c>
      <c r="CA201" s="85">
        <f t="shared" si="1907"/>
        <v>6.2243316427145645E-2</v>
      </c>
      <c r="CB201" s="85">
        <f t="shared" si="1907"/>
        <v>5.0632478047277329E-2</v>
      </c>
      <c r="CC201" s="85">
        <f t="shared" si="1907"/>
        <v>4.9863703436700879E-2</v>
      </c>
      <c r="CD201" s="85">
        <f t="shared" si="1907"/>
        <v>7.4366376455951011E-2</v>
      </c>
      <c r="CE201" s="85">
        <f t="shared" si="1907"/>
        <v>0.12978743939411141</v>
      </c>
      <c r="CF201" s="85">
        <f t="shared" si="1907"/>
        <v>0.14675214649961732</v>
      </c>
      <c r="CG201" s="85">
        <f t="shared" si="1907"/>
        <v>0.14062202432842041</v>
      </c>
      <c r="CH201" s="85">
        <f t="shared" si="1907"/>
        <v>0.15017023865431378</v>
      </c>
      <c r="CI201" s="85">
        <f t="shared" si="1907"/>
        <v>0.13744575964140426</v>
      </c>
      <c r="CJ201" s="85">
        <f t="shared" si="1907"/>
        <v>0.13356017607543103</v>
      </c>
      <c r="CL201" s="85">
        <f t="shared" si="1907"/>
        <v>0.23184710716000834</v>
      </c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86"/>
      <c r="CY201" s="86"/>
      <c r="CZ201" s="86"/>
      <c r="DA201" s="86"/>
      <c r="DD201" s="140"/>
      <c r="DE201" s="85">
        <v>0.17655526105451891</v>
      </c>
    </row>
    <row r="202" spans="1:109" s="85" customFormat="1" x14ac:dyDescent="0.2">
      <c r="A202" s="85" t="s">
        <v>440</v>
      </c>
      <c r="C202" s="85" t="e">
        <f t="shared" ref="C202" si="1908">C199/B199-1</f>
        <v>#DIV/0!</v>
      </c>
      <c r="D202" s="85" t="e">
        <f t="shared" ref="D202" si="1909">D199/C199-1</f>
        <v>#DIV/0!</v>
      </c>
      <c r="E202" s="85">
        <f>E199/D199-1</f>
        <v>-0.24548251649008934</v>
      </c>
      <c r="F202" s="85">
        <f t="shared" ref="F202" si="1910">F199/E199-1</f>
        <v>-9.565664667535867E-2</v>
      </c>
      <c r="G202" s="85">
        <f t="shared" ref="G202" si="1911">G199/F199-1</f>
        <v>0.10455438463599442</v>
      </c>
      <c r="H202" s="85">
        <f t="shared" ref="H202" si="1912">H199/G199-1</f>
        <v>-5.127223167868189E-2</v>
      </c>
      <c r="I202" s="85">
        <f t="shared" ref="I202" si="1913">I199/H199-1</f>
        <v>1.6505719626629611E-2</v>
      </c>
      <c r="J202" s="85">
        <f t="shared" ref="J202" si="1914">J199/I199-1</f>
        <v>0.37312986652993141</v>
      </c>
      <c r="K202" s="85">
        <f>K199/J199-1</f>
        <v>-0.24061565862611067</v>
      </c>
      <c r="L202" s="85">
        <f t="shared" ref="L202" si="1915">L199/K199-1</f>
        <v>-0.27155121884549815</v>
      </c>
      <c r="M202" s="85">
        <f t="shared" ref="M202" si="1916">M199/L199-1</f>
        <v>0.52042026325787694</v>
      </c>
      <c r="N202" s="85">
        <f t="shared" ref="N202" si="1917">N199/M199-1</f>
        <v>-4.1284864454859127E-3</v>
      </c>
      <c r="O202" s="85">
        <f t="shared" ref="O202" si="1918">O199/N199-1</f>
        <v>0.23069469504263695</v>
      </c>
      <c r="P202" s="85">
        <f t="shared" ref="P202" si="1919">P199/O199-1</f>
        <v>-1.5468226764165371E-2</v>
      </c>
      <c r="Q202" s="85">
        <f t="shared" ref="Q202" si="1920">Q199/P199-1</f>
        <v>8.429248083071883E-3</v>
      </c>
      <c r="R202" s="85">
        <f t="shared" ref="R202" si="1921">R199/Q199-1</f>
        <v>-5.773128759566859E-2</v>
      </c>
      <c r="S202" s="85">
        <f t="shared" ref="S202" si="1922">S199/R199-1</f>
        <v>-0.22813061864345707</v>
      </c>
      <c r="T202" s="85">
        <f t="shared" ref="T202" si="1923">T199/S199-1</f>
        <v>0.28318037832944243</v>
      </c>
      <c r="U202" s="85">
        <f t="shared" ref="U202" si="1924">U199/T199-1</f>
        <v>0.10044246562529024</v>
      </c>
      <c r="V202" s="85">
        <f t="shared" ref="V202" si="1925">V199/U199-1</f>
        <v>-0.23298222441452188</v>
      </c>
      <c r="W202" s="85">
        <f t="shared" ref="W202:AA202" si="1926">W199/V199-1</f>
        <v>1.8985903133578841E-2</v>
      </c>
      <c r="X202" s="85">
        <f t="shared" si="1926"/>
        <v>2.9853724712223473E-2</v>
      </c>
      <c r="Y202" s="85">
        <f t="shared" si="1926"/>
        <v>-9.5068549337775421E-2</v>
      </c>
      <c r="Z202" s="85">
        <f t="shared" si="1926"/>
        <v>7.5527843036220954E-2</v>
      </c>
      <c r="AA202" s="85">
        <f t="shared" si="1926"/>
        <v>-9.8498552885007418E-2</v>
      </c>
      <c r="AB202" s="86">
        <f t="shared" ref="AB202" si="1927">AB199/AA199-1</f>
        <v>0.16771173747361656</v>
      </c>
      <c r="AC202" s="86">
        <f t="shared" ref="AC202" si="1928">AC199/AB199-1</f>
        <v>8.9552150065697056E-4</v>
      </c>
      <c r="AD202" s="86">
        <f t="shared" ref="AD202" si="1929">AD199/AC199-1</f>
        <v>-2.0635779362879747E-3</v>
      </c>
      <c r="AE202" s="86">
        <f t="shared" ref="AE202" si="1930">AE199/AD199-1</f>
        <v>6.0116433455537077E-4</v>
      </c>
      <c r="AN202" s="85">
        <f t="shared" ref="AN202:CI202" si="1931">+AN199/AJ199-1</f>
        <v>0.3609274962422373</v>
      </c>
      <c r="AO202" s="85">
        <f t="shared" si="1931"/>
        <v>5.6895604096483643E-2</v>
      </c>
      <c r="AP202" s="85">
        <f t="shared" si="1931"/>
        <v>5.6895604096483643E-2</v>
      </c>
      <c r="AQ202" s="85">
        <f t="shared" si="1931"/>
        <v>1.6863250860131185E-2</v>
      </c>
      <c r="AR202" s="85">
        <f t="shared" si="1931"/>
        <v>1.6863250860131185E-2</v>
      </c>
      <c r="AS202" s="85">
        <f t="shared" si="1931"/>
        <v>3.6877229566869341E-2</v>
      </c>
      <c r="AT202" s="85">
        <f t="shared" si="1931"/>
        <v>3.6877229566869341E-2</v>
      </c>
      <c r="AU202" s="85">
        <f t="shared" si="1931"/>
        <v>-0.10728474815847677</v>
      </c>
      <c r="AV202" s="85">
        <f t="shared" si="1931"/>
        <v>-0.10728474815847677</v>
      </c>
      <c r="AW202" s="85">
        <f t="shared" si="1931"/>
        <v>4.0736607922891466E-2</v>
      </c>
      <c r="AX202" s="85">
        <f t="shared" si="1931"/>
        <v>4.0736607922891466E-2</v>
      </c>
      <c r="AY202" s="85">
        <f t="shared" si="1931"/>
        <v>-9.2942962053175204E-3</v>
      </c>
      <c r="AZ202" s="85">
        <f t="shared" si="1931"/>
        <v>-9.2942962053175204E-3</v>
      </c>
      <c r="BA202" s="85">
        <f t="shared" si="1931"/>
        <v>-0.1259979553390872</v>
      </c>
      <c r="BB202" s="85">
        <f t="shared" si="1931"/>
        <v>-0.1259979553390872</v>
      </c>
      <c r="BC202" s="85">
        <f t="shared" si="1931"/>
        <v>-2.1276767822843712E-2</v>
      </c>
      <c r="BD202" s="85">
        <f t="shared" si="1931"/>
        <v>-2.1276767822843712E-2</v>
      </c>
      <c r="BE202" s="85">
        <f t="shared" si="1931"/>
        <v>-0.47915856533774126</v>
      </c>
      <c r="BF202" s="85">
        <f t="shared" si="1931"/>
        <v>-0.47915856533774137</v>
      </c>
      <c r="BG202" s="85">
        <f t="shared" si="1931"/>
        <v>-0.51224717571030354</v>
      </c>
      <c r="BH202" s="85">
        <f t="shared" si="1931"/>
        <v>-0.51224717571030354</v>
      </c>
      <c r="BI202" s="85">
        <f t="shared" si="1931"/>
        <v>0.90003495441537562</v>
      </c>
      <c r="BJ202" s="85">
        <f t="shared" si="1931"/>
        <v>0.90003495441537629</v>
      </c>
      <c r="BK202" s="85">
        <f t="shared" si="1931"/>
        <v>1.4207384762825139</v>
      </c>
      <c r="BL202" s="85">
        <f t="shared" si="1931"/>
        <v>1.4207384762825139</v>
      </c>
      <c r="BM202" s="85">
        <f t="shared" si="1931"/>
        <v>0.20355660912170848</v>
      </c>
      <c r="BN202" s="85">
        <f t="shared" si="1931"/>
        <v>0.20355660912170848</v>
      </c>
      <c r="BO202" s="85">
        <f t="shared" si="1931"/>
        <v>0.88709678939213932</v>
      </c>
      <c r="BP202" s="85">
        <f t="shared" si="1931"/>
        <v>0.88709678939213932</v>
      </c>
      <c r="BQ202" s="85">
        <f t="shared" si="1931"/>
        <v>-0.39768083664010845</v>
      </c>
      <c r="BR202" s="85">
        <f t="shared" si="1931"/>
        <v>-0.39768083664010845</v>
      </c>
      <c r="BS202" s="85">
        <f t="shared" si="1931"/>
        <v>-0.62041243230387644</v>
      </c>
      <c r="BT202" s="85">
        <f t="shared" si="1931"/>
        <v>-0.62041243230387644</v>
      </c>
      <c r="BU202" s="85">
        <f t="shared" si="1931"/>
        <v>0.20460549333012557</v>
      </c>
      <c r="BV202" s="85">
        <f t="shared" si="1931"/>
        <v>0.20460549333012557</v>
      </c>
      <c r="BW202" s="85">
        <f t="shared" si="1931"/>
        <v>-7.3848369082120113E-3</v>
      </c>
      <c r="BX202" s="85">
        <f t="shared" si="1931"/>
        <v>-7.3848369082120113E-3</v>
      </c>
      <c r="BY202" s="85">
        <f t="shared" si="1931"/>
        <v>8.7270845765221816E-2</v>
      </c>
      <c r="BZ202" s="85">
        <f t="shared" si="1931"/>
        <v>8.7270845765221816E-2</v>
      </c>
      <c r="CA202" s="85">
        <f t="shared" si="1931"/>
        <v>9.3452233305662435E-2</v>
      </c>
      <c r="CB202" s="85">
        <f t="shared" si="1931"/>
        <v>9.3452233305662435E-2</v>
      </c>
      <c r="CC202" s="85">
        <f t="shared" si="1931"/>
        <v>-8.697804670942999E-2</v>
      </c>
      <c r="CD202" s="85">
        <f t="shared" si="1931"/>
        <v>-8.697804670942999E-2</v>
      </c>
      <c r="CE202" s="85">
        <f t="shared" si="1931"/>
        <v>-4.743752064499529E-2</v>
      </c>
      <c r="CF202" s="85">
        <f t="shared" si="1931"/>
        <v>-4.743752064499529E-2</v>
      </c>
      <c r="CG202" s="85">
        <f t="shared" si="1931"/>
        <v>-1.8057598000988939E-3</v>
      </c>
      <c r="CH202" s="85">
        <f t="shared" si="1931"/>
        <v>-1.8057598000988939E-3</v>
      </c>
      <c r="CI202" s="85">
        <f t="shared" si="1931"/>
        <v>-0.12905019532302309</v>
      </c>
      <c r="CJ202" s="85">
        <f>+CJ199/CF199-1</f>
        <v>-0.12905019532302309</v>
      </c>
      <c r="CL202" s="85">
        <f>+CL199/CH199-1</f>
        <v>-4.5853843025715491E-2</v>
      </c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86"/>
      <c r="CY202" s="86"/>
      <c r="CZ202" s="86"/>
      <c r="DA202" s="86"/>
      <c r="DD202" s="140"/>
      <c r="DE202" s="85">
        <v>-3.1970598040916176E-2</v>
      </c>
    </row>
    <row r="203" spans="1:109" s="102" customFormat="1" x14ac:dyDescent="0.2">
      <c r="A203" s="146" t="s">
        <v>87</v>
      </c>
      <c r="C203" s="102" t="e">
        <f>IF(C202&gt;C201,"RF",0)</f>
        <v>#DIV/0!</v>
      </c>
      <c r="D203" s="102" t="e">
        <f>IF(D202&gt;D201,"RF",0)</f>
        <v>#DIV/0!</v>
      </c>
      <c r="E203" s="102">
        <f t="shared" ref="E203:U203" si="1932">IF(E202&gt;E201,"RF",0)</f>
        <v>0</v>
      </c>
      <c r="F203" s="102">
        <f t="shared" si="1932"/>
        <v>0</v>
      </c>
      <c r="G203" s="102">
        <f t="shared" si="1932"/>
        <v>0</v>
      </c>
      <c r="H203" s="102">
        <f t="shared" si="1932"/>
        <v>0</v>
      </c>
      <c r="I203" s="102">
        <f t="shared" si="1932"/>
        <v>0</v>
      </c>
      <c r="J203" s="102" t="str">
        <f t="shared" si="1932"/>
        <v>RF</v>
      </c>
      <c r="K203" s="102">
        <f t="shared" si="1932"/>
        <v>0</v>
      </c>
      <c r="L203" s="102">
        <f t="shared" si="1932"/>
        <v>0</v>
      </c>
      <c r="M203" s="102" t="str">
        <f t="shared" si="1932"/>
        <v>RF</v>
      </c>
      <c r="N203" s="102">
        <f t="shared" si="1932"/>
        <v>0</v>
      </c>
      <c r="O203" s="102" t="str">
        <f t="shared" si="1932"/>
        <v>RF</v>
      </c>
      <c r="P203" s="102">
        <f t="shared" si="1932"/>
        <v>0</v>
      </c>
      <c r="Q203" s="102">
        <f t="shared" si="1932"/>
        <v>0</v>
      </c>
      <c r="R203" s="102">
        <f t="shared" si="1932"/>
        <v>0</v>
      </c>
      <c r="S203" s="102">
        <f t="shared" si="1932"/>
        <v>0</v>
      </c>
      <c r="T203" s="102" t="str">
        <f t="shared" si="1932"/>
        <v>RF</v>
      </c>
      <c r="U203" s="102" t="str">
        <f t="shared" si="1932"/>
        <v>RF</v>
      </c>
      <c r="V203" s="102">
        <f>IF(V202&gt;V201,"RF",0)</f>
        <v>0</v>
      </c>
      <c r="W203" s="102">
        <f t="shared" ref="W203" si="1933">IF(W202&gt;W201,"RF",0)</f>
        <v>0</v>
      </c>
      <c r="X203" s="102">
        <f t="shared" ref="X203:Y203" si="1934">IF(X202&gt;X201,"RF",0)</f>
        <v>0</v>
      </c>
      <c r="Y203" s="102">
        <f t="shared" si="1934"/>
        <v>0</v>
      </c>
      <c r="Z203" s="102">
        <f t="shared" ref="Z203:AA203" si="1935">IF(Z202&gt;Z201,"RF",0)</f>
        <v>0</v>
      </c>
      <c r="AA203" s="102">
        <f t="shared" ref="AA203" si="1936">IF(AA202&gt;AA201,"RF",0)</f>
        <v>0</v>
      </c>
      <c r="AB203" s="72" t="str">
        <f t="shared" ref="AB203:AD203" si="1937">IF(AB202&gt;AB201,"RF",0)</f>
        <v>RF</v>
      </c>
      <c r="AC203" s="72">
        <f t="shared" si="1937"/>
        <v>0</v>
      </c>
      <c r="AD203" s="72">
        <f t="shared" si="1937"/>
        <v>0</v>
      </c>
      <c r="AE203" s="72">
        <f t="shared" ref="AE203" si="1938">IF(AE202&gt;AE201,"RF",0)</f>
        <v>0</v>
      </c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D203" s="141"/>
      <c r="DE203" s="102">
        <v>0</v>
      </c>
    </row>
    <row r="204" spans="1:109" x14ac:dyDescent="0.2">
      <c r="A204" s="152" t="s">
        <v>494</v>
      </c>
      <c r="AA204" s="2"/>
      <c r="CL204" s="2"/>
    </row>
    <row r="205" spans="1:109" x14ac:dyDescent="0.2">
      <c r="A205" s="151" t="s">
        <v>495</v>
      </c>
      <c r="AA205" s="2"/>
      <c r="CL205" s="2"/>
    </row>
    <row r="206" spans="1:109" s="22" customFormat="1" x14ac:dyDescent="0.2">
      <c r="A206" s="22" t="s">
        <v>22</v>
      </c>
      <c r="C206" s="22">
        <f t="shared" ref="C206:AE206" si="1939">C61</f>
        <v>0</v>
      </c>
      <c r="D206" s="22">
        <f t="shared" si="1939"/>
        <v>19.769999999999978</v>
      </c>
      <c r="E206" s="22">
        <f t="shared" si="1939"/>
        <v>23.159999999999997</v>
      </c>
      <c r="F206" s="22">
        <f t="shared" si="1939"/>
        <v>30.880000000000042</v>
      </c>
      <c r="G206" s="22">
        <f t="shared" si="1939"/>
        <v>47.890000000000015</v>
      </c>
      <c r="H206" s="22">
        <f t="shared" si="1939"/>
        <v>73.69999999999996</v>
      </c>
      <c r="I206" s="22">
        <f t="shared" si="1939"/>
        <v>79.53000000000003</v>
      </c>
      <c r="J206" s="22">
        <f t="shared" si="1939"/>
        <v>95.72</v>
      </c>
      <c r="K206" s="22">
        <f t="shared" si="1939"/>
        <v>65.540000000000049</v>
      </c>
      <c r="L206" s="22">
        <f t="shared" si="1939"/>
        <v>121.49999999999991</v>
      </c>
      <c r="M206" s="22">
        <f t="shared" si="1939"/>
        <v>175.96999999999991</v>
      </c>
      <c r="N206" s="22">
        <f t="shared" si="1939"/>
        <v>159.18000000000006</v>
      </c>
      <c r="O206" s="22">
        <f t="shared" si="1939"/>
        <v>121.83000000000011</v>
      </c>
      <c r="P206" s="22">
        <f t="shared" si="1939"/>
        <v>152.87999999999994</v>
      </c>
      <c r="Q206" s="22">
        <f t="shared" si="1939"/>
        <v>197.48000000000008</v>
      </c>
      <c r="R206" s="22">
        <f t="shared" si="1939"/>
        <v>195.06000000000012</v>
      </c>
      <c r="S206" s="22">
        <f t="shared" si="1939"/>
        <v>388.48999999999944</v>
      </c>
      <c r="T206" s="22">
        <f t="shared" si="1939"/>
        <v>419.80000000000035</v>
      </c>
      <c r="U206" s="22">
        <f t="shared" si="1939"/>
        <v>367.63999999999902</v>
      </c>
      <c r="V206" s="22">
        <f t="shared" si="1939"/>
        <v>290.97000000000025</v>
      </c>
      <c r="W206" s="22">
        <f t="shared" si="1939"/>
        <v>629.12000000000023</v>
      </c>
      <c r="X206" s="22">
        <f t="shared" si="1939"/>
        <v>879.21000000000026</v>
      </c>
      <c r="Y206" s="22">
        <f t="shared" si="1939"/>
        <v>899.0199999999993</v>
      </c>
      <c r="Z206" s="22">
        <f t="shared" si="1939"/>
        <v>938.86</v>
      </c>
      <c r="AA206" s="22">
        <f t="shared" ref="AA206" si="1940">AA61</f>
        <v>1150.3500000000001</v>
      </c>
      <c r="AB206" s="23">
        <f t="shared" si="1939"/>
        <v>1404.4446743708897</v>
      </c>
      <c r="AC206" s="23">
        <f t="shared" si="1939"/>
        <v>1716.6185754853361</v>
      </c>
      <c r="AD206" s="23">
        <f t="shared" si="1939"/>
        <v>1928.2723191310788</v>
      </c>
      <c r="AE206" s="23">
        <f t="shared" si="1939"/>
        <v>2284.1350189228551</v>
      </c>
      <c r="AI206" s="22">
        <f t="shared" ref="AI206:BN206" si="1941">AI61</f>
        <v>46.240000000000009</v>
      </c>
      <c r="AJ206" s="22">
        <f t="shared" si="1941"/>
        <v>36.940000000000033</v>
      </c>
      <c r="AK206" s="22">
        <f t="shared" si="1941"/>
        <v>29.690000000000012</v>
      </c>
      <c r="AL206" s="22">
        <f t="shared" si="1941"/>
        <v>25.449999999999946</v>
      </c>
      <c r="AM206" s="22">
        <f t="shared" si="1941"/>
        <v>25.579999999999966</v>
      </c>
      <c r="AN206" s="22">
        <f t="shared" si="1941"/>
        <v>35.89</v>
      </c>
      <c r="AO206" s="22">
        <f t="shared" si="1941"/>
        <v>34.909999999999975</v>
      </c>
      <c r="AP206" s="22">
        <f t="shared" si="1941"/>
        <v>34.679999999999986</v>
      </c>
      <c r="AQ206" s="22">
        <f t="shared" si="1941"/>
        <v>40.770000000000067</v>
      </c>
      <c r="AR206" s="22">
        <f t="shared" si="1941"/>
        <v>37.510000000000019</v>
      </c>
      <c r="AS206" s="22">
        <f t="shared" si="1941"/>
        <v>39.920000000000044</v>
      </c>
      <c r="AT206" s="22">
        <f t="shared" si="1941"/>
        <v>41.399999999999935</v>
      </c>
      <c r="AU206" s="22">
        <f t="shared" si="1941"/>
        <v>49.270000000000024</v>
      </c>
      <c r="AV206" s="22">
        <f t="shared" si="1941"/>
        <v>50.600000000000009</v>
      </c>
      <c r="AW206" s="22">
        <f t="shared" si="1941"/>
        <v>56.20999999999998</v>
      </c>
      <c r="AX206" s="22">
        <f t="shared" si="1941"/>
        <v>41.460000000000008</v>
      </c>
      <c r="AY206" s="22">
        <f t="shared" si="1941"/>
        <v>46.34</v>
      </c>
      <c r="AZ206" s="22">
        <f t="shared" si="1941"/>
        <v>52.519999999999982</v>
      </c>
      <c r="BA206" s="22">
        <f t="shared" si="1941"/>
        <v>54.740000000000023</v>
      </c>
      <c r="BB206" s="22">
        <f t="shared" si="1941"/>
        <v>57.480000000000047</v>
      </c>
      <c r="BC206" s="22">
        <f t="shared" si="1941"/>
        <v>53.980000000000075</v>
      </c>
      <c r="BD206" s="22">
        <f t="shared" si="1941"/>
        <v>95.479999999999919</v>
      </c>
      <c r="BE206" s="22">
        <f t="shared" si="1941"/>
        <v>103.94999999999999</v>
      </c>
      <c r="BF206" s="22">
        <f t="shared" si="1941"/>
        <v>110.54000000000002</v>
      </c>
      <c r="BG206" s="22">
        <f t="shared" si="1941"/>
        <v>111.44</v>
      </c>
      <c r="BH206" s="22">
        <f t="shared" si="1941"/>
        <v>90.660000000000124</v>
      </c>
      <c r="BI206" s="22">
        <f t="shared" si="1941"/>
        <v>107.14999999999993</v>
      </c>
      <c r="BJ206" s="22">
        <f t="shared" si="1941"/>
        <v>106.17999999999994</v>
      </c>
      <c r="BK206" s="22">
        <f t="shared" si="1941"/>
        <v>82.480000000000018</v>
      </c>
      <c r="BL206" s="22">
        <f t="shared" si="1941"/>
        <v>94.430000000000149</v>
      </c>
      <c r="BM206" s="22">
        <f t="shared" si="1941"/>
        <v>84.550000000000068</v>
      </c>
      <c r="BN206" s="22">
        <f t="shared" si="1941"/>
        <v>78.349999999999937</v>
      </c>
      <c r="BO206" s="22">
        <f t="shared" ref="BO206:CT206" si="1942">BO61</f>
        <v>-42.470000000000041</v>
      </c>
      <c r="BP206" s="22">
        <f t="shared" si="1942"/>
        <v>113.47000000000017</v>
      </c>
      <c r="BQ206" s="22">
        <f t="shared" si="1942"/>
        <v>141.62</v>
      </c>
      <c r="BR206" s="22">
        <f t="shared" si="1942"/>
        <v>139.53999999999988</v>
      </c>
      <c r="BS206" s="22">
        <f t="shared" si="1942"/>
        <v>128.13000000000011</v>
      </c>
      <c r="BT206" s="22">
        <f t="shared" si="1942"/>
        <v>170.80999999999983</v>
      </c>
      <c r="BU206" s="22">
        <f t="shared" si="1942"/>
        <v>190.64000000000004</v>
      </c>
      <c r="BV206" s="22">
        <f t="shared" si="1942"/>
        <v>207.12000000000006</v>
      </c>
      <c r="BW206" s="22">
        <f t="shared" si="1942"/>
        <v>225.74999999999991</v>
      </c>
      <c r="BX206" s="22">
        <f t="shared" si="1942"/>
        <v>215.35999999999996</v>
      </c>
      <c r="BY206" s="22">
        <f t="shared" si="1942"/>
        <v>230.9800000000001</v>
      </c>
      <c r="BZ206" s="22">
        <f t="shared" si="1942"/>
        <v>219.36999999999978</v>
      </c>
      <c r="CA206" s="22">
        <f t="shared" si="1942"/>
        <v>237.28000000000009</v>
      </c>
      <c r="CB206" s="22">
        <f t="shared" si="1942"/>
        <v>232.7600000000001</v>
      </c>
      <c r="CC206" s="22">
        <f t="shared" si="1942"/>
        <v>209.6100000000001</v>
      </c>
      <c r="CD206" s="22">
        <f t="shared" si="1942"/>
        <v>219.72000000000037</v>
      </c>
      <c r="CE206" s="22">
        <f t="shared" si="1942"/>
        <v>245.45</v>
      </c>
      <c r="CF206" s="22">
        <f t="shared" si="1942"/>
        <v>236.40999999999985</v>
      </c>
      <c r="CG206" s="22">
        <f t="shared" si="1942"/>
        <v>237.27999999999997</v>
      </c>
      <c r="CH206" s="22">
        <f t="shared" si="1942"/>
        <v>251.61999999999955</v>
      </c>
      <c r="CI206" s="22">
        <f t="shared" si="1942"/>
        <v>287.11000000000007</v>
      </c>
      <c r="CJ206" s="22">
        <f t="shared" si="1942"/>
        <v>289.26000000000033</v>
      </c>
      <c r="CK206" s="22">
        <f t="shared" si="1942"/>
        <v>322.3599999999999</v>
      </c>
      <c r="CL206" s="22">
        <f t="shared" ref="CL206" si="1943">CL61</f>
        <v>316.06999999999971</v>
      </c>
      <c r="CM206" s="23">
        <f t="shared" si="1942"/>
        <v>329.59668126947781</v>
      </c>
      <c r="CN206" s="23">
        <f t="shared" si="1942"/>
        <v>353.42032667050029</v>
      </c>
      <c r="CO206" s="23">
        <f t="shared" si="1942"/>
        <v>405.35766643091131</v>
      </c>
      <c r="CP206" s="23">
        <f t="shared" si="1942"/>
        <v>384.73979901326504</v>
      </c>
      <c r="CQ206" s="23">
        <f t="shared" si="1942"/>
        <v>404.82133809462448</v>
      </c>
      <c r="CR206" s="23">
        <f t="shared" si="1942"/>
        <v>433.63699714377458</v>
      </c>
      <c r="CS206" s="23">
        <f t="shared" si="1942"/>
        <v>493.42044123367066</v>
      </c>
      <c r="CT206" s="23">
        <f t="shared" si="1942"/>
        <v>436.20961698458052</v>
      </c>
      <c r="CU206" s="23">
        <f t="shared" ref="CU206:DA206" si="1944">CU61</f>
        <v>456.10631188727973</v>
      </c>
      <c r="CV206" s="23">
        <f t="shared" si="1944"/>
        <v>487.44310794141421</v>
      </c>
      <c r="CW206" s="23">
        <f t="shared" si="1944"/>
        <v>548.51328231780474</v>
      </c>
      <c r="CX206" s="23">
        <f t="shared" si="1944"/>
        <v>515.86826625145477</v>
      </c>
      <c r="CY206" s="23">
        <f t="shared" si="1944"/>
        <v>537.74222772833355</v>
      </c>
      <c r="CZ206" s="23">
        <f t="shared" si="1944"/>
        <v>578.54149968528077</v>
      </c>
      <c r="DA206" s="23">
        <f t="shared" si="1944"/>
        <v>651.9830252577849</v>
      </c>
      <c r="DD206" s="122"/>
      <c r="DE206" s="22">
        <v>1150.3499999999985</v>
      </c>
    </row>
    <row r="207" spans="1:109" s="22" customFormat="1" x14ac:dyDescent="0.2">
      <c r="A207" s="22" t="s">
        <v>88</v>
      </c>
      <c r="C207" s="22">
        <f t="shared" ref="C207:AE207" si="1945">C45</f>
        <v>0</v>
      </c>
      <c r="D207" s="22">
        <f t="shared" si="1945"/>
        <v>16.98</v>
      </c>
      <c r="E207" s="22">
        <f t="shared" si="1945"/>
        <v>16.739999999999998</v>
      </c>
      <c r="F207" s="22">
        <f t="shared" si="1945"/>
        <v>16.989999999999998</v>
      </c>
      <c r="G207" s="22">
        <f t="shared" si="1945"/>
        <v>16.829999999999998</v>
      </c>
      <c r="H207" s="22">
        <f t="shared" si="1945"/>
        <v>18.3</v>
      </c>
      <c r="I207" s="22">
        <f t="shared" si="1945"/>
        <v>19.36</v>
      </c>
      <c r="J207" s="22">
        <f t="shared" si="1945"/>
        <v>20.59</v>
      </c>
      <c r="K207" s="22">
        <f t="shared" si="1945"/>
        <v>20.079999999999998</v>
      </c>
      <c r="L207" s="22">
        <f t="shared" si="1945"/>
        <v>20.11</v>
      </c>
      <c r="M207" s="22">
        <f t="shared" si="1945"/>
        <v>22.59</v>
      </c>
      <c r="N207" s="22">
        <f t="shared" si="1945"/>
        <v>30.27</v>
      </c>
      <c r="O207" s="22">
        <f t="shared" si="1945"/>
        <v>43.25</v>
      </c>
      <c r="P207" s="22">
        <f t="shared" si="1945"/>
        <v>49.35</v>
      </c>
      <c r="Q207" s="22">
        <f t="shared" si="1945"/>
        <v>65.510000000000005</v>
      </c>
      <c r="R207" s="22">
        <f t="shared" si="1945"/>
        <v>64.099999999999994</v>
      </c>
      <c r="S207" s="22">
        <f t="shared" si="1945"/>
        <v>138.16</v>
      </c>
      <c r="T207" s="22">
        <f t="shared" si="1945"/>
        <v>148.5</v>
      </c>
      <c r="U207" s="22">
        <f t="shared" si="1945"/>
        <v>158.71</v>
      </c>
      <c r="V207" s="22">
        <f t="shared" si="1945"/>
        <v>193.97</v>
      </c>
      <c r="W207" s="22">
        <f t="shared" si="1945"/>
        <v>197.11</v>
      </c>
      <c r="X207" s="22">
        <f t="shared" si="1945"/>
        <v>206.46</v>
      </c>
      <c r="Y207" s="22">
        <f t="shared" si="1945"/>
        <v>223.01</v>
      </c>
      <c r="Z207" s="22">
        <f t="shared" si="1945"/>
        <v>281.55</v>
      </c>
      <c r="AA207" s="22">
        <f t="shared" ref="AA207" si="1946">AA45</f>
        <v>343.72</v>
      </c>
      <c r="AB207" s="23">
        <f t="shared" si="1945"/>
        <v>361.84</v>
      </c>
      <c r="AC207" s="23">
        <f t="shared" si="1945"/>
        <v>361.84</v>
      </c>
      <c r="AD207" s="23">
        <f t="shared" si="1945"/>
        <v>427.48316</v>
      </c>
      <c r="AE207" s="23">
        <f t="shared" si="1945"/>
        <v>427.48316</v>
      </c>
      <c r="AI207" s="22">
        <f t="shared" ref="AI207:BN207" si="1947">AI45</f>
        <v>6.63</v>
      </c>
      <c r="AJ207" s="22">
        <f t="shared" si="1947"/>
        <v>8.6</v>
      </c>
      <c r="AK207" s="22">
        <f t="shared" si="1947"/>
        <v>8.76</v>
      </c>
      <c r="AL207" s="22">
        <f t="shared" si="1947"/>
        <v>9.61</v>
      </c>
      <c r="AM207" s="22">
        <f t="shared" si="1947"/>
        <v>10.49</v>
      </c>
      <c r="AN207" s="22">
        <f t="shared" si="1947"/>
        <v>11.27</v>
      </c>
      <c r="AO207" s="22">
        <f t="shared" si="1947"/>
        <v>11.88</v>
      </c>
      <c r="AP207" s="22">
        <f t="shared" si="1947"/>
        <v>12.05</v>
      </c>
      <c r="AQ207" s="22">
        <f t="shared" si="1947"/>
        <v>12.29</v>
      </c>
      <c r="AR207" s="22">
        <f t="shared" si="1947"/>
        <v>12.52</v>
      </c>
      <c r="AS207" s="22">
        <f t="shared" si="1947"/>
        <v>12.49</v>
      </c>
      <c r="AT207" s="22">
        <f t="shared" si="1947"/>
        <v>12.45</v>
      </c>
      <c r="AU207" s="22">
        <f t="shared" si="1947"/>
        <v>12.42</v>
      </c>
      <c r="AV207" s="22">
        <f t="shared" si="1947"/>
        <v>12.8</v>
      </c>
      <c r="AW207" s="22">
        <f t="shared" si="1947"/>
        <v>27.84</v>
      </c>
      <c r="AX207" s="22">
        <f t="shared" si="1947"/>
        <v>15.2</v>
      </c>
      <c r="AY207" s="22">
        <f t="shared" si="1947"/>
        <v>15.66</v>
      </c>
      <c r="AZ207" s="22">
        <f t="shared" si="1947"/>
        <v>15.74</v>
      </c>
      <c r="BA207" s="22">
        <f t="shared" si="1947"/>
        <v>17.5</v>
      </c>
      <c r="BB207" s="22">
        <f t="shared" si="1947"/>
        <v>17.559999999999999</v>
      </c>
      <c r="BC207" s="22">
        <f t="shared" si="1947"/>
        <v>17.739999999999998</v>
      </c>
      <c r="BD207" s="22">
        <f t="shared" si="1947"/>
        <v>34.840000000000003</v>
      </c>
      <c r="BE207" s="22">
        <f t="shared" si="1947"/>
        <v>35.25</v>
      </c>
      <c r="BF207" s="22">
        <f t="shared" si="1947"/>
        <v>35.9</v>
      </c>
      <c r="BG207" s="22">
        <f t="shared" si="1947"/>
        <v>36.61</v>
      </c>
      <c r="BH207" s="22">
        <f t="shared" si="1947"/>
        <v>37.19</v>
      </c>
      <c r="BI207" s="22">
        <f t="shared" si="1947"/>
        <v>38.799999999999997</v>
      </c>
      <c r="BJ207" s="22">
        <f t="shared" si="1947"/>
        <v>37.81</v>
      </c>
      <c r="BK207" s="22">
        <f t="shared" si="1947"/>
        <v>38.47</v>
      </c>
      <c r="BL207" s="22">
        <f t="shared" si="1947"/>
        <v>39.97</v>
      </c>
      <c r="BM207" s="22">
        <f t="shared" si="1947"/>
        <v>42.46</v>
      </c>
      <c r="BN207" s="22">
        <f t="shared" si="1947"/>
        <v>44.42</v>
      </c>
      <c r="BO207" s="22">
        <f t="shared" ref="BO207:CT207" si="1948">BO45</f>
        <v>49.9</v>
      </c>
      <c r="BP207" s="22">
        <f t="shared" si="1948"/>
        <v>48.57</v>
      </c>
      <c r="BQ207" s="22">
        <f t="shared" si="1948"/>
        <v>51.08</v>
      </c>
      <c r="BR207" s="22">
        <f t="shared" si="1948"/>
        <v>47.87</v>
      </c>
      <c r="BS207" s="22">
        <f t="shared" si="1948"/>
        <v>48.46</v>
      </c>
      <c r="BT207" s="22">
        <f t="shared" si="1948"/>
        <v>49.61</v>
      </c>
      <c r="BU207" s="22">
        <f t="shared" si="1948"/>
        <v>51.17</v>
      </c>
      <c r="BV207" s="22">
        <f t="shared" si="1948"/>
        <v>50.49</v>
      </c>
      <c r="BW207" s="22">
        <f t="shared" si="1948"/>
        <v>51.27</v>
      </c>
      <c r="BX207" s="22">
        <f t="shared" si="1948"/>
        <v>51.71</v>
      </c>
      <c r="BY207" s="22">
        <f t="shared" si="1948"/>
        <v>52.99</v>
      </c>
      <c r="BZ207" s="22">
        <f t="shared" si="1948"/>
        <v>52.45</v>
      </c>
      <c r="CA207" s="22">
        <f t="shared" si="1948"/>
        <v>53.93</v>
      </c>
      <c r="CB207" s="22">
        <f t="shared" si="1948"/>
        <v>56.2</v>
      </c>
      <c r="CC207" s="22">
        <f t="shared" si="1948"/>
        <v>60.43</v>
      </c>
      <c r="CD207" s="22">
        <f t="shared" si="1948"/>
        <v>62.46</v>
      </c>
      <c r="CE207" s="22">
        <f t="shared" si="1948"/>
        <v>67.66</v>
      </c>
      <c r="CF207" s="22">
        <f t="shared" si="1948"/>
        <v>73.31</v>
      </c>
      <c r="CG207" s="22">
        <f t="shared" si="1948"/>
        <v>78.12</v>
      </c>
      <c r="CH207" s="22">
        <f t="shared" si="1948"/>
        <v>83.1</v>
      </c>
      <c r="CI207" s="22">
        <f t="shared" si="1948"/>
        <v>80.72</v>
      </c>
      <c r="CJ207" s="22">
        <f t="shared" si="1948"/>
        <v>87.88</v>
      </c>
      <c r="CK207" s="22">
        <f t="shared" si="1948"/>
        <v>92.02</v>
      </c>
      <c r="CL207" s="22">
        <f t="shared" ref="CL207" si="1949">CL45</f>
        <v>90.46</v>
      </c>
      <c r="CM207" s="23">
        <f t="shared" si="1948"/>
        <v>90.46</v>
      </c>
      <c r="CN207" s="23">
        <f t="shared" si="1948"/>
        <v>90.46</v>
      </c>
      <c r="CO207" s="23">
        <f t="shared" si="1948"/>
        <v>90.46</v>
      </c>
      <c r="CP207" s="23">
        <f t="shared" si="1948"/>
        <v>90.46</v>
      </c>
      <c r="CQ207" s="23">
        <f t="shared" si="1948"/>
        <v>90.46</v>
      </c>
      <c r="CR207" s="23">
        <f t="shared" si="1948"/>
        <v>90.46</v>
      </c>
      <c r="CS207" s="23">
        <f t="shared" si="1948"/>
        <v>90.46</v>
      </c>
      <c r="CT207" s="23">
        <f t="shared" si="1948"/>
        <v>106.87079</v>
      </c>
      <c r="CU207" s="23">
        <f t="shared" ref="CU207:DA207" si="1950">CU45</f>
        <v>106.87079</v>
      </c>
      <c r="CV207" s="23">
        <f t="shared" si="1950"/>
        <v>106.87079</v>
      </c>
      <c r="CW207" s="23">
        <f t="shared" si="1950"/>
        <v>106.87079</v>
      </c>
      <c r="CX207" s="23">
        <f t="shared" si="1950"/>
        <v>106.87079</v>
      </c>
      <c r="CY207" s="23">
        <f t="shared" si="1950"/>
        <v>106.87079</v>
      </c>
      <c r="CZ207" s="23">
        <f t="shared" si="1950"/>
        <v>106.87079</v>
      </c>
      <c r="DA207" s="23">
        <f t="shared" si="1950"/>
        <v>106.87079</v>
      </c>
      <c r="DD207" s="122"/>
      <c r="DE207" s="22">
        <v>343.71999999999997</v>
      </c>
    </row>
    <row r="208" spans="1:109" s="21" customFormat="1" x14ac:dyDescent="0.2">
      <c r="A208" s="21" t="s">
        <v>89</v>
      </c>
      <c r="C208" s="21">
        <f t="shared" ref="C208:W208" si="1951">C206+C207</f>
        <v>0</v>
      </c>
      <c r="D208" s="21">
        <f t="shared" si="1951"/>
        <v>36.749999999999979</v>
      </c>
      <c r="E208" s="21">
        <f t="shared" si="1951"/>
        <v>39.899999999999991</v>
      </c>
      <c r="F208" s="21">
        <f t="shared" si="1951"/>
        <v>47.87000000000004</v>
      </c>
      <c r="G208" s="21">
        <f t="shared" si="1951"/>
        <v>64.720000000000013</v>
      </c>
      <c r="H208" s="21">
        <f t="shared" si="1951"/>
        <v>91.999999999999957</v>
      </c>
      <c r="I208" s="21">
        <f t="shared" si="1951"/>
        <v>98.890000000000029</v>
      </c>
      <c r="J208" s="21">
        <f t="shared" si="1951"/>
        <v>116.31</v>
      </c>
      <c r="K208" s="21">
        <f t="shared" si="1951"/>
        <v>85.620000000000047</v>
      </c>
      <c r="L208" s="21">
        <f t="shared" si="1951"/>
        <v>141.6099999999999</v>
      </c>
      <c r="M208" s="21">
        <f t="shared" si="1951"/>
        <v>198.55999999999992</v>
      </c>
      <c r="N208" s="21">
        <f t="shared" si="1951"/>
        <v>189.45000000000007</v>
      </c>
      <c r="O208" s="21">
        <f t="shared" si="1951"/>
        <v>165.0800000000001</v>
      </c>
      <c r="P208" s="21">
        <f t="shared" si="1951"/>
        <v>202.22999999999993</v>
      </c>
      <c r="Q208" s="21">
        <f t="shared" si="1951"/>
        <v>262.99000000000007</v>
      </c>
      <c r="R208" s="21">
        <f t="shared" si="1951"/>
        <v>259.16000000000008</v>
      </c>
      <c r="S208" s="21">
        <f t="shared" si="1951"/>
        <v>526.64999999999941</v>
      </c>
      <c r="T208" s="21">
        <f t="shared" si="1951"/>
        <v>568.30000000000041</v>
      </c>
      <c r="U208" s="21">
        <f t="shared" si="1951"/>
        <v>526.349999999999</v>
      </c>
      <c r="V208" s="21">
        <f t="shared" si="1951"/>
        <v>484.94000000000028</v>
      </c>
      <c r="W208" s="21">
        <f t="shared" si="1951"/>
        <v>826.23000000000025</v>
      </c>
      <c r="X208" s="21">
        <f t="shared" ref="X208:Y208" si="1952">X206+X207</f>
        <v>1085.6700000000003</v>
      </c>
      <c r="Y208" s="21">
        <f t="shared" si="1952"/>
        <v>1122.0299999999993</v>
      </c>
      <c r="Z208" s="21">
        <f t="shared" ref="Z208:AA208" si="1953">Z206+Z207</f>
        <v>1220.4100000000001</v>
      </c>
      <c r="AA208" s="21">
        <f t="shared" ref="AA208" si="1954">AA206+AA207</f>
        <v>1494.0700000000002</v>
      </c>
      <c r="AB208" s="20">
        <f t="shared" ref="AB208:AD208" si="1955">AB206+AB207</f>
        <v>1766.2846743708897</v>
      </c>
      <c r="AC208" s="20">
        <f t="shared" si="1955"/>
        <v>2078.458575485336</v>
      </c>
      <c r="AD208" s="20">
        <f t="shared" si="1955"/>
        <v>2355.7554791310786</v>
      </c>
      <c r="AE208" s="20">
        <f t="shared" ref="AE208" si="1956">AE206+AE207</f>
        <v>2711.6181789228549</v>
      </c>
      <c r="AI208" s="21">
        <f t="shared" ref="AI208" si="1957">AI206+AI207</f>
        <v>52.870000000000012</v>
      </c>
      <c r="AJ208" s="21">
        <f t="shared" ref="AJ208:AL208" si="1958">AJ206+AJ207</f>
        <v>45.540000000000035</v>
      </c>
      <c r="AK208" s="21">
        <f t="shared" si="1958"/>
        <v>38.45000000000001</v>
      </c>
      <c r="AL208" s="21">
        <f t="shared" si="1958"/>
        <v>35.059999999999945</v>
      </c>
      <c r="AM208" s="21">
        <f t="shared" ref="AM208" si="1959">AM206+AM207</f>
        <v>36.069999999999965</v>
      </c>
      <c r="AN208" s="21">
        <f t="shared" ref="AN208:CD208" si="1960">AN206+AN207</f>
        <v>47.16</v>
      </c>
      <c r="AO208" s="21">
        <f t="shared" si="1960"/>
        <v>46.789999999999978</v>
      </c>
      <c r="AP208" s="21">
        <f t="shared" si="1960"/>
        <v>46.72999999999999</v>
      </c>
      <c r="AQ208" s="21">
        <f t="shared" si="1960"/>
        <v>53.060000000000066</v>
      </c>
      <c r="AR208" s="21">
        <f t="shared" si="1960"/>
        <v>50.030000000000015</v>
      </c>
      <c r="AS208" s="21">
        <f t="shared" si="1960"/>
        <v>52.410000000000046</v>
      </c>
      <c r="AT208" s="21">
        <f t="shared" si="1960"/>
        <v>53.849999999999937</v>
      </c>
      <c r="AU208" s="21">
        <f t="shared" si="1960"/>
        <v>61.690000000000026</v>
      </c>
      <c r="AV208" s="21">
        <f t="shared" si="1960"/>
        <v>63.400000000000006</v>
      </c>
      <c r="AW208" s="21">
        <f t="shared" si="1960"/>
        <v>84.049999999999983</v>
      </c>
      <c r="AX208" s="21">
        <f t="shared" si="1960"/>
        <v>56.660000000000011</v>
      </c>
      <c r="AY208" s="21">
        <f t="shared" si="1960"/>
        <v>62</v>
      </c>
      <c r="AZ208" s="21">
        <f t="shared" si="1960"/>
        <v>68.259999999999977</v>
      </c>
      <c r="BA208" s="21">
        <f t="shared" si="1960"/>
        <v>72.240000000000023</v>
      </c>
      <c r="BB208" s="21">
        <f t="shared" si="1960"/>
        <v>75.040000000000049</v>
      </c>
      <c r="BC208" s="21">
        <f t="shared" si="1960"/>
        <v>71.72000000000007</v>
      </c>
      <c r="BD208" s="21">
        <f t="shared" si="1960"/>
        <v>130.31999999999994</v>
      </c>
      <c r="BE208" s="21">
        <f t="shared" si="1960"/>
        <v>139.19999999999999</v>
      </c>
      <c r="BF208" s="21">
        <f t="shared" si="1960"/>
        <v>146.44000000000003</v>
      </c>
      <c r="BG208" s="21">
        <f t="shared" si="1960"/>
        <v>148.05000000000001</v>
      </c>
      <c r="BH208" s="21">
        <f t="shared" si="1960"/>
        <v>127.85000000000012</v>
      </c>
      <c r="BI208" s="21">
        <f t="shared" si="1960"/>
        <v>145.94999999999993</v>
      </c>
      <c r="BJ208" s="21">
        <f t="shared" si="1960"/>
        <v>143.98999999999995</v>
      </c>
      <c r="BK208" s="21">
        <f t="shared" si="1960"/>
        <v>120.95000000000002</v>
      </c>
      <c r="BL208" s="21">
        <f t="shared" si="1960"/>
        <v>134.40000000000015</v>
      </c>
      <c r="BM208" s="21">
        <f t="shared" si="1960"/>
        <v>127.01000000000008</v>
      </c>
      <c r="BN208" s="21">
        <f t="shared" si="1960"/>
        <v>122.76999999999994</v>
      </c>
      <c r="BO208" s="21">
        <f t="shared" si="1960"/>
        <v>7.4299999999999571</v>
      </c>
      <c r="BP208" s="21">
        <f t="shared" si="1960"/>
        <v>162.04000000000016</v>
      </c>
      <c r="BQ208" s="21">
        <f t="shared" si="1960"/>
        <v>192.7</v>
      </c>
      <c r="BR208" s="21">
        <f t="shared" si="1960"/>
        <v>187.40999999999988</v>
      </c>
      <c r="BS208" s="21">
        <f t="shared" si="1960"/>
        <v>176.59000000000012</v>
      </c>
      <c r="BT208" s="21">
        <f t="shared" si="1960"/>
        <v>220.41999999999985</v>
      </c>
      <c r="BU208" s="21">
        <f t="shared" si="1960"/>
        <v>241.81000000000006</v>
      </c>
      <c r="BV208" s="21">
        <f t="shared" si="1960"/>
        <v>257.61000000000007</v>
      </c>
      <c r="BW208" s="21">
        <f t="shared" si="1960"/>
        <v>277.01999999999992</v>
      </c>
      <c r="BX208" s="21">
        <f t="shared" si="1960"/>
        <v>267.06999999999994</v>
      </c>
      <c r="BY208" s="21">
        <f t="shared" si="1960"/>
        <v>283.97000000000008</v>
      </c>
      <c r="BZ208" s="21">
        <f t="shared" si="1960"/>
        <v>271.81999999999977</v>
      </c>
      <c r="CA208" s="21">
        <f t="shared" si="1960"/>
        <v>291.21000000000009</v>
      </c>
      <c r="CB208" s="21">
        <f t="shared" si="1960"/>
        <v>288.96000000000009</v>
      </c>
      <c r="CC208" s="21">
        <f t="shared" si="1960"/>
        <v>270.04000000000008</v>
      </c>
      <c r="CD208" s="21">
        <f t="shared" si="1960"/>
        <v>282.18000000000035</v>
      </c>
      <c r="CE208" s="21">
        <f t="shared" ref="CE208:CF208" si="1961">CE206+CE207</f>
        <v>313.11</v>
      </c>
      <c r="CF208" s="21">
        <f t="shared" si="1961"/>
        <v>309.71999999999986</v>
      </c>
      <c r="CG208" s="21">
        <f t="shared" ref="CG208:CH208" si="1962">CG206+CG207</f>
        <v>315.39999999999998</v>
      </c>
      <c r="CH208" s="21">
        <f t="shared" si="1962"/>
        <v>334.71999999999957</v>
      </c>
      <c r="CI208" s="21">
        <f t="shared" ref="CI208:CJ208" si="1963">CI206+CI207</f>
        <v>367.83000000000004</v>
      </c>
      <c r="CJ208" s="21">
        <f t="shared" si="1963"/>
        <v>377.14000000000033</v>
      </c>
      <c r="CK208" s="21">
        <f t="shared" ref="CK208:DA208" si="1964">CK206+CK207</f>
        <v>414.37999999999988</v>
      </c>
      <c r="CL208" s="21">
        <f t="shared" si="1964"/>
        <v>406.52999999999969</v>
      </c>
      <c r="CM208" s="20">
        <f t="shared" si="1964"/>
        <v>420.05668126947779</v>
      </c>
      <c r="CN208" s="20">
        <f t="shared" si="1964"/>
        <v>443.88032667050027</v>
      </c>
      <c r="CO208" s="20">
        <f t="shared" si="1964"/>
        <v>495.81766643091129</v>
      </c>
      <c r="CP208" s="20">
        <f t="shared" si="1964"/>
        <v>475.19979901326502</v>
      </c>
      <c r="CQ208" s="20">
        <f t="shared" si="1964"/>
        <v>495.28133809462446</v>
      </c>
      <c r="CR208" s="20">
        <f t="shared" si="1964"/>
        <v>524.09699714377462</v>
      </c>
      <c r="CS208" s="20">
        <f t="shared" si="1964"/>
        <v>583.88044123367069</v>
      </c>
      <c r="CT208" s="20">
        <f t="shared" si="1964"/>
        <v>543.08040698458058</v>
      </c>
      <c r="CU208" s="20">
        <f t="shared" si="1964"/>
        <v>562.97710188727979</v>
      </c>
      <c r="CV208" s="20">
        <f t="shared" si="1964"/>
        <v>594.31389794141421</v>
      </c>
      <c r="CW208" s="20">
        <f t="shared" si="1964"/>
        <v>655.38407231780479</v>
      </c>
      <c r="CX208" s="20">
        <f t="shared" si="1964"/>
        <v>622.73905625145471</v>
      </c>
      <c r="CY208" s="20">
        <f t="shared" si="1964"/>
        <v>644.61301772833349</v>
      </c>
      <c r="CZ208" s="20">
        <f t="shared" si="1964"/>
        <v>685.41228968528071</v>
      </c>
      <c r="DA208" s="20">
        <f t="shared" si="1964"/>
        <v>758.85381525778485</v>
      </c>
      <c r="DD208" s="125"/>
      <c r="DE208" s="21">
        <v>1494.0699999999986</v>
      </c>
    </row>
    <row r="209" spans="1:109" s="22" customFormat="1" x14ac:dyDescent="0.2">
      <c r="A209" s="22" t="s">
        <v>65</v>
      </c>
      <c r="C209" s="22">
        <f t="shared" ref="C209:AA209" si="1965">B161-C161+B176+B177-C176-C177</f>
        <v>0</v>
      </c>
      <c r="D209" s="22">
        <f t="shared" si="1965"/>
        <v>-115.60999999999999</v>
      </c>
      <c r="E209" s="22">
        <f>D161-E161+D176+D177-E176-E177</f>
        <v>7.8499999999999837</v>
      </c>
      <c r="F209" s="22">
        <f t="shared" si="1965"/>
        <v>-10.709999999999994</v>
      </c>
      <c r="G209" s="22">
        <f t="shared" si="1965"/>
        <v>-35.810000000000016</v>
      </c>
      <c r="H209" s="22">
        <f t="shared" si="1965"/>
        <v>-43.809999999999995</v>
      </c>
      <c r="I209" s="22">
        <f t="shared" si="1965"/>
        <v>-31.269999999999971</v>
      </c>
      <c r="J209" s="22">
        <f>I161-J161+I176+I177-J176-J177</f>
        <v>-86.769999999999939</v>
      </c>
      <c r="K209" s="22">
        <f>J161-K161+J176+J177-K176-K177</f>
        <v>32.769999999999925</v>
      </c>
      <c r="L209" s="22">
        <f t="shared" si="1965"/>
        <v>-53.339999999999989</v>
      </c>
      <c r="M209" s="22">
        <f t="shared" si="1965"/>
        <v>-188.35000000000005</v>
      </c>
      <c r="N209" s="22">
        <f t="shared" si="1965"/>
        <v>-20.29000000000006</v>
      </c>
      <c r="O209" s="22">
        <f t="shared" si="1965"/>
        <v>-116.19000000000008</v>
      </c>
      <c r="P209" s="22">
        <f t="shared" si="1965"/>
        <v>-33.099999999999802</v>
      </c>
      <c r="Q209" s="22">
        <f t="shared" si="1965"/>
        <v>-84.059999999999917</v>
      </c>
      <c r="R209" s="22">
        <f t="shared" si="1965"/>
        <v>-24.179999999999996</v>
      </c>
      <c r="S209" s="22">
        <f t="shared" si="1965"/>
        <v>-686.07</v>
      </c>
      <c r="T209" s="22">
        <f t="shared" si="1965"/>
        <v>-538.41000000000008</v>
      </c>
      <c r="U209" s="22">
        <f t="shared" si="1965"/>
        <v>278.32000000000016</v>
      </c>
      <c r="V209" s="22">
        <f t="shared" si="1965"/>
        <v>-87.650000000000375</v>
      </c>
      <c r="W209" s="22">
        <f t="shared" si="1965"/>
        <v>-638.29999999999961</v>
      </c>
      <c r="X209" s="22">
        <f t="shared" si="1965"/>
        <v>-547.16000000000054</v>
      </c>
      <c r="Y209" s="22">
        <f t="shared" si="1965"/>
        <v>44.300000000000892</v>
      </c>
      <c r="Z209" s="22">
        <f t="shared" si="1965"/>
        <v>-371.54000000000036</v>
      </c>
      <c r="AA209" s="22">
        <f t="shared" si="1965"/>
        <v>-787.21999999999969</v>
      </c>
      <c r="AB209" s="23">
        <f t="shared" ref="AB209" si="1966">AA161-AB161+AA176+AA177-AB176-AB177</f>
        <v>-632.33626062809071</v>
      </c>
      <c r="AC209" s="23">
        <f t="shared" ref="AC209" si="1967">AB161-AC161+AB176+AB177-AC176-AC177</f>
        <v>-801.22362855629217</v>
      </c>
      <c r="AD209" s="23">
        <f t="shared" ref="AD209" si="1968">AC161-AD161+AC176+AC177-AD176-AD177</f>
        <v>-687.43767289053267</v>
      </c>
      <c r="AE209" s="23">
        <f t="shared" ref="AE209" si="1969">AD161-AE161+AD176+AD177-AE176-AE177</f>
        <v>-814.58649832673473</v>
      </c>
      <c r="AI209" s="22">
        <f>AH161-AI161+AH176+AH177-AI176-AJ177</f>
        <v>-576.08000000000004</v>
      </c>
      <c r="AJ209" s="22">
        <f t="shared" ref="AJ209:AL209" si="1970">AI161-AJ161+AI176+AI177-AJ176-AK177</f>
        <v>27.088979795854016</v>
      </c>
      <c r="AK209" s="22">
        <f t="shared" si="1970"/>
        <v>3.6510202041459436</v>
      </c>
      <c r="AL209" s="22">
        <f t="shared" si="1970"/>
        <v>16.591695091034921</v>
      </c>
      <c r="AM209" s="22">
        <f t="shared" ref="AM209" si="1971">AL161-AM161+AL176+AL177-AM176-AM177</f>
        <v>-44.111695091034804</v>
      </c>
      <c r="AN209" s="22">
        <f t="shared" ref="AN209" si="1972">AM161-AN161+AM176+AM177-AN176-AN177</f>
        <v>-91.317961193735982</v>
      </c>
      <c r="AO209" s="22">
        <f t="shared" ref="AO209" si="1973">AN161-AO161+AN176+AN177-AO176-AO177</f>
        <v>2.6479611937357816</v>
      </c>
      <c r="AP209" s="22">
        <f t="shared" ref="AP209" si="1974">AO161-AP161+AO176+AO177-AP176-AP177</f>
        <v>-8.0210308493080902</v>
      </c>
      <c r="AQ209" s="22">
        <f t="shared" ref="AQ209" si="1975">AP161-AQ161+AP176+AP177-AQ176-AQ177</f>
        <v>-20.848969150691758</v>
      </c>
      <c r="AR209" s="22">
        <f t="shared" ref="AR209" si="1976">AQ161-AR161+AQ176+AQ177-AR176-AR177</f>
        <v>-22.509099726880549</v>
      </c>
      <c r="AS209" s="22">
        <f t="shared" ref="AS209" si="1977">AR161-AS161+AR176+AR177-AS176-AS177</f>
        <v>18.279099726880595</v>
      </c>
      <c r="AT209" s="22">
        <f t="shared" ref="AT209" si="1978">AS161-AT161+AS176+AS177-AT176-AT177</f>
        <v>22.910436321303678</v>
      </c>
      <c r="AU209" s="22">
        <f t="shared" ref="AU209" si="1979">AT161-AU161+AT176+AT177-AU176-AU177</f>
        <v>-77.750436321303624</v>
      </c>
      <c r="AV209" s="22">
        <f t="shared" ref="AV209" si="1980">AU161-AV161+AU176+AU177-AV176-AV177</f>
        <v>-7.5147505322595389</v>
      </c>
      <c r="AW209" s="22">
        <f t="shared" ref="AW209" si="1981">AV161-AW161+AV176+AV177-AW176-AW177</f>
        <v>-21.70524946774043</v>
      </c>
      <c r="AX209" s="22">
        <f t="shared" ref="AX209" si="1982">AW161-AX161+AW176+AW177-AX176-AX177</f>
        <v>40.135327220424188</v>
      </c>
      <c r="AY209" s="22">
        <f t="shared" ref="AY209" si="1983">AX161-AY161+AX176+AX177-AY176-AY177</f>
        <v>-61.215327220424321</v>
      </c>
      <c r="AZ209" s="22">
        <f t="shared" ref="AZ209" si="1984">AY161-AZ161+AY176+AY177-AZ176-AZ177</f>
        <v>15.892742735940374</v>
      </c>
      <c r="BA209" s="22">
        <f t="shared" ref="BA209" si="1985">AZ161-BA161+AZ176+AZ177-BA176-BA177</f>
        <v>-18.992742735940357</v>
      </c>
      <c r="BB209" s="22">
        <f t="shared" ref="BB209" si="1986">BA161-BB161+BA176+BA177-BB176-BB177</f>
        <v>46.178311719500471</v>
      </c>
      <c r="BC209" s="22">
        <f t="shared" ref="BC209" si="1987">BB161-BC161+BB176+BB177-BC176-BC177</f>
        <v>-67.048311719500546</v>
      </c>
      <c r="BD209" s="22">
        <f t="shared" ref="BD209" si="1988">BC161-BD161+BC176+BC177-BD176-BD177</f>
        <v>-605.87869809225765</v>
      </c>
      <c r="BE209" s="22">
        <f t="shared" ref="BE209" si="1989">BD161-BE161+BD176+BD177-BE176-BE177</f>
        <v>579.86869809225777</v>
      </c>
      <c r="BF209" s="22">
        <f t="shared" ref="BF209" si="1990">BE161-BF161+BE176+BE177-BF176-BF177</f>
        <v>-35.69155350730432</v>
      </c>
      <c r="BG209" s="22">
        <f t="shared" ref="BG209" si="1991">BF161-BG161+BF176+BF177-BG176-BG177</f>
        <v>-90.958446492695742</v>
      </c>
      <c r="BH209" s="22">
        <f t="shared" ref="BH209" si="1992">BG161-BH161+BG176+BG177-BH176-BH177</f>
        <v>-62.413107447330617</v>
      </c>
      <c r="BI209" s="22">
        <f t="shared" ref="BI209" si="1993">BH161-BI161+BH176+BH177-BI176-BI177</f>
        <v>-988.53689255266943</v>
      </c>
      <c r="BJ209" s="22">
        <f t="shared" ref="BJ209" si="1994">BI161-BJ161+BI176+BI177-BJ176-BJ177</f>
        <v>19.607010090281619</v>
      </c>
      <c r="BK209" s="22">
        <f t="shared" ref="BK209" si="1995">BJ161-BK161+BJ176+BJ177-BK176-BK177</f>
        <v>-65.737010090281686</v>
      </c>
      <c r="BL209" s="22">
        <f t="shared" ref="BL209" si="1996">BK161-BL161+BK176+BK177-BL176-BL177</f>
        <v>127.37720945643446</v>
      </c>
      <c r="BM209" s="22">
        <f t="shared" ref="BM209" si="1997">BL161-BM161+BL176+BL177-BM176-BM177</f>
        <v>197.07279054356576</v>
      </c>
      <c r="BN209" s="22">
        <f t="shared" ref="BN209" si="1998">BM161-BN161+BM176+BM177-BN176-BN177</f>
        <v>140.83163998958025</v>
      </c>
      <c r="BO209" s="22">
        <f t="shared" ref="BO209" si="1999">BN161-BO161+BN176+BN177-BO176-BO177</f>
        <v>-148.97163998958035</v>
      </c>
      <c r="BP209" s="22">
        <f t="shared" ref="BP209" si="2000">BO161-BP161+BO176+BO177-BP176-BP177</f>
        <v>-2119.4708179912514</v>
      </c>
      <c r="BQ209" s="22">
        <f t="shared" ref="BQ209" si="2001">BP161-BQ161+BP176+BP177-BQ176-BQ177</f>
        <v>2045.9308179912516</v>
      </c>
      <c r="BR209" s="22">
        <f t="shared" ref="BR209" si="2002">BQ161-BR161+BQ176+BQ177-BR176-BR177</f>
        <v>-47.497050095386385</v>
      </c>
      <c r="BS209" s="22">
        <f t="shared" ref="BS209" si="2003">BR161-BS161+BR176+BR177-BS176-BS177</f>
        <v>-282.3029499046138</v>
      </c>
      <c r="BT209" s="22">
        <f t="shared" ref="BT209" si="2004">BS161-BT161+BS176+BS177-BT176-BT177</f>
        <v>-370.99641573863028</v>
      </c>
      <c r="BU209" s="22">
        <f t="shared" ref="BU209" si="2005">BT161-BU161+BT176+BT177-BU176-BU177</f>
        <v>137.35641573863069</v>
      </c>
      <c r="BV209" s="22">
        <f t="shared" ref="BV209" si="2006">BU161-BV161+BU176+BU177-BV176-BV177</f>
        <v>-56.198014994551158</v>
      </c>
      <c r="BW209" s="22">
        <f t="shared" ref="BW209" si="2007">BV161-BW161+BV176+BV177-BW176-BW177</f>
        <v>-366.11198500544941</v>
      </c>
      <c r="BX209" s="22">
        <f t="shared" ref="BX209" si="2008">BW161-BX161+BW176+BW177-BX176-BX177</f>
        <v>-10.279857962180358</v>
      </c>
      <c r="BY209" s="22">
        <f t="shared" ref="BY209" si="2009">BX161-BY161+BX176+BX177-BY176-BY177</f>
        <v>-76.470142037819187</v>
      </c>
      <c r="BZ209" s="22">
        <f t="shared" ref="BZ209" si="2010">BY161-BZ161+BY176+BY177-BZ176-BZ177</f>
        <v>128.11526113726904</v>
      </c>
      <c r="CA209" s="22">
        <f t="shared" ref="CA209" si="2011">BZ161-CA161+BZ176+BZ177-CA176-CA177</f>
        <v>-258.30526113726955</v>
      </c>
      <c r="CB209" s="22">
        <f t="shared" ref="CB209" si="2012">CA161-CB161+CA176+CA177-CB176-CB177</f>
        <v>-33.166103961424142</v>
      </c>
      <c r="CC209" s="22">
        <f t="shared" ref="CC209" si="2013">CB161-CC161+CB176+CB177-CC176-CC177</f>
        <v>222.51610396142428</v>
      </c>
      <c r="CD209" s="22">
        <f t="shared" ref="CD209" si="2014">CC161-CD161+CC176+CC177-CD176-CD177</f>
        <v>1.7962198927739337</v>
      </c>
      <c r="CE209" s="22">
        <f t="shared" ref="CE209" si="2015">CD161-CE161+CD176+CD177-CE176-CE177</f>
        <v>-612.09621989277377</v>
      </c>
      <c r="CF209" s="22">
        <f t="shared" ref="CF209" si="2016">CE161-CF161+CE176+CE177-CF176-CF177</f>
        <v>-13.523551859657346</v>
      </c>
      <c r="CG209" s="22">
        <f t="shared" ref="CG209" si="2017">CF161-CG161+CF176+CF177-CG176-CG177</f>
        <v>118.4935518596572</v>
      </c>
      <c r="CH209" s="22">
        <f t="shared" ref="CH209:CL209" si="2018">CG161-CH161+CG176+CG177-CH176-CH177</f>
        <v>-49.597581060456378</v>
      </c>
      <c r="CI209" s="22">
        <f t="shared" si="2018"/>
        <v>-124.13241893954346</v>
      </c>
      <c r="CJ209" s="22">
        <f t="shared" si="2018"/>
        <v>-108.15355850360629</v>
      </c>
      <c r="CK209" s="22">
        <f t="shared" ref="CK209" si="2019">CJ161-CK161+CJ176+CJ177-CK176-CK177</f>
        <v>-302.65644149639377</v>
      </c>
      <c r="CL209" s="22">
        <f t="shared" si="2018"/>
        <v>21.194421042340764</v>
      </c>
      <c r="CM209" s="23">
        <f t="shared" ref="CM209" si="2020">CL161-CM161+CL176+CL177-CM176-CM177</f>
        <v>-105.94656738153935</v>
      </c>
      <c r="CN209" s="23">
        <f t="shared" ref="CN209" si="2021">CM161-CN161+CM176+CM177-CN176-CN177</f>
        <v>-207.63363038367106</v>
      </c>
      <c r="CO209" s="23">
        <f t="shared" ref="CO209" si="2022">CN161-CO161+CN176+CN177-CO176-CO177</f>
        <v>-542.6304839052209</v>
      </c>
      <c r="CP209" s="23">
        <f t="shared" ref="CP209" si="2023">CO161-CP161+CO176+CO177-CP176-CP177</f>
        <v>246.30044657067171</v>
      </c>
      <c r="CQ209" s="23">
        <f t="shared" ref="CQ209" si="2024">CP161-CQ161+CP176+CP177-CQ176-CQ177</f>
        <v>-149.82332964232774</v>
      </c>
      <c r="CR209" s="23">
        <f t="shared" ref="CR209" si="2025">CQ161-CR161+CQ176+CQ177-CR176-CR177</f>
        <v>-270.26531932408034</v>
      </c>
      <c r="CS209" s="23">
        <f t="shared" ref="CS209" si="2026">CR161-CS161+CR176+CR177-CS176-CS177</f>
        <v>-627.43542616055583</v>
      </c>
      <c r="CT209" s="23">
        <f t="shared" ref="CT209" si="2027">CS161-CT161+CS176+CS177-CT176-CT177</f>
        <v>461.69995536396436</v>
      </c>
      <c r="CU209" s="23">
        <f t="shared" ref="CU209" si="2028">CT161-CU161+CT176+CT177-CU176-CU177</f>
        <v>-139.1420963705441</v>
      </c>
      <c r="CV209" s="23">
        <f t="shared" ref="CV209" si="2029">CU161-CV161+CU176+CU177-CV176-CV177</f>
        <v>-322.60975649688135</v>
      </c>
      <c r="CW209" s="23">
        <f t="shared" ref="CW209" si="2030">CV161-CW161+CV176+CV177-CW176-CW177</f>
        <v>-687.38577538707159</v>
      </c>
      <c r="CX209" s="23">
        <f t="shared" ref="CX209" si="2031">CW161-CX161+CW176+CW177-CX176-CX177</f>
        <v>480.91808647364542</v>
      </c>
      <c r="CY209" s="23">
        <f t="shared" ref="CY209" si="2032">CX161-CY161+CX176+CX177-CY176-CY177</f>
        <v>-130.67749619981805</v>
      </c>
      <c r="CZ209" s="23">
        <f t="shared" ref="CZ209" si="2033">CY161-CZ161+CY176+CY177-CZ176-CZ177</f>
        <v>-391.1723771360912</v>
      </c>
      <c r="DA209" s="23">
        <f t="shared" ref="DA209" si="2034">CZ161-DA161+CZ176+CZ177-DA176-DA177</f>
        <v>-773.65471146447089</v>
      </c>
      <c r="DD209" s="122"/>
      <c r="DE209" s="22">
        <v>-584.53999999999985</v>
      </c>
    </row>
    <row r="210" spans="1:109" s="22" customFormat="1" x14ac:dyDescent="0.2">
      <c r="A210" s="22" t="s">
        <v>73</v>
      </c>
      <c r="C210" s="22">
        <f t="shared" ref="C210:AA210" si="2035">B169-C169</f>
        <v>0</v>
      </c>
      <c r="D210" s="22">
        <f t="shared" si="2035"/>
        <v>-61.410000000000004</v>
      </c>
      <c r="E210" s="22">
        <f>D169-E169</f>
        <v>-3.2100000000000009</v>
      </c>
      <c r="F210" s="22">
        <f t="shared" si="2035"/>
        <v>-5.4999999999999858</v>
      </c>
      <c r="G210" s="22">
        <f t="shared" si="2035"/>
        <v>-12.400000000000006</v>
      </c>
      <c r="H210" s="22">
        <f t="shared" si="2035"/>
        <v>-22.08</v>
      </c>
      <c r="I210" s="22">
        <f t="shared" si="2035"/>
        <v>-14.100000000000009</v>
      </c>
      <c r="J210" s="22">
        <f>I169-J169</f>
        <v>-19.739999999999995</v>
      </c>
      <c r="K210" s="22">
        <f>J169-K169</f>
        <v>-5.0099999999999909</v>
      </c>
      <c r="L210" s="22">
        <f t="shared" si="2035"/>
        <v>-57.71999999999997</v>
      </c>
      <c r="M210" s="22">
        <f t="shared" si="2035"/>
        <v>-62.420000000000073</v>
      </c>
      <c r="N210" s="22">
        <f t="shared" si="2035"/>
        <v>5.8700000000000045</v>
      </c>
      <c r="O210" s="22">
        <f t="shared" si="2035"/>
        <v>-68.589999999999975</v>
      </c>
      <c r="P210" s="22">
        <f t="shared" si="2035"/>
        <v>15.009999999999991</v>
      </c>
      <c r="Q210" s="22">
        <f t="shared" si="2035"/>
        <v>-46.160000000000025</v>
      </c>
      <c r="R210" s="22">
        <f t="shared" si="2035"/>
        <v>-21.089999999999975</v>
      </c>
      <c r="S210" s="22">
        <f t="shared" si="2035"/>
        <v>-407.29</v>
      </c>
      <c r="T210" s="22">
        <f t="shared" si="2035"/>
        <v>-217.66999999999996</v>
      </c>
      <c r="U210" s="22">
        <f t="shared" si="2035"/>
        <v>320.43999999999994</v>
      </c>
      <c r="V210" s="22">
        <f t="shared" si="2035"/>
        <v>-425.46999999999991</v>
      </c>
      <c r="W210" s="22">
        <f t="shared" si="2035"/>
        <v>-287.37000000000012</v>
      </c>
      <c r="X210" s="22">
        <f t="shared" si="2035"/>
        <v>-266.91000000000008</v>
      </c>
      <c r="Y210" s="22">
        <f t="shared" si="2035"/>
        <v>-27.289999999999964</v>
      </c>
      <c r="Z210" s="22">
        <f t="shared" si="2035"/>
        <v>-93.499999999999773</v>
      </c>
      <c r="AA210" s="22">
        <f t="shared" si="2035"/>
        <v>-680.08999999999992</v>
      </c>
      <c r="AB210" s="23">
        <f t="shared" ref="AB210" si="2036">AA169-AB169</f>
        <v>-74.483210374071859</v>
      </c>
      <c r="AC210" s="23">
        <f t="shared" ref="AC210" si="2037">AB169-AC169</f>
        <v>-429.3661163869192</v>
      </c>
      <c r="AD210" s="23">
        <f t="shared" ref="AD210" si="2038">AC169-AD169</f>
        <v>-368.38958980642565</v>
      </c>
      <c r="AE210" s="23">
        <f t="shared" ref="AE210" si="2039">AD169-AE169</f>
        <v>-436.52711775111675</v>
      </c>
      <c r="AI210" s="22">
        <f t="shared" ref="AI210" si="2040">AH169-AI169</f>
        <v>-291.97000000000003</v>
      </c>
      <c r="AJ210" s="22">
        <f t="shared" ref="AJ210" si="2041">AI169-AJ169</f>
        <v>0</v>
      </c>
      <c r="AK210" s="22">
        <f t="shared" ref="AK210" si="2042">AJ169-AK169</f>
        <v>34.25</v>
      </c>
      <c r="AL210" s="22">
        <f t="shared" ref="AL210" si="2043">AK169-AL169</f>
        <v>7.4660955865406891</v>
      </c>
      <c r="AM210" s="22">
        <f t="shared" ref="AM210" si="2044">AL169-AM169</f>
        <v>-21.90609558654063</v>
      </c>
      <c r="AN210" s="22">
        <f t="shared" ref="AN210" si="2045">AM169-AN169</f>
        <v>0</v>
      </c>
      <c r="AO210" s="22">
        <f t="shared" ref="AO210" si="2046">AN169-AO169</f>
        <v>-54.150000000000034</v>
      </c>
      <c r="AP210" s="22">
        <f t="shared" ref="AP210" si="2047">AO169-AP169</f>
        <v>-4.1823524184334246</v>
      </c>
      <c r="AQ210" s="22">
        <f t="shared" ref="AQ210" si="2048">AP169-AQ169</f>
        <v>33.292352418433381</v>
      </c>
      <c r="AR210" s="22">
        <f t="shared" ref="AR210" si="2049">AQ169-AR169</f>
        <v>-9.8255274778568946</v>
      </c>
      <c r="AS210" s="22">
        <f t="shared" ref="AS210" si="2050">AR169-AS169</f>
        <v>-4.2744725221430713</v>
      </c>
      <c r="AT210" s="22">
        <f t="shared" ref="AT210" si="2051">AS169-AT169</f>
        <v>10.292404190919683</v>
      </c>
      <c r="AU210" s="22">
        <f t="shared" ref="AU210" si="2052">AT169-AU169</f>
        <v>-55.342404190919638</v>
      </c>
      <c r="AV210" s="22">
        <f t="shared" ref="AV210" si="2053">AU169-AV169</f>
        <v>-3.3945299916690033</v>
      </c>
      <c r="AW210" s="22">
        <f t="shared" ref="AW210" si="2054">AV169-AW169</f>
        <v>2.2845299916689328</v>
      </c>
      <c r="AX210" s="22">
        <f t="shared" ref="AX210" si="2055">AW169-AX169</f>
        <v>17.337734627831765</v>
      </c>
      <c r="AY210" s="22">
        <f t="shared" ref="AY210" si="2056">AX169-AY169</f>
        <v>-15.10773462783169</v>
      </c>
      <c r="AZ210" s="22">
        <f t="shared" ref="AZ210" si="2057">AY169-AZ169</f>
        <v>6.9305916270257626</v>
      </c>
      <c r="BA210" s="22">
        <f t="shared" ref="BA210" si="2058">AZ169-BA169</f>
        <v>-30.250591627025813</v>
      </c>
      <c r="BB210" s="22">
        <f t="shared" ref="BB210" si="2059">BA169-BB169</f>
        <v>20.847822606468128</v>
      </c>
      <c r="BC210" s="22">
        <f t="shared" ref="BC210" si="2060">BB169-BC169</f>
        <v>-15.567822606468155</v>
      </c>
      <c r="BD210" s="22">
        <f t="shared" ref="BD210" si="2061">BC169-BD169</f>
        <v>-260.05986797214069</v>
      </c>
      <c r="BE210" s="22">
        <f t="shared" ref="BE210" si="2062">BD169-BE169</f>
        <v>235.6798679721407</v>
      </c>
      <c r="BF210" s="22">
        <f t="shared" ref="BF210" si="2063">BE169-BF169</f>
        <v>-17.246517548751967</v>
      </c>
      <c r="BG210" s="22">
        <f t="shared" ref="BG210" si="2064">BF169-BG169</f>
        <v>-69.753482451248033</v>
      </c>
      <c r="BH210" s="22">
        <f t="shared" ref="BH210" si="2065">BG169-BH169</f>
        <v>-31.345853889080843</v>
      </c>
      <c r="BI210" s="22">
        <f t="shared" ref="BI210" si="2066">BH169-BI169</f>
        <v>-487.51414611091911</v>
      </c>
      <c r="BJ210" s="22">
        <f t="shared" ref="BJ210" si="2067">BI169-BJ169</f>
        <v>9.2972207470349986</v>
      </c>
      <c r="BK210" s="22">
        <f t="shared" ref="BK210" si="2068">BJ169-BK169</f>
        <v>146.92277925296492</v>
      </c>
      <c r="BL210" s="22">
        <f t="shared" ref="BL210" si="2069">BK169-BL169</f>
        <v>48.50184436285474</v>
      </c>
      <c r="BM210" s="22">
        <f t="shared" ref="BM210" si="2070">BL169-BM169</f>
        <v>115.71815563714529</v>
      </c>
      <c r="BN210" s="22">
        <f t="shared" ref="BN210" si="2071">BM169-BN169</f>
        <v>51.977635146217608</v>
      </c>
      <c r="BO210" s="22">
        <f t="shared" ref="BO210" si="2072">BN169-BO169</f>
        <v>-211.15763514621756</v>
      </c>
      <c r="BP210" s="22">
        <f t="shared" ref="BP210" si="2073">BO169-BP169</f>
        <v>-752.0006363926359</v>
      </c>
      <c r="BQ210" s="22">
        <f t="shared" ref="BQ210" si="2074">BP169-BQ169</f>
        <v>571.51063639263589</v>
      </c>
      <c r="BR210" s="22">
        <f t="shared" ref="BR210" si="2075">BQ169-BR169</f>
        <v>-25.978640570903508</v>
      </c>
      <c r="BS210" s="22">
        <f t="shared" ref="BS210" si="2076">BR169-BS169</f>
        <v>-129.84135942909643</v>
      </c>
      <c r="BT210" s="22">
        <f t="shared" ref="BT210" si="2077">BS169-BT169</f>
        <v>-192.6933775113755</v>
      </c>
      <c r="BU210" s="22">
        <f t="shared" ref="BU210" si="2078">BT169-BU169</f>
        <v>128.65337751137554</v>
      </c>
      <c r="BV210" s="22">
        <f t="shared" ref="BV210" si="2079">BU169-BV169</f>
        <v>-27.125233452816929</v>
      </c>
      <c r="BW210" s="22">
        <f t="shared" ref="BW210" si="2080">BV169-BW169</f>
        <v>-177.18476654718302</v>
      </c>
      <c r="BX210" s="22">
        <f t="shared" ref="BX210" si="2081">BW169-BX169</f>
        <v>-5.0484724072668996</v>
      </c>
      <c r="BY210" s="22">
        <f t="shared" ref="BY210" si="2082">BX169-BY169</f>
        <v>11.138472407266818</v>
      </c>
      <c r="BZ210" s="22">
        <f t="shared" ref="BZ210" si="2083">BY169-BZ169</f>
        <v>62.584950770345358</v>
      </c>
      <c r="CA210" s="22">
        <f t="shared" ref="CA210" si="2084">BZ169-CA169</f>
        <v>-92.524950770345185</v>
      </c>
      <c r="CB210" s="22">
        <f t="shared" ref="CB210" si="2085">CA169-CB169</f>
        <v>-15.328921022994336</v>
      </c>
      <c r="CC210" s="22">
        <f t="shared" ref="CC210" si="2086">CB169-CC169</f>
        <v>24.928921022994018</v>
      </c>
      <c r="CD210" s="22">
        <f t="shared" ref="CD210" si="2087">CC169-CD169</f>
        <v>0.79928452161834684</v>
      </c>
      <c r="CE210" s="22">
        <f t="shared" ref="CE210" si="2088">CD169-CE169</f>
        <v>-302.4892845216184</v>
      </c>
      <c r="CF210" s="22">
        <f t="shared" ref="CF210" si="2089">CE169-CF169</f>
        <v>-6.0968830096255715</v>
      </c>
      <c r="CG210" s="22">
        <f t="shared" ref="CG210" si="2090">CF169-CG169</f>
        <v>-14.663116990374192</v>
      </c>
      <c r="CH210" s="22">
        <f t="shared" ref="CH210:CL210" si="2091">CG169-CH169</f>
        <v>-20.253114612885383</v>
      </c>
      <c r="CI210" s="22">
        <f t="shared" si="2091"/>
        <v>-70.356885387114971</v>
      </c>
      <c r="CJ210" s="22">
        <f t="shared" si="2091"/>
        <v>-50.923040223753105</v>
      </c>
      <c r="CK210" s="22">
        <f t="shared" ref="CK210" si="2092">CJ169-CK169</f>
        <v>-239.57695977624644</v>
      </c>
      <c r="CL210" s="22">
        <f t="shared" si="2091"/>
        <v>78.038813987987851</v>
      </c>
      <c r="CM210" s="23">
        <f t="shared" ref="CM210" si="2093">CL169-CM169</f>
        <v>-49.444499427171195</v>
      </c>
      <c r="CN210" s="23">
        <f t="shared" ref="CN210" si="2094">CM169-CN169</f>
        <v>-111.26836794590417</v>
      </c>
      <c r="CO210" s="23">
        <f t="shared" ref="CO210" si="2095">CN169-CO169</f>
        <v>-290.78915698898436</v>
      </c>
      <c r="CP210" s="23">
        <f t="shared" ref="CP210" si="2096">CO169-CP169</f>
        <v>131.98945018504673</v>
      </c>
      <c r="CQ210" s="23">
        <f t="shared" ref="CQ210" si="2097">CP169-CQ169</f>
        <v>-80.288522330022261</v>
      </c>
      <c r="CR210" s="23">
        <f t="shared" ref="CR210" si="2098">CQ169-CR169</f>
        <v>-144.83193757196796</v>
      </c>
      <c r="CS210" s="23">
        <f t="shared" ref="CS210" si="2099">CR169-CS169</f>
        <v>-336.23510666997572</v>
      </c>
      <c r="CT210" s="23">
        <f t="shared" ref="CT210" si="2100">CS169-CT169</f>
        <v>247.41945906892579</v>
      </c>
      <c r="CU210" s="23">
        <f t="shared" ref="CU210" si="2101">CT169-CU169</f>
        <v>-74.564577747419207</v>
      </c>
      <c r="CV210" s="23">
        <f t="shared" ref="CV210" si="2102">CU169-CV169</f>
        <v>-172.88269257009779</v>
      </c>
      <c r="CW210" s="23">
        <f t="shared" ref="CW210" si="2103">CV169-CW169</f>
        <v>-368.36177855783444</v>
      </c>
      <c r="CX210" s="23">
        <f t="shared" ref="CX210" si="2104">CW169-CX169</f>
        <v>257.71822463784247</v>
      </c>
      <c r="CY210" s="23">
        <f t="shared" ref="CY210" si="2105">CX169-CY169</f>
        <v>-70.028500212335985</v>
      </c>
      <c r="CZ210" s="23">
        <f t="shared" ref="CZ210" si="2106">CY169-CZ169</f>
        <v>-209.62457723744228</v>
      </c>
      <c r="DA210" s="23">
        <f t="shared" ref="DA210" si="2107">CZ169-DA169</f>
        <v>-414.59226493918095</v>
      </c>
      <c r="DD210" s="122"/>
      <c r="DE210" s="22">
        <v>-381.1099999999999</v>
      </c>
    </row>
    <row r="211" spans="1:109" s="21" customFormat="1" x14ac:dyDescent="0.2">
      <c r="A211" s="21" t="s">
        <v>90</v>
      </c>
      <c r="C211" s="21">
        <f t="shared" ref="C211:W211" si="2108">C209-C210</f>
        <v>0</v>
      </c>
      <c r="D211" s="21">
        <f t="shared" si="2108"/>
        <v>-54.199999999999982</v>
      </c>
      <c r="E211" s="21">
        <f t="shared" si="2108"/>
        <v>11.059999999999985</v>
      </c>
      <c r="F211" s="21">
        <f t="shared" si="2108"/>
        <v>-5.210000000000008</v>
      </c>
      <c r="G211" s="21">
        <f t="shared" si="2108"/>
        <v>-23.410000000000011</v>
      </c>
      <c r="H211" s="21">
        <f t="shared" si="2108"/>
        <v>-21.729999999999997</v>
      </c>
      <c r="I211" s="21">
        <f t="shared" si="2108"/>
        <v>-17.169999999999963</v>
      </c>
      <c r="J211" s="21">
        <f>J209-J210</f>
        <v>-67.029999999999944</v>
      </c>
      <c r="K211" s="21">
        <f t="shared" si="2108"/>
        <v>37.779999999999916</v>
      </c>
      <c r="L211" s="21">
        <f t="shared" si="2108"/>
        <v>4.3799999999999812</v>
      </c>
      <c r="M211" s="21">
        <f t="shared" si="2108"/>
        <v>-125.92999999999998</v>
      </c>
      <c r="N211" s="21">
        <f t="shared" si="2108"/>
        <v>-26.160000000000064</v>
      </c>
      <c r="O211" s="21">
        <f t="shared" si="2108"/>
        <v>-47.600000000000108</v>
      </c>
      <c r="P211" s="21">
        <f t="shared" si="2108"/>
        <v>-48.109999999999793</v>
      </c>
      <c r="Q211" s="21">
        <f t="shared" si="2108"/>
        <v>-37.899999999999892</v>
      </c>
      <c r="R211" s="21">
        <f t="shared" si="2108"/>
        <v>-3.0900000000000212</v>
      </c>
      <c r="S211" s="21">
        <f t="shared" si="2108"/>
        <v>-278.78000000000003</v>
      </c>
      <c r="T211" s="21">
        <f t="shared" si="2108"/>
        <v>-320.74000000000012</v>
      </c>
      <c r="U211" s="21">
        <f t="shared" si="2108"/>
        <v>-42.119999999999777</v>
      </c>
      <c r="V211" s="21">
        <f t="shared" si="2108"/>
        <v>337.81999999999954</v>
      </c>
      <c r="W211" s="21">
        <f t="shared" si="2108"/>
        <v>-350.9299999999995</v>
      </c>
      <c r="X211" s="21">
        <f t="shared" ref="X211:Y211" si="2109">X209-X210</f>
        <v>-280.25000000000045</v>
      </c>
      <c r="Y211" s="21">
        <f t="shared" si="2109"/>
        <v>71.590000000000856</v>
      </c>
      <c r="Z211" s="21">
        <f t="shared" ref="Z211:AA211" si="2110">Z209-Z210</f>
        <v>-278.04000000000059</v>
      </c>
      <c r="AA211" s="21">
        <f t="shared" ref="AA211" si="2111">AA209-AA210</f>
        <v>-107.12999999999977</v>
      </c>
      <c r="AB211" s="20">
        <f t="shared" ref="AB211:AD211" si="2112">AB209-AB210</f>
        <v>-557.85305025401885</v>
      </c>
      <c r="AC211" s="20">
        <f t="shared" si="2112"/>
        <v>-371.85751216937297</v>
      </c>
      <c r="AD211" s="20">
        <f t="shared" si="2112"/>
        <v>-319.04808308410702</v>
      </c>
      <c r="AE211" s="20">
        <f t="shared" ref="AE211" si="2113">AE209-AE210</f>
        <v>-378.05938057561798</v>
      </c>
      <c r="AI211" s="21">
        <f t="shared" ref="AI211" si="2114">AI209-AI210</f>
        <v>-284.11</v>
      </c>
      <c r="AJ211" s="21">
        <f t="shared" ref="AJ211:AL211" si="2115">AJ209-AJ210</f>
        <v>27.088979795854016</v>
      </c>
      <c r="AK211" s="21">
        <f t="shared" si="2115"/>
        <v>-30.598979795854056</v>
      </c>
      <c r="AL211" s="21">
        <f t="shared" si="2115"/>
        <v>9.1255995044942324</v>
      </c>
      <c r="AM211" s="21">
        <f t="shared" ref="AM211" si="2116">AM209-AM210</f>
        <v>-22.205599504494174</v>
      </c>
      <c r="AN211" s="21">
        <f t="shared" ref="AN211:CD211" si="2117">AN209-AN210</f>
        <v>-91.317961193735982</v>
      </c>
      <c r="AO211" s="21">
        <f t="shared" si="2117"/>
        <v>56.797961193735816</v>
      </c>
      <c r="AP211" s="21">
        <f t="shared" si="2117"/>
        <v>-3.8386784308746655</v>
      </c>
      <c r="AQ211" s="21">
        <f t="shared" si="2117"/>
        <v>-54.141321569125139</v>
      </c>
      <c r="AR211" s="21">
        <f t="shared" si="2117"/>
        <v>-12.683572249023655</v>
      </c>
      <c r="AS211" s="21">
        <f t="shared" si="2117"/>
        <v>22.553572249023667</v>
      </c>
      <c r="AT211" s="21">
        <f t="shared" si="2117"/>
        <v>12.618032130383995</v>
      </c>
      <c r="AU211" s="21">
        <f t="shared" si="2117"/>
        <v>-22.408032130383987</v>
      </c>
      <c r="AV211" s="21">
        <f t="shared" si="2117"/>
        <v>-4.1202205405905357</v>
      </c>
      <c r="AW211" s="21">
        <f t="shared" si="2117"/>
        <v>-23.989779459409363</v>
      </c>
      <c r="AX211" s="21">
        <f t="shared" si="2117"/>
        <v>22.797592592592423</v>
      </c>
      <c r="AY211" s="21">
        <f t="shared" si="2117"/>
        <v>-46.107592592592631</v>
      </c>
      <c r="AZ211" s="21">
        <f t="shared" si="2117"/>
        <v>8.9621511089146111</v>
      </c>
      <c r="BA211" s="21">
        <f t="shared" si="2117"/>
        <v>11.257848891085455</v>
      </c>
      <c r="BB211" s="21">
        <f t="shared" si="2117"/>
        <v>25.330489113032343</v>
      </c>
      <c r="BC211" s="21">
        <f t="shared" si="2117"/>
        <v>-51.480489113032391</v>
      </c>
      <c r="BD211" s="21">
        <f t="shared" si="2117"/>
        <v>-345.81883012011696</v>
      </c>
      <c r="BE211" s="21">
        <f t="shared" si="2117"/>
        <v>344.18883012011707</v>
      </c>
      <c r="BF211" s="21">
        <f t="shared" si="2117"/>
        <v>-18.445035958552353</v>
      </c>
      <c r="BG211" s="21">
        <f t="shared" si="2117"/>
        <v>-21.20496404144771</v>
      </c>
      <c r="BH211" s="21">
        <f t="shared" si="2117"/>
        <v>-31.067253558249774</v>
      </c>
      <c r="BI211" s="21">
        <f t="shared" si="2117"/>
        <v>-501.02274644175031</v>
      </c>
      <c r="BJ211" s="21">
        <f t="shared" si="2117"/>
        <v>10.309789343246621</v>
      </c>
      <c r="BK211" s="21">
        <f t="shared" si="2117"/>
        <v>-212.65978934324659</v>
      </c>
      <c r="BL211" s="21">
        <f t="shared" si="2117"/>
        <v>78.875365093579717</v>
      </c>
      <c r="BM211" s="21">
        <f t="shared" si="2117"/>
        <v>81.354634906420472</v>
      </c>
      <c r="BN211" s="21">
        <f t="shared" si="2117"/>
        <v>88.854004843362645</v>
      </c>
      <c r="BO211" s="21">
        <f t="shared" si="2117"/>
        <v>62.185995156637205</v>
      </c>
      <c r="BP211" s="21">
        <f t="shared" si="2117"/>
        <v>-1367.4701815986155</v>
      </c>
      <c r="BQ211" s="21">
        <f t="shared" si="2117"/>
        <v>1474.4201815986157</v>
      </c>
      <c r="BR211" s="21">
        <f t="shared" si="2117"/>
        <v>-21.518409524482877</v>
      </c>
      <c r="BS211" s="21">
        <f t="shared" si="2117"/>
        <v>-152.46159047551737</v>
      </c>
      <c r="BT211" s="21">
        <f t="shared" si="2117"/>
        <v>-178.30303822725477</v>
      </c>
      <c r="BU211" s="21">
        <f t="shared" si="2117"/>
        <v>8.7030382272551492</v>
      </c>
      <c r="BV211" s="21">
        <f t="shared" si="2117"/>
        <v>-29.07278154173423</v>
      </c>
      <c r="BW211" s="21">
        <f t="shared" si="2117"/>
        <v>-188.9272184582664</v>
      </c>
      <c r="BX211" s="21">
        <f t="shared" si="2117"/>
        <v>-5.2313855549134587</v>
      </c>
      <c r="BY211" s="21">
        <f t="shared" si="2117"/>
        <v>-87.608614445086005</v>
      </c>
      <c r="BZ211" s="21">
        <f t="shared" si="2117"/>
        <v>65.530310366923686</v>
      </c>
      <c r="CA211" s="21">
        <f t="shared" si="2117"/>
        <v>-165.78031036692437</v>
      </c>
      <c r="CB211" s="21">
        <f t="shared" si="2117"/>
        <v>-17.837182938429805</v>
      </c>
      <c r="CC211" s="21">
        <f t="shared" si="2117"/>
        <v>197.58718293843026</v>
      </c>
      <c r="CD211" s="21">
        <f t="shared" si="2117"/>
        <v>0.99693537115558684</v>
      </c>
      <c r="CE211" s="21">
        <f t="shared" ref="CE211:CF211" si="2118">CE209-CE210</f>
        <v>-309.60693537115537</v>
      </c>
      <c r="CF211" s="21">
        <f t="shared" si="2118"/>
        <v>-7.4266688500317741</v>
      </c>
      <c r="CG211" s="21">
        <f t="shared" ref="CG211:CH211" si="2119">CG209-CG210</f>
        <v>133.15666885003139</v>
      </c>
      <c r="CH211" s="21">
        <f t="shared" si="2119"/>
        <v>-29.344466447570994</v>
      </c>
      <c r="CI211" s="21">
        <f t="shared" ref="CI211:CJ211" si="2120">CI209-CI210</f>
        <v>-53.775533552428485</v>
      </c>
      <c r="CJ211" s="21">
        <f t="shared" si="2120"/>
        <v>-57.230518279853186</v>
      </c>
      <c r="CK211" s="21">
        <f t="shared" ref="CK211:DA211" si="2121">CK209-CK210</f>
        <v>-63.079481720147328</v>
      </c>
      <c r="CL211" s="21">
        <f t="shared" si="2121"/>
        <v>-56.844392945647087</v>
      </c>
      <c r="CM211" s="20">
        <f t="shared" si="2121"/>
        <v>-56.502067954368158</v>
      </c>
      <c r="CN211" s="20">
        <f t="shared" si="2121"/>
        <v>-96.365262437766887</v>
      </c>
      <c r="CO211" s="20">
        <f t="shared" si="2121"/>
        <v>-251.84132691623654</v>
      </c>
      <c r="CP211" s="20">
        <f t="shared" si="2121"/>
        <v>114.31099638562497</v>
      </c>
      <c r="CQ211" s="20">
        <f t="shared" si="2121"/>
        <v>-69.534807312305475</v>
      </c>
      <c r="CR211" s="20">
        <f t="shared" si="2121"/>
        <v>-125.43338175211238</v>
      </c>
      <c r="CS211" s="20">
        <f t="shared" si="2121"/>
        <v>-291.20031949058011</v>
      </c>
      <c r="CT211" s="20">
        <f t="shared" si="2121"/>
        <v>214.28049629503857</v>
      </c>
      <c r="CU211" s="20">
        <f t="shared" si="2121"/>
        <v>-64.577518623124888</v>
      </c>
      <c r="CV211" s="20">
        <f t="shared" si="2121"/>
        <v>-149.72706392678356</v>
      </c>
      <c r="CW211" s="20">
        <f t="shared" si="2121"/>
        <v>-319.02399682923715</v>
      </c>
      <c r="CX211" s="20">
        <f t="shared" si="2121"/>
        <v>223.19986183580295</v>
      </c>
      <c r="CY211" s="20">
        <f t="shared" si="2121"/>
        <v>-60.648995987482067</v>
      </c>
      <c r="CZ211" s="20">
        <f t="shared" si="2121"/>
        <v>-181.54779989864892</v>
      </c>
      <c r="DA211" s="20">
        <f t="shared" si="2121"/>
        <v>-359.06244652528994</v>
      </c>
      <c r="DD211" s="125"/>
      <c r="DE211" s="21">
        <v>-203.42999999999995</v>
      </c>
    </row>
    <row r="212" spans="1:109" s="21" customFormat="1" x14ac:dyDescent="0.2">
      <c r="A212" s="21" t="s">
        <v>91</v>
      </c>
      <c r="C212" s="21">
        <f t="shared" ref="C212:W212" si="2122">C208+C211</f>
        <v>0</v>
      </c>
      <c r="D212" s="21">
        <f>D208+D211</f>
        <v>-17.450000000000003</v>
      </c>
      <c r="E212" s="21">
        <f t="shared" si="2122"/>
        <v>50.95999999999998</v>
      </c>
      <c r="F212" s="21">
        <f t="shared" si="2122"/>
        <v>42.660000000000032</v>
      </c>
      <c r="G212" s="21">
        <f t="shared" si="2122"/>
        <v>41.31</v>
      </c>
      <c r="H212" s="21">
        <f t="shared" si="2122"/>
        <v>70.269999999999953</v>
      </c>
      <c r="I212" s="21">
        <f t="shared" si="2122"/>
        <v>81.72000000000007</v>
      </c>
      <c r="J212" s="21">
        <f>J208+J211</f>
        <v>49.280000000000058</v>
      </c>
      <c r="K212" s="21">
        <f t="shared" si="2122"/>
        <v>123.39999999999996</v>
      </c>
      <c r="L212" s="21">
        <f t="shared" si="2122"/>
        <v>145.9899999999999</v>
      </c>
      <c r="M212" s="21">
        <f t="shared" si="2122"/>
        <v>72.629999999999939</v>
      </c>
      <c r="N212" s="21">
        <f t="shared" si="2122"/>
        <v>163.29000000000002</v>
      </c>
      <c r="O212" s="21">
        <f t="shared" si="2122"/>
        <v>117.47999999999999</v>
      </c>
      <c r="P212" s="21">
        <f t="shared" si="2122"/>
        <v>154.12000000000015</v>
      </c>
      <c r="Q212" s="21">
        <f t="shared" si="2122"/>
        <v>225.09000000000017</v>
      </c>
      <c r="R212" s="21">
        <f t="shared" si="2122"/>
        <v>256.07000000000005</v>
      </c>
      <c r="S212" s="21">
        <f t="shared" si="2122"/>
        <v>247.86999999999938</v>
      </c>
      <c r="T212" s="21">
        <f t="shared" si="2122"/>
        <v>247.56000000000029</v>
      </c>
      <c r="U212" s="21">
        <f t="shared" si="2122"/>
        <v>484.22999999999922</v>
      </c>
      <c r="V212" s="21">
        <f t="shared" si="2122"/>
        <v>822.75999999999976</v>
      </c>
      <c r="W212" s="21">
        <f t="shared" si="2122"/>
        <v>475.30000000000075</v>
      </c>
      <c r="X212" s="21">
        <f t="shared" ref="X212:Y212" si="2123">X208+X211</f>
        <v>805.41999999999985</v>
      </c>
      <c r="Y212" s="21">
        <f t="shared" si="2123"/>
        <v>1193.6200000000001</v>
      </c>
      <c r="Z212" s="21">
        <f t="shared" ref="Z212:AA212" si="2124">Z208+Z211</f>
        <v>942.36999999999944</v>
      </c>
      <c r="AA212" s="21">
        <f t="shared" ref="AA212" si="2125">AA208+AA211</f>
        <v>1386.9400000000005</v>
      </c>
      <c r="AB212" s="20">
        <f t="shared" ref="AB212:AD212" si="2126">AB208+AB211</f>
        <v>1208.4316241168708</v>
      </c>
      <c r="AC212" s="20">
        <f t="shared" si="2126"/>
        <v>1706.6010633159631</v>
      </c>
      <c r="AD212" s="20">
        <f t="shared" si="2126"/>
        <v>2036.7073960469716</v>
      </c>
      <c r="AE212" s="20">
        <f t="shared" ref="AE212" si="2127">AE208+AE211</f>
        <v>2333.5587983472369</v>
      </c>
      <c r="AI212" s="21">
        <f t="shared" ref="AI212" si="2128">AI208+AI211</f>
        <v>-231.24</v>
      </c>
      <c r="AJ212" s="21">
        <f t="shared" ref="AJ212:AL212" si="2129">AJ208+AJ211</f>
        <v>72.62897979585405</v>
      </c>
      <c r="AK212" s="21">
        <f t="shared" si="2129"/>
        <v>7.8510202041459536</v>
      </c>
      <c r="AL212" s="21">
        <f t="shared" si="2129"/>
        <v>44.185599504494178</v>
      </c>
      <c r="AM212" s="21">
        <f t="shared" ref="AM212" si="2130">AM208+AM211</f>
        <v>13.864400495505791</v>
      </c>
      <c r="AN212" s="21">
        <f t="shared" ref="AN212:CD212" si="2131">AN208+AN211</f>
        <v>-44.157961193735986</v>
      </c>
      <c r="AO212" s="21">
        <f t="shared" si="2131"/>
        <v>103.58796119373579</v>
      </c>
      <c r="AP212" s="21">
        <f t="shared" si="2131"/>
        <v>42.891321569125324</v>
      </c>
      <c r="AQ212" s="21">
        <f t="shared" si="2131"/>
        <v>-1.0813215691250733</v>
      </c>
      <c r="AR212" s="21">
        <f t="shared" si="2131"/>
        <v>37.34642775097636</v>
      </c>
      <c r="AS212" s="21">
        <f t="shared" si="2131"/>
        <v>74.963572249023713</v>
      </c>
      <c r="AT212" s="21">
        <f t="shared" si="2131"/>
        <v>66.468032130383932</v>
      </c>
      <c r="AU212" s="21">
        <f t="shared" si="2131"/>
        <v>39.281967869616039</v>
      </c>
      <c r="AV212" s="21">
        <f t="shared" si="2131"/>
        <v>59.279779459409468</v>
      </c>
      <c r="AW212" s="21">
        <f t="shared" si="2131"/>
        <v>60.06022054059062</v>
      </c>
      <c r="AX212" s="21">
        <f t="shared" si="2131"/>
        <v>79.457592592592434</v>
      </c>
      <c r="AY212" s="21">
        <f t="shared" si="2131"/>
        <v>15.892407407407369</v>
      </c>
      <c r="AZ212" s="21">
        <f t="shared" si="2131"/>
        <v>77.222151108914588</v>
      </c>
      <c r="BA212" s="21">
        <f t="shared" si="2131"/>
        <v>83.497848891085482</v>
      </c>
      <c r="BB212" s="21">
        <f t="shared" si="2131"/>
        <v>100.37048911303239</v>
      </c>
      <c r="BC212" s="21">
        <f t="shared" si="2131"/>
        <v>20.239510886967679</v>
      </c>
      <c r="BD212" s="21">
        <f t="shared" si="2131"/>
        <v>-215.49883012011702</v>
      </c>
      <c r="BE212" s="21">
        <f t="shared" si="2131"/>
        <v>483.38883012011706</v>
      </c>
      <c r="BF212" s="21">
        <f t="shared" si="2131"/>
        <v>127.99496404144767</v>
      </c>
      <c r="BG212" s="21">
        <f t="shared" si="2131"/>
        <v>126.8450359585523</v>
      </c>
      <c r="BH212" s="21">
        <f t="shared" si="2131"/>
        <v>96.782746441750348</v>
      </c>
      <c r="BI212" s="21">
        <f t="shared" si="2131"/>
        <v>-355.07274644175038</v>
      </c>
      <c r="BJ212" s="21">
        <f t="shared" si="2131"/>
        <v>154.29978934324657</v>
      </c>
      <c r="BK212" s="21">
        <f t="shared" si="2131"/>
        <v>-91.70978934324657</v>
      </c>
      <c r="BL212" s="21">
        <f t="shared" si="2131"/>
        <v>213.27536509357986</v>
      </c>
      <c r="BM212" s="21">
        <f t="shared" si="2131"/>
        <v>208.36463490642055</v>
      </c>
      <c r="BN212" s="21">
        <f t="shared" si="2131"/>
        <v>211.62400484336257</v>
      </c>
      <c r="BO212" s="21">
        <f t="shared" si="2131"/>
        <v>69.615995156637155</v>
      </c>
      <c r="BP212" s="21">
        <f t="shared" si="2131"/>
        <v>-1205.4301815986153</v>
      </c>
      <c r="BQ212" s="21">
        <f t="shared" si="2131"/>
        <v>1667.1201815986158</v>
      </c>
      <c r="BR212" s="21">
        <f t="shared" si="2131"/>
        <v>165.89159047551701</v>
      </c>
      <c r="BS212" s="21">
        <f t="shared" si="2131"/>
        <v>24.128409524482748</v>
      </c>
      <c r="BT212" s="21">
        <f t="shared" si="2131"/>
        <v>42.116961772745071</v>
      </c>
      <c r="BU212" s="21">
        <f t="shared" si="2131"/>
        <v>250.51303822725521</v>
      </c>
      <c r="BV212" s="21">
        <f t="shared" si="2131"/>
        <v>228.53721845826584</v>
      </c>
      <c r="BW212" s="21">
        <f t="shared" si="2131"/>
        <v>88.09278154173353</v>
      </c>
      <c r="BX212" s="21">
        <f t="shared" si="2131"/>
        <v>261.83861444508648</v>
      </c>
      <c r="BY212" s="21">
        <f t="shared" si="2131"/>
        <v>196.36138555491408</v>
      </c>
      <c r="BZ212" s="21">
        <f t="shared" si="2131"/>
        <v>337.35031036692345</v>
      </c>
      <c r="CA212" s="21">
        <f t="shared" si="2131"/>
        <v>125.42968963307572</v>
      </c>
      <c r="CB212" s="21">
        <f t="shared" si="2131"/>
        <v>271.12281706157029</v>
      </c>
      <c r="CC212" s="21">
        <f t="shared" si="2131"/>
        <v>467.62718293843034</v>
      </c>
      <c r="CD212" s="21">
        <f t="shared" si="2131"/>
        <v>283.17693537115593</v>
      </c>
      <c r="CE212" s="21">
        <f t="shared" ref="CE212:CF212" si="2132">CE208+CE211</f>
        <v>3.5030646288446405</v>
      </c>
      <c r="CF212" s="21">
        <f t="shared" si="2132"/>
        <v>302.29333114996808</v>
      </c>
      <c r="CG212" s="21">
        <f t="shared" ref="CG212:CH212" si="2133">CG208+CG211</f>
        <v>448.55666885003137</v>
      </c>
      <c r="CH212" s="21">
        <f t="shared" si="2133"/>
        <v>305.37553355242858</v>
      </c>
      <c r="CI212" s="21">
        <f t="shared" ref="CI212:CJ212" si="2134">CI208+CI211</f>
        <v>314.05446644757154</v>
      </c>
      <c r="CJ212" s="21">
        <f t="shared" si="2134"/>
        <v>319.90948172014714</v>
      </c>
      <c r="CK212" s="21">
        <f t="shared" ref="CK212:DA212" si="2135">CK208+CK211</f>
        <v>351.30051827985255</v>
      </c>
      <c r="CL212" s="21">
        <f t="shared" si="2135"/>
        <v>349.6856070543526</v>
      </c>
      <c r="CM212" s="20">
        <f t="shared" si="2135"/>
        <v>363.55461331510963</v>
      </c>
      <c r="CN212" s="20">
        <f t="shared" si="2135"/>
        <v>347.51506423273338</v>
      </c>
      <c r="CO212" s="20">
        <f t="shared" si="2135"/>
        <v>243.97633951467475</v>
      </c>
      <c r="CP212" s="20">
        <f t="shared" si="2135"/>
        <v>589.51079539888997</v>
      </c>
      <c r="CQ212" s="20">
        <f t="shared" si="2135"/>
        <v>425.74653078231898</v>
      </c>
      <c r="CR212" s="20">
        <f t="shared" si="2135"/>
        <v>398.66361539166223</v>
      </c>
      <c r="CS212" s="20">
        <f t="shared" si="2135"/>
        <v>292.68012174309058</v>
      </c>
      <c r="CT212" s="20">
        <f t="shared" si="2135"/>
        <v>757.36090327961915</v>
      </c>
      <c r="CU212" s="20">
        <f t="shared" si="2135"/>
        <v>498.3995832641549</v>
      </c>
      <c r="CV212" s="20">
        <f t="shared" si="2135"/>
        <v>444.58683401463065</v>
      </c>
      <c r="CW212" s="20">
        <f t="shared" si="2135"/>
        <v>336.36007548856765</v>
      </c>
      <c r="CX212" s="20">
        <f t="shared" si="2135"/>
        <v>845.93891808725766</v>
      </c>
      <c r="CY212" s="20">
        <f t="shared" si="2135"/>
        <v>583.96402174085142</v>
      </c>
      <c r="CZ212" s="20">
        <f t="shared" si="2135"/>
        <v>503.86448978663179</v>
      </c>
      <c r="DA212" s="20">
        <f t="shared" si="2135"/>
        <v>399.7913687324949</v>
      </c>
      <c r="DD212" s="125"/>
      <c r="DE212" s="21">
        <v>1290.6399999999985</v>
      </c>
    </row>
    <row r="213" spans="1:109" s="22" customFormat="1" x14ac:dyDescent="0.2">
      <c r="AB213" s="23"/>
      <c r="AC213" s="23"/>
      <c r="AD213" s="23"/>
      <c r="AE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D213" s="122"/>
    </row>
    <row r="214" spans="1:109" s="21" customFormat="1" x14ac:dyDescent="0.2">
      <c r="A214" s="21" t="s">
        <v>92</v>
      </c>
      <c r="C214" s="21">
        <f t="shared" ref="C214:W214" si="2136">C215+C216</f>
        <v>0</v>
      </c>
      <c r="D214" s="21">
        <f>D215+D216</f>
        <v>-116.69000000000001</v>
      </c>
      <c r="E214" s="21">
        <f t="shared" si="2136"/>
        <v>-9.5799999999999841</v>
      </c>
      <c r="F214" s="21">
        <f t="shared" si="2136"/>
        <v>-13.070000000000022</v>
      </c>
      <c r="G214" s="21">
        <f t="shared" si="2136"/>
        <v>-40.309999999999988</v>
      </c>
      <c r="H214" s="21">
        <f t="shared" si="2136"/>
        <v>-47.13</v>
      </c>
      <c r="I214" s="21">
        <f t="shared" si="2136"/>
        <v>-21.01</v>
      </c>
      <c r="J214" s="21">
        <f t="shared" si="2136"/>
        <v>-41.77</v>
      </c>
      <c r="K214" s="21">
        <f t="shared" si="2136"/>
        <v>-5.0699999999999648</v>
      </c>
      <c r="L214" s="21">
        <f t="shared" si="2136"/>
        <v>-21.27000000000001</v>
      </c>
      <c r="M214" s="21">
        <f t="shared" si="2136"/>
        <v>-107.83000000000001</v>
      </c>
      <c r="N214" s="21">
        <f t="shared" si="2136"/>
        <v>-192.17</v>
      </c>
      <c r="O214" s="21">
        <f t="shared" si="2136"/>
        <v>-62.860000000000014</v>
      </c>
      <c r="P214" s="21">
        <f t="shared" si="2136"/>
        <v>-27.390000000000043</v>
      </c>
      <c r="Q214" s="21">
        <f t="shared" si="2136"/>
        <v>-68.399999999999949</v>
      </c>
      <c r="R214" s="21">
        <f t="shared" si="2136"/>
        <v>-76.789999999999964</v>
      </c>
      <c r="S214" s="21">
        <f t="shared" si="2136"/>
        <v>-525.54000000000008</v>
      </c>
      <c r="T214" s="21">
        <f t="shared" si="2136"/>
        <v>-243.25</v>
      </c>
      <c r="U214" s="21">
        <f t="shared" si="2136"/>
        <v>-327.12999999999988</v>
      </c>
      <c r="V214" s="21">
        <f t="shared" si="2136"/>
        <v>-299.38000000000011</v>
      </c>
      <c r="W214" s="21">
        <f t="shared" si="2136"/>
        <v>-189.78999999999985</v>
      </c>
      <c r="X214" s="21">
        <f t="shared" ref="X214:Y214" si="2137">X215+X216</f>
        <v>-419.57999999999993</v>
      </c>
      <c r="Y214" s="21">
        <f t="shared" si="2137"/>
        <v>-782.9200000000003</v>
      </c>
      <c r="Z214" s="21">
        <f t="shared" ref="Z214:AA214" si="2138">Z215+Z216</f>
        <v>-768.22</v>
      </c>
      <c r="AA214" s="21">
        <f t="shared" ref="AA214" si="2139">AA215+AA216</f>
        <v>-454.50999999999976</v>
      </c>
      <c r="AB214" s="20">
        <f t="shared" ref="AB214:AD214" si="2140">AB215+AB216</f>
        <v>-234.16000000000076</v>
      </c>
      <c r="AC214" s="20">
        <f t="shared" si="2140"/>
        <v>-319.99999999999977</v>
      </c>
      <c r="AD214" s="20">
        <f t="shared" si="2140"/>
        <v>-320.00000000000023</v>
      </c>
      <c r="AE214" s="20">
        <f t="shared" ref="AE214" si="2141">AE215+AE216</f>
        <v>-320.00000000000023</v>
      </c>
      <c r="AI214" s="21">
        <f t="shared" ref="AI214" si="2142">AI215+AI216</f>
        <v>-341.15</v>
      </c>
      <c r="AJ214" s="21">
        <f t="shared" ref="AJ214:AL214" si="2143">AJ215+AJ216</f>
        <v>-8.6000000000000227</v>
      </c>
      <c r="AK214" s="21">
        <f t="shared" si="2143"/>
        <v>-71.299999999999983</v>
      </c>
      <c r="AL214" s="21">
        <f t="shared" si="2143"/>
        <v>-9.6100000000000136</v>
      </c>
      <c r="AM214" s="21">
        <f t="shared" ref="AM214" si="2144">AM215+AM216</f>
        <v>-15.410000000000025</v>
      </c>
      <c r="AN214" s="21">
        <f t="shared" ref="AN214:CD214" si="2145">AN215+AN216</f>
        <v>-11.269999999999982</v>
      </c>
      <c r="AO214" s="21">
        <f t="shared" si="2145"/>
        <v>-26.569999999999993</v>
      </c>
      <c r="AP214" s="21">
        <f t="shared" si="2145"/>
        <v>-12.050000000000011</v>
      </c>
      <c r="AQ214" s="21">
        <f t="shared" si="2145"/>
        <v>1.3599999999999568</v>
      </c>
      <c r="AR214" s="21">
        <f t="shared" si="2145"/>
        <v>-12.519999999999982</v>
      </c>
      <c r="AS214" s="21">
        <f t="shared" si="2145"/>
        <v>-4.1800000000000068</v>
      </c>
      <c r="AT214" s="21">
        <f t="shared" si="2145"/>
        <v>-12.449999999999989</v>
      </c>
      <c r="AU214" s="21">
        <f t="shared" si="2145"/>
        <v>-24.810000000000031</v>
      </c>
      <c r="AV214" s="21">
        <f t="shared" si="2145"/>
        <v>-12.800000000000011</v>
      </c>
      <c r="AW214" s="21">
        <f t="shared" si="2145"/>
        <v>-18.339999999999971</v>
      </c>
      <c r="AX214" s="21">
        <f t="shared" si="2145"/>
        <v>-15.199999999999989</v>
      </c>
      <c r="AY214" s="21">
        <f t="shared" si="2145"/>
        <v>-20.949999999999989</v>
      </c>
      <c r="AZ214" s="21">
        <f t="shared" si="2145"/>
        <v>-15.740000000000009</v>
      </c>
      <c r="BA214" s="21">
        <f t="shared" si="2145"/>
        <v>-24.900000000000034</v>
      </c>
      <c r="BB214" s="21">
        <f t="shared" si="2145"/>
        <v>-17.560000000000002</v>
      </c>
      <c r="BC214" s="21">
        <f t="shared" si="2145"/>
        <v>-3.0099999999999909</v>
      </c>
      <c r="BD214" s="21">
        <f t="shared" si="2145"/>
        <v>-34.839999999999975</v>
      </c>
      <c r="BE214" s="21">
        <f t="shared" si="2145"/>
        <v>-52.270000000000039</v>
      </c>
      <c r="BF214" s="21">
        <f t="shared" si="2145"/>
        <v>-35.899999999999977</v>
      </c>
      <c r="BG214" s="21">
        <f t="shared" si="2145"/>
        <v>-35.509999999999934</v>
      </c>
      <c r="BH214" s="21">
        <f t="shared" si="2145"/>
        <v>-37.19</v>
      </c>
      <c r="BI214" s="21">
        <f t="shared" si="2145"/>
        <v>-519.74000000000012</v>
      </c>
      <c r="BJ214" s="21">
        <f t="shared" si="2145"/>
        <v>-37.809999999999945</v>
      </c>
      <c r="BK214" s="21">
        <f t="shared" si="2145"/>
        <v>-116.29999999999995</v>
      </c>
      <c r="BL214" s="21">
        <f t="shared" si="2145"/>
        <v>-39.970000000000027</v>
      </c>
      <c r="BM214" s="21">
        <f t="shared" si="2145"/>
        <v>-133.05000000000018</v>
      </c>
      <c r="BN214" s="21">
        <f t="shared" si="2145"/>
        <v>-44.419999999999959</v>
      </c>
      <c r="BO214" s="21">
        <f t="shared" si="2145"/>
        <v>-87.859999999999786</v>
      </c>
      <c r="BP214" s="21">
        <f t="shared" si="2145"/>
        <v>-48.569999999999936</v>
      </c>
      <c r="BQ214" s="21">
        <f t="shared" si="2145"/>
        <v>-38.700000000000045</v>
      </c>
      <c r="BR214" s="21">
        <f t="shared" si="2145"/>
        <v>-47.869999999999891</v>
      </c>
      <c r="BS214" s="21">
        <f t="shared" si="2145"/>
        <v>-39.460000000000036</v>
      </c>
      <c r="BT214" s="21">
        <f t="shared" si="2145"/>
        <v>-49.6099999999999</v>
      </c>
      <c r="BU214" s="21">
        <f t="shared" si="2145"/>
        <v>-60.200000000000045</v>
      </c>
      <c r="BV214" s="21">
        <f t="shared" si="2145"/>
        <v>-50.490000000000009</v>
      </c>
      <c r="BW214" s="21">
        <f t="shared" si="2145"/>
        <v>-96.190000000000055</v>
      </c>
      <c r="BX214" s="21">
        <f t="shared" si="2145"/>
        <v>-51.710000000000036</v>
      </c>
      <c r="BY214" s="21">
        <f t="shared" si="2145"/>
        <v>-190.59999999999991</v>
      </c>
      <c r="BZ214" s="21">
        <f t="shared" si="2145"/>
        <v>-52.450000000000045</v>
      </c>
      <c r="CA214" s="21">
        <f t="shared" si="2145"/>
        <v>-194.22000000000003</v>
      </c>
      <c r="CB214" s="21">
        <f t="shared" si="2145"/>
        <v>-56.200000000000045</v>
      </c>
      <c r="CC214" s="21">
        <f t="shared" si="2145"/>
        <v>-487.96000000000004</v>
      </c>
      <c r="CD214" s="21">
        <f t="shared" si="2145"/>
        <v>-62.460000000000036</v>
      </c>
      <c r="CE214" s="21">
        <f t="shared" ref="CE214:CF214" si="2146">CE215+CE216</f>
        <v>-289.57000000000016</v>
      </c>
      <c r="CF214" s="21">
        <f t="shared" si="2146"/>
        <v>-73.309999999999945</v>
      </c>
      <c r="CG214" s="21">
        <f t="shared" ref="CG214:CH214" si="2147">CG215+CG216</f>
        <v>-438.03999999999996</v>
      </c>
      <c r="CH214" s="21">
        <f t="shared" si="2147"/>
        <v>-83.099999999999909</v>
      </c>
      <c r="CI214" s="21">
        <f t="shared" ref="CI214:CJ214" si="2148">CI215+CI216</f>
        <v>-45.299999999999727</v>
      </c>
      <c r="CJ214" s="21">
        <f t="shared" si="2148"/>
        <v>-87.880000000000109</v>
      </c>
      <c r="CK214" s="21">
        <f t="shared" ref="CK214:DA214" si="2149">CK215+CK216</f>
        <v>-141.92999999999984</v>
      </c>
      <c r="CL214" s="21">
        <f t="shared" si="2149"/>
        <v>-90.460000000000036</v>
      </c>
      <c r="CM214" s="20">
        <f t="shared" si="2149"/>
        <v>-90.460000000000036</v>
      </c>
      <c r="CN214" s="20">
        <f t="shared" si="2149"/>
        <v>-90.460000000000036</v>
      </c>
      <c r="CO214" s="20">
        <f t="shared" si="2149"/>
        <v>-90.460000000000036</v>
      </c>
      <c r="CP214" s="20">
        <f t="shared" si="2149"/>
        <v>-90.460000000000036</v>
      </c>
      <c r="CQ214" s="20">
        <f t="shared" si="2149"/>
        <v>-90.460000000000036</v>
      </c>
      <c r="CR214" s="20">
        <f t="shared" si="2149"/>
        <v>-90.460000000000036</v>
      </c>
      <c r="CS214" s="20">
        <f t="shared" si="2149"/>
        <v>-90.460000000000036</v>
      </c>
      <c r="CT214" s="20">
        <f t="shared" si="2149"/>
        <v>-106.87078999999994</v>
      </c>
      <c r="CU214" s="20">
        <f t="shared" si="2149"/>
        <v>-106.87078999999994</v>
      </c>
      <c r="CV214" s="20">
        <f t="shared" si="2149"/>
        <v>-106.87078999999994</v>
      </c>
      <c r="CW214" s="20">
        <f t="shared" si="2149"/>
        <v>-106.87078999999994</v>
      </c>
      <c r="CX214" s="20">
        <f t="shared" si="2149"/>
        <v>-106.87078999999994</v>
      </c>
      <c r="CY214" s="20">
        <f t="shared" si="2149"/>
        <v>-106.87078999999994</v>
      </c>
      <c r="CZ214" s="20">
        <f t="shared" si="2149"/>
        <v>-106.87078999999994</v>
      </c>
      <c r="DA214" s="20">
        <f t="shared" si="2149"/>
        <v>-106.87078999999994</v>
      </c>
      <c r="DD214" s="125"/>
      <c r="DE214" s="21">
        <v>-358.21000000000004</v>
      </c>
    </row>
    <row r="215" spans="1:109" s="22" customFormat="1" x14ac:dyDescent="0.2">
      <c r="A215" s="22" t="s">
        <v>93</v>
      </c>
      <c r="C215" s="22">
        <f t="shared" ref="C215:AA215" si="2150">B153-C153</f>
        <v>0</v>
      </c>
      <c r="D215" s="22">
        <f t="shared" si="2150"/>
        <v>-1.81</v>
      </c>
      <c r="E215" s="22">
        <f>D153-E153</f>
        <v>0</v>
      </c>
      <c r="F215" s="22">
        <f t="shared" si="2150"/>
        <v>0</v>
      </c>
      <c r="G215" s="22">
        <f t="shared" si="2150"/>
        <v>0</v>
      </c>
      <c r="H215" s="22">
        <f t="shared" si="2150"/>
        <v>7.0000000000000062E-2</v>
      </c>
      <c r="I215" s="22">
        <f t="shared" si="2150"/>
        <v>1.44</v>
      </c>
      <c r="J215" s="22">
        <f>I153-J153</f>
        <v>-2.0000000000000018E-2</v>
      </c>
      <c r="K215" s="22">
        <f>J153-K153</f>
        <v>0</v>
      </c>
      <c r="L215" s="22">
        <f t="shared" si="2150"/>
        <v>0</v>
      </c>
      <c r="M215" s="22">
        <f t="shared" si="2150"/>
        <v>0.32</v>
      </c>
      <c r="N215" s="22">
        <f t="shared" si="2150"/>
        <v>-4.3499999999999996</v>
      </c>
      <c r="O215" s="22">
        <f t="shared" si="2150"/>
        <v>0</v>
      </c>
      <c r="P215" s="22">
        <f t="shared" si="2150"/>
        <v>0</v>
      </c>
      <c r="Q215" s="22">
        <f t="shared" si="2150"/>
        <v>4.3499999999999996</v>
      </c>
      <c r="R215" s="22">
        <f t="shared" si="2150"/>
        <v>0</v>
      </c>
      <c r="S215" s="22">
        <f t="shared" si="2150"/>
        <v>0</v>
      </c>
      <c r="T215" s="22">
        <f t="shared" si="2150"/>
        <v>0</v>
      </c>
      <c r="U215" s="22">
        <f t="shared" si="2150"/>
        <v>0</v>
      </c>
      <c r="V215" s="22">
        <f t="shared" si="2150"/>
        <v>0</v>
      </c>
      <c r="W215" s="22">
        <f t="shared" si="2150"/>
        <v>0</v>
      </c>
      <c r="X215" s="22">
        <f t="shared" si="2150"/>
        <v>0</v>
      </c>
      <c r="Y215" s="22">
        <f t="shared" si="2150"/>
        <v>0</v>
      </c>
      <c r="Z215" s="22">
        <f t="shared" si="2150"/>
        <v>0</v>
      </c>
      <c r="AA215" s="22">
        <f t="shared" si="2150"/>
        <v>0</v>
      </c>
      <c r="AB215" s="23">
        <f t="shared" ref="AB215" si="2151">AA153-AB153</f>
        <v>0</v>
      </c>
      <c r="AC215" s="23">
        <f t="shared" ref="AC215" si="2152">AB153-AC153</f>
        <v>0</v>
      </c>
      <c r="AD215" s="23">
        <f t="shared" ref="AD215" si="2153">AC153-AD153</f>
        <v>0</v>
      </c>
      <c r="AE215" s="23">
        <f t="shared" ref="AE215" si="2154">AD153-AE153</f>
        <v>0</v>
      </c>
      <c r="AI215" s="22">
        <f t="shared" ref="AI215" si="2155">AH153-AI153</f>
        <v>0</v>
      </c>
      <c r="AJ215" s="22">
        <f t="shared" ref="AJ215" si="2156">AI153-AJ153</f>
        <v>0</v>
      </c>
      <c r="AK215" s="22">
        <f t="shared" ref="AK215" si="2157">AJ153-AK153</f>
        <v>-4.3499999999999996</v>
      </c>
      <c r="AL215" s="22">
        <f t="shared" ref="AL215" si="2158">AK153-AL153</f>
        <v>0</v>
      </c>
      <c r="AM215" s="22">
        <f t="shared" ref="AM215" si="2159">AL153-AM153</f>
        <v>0</v>
      </c>
      <c r="AN215" s="22">
        <f t="shared" ref="AN215" si="2160">AM153-AN153</f>
        <v>0</v>
      </c>
      <c r="AO215" s="22">
        <f t="shared" ref="AO215" si="2161">AN153-AO153</f>
        <v>0</v>
      </c>
      <c r="AP215" s="22">
        <f t="shared" ref="AP215" si="2162">AO153-AP153</f>
        <v>0</v>
      </c>
      <c r="AQ215" s="22">
        <f t="shared" ref="AQ215" si="2163">AP153-AQ153</f>
        <v>0</v>
      </c>
      <c r="AR215" s="22">
        <f t="shared" ref="AR215" si="2164">AQ153-AR153</f>
        <v>0</v>
      </c>
      <c r="AS215" s="22">
        <f t="shared" ref="AS215" si="2165">AR153-AS153</f>
        <v>0</v>
      </c>
      <c r="AT215" s="22">
        <f t="shared" ref="AT215" si="2166">AS153-AT153</f>
        <v>0</v>
      </c>
      <c r="AU215" s="22">
        <f t="shared" ref="AU215" si="2167">AT153-AU153</f>
        <v>-12.53</v>
      </c>
      <c r="AV215" s="22">
        <f t="shared" ref="AV215" si="2168">AU153-AV153</f>
        <v>0</v>
      </c>
      <c r="AW215" s="22">
        <f t="shared" ref="AW215" si="2169">AV153-AW153</f>
        <v>16.88</v>
      </c>
      <c r="AX215" s="22">
        <f t="shared" ref="AX215" si="2170">AW153-AX153</f>
        <v>0</v>
      </c>
      <c r="AY215" s="22">
        <f t="shared" ref="AY215" si="2171">AX153-AY153</f>
        <v>0</v>
      </c>
      <c r="AZ215" s="22">
        <f t="shared" ref="AZ215" si="2172">AY153-AZ153</f>
        <v>0</v>
      </c>
      <c r="BA215" s="22">
        <f t="shared" ref="BA215" si="2173">AZ153-BA153</f>
        <v>0</v>
      </c>
      <c r="BB215" s="22">
        <f t="shared" ref="BB215" si="2174">BA153-BB153</f>
        <v>0</v>
      </c>
      <c r="BC215" s="22">
        <f t="shared" ref="BC215" si="2175">BB153-BC153</f>
        <v>0</v>
      </c>
      <c r="BD215" s="22">
        <f t="shared" ref="BD215" si="2176">BC153-BD153</f>
        <v>0</v>
      </c>
      <c r="BE215" s="22">
        <f t="shared" ref="BE215" si="2177">BD153-BE153</f>
        <v>0</v>
      </c>
      <c r="BF215" s="22">
        <f t="shared" ref="BF215" si="2178">BE153-BF153</f>
        <v>0</v>
      </c>
      <c r="BG215" s="22">
        <f t="shared" ref="BG215" si="2179">BF153-BG153</f>
        <v>0</v>
      </c>
      <c r="BH215" s="22">
        <f t="shared" ref="BH215" si="2180">BG153-BH153</f>
        <v>0</v>
      </c>
      <c r="BI215" s="22">
        <f t="shared" ref="BI215" si="2181">BH153-BI153</f>
        <v>0</v>
      </c>
      <c r="BJ215" s="22">
        <f t="shared" ref="BJ215" si="2182">BI153-BJ153</f>
        <v>0</v>
      </c>
      <c r="BK215" s="22">
        <f t="shared" ref="BK215" si="2183">BJ153-BK153</f>
        <v>0</v>
      </c>
      <c r="BL215" s="22">
        <f t="shared" ref="BL215" si="2184">BK153-BL153</f>
        <v>0</v>
      </c>
      <c r="BM215" s="22">
        <f t="shared" ref="BM215" si="2185">BL153-BM153</f>
        <v>0</v>
      </c>
      <c r="BN215" s="22">
        <f t="shared" ref="BN215" si="2186">BM153-BN153</f>
        <v>0</v>
      </c>
      <c r="BO215" s="22">
        <f t="shared" ref="BO215" si="2187">BN153-BO153</f>
        <v>0</v>
      </c>
      <c r="BP215" s="22">
        <f t="shared" ref="BP215" si="2188">BO153-BP153</f>
        <v>0</v>
      </c>
      <c r="BQ215" s="22">
        <f t="shared" ref="BQ215" si="2189">BP153-BQ153</f>
        <v>0</v>
      </c>
      <c r="BR215" s="22">
        <f t="shared" ref="BR215" si="2190">BQ153-BR153</f>
        <v>0</v>
      </c>
      <c r="BS215" s="22">
        <f t="shared" ref="BS215" si="2191">BR153-BS153</f>
        <v>0</v>
      </c>
      <c r="BT215" s="22">
        <f t="shared" ref="BT215" si="2192">BS153-BT153</f>
        <v>0</v>
      </c>
      <c r="BU215" s="22">
        <f t="shared" ref="BU215" si="2193">BT153-BU153</f>
        <v>0</v>
      </c>
      <c r="BV215" s="22">
        <f t="shared" ref="BV215" si="2194">BU153-BV153</f>
        <v>0</v>
      </c>
      <c r="BW215" s="22">
        <f t="shared" ref="BW215" si="2195">BV153-BW153</f>
        <v>0</v>
      </c>
      <c r="BX215" s="22">
        <f t="shared" ref="BX215" si="2196">BW153-BX153</f>
        <v>0</v>
      </c>
      <c r="BY215" s="22">
        <f t="shared" ref="BY215" si="2197">BX153-BY153</f>
        <v>0</v>
      </c>
      <c r="BZ215" s="22">
        <f t="shared" ref="BZ215" si="2198">BY153-BZ153</f>
        <v>0</v>
      </c>
      <c r="CA215" s="22">
        <f t="shared" ref="CA215" si="2199">BZ153-CA153</f>
        <v>0</v>
      </c>
      <c r="CB215" s="22">
        <f t="shared" ref="CB215" si="2200">CA153-CB153</f>
        <v>0</v>
      </c>
      <c r="CC215" s="22">
        <f t="shared" ref="CC215" si="2201">CB153-CC153</f>
        <v>0</v>
      </c>
      <c r="CD215" s="22">
        <f t="shared" ref="CD215" si="2202">CC153-CD153</f>
        <v>0</v>
      </c>
      <c r="CE215" s="22">
        <f t="shared" ref="CE215" si="2203">CD153-CE153</f>
        <v>0</v>
      </c>
      <c r="CF215" s="22">
        <f t="shared" ref="CF215" si="2204">CE153-CF153</f>
        <v>0</v>
      </c>
      <c r="CG215" s="22">
        <f t="shared" ref="CG215" si="2205">CF153-CG153</f>
        <v>0</v>
      </c>
      <c r="CH215" s="22">
        <f t="shared" ref="CH215:CL215" si="2206">CG153-CH153</f>
        <v>0</v>
      </c>
      <c r="CI215" s="22">
        <f t="shared" si="2206"/>
        <v>0</v>
      </c>
      <c r="CJ215" s="22">
        <f t="shared" si="2206"/>
        <v>0</v>
      </c>
      <c r="CK215" s="22">
        <f t="shared" ref="CK215" si="2207">CJ153-CK153</f>
        <v>0</v>
      </c>
      <c r="CL215" s="22">
        <f t="shared" si="2206"/>
        <v>0</v>
      </c>
      <c r="CM215" s="23">
        <f t="shared" ref="CM215" si="2208">CL153-CM153</f>
        <v>0</v>
      </c>
      <c r="CN215" s="23">
        <f t="shared" ref="CN215" si="2209">CM153-CN153</f>
        <v>0</v>
      </c>
      <c r="CO215" s="23">
        <f t="shared" ref="CO215" si="2210">CN153-CO153</f>
        <v>0</v>
      </c>
      <c r="CP215" s="23">
        <f t="shared" ref="CP215" si="2211">CO153-CP153</f>
        <v>0</v>
      </c>
      <c r="CQ215" s="23">
        <f t="shared" ref="CQ215" si="2212">CP153-CQ153</f>
        <v>0</v>
      </c>
      <c r="CR215" s="23">
        <f t="shared" ref="CR215" si="2213">CQ153-CR153</f>
        <v>0</v>
      </c>
      <c r="CS215" s="23">
        <f t="shared" ref="CS215" si="2214">CR153-CS153</f>
        <v>0</v>
      </c>
      <c r="CT215" s="23">
        <f t="shared" ref="CT215" si="2215">CS153-CT153</f>
        <v>0</v>
      </c>
      <c r="CU215" s="23">
        <f t="shared" ref="CU215" si="2216">CT153-CU153</f>
        <v>0</v>
      </c>
      <c r="CV215" s="23">
        <f t="shared" ref="CV215" si="2217">CU153-CV153</f>
        <v>0</v>
      </c>
      <c r="CW215" s="23">
        <f t="shared" ref="CW215" si="2218">CV153-CW153</f>
        <v>0</v>
      </c>
      <c r="CX215" s="23">
        <f t="shared" ref="CX215" si="2219">CW153-CX153</f>
        <v>0</v>
      </c>
      <c r="CY215" s="23">
        <f t="shared" ref="CY215" si="2220">CX153-CY153</f>
        <v>0</v>
      </c>
      <c r="CZ215" s="23">
        <f t="shared" ref="CZ215" si="2221">CY153-CZ153</f>
        <v>0</v>
      </c>
      <c r="DA215" s="23">
        <f t="shared" ref="DA215" si="2222">CZ153-DA153</f>
        <v>0</v>
      </c>
      <c r="DD215" s="122"/>
      <c r="DE215" s="22">
        <v>0</v>
      </c>
    </row>
    <row r="216" spans="1:109" s="22" customFormat="1" x14ac:dyDescent="0.2">
      <c r="A216" s="22" t="s">
        <v>94</v>
      </c>
      <c r="C216" s="22">
        <f t="shared" ref="C216:AE216" si="2223">B151-C45-C151</f>
        <v>0</v>
      </c>
      <c r="D216" s="22">
        <f t="shared" si="2223"/>
        <v>-114.88000000000001</v>
      </c>
      <c r="E216" s="22">
        <f t="shared" si="2223"/>
        <v>-9.5799999999999841</v>
      </c>
      <c r="F216" s="22">
        <f t="shared" si="2223"/>
        <v>-13.070000000000022</v>
      </c>
      <c r="G216" s="22">
        <f t="shared" si="2223"/>
        <v>-40.309999999999988</v>
      </c>
      <c r="H216" s="22">
        <f t="shared" si="2223"/>
        <v>-47.2</v>
      </c>
      <c r="I216" s="22">
        <f t="shared" si="2223"/>
        <v>-22.450000000000003</v>
      </c>
      <c r="J216" s="22">
        <f t="shared" si="2223"/>
        <v>-41.75</v>
      </c>
      <c r="K216" s="22">
        <f t="shared" si="2223"/>
        <v>-5.0699999999999648</v>
      </c>
      <c r="L216" s="22">
        <f t="shared" si="2223"/>
        <v>-21.27000000000001</v>
      </c>
      <c r="M216" s="22">
        <f t="shared" si="2223"/>
        <v>-108.15</v>
      </c>
      <c r="N216" s="22">
        <f t="shared" si="2223"/>
        <v>-187.82</v>
      </c>
      <c r="O216" s="22">
        <f t="shared" si="2223"/>
        <v>-62.860000000000014</v>
      </c>
      <c r="P216" s="22">
        <f t="shared" si="2223"/>
        <v>-27.390000000000043</v>
      </c>
      <c r="Q216" s="22">
        <f t="shared" si="2223"/>
        <v>-72.749999999999943</v>
      </c>
      <c r="R216" s="22">
        <f t="shared" si="2223"/>
        <v>-76.789999999999964</v>
      </c>
      <c r="S216" s="22">
        <f t="shared" si="2223"/>
        <v>-525.54000000000008</v>
      </c>
      <c r="T216" s="22">
        <f t="shared" si="2223"/>
        <v>-243.25</v>
      </c>
      <c r="U216" s="22">
        <f t="shared" si="2223"/>
        <v>-327.12999999999988</v>
      </c>
      <c r="V216" s="22">
        <f t="shared" si="2223"/>
        <v>-299.38000000000011</v>
      </c>
      <c r="W216" s="22">
        <f t="shared" si="2223"/>
        <v>-189.78999999999985</v>
      </c>
      <c r="X216" s="22">
        <f t="shared" si="2223"/>
        <v>-419.57999999999993</v>
      </c>
      <c r="Y216" s="22">
        <f t="shared" si="2223"/>
        <v>-782.9200000000003</v>
      </c>
      <c r="Z216" s="22">
        <f t="shared" si="2223"/>
        <v>-768.22</v>
      </c>
      <c r="AA216" s="22">
        <f t="shared" si="2223"/>
        <v>-454.50999999999976</v>
      </c>
      <c r="AB216" s="23">
        <f t="shared" si="2223"/>
        <v>-234.16000000000076</v>
      </c>
      <c r="AC216" s="23">
        <f t="shared" si="2223"/>
        <v>-319.99999999999977</v>
      </c>
      <c r="AD216" s="23">
        <f t="shared" si="2223"/>
        <v>-320.00000000000023</v>
      </c>
      <c r="AE216" s="23">
        <f t="shared" si="2223"/>
        <v>-320.00000000000023</v>
      </c>
      <c r="AI216" s="22">
        <f t="shared" ref="AI216:BN216" si="2224">AH151-AI45-AI151</f>
        <v>-341.15</v>
      </c>
      <c r="AJ216" s="22">
        <f t="shared" si="2224"/>
        <v>-8.6000000000000227</v>
      </c>
      <c r="AK216" s="22">
        <f t="shared" si="2224"/>
        <v>-66.949999999999989</v>
      </c>
      <c r="AL216" s="22">
        <f t="shared" si="2224"/>
        <v>-9.6100000000000136</v>
      </c>
      <c r="AM216" s="22">
        <f t="shared" si="2224"/>
        <v>-15.410000000000025</v>
      </c>
      <c r="AN216" s="22">
        <f t="shared" si="2224"/>
        <v>-11.269999999999982</v>
      </c>
      <c r="AO216" s="22">
        <f t="shared" si="2224"/>
        <v>-26.569999999999993</v>
      </c>
      <c r="AP216" s="22">
        <f t="shared" si="2224"/>
        <v>-12.050000000000011</v>
      </c>
      <c r="AQ216" s="22">
        <f t="shared" si="2224"/>
        <v>1.3599999999999568</v>
      </c>
      <c r="AR216" s="22">
        <f t="shared" si="2224"/>
        <v>-12.519999999999982</v>
      </c>
      <c r="AS216" s="22">
        <f t="shared" si="2224"/>
        <v>-4.1800000000000068</v>
      </c>
      <c r="AT216" s="22">
        <f t="shared" si="2224"/>
        <v>-12.449999999999989</v>
      </c>
      <c r="AU216" s="22">
        <f t="shared" si="2224"/>
        <v>-12.28000000000003</v>
      </c>
      <c r="AV216" s="22">
        <f t="shared" si="2224"/>
        <v>-12.800000000000011</v>
      </c>
      <c r="AW216" s="22">
        <f t="shared" si="2224"/>
        <v>-35.21999999999997</v>
      </c>
      <c r="AX216" s="22">
        <f t="shared" si="2224"/>
        <v>-15.199999999999989</v>
      </c>
      <c r="AY216" s="22">
        <f t="shared" si="2224"/>
        <v>-20.949999999999989</v>
      </c>
      <c r="AZ216" s="22">
        <f t="shared" si="2224"/>
        <v>-15.740000000000009</v>
      </c>
      <c r="BA216" s="22">
        <f t="shared" si="2224"/>
        <v>-24.900000000000034</v>
      </c>
      <c r="BB216" s="22">
        <f t="shared" si="2224"/>
        <v>-17.560000000000002</v>
      </c>
      <c r="BC216" s="22">
        <f t="shared" si="2224"/>
        <v>-3.0099999999999909</v>
      </c>
      <c r="BD216" s="22">
        <f t="shared" si="2224"/>
        <v>-34.839999999999975</v>
      </c>
      <c r="BE216" s="22">
        <f t="shared" si="2224"/>
        <v>-52.270000000000039</v>
      </c>
      <c r="BF216" s="22">
        <f t="shared" si="2224"/>
        <v>-35.899999999999977</v>
      </c>
      <c r="BG216" s="22">
        <f t="shared" si="2224"/>
        <v>-35.509999999999934</v>
      </c>
      <c r="BH216" s="22">
        <f t="shared" si="2224"/>
        <v>-37.19</v>
      </c>
      <c r="BI216" s="22">
        <f t="shared" si="2224"/>
        <v>-519.74000000000012</v>
      </c>
      <c r="BJ216" s="22">
        <f t="shared" si="2224"/>
        <v>-37.809999999999945</v>
      </c>
      <c r="BK216" s="22">
        <f t="shared" si="2224"/>
        <v>-116.29999999999995</v>
      </c>
      <c r="BL216" s="22">
        <f t="shared" si="2224"/>
        <v>-39.970000000000027</v>
      </c>
      <c r="BM216" s="22">
        <f t="shared" si="2224"/>
        <v>-133.05000000000018</v>
      </c>
      <c r="BN216" s="22">
        <f t="shared" si="2224"/>
        <v>-44.419999999999959</v>
      </c>
      <c r="BO216" s="22">
        <f t="shared" ref="BO216:CT216" si="2225">BN151-BO45-BO151</f>
        <v>-87.859999999999786</v>
      </c>
      <c r="BP216" s="22">
        <f t="shared" si="2225"/>
        <v>-48.569999999999936</v>
      </c>
      <c r="BQ216" s="22">
        <f t="shared" si="2225"/>
        <v>-38.700000000000045</v>
      </c>
      <c r="BR216" s="22">
        <f t="shared" si="2225"/>
        <v>-47.869999999999891</v>
      </c>
      <c r="BS216" s="22">
        <f t="shared" si="2225"/>
        <v>-39.460000000000036</v>
      </c>
      <c r="BT216" s="22">
        <f t="shared" si="2225"/>
        <v>-49.6099999999999</v>
      </c>
      <c r="BU216" s="22">
        <f t="shared" si="2225"/>
        <v>-60.200000000000045</v>
      </c>
      <c r="BV216" s="22">
        <f t="shared" si="2225"/>
        <v>-50.490000000000009</v>
      </c>
      <c r="BW216" s="22">
        <f t="shared" si="2225"/>
        <v>-96.190000000000055</v>
      </c>
      <c r="BX216" s="22">
        <f t="shared" si="2225"/>
        <v>-51.710000000000036</v>
      </c>
      <c r="BY216" s="22">
        <f t="shared" si="2225"/>
        <v>-190.59999999999991</v>
      </c>
      <c r="BZ216" s="22">
        <f t="shared" si="2225"/>
        <v>-52.450000000000045</v>
      </c>
      <c r="CA216" s="22">
        <f t="shared" si="2225"/>
        <v>-194.22000000000003</v>
      </c>
      <c r="CB216" s="22">
        <f t="shared" si="2225"/>
        <v>-56.200000000000045</v>
      </c>
      <c r="CC216" s="22">
        <f t="shared" si="2225"/>
        <v>-487.96000000000004</v>
      </c>
      <c r="CD216" s="22">
        <f t="shared" si="2225"/>
        <v>-62.460000000000036</v>
      </c>
      <c r="CE216" s="22">
        <f t="shared" si="2225"/>
        <v>-289.57000000000016</v>
      </c>
      <c r="CF216" s="22">
        <f t="shared" si="2225"/>
        <v>-73.309999999999945</v>
      </c>
      <c r="CG216" s="22">
        <f t="shared" si="2225"/>
        <v>-438.03999999999996</v>
      </c>
      <c r="CH216" s="22">
        <f t="shared" si="2225"/>
        <v>-83.099999999999909</v>
      </c>
      <c r="CI216" s="22">
        <f t="shared" si="2225"/>
        <v>-45.299999999999727</v>
      </c>
      <c r="CJ216" s="22">
        <f t="shared" si="2225"/>
        <v>-87.880000000000109</v>
      </c>
      <c r="CK216" s="22">
        <f t="shared" si="2225"/>
        <v>-141.92999999999984</v>
      </c>
      <c r="CL216" s="22">
        <f t="shared" si="2225"/>
        <v>-90.460000000000036</v>
      </c>
      <c r="CM216" s="23">
        <f t="shared" si="2225"/>
        <v>-90.460000000000036</v>
      </c>
      <c r="CN216" s="23">
        <f t="shared" si="2225"/>
        <v>-90.460000000000036</v>
      </c>
      <c r="CO216" s="23">
        <f t="shared" si="2225"/>
        <v>-90.460000000000036</v>
      </c>
      <c r="CP216" s="23">
        <f t="shared" si="2225"/>
        <v>-90.460000000000036</v>
      </c>
      <c r="CQ216" s="23">
        <f t="shared" si="2225"/>
        <v>-90.460000000000036</v>
      </c>
      <c r="CR216" s="23">
        <f t="shared" si="2225"/>
        <v>-90.460000000000036</v>
      </c>
      <c r="CS216" s="23">
        <f t="shared" si="2225"/>
        <v>-90.460000000000036</v>
      </c>
      <c r="CT216" s="23">
        <f t="shared" si="2225"/>
        <v>-106.87078999999994</v>
      </c>
      <c r="CU216" s="23">
        <f t="shared" ref="CU216:DA216" si="2226">CT151-CU45-CU151</f>
        <v>-106.87078999999994</v>
      </c>
      <c r="CV216" s="23">
        <f t="shared" si="2226"/>
        <v>-106.87078999999994</v>
      </c>
      <c r="CW216" s="23">
        <f t="shared" si="2226"/>
        <v>-106.87078999999994</v>
      </c>
      <c r="CX216" s="23">
        <f t="shared" si="2226"/>
        <v>-106.87078999999994</v>
      </c>
      <c r="CY216" s="23">
        <f t="shared" si="2226"/>
        <v>-106.87078999999994</v>
      </c>
      <c r="CZ216" s="23">
        <f t="shared" si="2226"/>
        <v>-106.87078999999994</v>
      </c>
      <c r="DA216" s="23">
        <f t="shared" si="2226"/>
        <v>-106.87078999999994</v>
      </c>
      <c r="DD216" s="122"/>
      <c r="DE216" s="22">
        <v>-358.21000000000004</v>
      </c>
    </row>
    <row r="217" spans="1:109" s="22" customFormat="1" x14ac:dyDescent="0.2">
      <c r="AB217" s="23"/>
      <c r="AC217" s="23"/>
      <c r="AD217" s="23"/>
      <c r="AE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D217" s="122"/>
    </row>
    <row r="218" spans="1:109" s="21" customFormat="1" x14ac:dyDescent="0.2">
      <c r="A218" s="21" t="s">
        <v>95</v>
      </c>
      <c r="C218" s="21">
        <f t="shared" ref="C218:W218" si="2227">C219+C220</f>
        <v>0</v>
      </c>
      <c r="D218" s="21">
        <f t="shared" si="2227"/>
        <v>137.17000000000002</v>
      </c>
      <c r="E218" s="21">
        <f t="shared" si="2227"/>
        <v>-39.030000000000015</v>
      </c>
      <c r="F218" s="21">
        <f t="shared" si="2227"/>
        <v>-31.480000000000029</v>
      </c>
      <c r="G218" s="21">
        <f t="shared" si="2227"/>
        <v>4.3999999999999719</v>
      </c>
      <c r="H218" s="21">
        <f t="shared" si="2227"/>
        <v>-18.829999999999956</v>
      </c>
      <c r="I218" s="21">
        <f t="shared" si="2227"/>
        <v>-9.0600000000000023</v>
      </c>
      <c r="J218" s="21">
        <f t="shared" si="2227"/>
        <v>-8.8100000000000591</v>
      </c>
      <c r="K218" s="21">
        <f t="shared" si="2227"/>
        <v>-8.8100000000000591</v>
      </c>
      <c r="L218" s="21">
        <f t="shared" si="2227"/>
        <v>-9.779999999999859</v>
      </c>
      <c r="M218" s="21">
        <f t="shared" si="2227"/>
        <v>-19.389999999999986</v>
      </c>
      <c r="N218" s="21">
        <f t="shared" si="2227"/>
        <v>-9.7200000000000273</v>
      </c>
      <c r="O218" s="21">
        <f t="shared" si="2227"/>
        <v>-11.7800000000002</v>
      </c>
      <c r="P218" s="21">
        <f t="shared" si="2227"/>
        <v>-34.940000000000055</v>
      </c>
      <c r="Q218" s="21">
        <f t="shared" si="2227"/>
        <v>-15.730000000000018</v>
      </c>
      <c r="R218" s="21">
        <f t="shared" si="2227"/>
        <v>-9.1400000000001</v>
      </c>
      <c r="S218" s="21">
        <f t="shared" si="2227"/>
        <v>530.89000000000112</v>
      </c>
      <c r="T218" s="21">
        <f t="shared" si="2227"/>
        <v>-50.480000000000146</v>
      </c>
      <c r="U218" s="21">
        <f t="shared" si="2227"/>
        <v>-169.33999999999901</v>
      </c>
      <c r="V218" s="21">
        <f t="shared" si="2227"/>
        <v>-112.84000000000015</v>
      </c>
      <c r="W218" s="21">
        <f t="shared" si="2227"/>
        <v>-115.74000000000069</v>
      </c>
      <c r="X218" s="21">
        <f t="shared" ref="X218:Y218" si="2228">X219+X220</f>
        <v>-246.97999999999956</v>
      </c>
      <c r="Y218" s="21">
        <f t="shared" si="2228"/>
        <v>-379.56999999999971</v>
      </c>
      <c r="Z218" s="21">
        <f t="shared" ref="Z218:AA218" si="2229">Z219+Z220</f>
        <v>-409.77999999999975</v>
      </c>
      <c r="AA218" s="21">
        <f t="shared" ref="AA218" si="2230">AA219+AA220</f>
        <v>-436.82000000000062</v>
      </c>
      <c r="AB218" s="20">
        <f t="shared" ref="AB218:AD218" si="2231">AB219+AB220</f>
        <v>-9.0949470177292824E-13</v>
      </c>
      <c r="AC218" s="20">
        <f t="shared" si="2231"/>
        <v>-9.0949470177292824E-13</v>
      </c>
      <c r="AD218" s="20">
        <f t="shared" si="2231"/>
        <v>-1.8189894035458565E-12</v>
      </c>
      <c r="AE218" s="20">
        <f t="shared" ref="AE218" si="2232">AE219+AE220</f>
        <v>0</v>
      </c>
      <c r="AI218" s="21">
        <f t="shared" ref="AI218" si="2233">AI219+AI220</f>
        <v>757.01</v>
      </c>
      <c r="AJ218" s="21">
        <f t="shared" ref="AJ218:AL218" si="2234">AJ219+AJ220</f>
        <v>0</v>
      </c>
      <c r="AK218" s="21">
        <f t="shared" si="2234"/>
        <v>9.6199999999998909</v>
      </c>
      <c r="AL218" s="21">
        <f t="shared" si="2234"/>
        <v>0</v>
      </c>
      <c r="AM218" s="21">
        <f t="shared" ref="AM218" si="2235">AM219+AM220</f>
        <v>-8.9999999999804459E-2</v>
      </c>
      <c r="AN218" s="21">
        <f t="shared" ref="AN218:CD218" si="2236">AN219+AN220</f>
        <v>0</v>
      </c>
      <c r="AO218" s="21">
        <f t="shared" si="2236"/>
        <v>-11.690000000000055</v>
      </c>
      <c r="AP218" s="21">
        <f t="shared" si="2236"/>
        <v>-1.1368683772161603E-13</v>
      </c>
      <c r="AQ218" s="21">
        <f t="shared" si="2236"/>
        <v>-2.9999999999972715E-2</v>
      </c>
      <c r="AR218" s="21">
        <f t="shared" si="2236"/>
        <v>0</v>
      </c>
      <c r="AS218" s="21">
        <f t="shared" si="2236"/>
        <v>-34.910000000000082</v>
      </c>
      <c r="AT218" s="21">
        <f t="shared" si="2236"/>
        <v>0</v>
      </c>
      <c r="AU218" s="21">
        <f t="shared" si="2236"/>
        <v>10.250000000000227</v>
      </c>
      <c r="AV218" s="21">
        <f t="shared" si="2236"/>
        <v>0</v>
      </c>
      <c r="AW218" s="21">
        <f t="shared" si="2236"/>
        <v>-25.980000000000018</v>
      </c>
      <c r="AX218" s="21">
        <f t="shared" si="2236"/>
        <v>0</v>
      </c>
      <c r="AY218" s="21">
        <f t="shared" si="2236"/>
        <v>-0.4499999999998181</v>
      </c>
      <c r="AZ218" s="21">
        <f t="shared" si="2236"/>
        <v>0</v>
      </c>
      <c r="BA218" s="21">
        <f t="shared" si="2236"/>
        <v>-8.6900000000000546</v>
      </c>
      <c r="BB218" s="21">
        <f t="shared" si="2236"/>
        <v>0</v>
      </c>
      <c r="BC218" s="21">
        <f t="shared" si="2236"/>
        <v>-19.599999999999909</v>
      </c>
      <c r="BD218" s="21">
        <f t="shared" si="2236"/>
        <v>0</v>
      </c>
      <c r="BE218" s="21">
        <f t="shared" si="2236"/>
        <v>-71.130000000000109</v>
      </c>
      <c r="BF218" s="21">
        <f t="shared" si="2236"/>
        <v>0</v>
      </c>
      <c r="BG218" s="21">
        <f t="shared" si="2236"/>
        <v>-130.54999999999995</v>
      </c>
      <c r="BH218" s="21">
        <f t="shared" si="2236"/>
        <v>0</v>
      </c>
      <c r="BI218" s="21">
        <f t="shared" si="2236"/>
        <v>779.30000000000018</v>
      </c>
      <c r="BJ218" s="21">
        <f t="shared" si="2236"/>
        <v>0</v>
      </c>
      <c r="BK218" s="21">
        <f t="shared" si="2236"/>
        <v>-159.79999999999995</v>
      </c>
      <c r="BL218" s="21">
        <f t="shared" si="2236"/>
        <v>0</v>
      </c>
      <c r="BM218" s="21">
        <f t="shared" si="2236"/>
        <v>-9.5400000000004184</v>
      </c>
      <c r="BN218" s="21">
        <f t="shared" si="2236"/>
        <v>0</v>
      </c>
      <c r="BO218" s="21">
        <f t="shared" si="2236"/>
        <v>-110.82999999999993</v>
      </c>
      <c r="BP218" s="21">
        <f t="shared" si="2236"/>
        <v>0</v>
      </c>
      <c r="BQ218" s="21">
        <f t="shared" si="2236"/>
        <v>-2.0099999999997635</v>
      </c>
      <c r="BR218" s="21">
        <f t="shared" si="2236"/>
        <v>0</v>
      </c>
      <c r="BS218" s="21">
        <f t="shared" si="2236"/>
        <v>-111.69000000000005</v>
      </c>
      <c r="BT218" s="21">
        <f t="shared" si="2236"/>
        <v>0</v>
      </c>
      <c r="BU218" s="21">
        <f t="shared" si="2236"/>
        <v>-4.0500000000001819</v>
      </c>
      <c r="BV218" s="21">
        <f t="shared" si="2236"/>
        <v>0</v>
      </c>
      <c r="BW218" s="21">
        <f t="shared" si="2236"/>
        <v>-246.00999999999976</v>
      </c>
      <c r="BX218" s="21">
        <f t="shared" si="2236"/>
        <v>0</v>
      </c>
      <c r="BY218" s="21">
        <f t="shared" si="2236"/>
        <v>-0.96999999999979991</v>
      </c>
      <c r="BZ218" s="21">
        <f t="shared" si="2236"/>
        <v>0</v>
      </c>
      <c r="CA218" s="21">
        <f t="shared" si="2236"/>
        <v>-375.77999999999975</v>
      </c>
      <c r="CB218" s="21">
        <f t="shared" si="2236"/>
        <v>0</v>
      </c>
      <c r="CC218" s="21">
        <f t="shared" si="2236"/>
        <v>-3.7899999999999636</v>
      </c>
      <c r="CD218" s="21">
        <f t="shared" si="2236"/>
        <v>0</v>
      </c>
      <c r="CE218" s="21">
        <f t="shared" ref="CE218:CF218" si="2237">CE219+CE220</f>
        <v>-404.36999999999989</v>
      </c>
      <c r="CF218" s="21">
        <f t="shared" si="2237"/>
        <v>0</v>
      </c>
      <c r="CG218" s="21">
        <f t="shared" ref="CG218:CH218" si="2238">CG219+CG220</f>
        <v>-5.4099999999998545</v>
      </c>
      <c r="CH218" s="21">
        <f t="shared" si="2238"/>
        <v>0</v>
      </c>
      <c r="CI218" s="21">
        <f t="shared" ref="CI218:CJ218" si="2239">CI219+CI220</f>
        <v>-438.28999999999996</v>
      </c>
      <c r="CJ218" s="21">
        <f t="shared" si="2239"/>
        <v>0</v>
      </c>
      <c r="CK218" s="21">
        <f t="shared" ref="CK218:DA218" si="2240">CK219+CK220</f>
        <v>1.4700000000002547</v>
      </c>
      <c r="CL218" s="21">
        <f t="shared" si="2240"/>
        <v>0</v>
      </c>
      <c r="CM218" s="20">
        <f t="shared" si="2240"/>
        <v>0</v>
      </c>
      <c r="CN218" s="20">
        <f t="shared" si="2240"/>
        <v>0</v>
      </c>
      <c r="CO218" s="20">
        <f t="shared" si="2240"/>
        <v>0</v>
      </c>
      <c r="CP218" s="20">
        <f t="shared" si="2240"/>
        <v>0</v>
      </c>
      <c r="CQ218" s="20">
        <f t="shared" si="2240"/>
        <v>0</v>
      </c>
      <c r="CR218" s="20">
        <f t="shared" si="2240"/>
        <v>0</v>
      </c>
      <c r="CS218" s="20">
        <f t="shared" si="2240"/>
        <v>0</v>
      </c>
      <c r="CT218" s="20">
        <f t="shared" si="2240"/>
        <v>0</v>
      </c>
      <c r="CU218" s="20">
        <f t="shared" si="2240"/>
        <v>0</v>
      </c>
      <c r="CV218" s="20">
        <f t="shared" si="2240"/>
        <v>0</v>
      </c>
      <c r="CW218" s="20">
        <f t="shared" si="2240"/>
        <v>0</v>
      </c>
      <c r="CX218" s="20">
        <f t="shared" si="2240"/>
        <v>0</v>
      </c>
      <c r="CY218" s="20">
        <f t="shared" si="2240"/>
        <v>0</v>
      </c>
      <c r="CZ218" s="20">
        <f t="shared" si="2240"/>
        <v>0</v>
      </c>
      <c r="DA218" s="20">
        <f t="shared" si="2240"/>
        <v>0</v>
      </c>
      <c r="DD218" s="125"/>
      <c r="DE218" s="21">
        <v>-436.8199999999988</v>
      </c>
    </row>
    <row r="219" spans="1:109" s="22" customFormat="1" x14ac:dyDescent="0.2">
      <c r="A219" s="22" t="s">
        <v>49</v>
      </c>
      <c r="C219" s="22">
        <f t="shared" ref="C219:AA219" si="2241">C141-B141</f>
        <v>0</v>
      </c>
      <c r="D219" s="22">
        <f t="shared" si="2241"/>
        <v>54.56</v>
      </c>
      <c r="E219" s="22">
        <f>E141-D141</f>
        <v>-29.680000000000003</v>
      </c>
      <c r="F219" s="22">
        <f t="shared" si="2241"/>
        <v>-24.84</v>
      </c>
      <c r="G219" s="22">
        <f t="shared" si="2241"/>
        <v>11.15</v>
      </c>
      <c r="H219" s="22">
        <f t="shared" si="2241"/>
        <v>-11.19</v>
      </c>
      <c r="I219" s="22">
        <f t="shared" si="2241"/>
        <v>0</v>
      </c>
      <c r="J219" s="22">
        <f>J141-I141</f>
        <v>0</v>
      </c>
      <c r="K219" s="22">
        <f>K141-J141</f>
        <v>0</v>
      </c>
      <c r="L219" s="22">
        <f t="shared" si="2241"/>
        <v>0</v>
      </c>
      <c r="M219" s="22">
        <f t="shared" si="2241"/>
        <v>0</v>
      </c>
      <c r="N219" s="22">
        <f t="shared" si="2241"/>
        <v>0</v>
      </c>
      <c r="O219" s="22">
        <f t="shared" si="2241"/>
        <v>0</v>
      </c>
      <c r="P219" s="22">
        <f t="shared" si="2241"/>
        <v>0</v>
      </c>
      <c r="Q219" s="22">
        <f t="shared" si="2241"/>
        <v>0</v>
      </c>
      <c r="R219" s="22">
        <f t="shared" si="2241"/>
        <v>0</v>
      </c>
      <c r="S219" s="22">
        <f t="shared" si="2241"/>
        <v>69.38</v>
      </c>
      <c r="T219" s="22">
        <f t="shared" si="2241"/>
        <v>-11.64</v>
      </c>
      <c r="U219" s="22">
        <f t="shared" si="2241"/>
        <v>-57.739999999999995</v>
      </c>
      <c r="V219" s="22">
        <f t="shared" si="2241"/>
        <v>0</v>
      </c>
      <c r="W219" s="22">
        <f t="shared" si="2241"/>
        <v>0</v>
      </c>
      <c r="X219" s="22">
        <f t="shared" si="2241"/>
        <v>0</v>
      </c>
      <c r="Y219" s="22">
        <f t="shared" si="2241"/>
        <v>0</v>
      </c>
      <c r="Z219" s="22">
        <f t="shared" si="2241"/>
        <v>0</v>
      </c>
      <c r="AA219" s="22">
        <f t="shared" si="2241"/>
        <v>0</v>
      </c>
      <c r="AB219" s="23">
        <f t="shared" ref="AB219" si="2242">AB141-AA141</f>
        <v>0</v>
      </c>
      <c r="AC219" s="23">
        <f t="shared" ref="AC219" si="2243">AC141-AB141</f>
        <v>0</v>
      </c>
      <c r="AD219" s="23">
        <f t="shared" ref="AD219" si="2244">AD141-AC141</f>
        <v>0</v>
      </c>
      <c r="AE219" s="23">
        <f t="shared" ref="AE219" si="2245">AE141-AD141</f>
        <v>0</v>
      </c>
      <c r="AI219" s="22">
        <f t="shared" ref="AI219" si="2246">AI141-AH141</f>
        <v>0</v>
      </c>
      <c r="AJ219" s="22">
        <f t="shared" ref="AJ219" si="2247">AJ141-AI141</f>
        <v>0</v>
      </c>
      <c r="AK219" s="22">
        <f t="shared" ref="AK219" si="2248">AK141-AJ141</f>
        <v>0</v>
      </c>
      <c r="AL219" s="22">
        <f t="shared" ref="AL219" si="2249">AL141-AK141</f>
        <v>0</v>
      </c>
      <c r="AM219" s="22">
        <f t="shared" ref="AM219" si="2250">AM141-AL141</f>
        <v>0</v>
      </c>
      <c r="AN219" s="22">
        <f t="shared" ref="AN219" si="2251">AN141-AM141</f>
        <v>0</v>
      </c>
      <c r="AO219" s="22">
        <f t="shared" ref="AO219" si="2252">AO141-AN141</f>
        <v>0</v>
      </c>
      <c r="AP219" s="22">
        <f t="shared" ref="AP219" si="2253">AP141-AO141</f>
        <v>0</v>
      </c>
      <c r="AQ219" s="22">
        <f t="shared" ref="AQ219" si="2254">AQ141-AP141</f>
        <v>0</v>
      </c>
      <c r="AR219" s="22">
        <f t="shared" ref="AR219" si="2255">AR141-AQ141</f>
        <v>0</v>
      </c>
      <c r="AS219" s="22">
        <f t="shared" ref="AS219" si="2256">AS141-AR141</f>
        <v>0</v>
      </c>
      <c r="AT219" s="22">
        <f t="shared" ref="AT219" si="2257">AT141-AS141</f>
        <v>0</v>
      </c>
      <c r="AU219" s="22">
        <f t="shared" ref="AU219" si="2258">AU141-AT141</f>
        <v>0</v>
      </c>
      <c r="AV219" s="22">
        <f t="shared" ref="AV219" si="2259">AV141-AU141</f>
        <v>0</v>
      </c>
      <c r="AW219" s="22">
        <f t="shared" ref="AW219" si="2260">AW141-AV141</f>
        <v>0</v>
      </c>
      <c r="AX219" s="22">
        <f t="shared" ref="AX219" si="2261">AX141-AW141</f>
        <v>0</v>
      </c>
      <c r="AY219" s="22">
        <f t="shared" ref="AY219" si="2262">AY141-AX141</f>
        <v>0</v>
      </c>
      <c r="AZ219" s="22">
        <f t="shared" ref="AZ219" si="2263">AZ141-AY141</f>
        <v>0</v>
      </c>
      <c r="BA219" s="22">
        <f t="shared" ref="BA219" si="2264">BA141-AZ141</f>
        <v>0</v>
      </c>
      <c r="BB219" s="22">
        <f t="shared" ref="BB219" si="2265">BB141-BA141</f>
        <v>0</v>
      </c>
      <c r="BC219" s="22">
        <f t="shared" ref="BC219" si="2266">BC141-BB141</f>
        <v>0</v>
      </c>
      <c r="BD219" s="22">
        <f t="shared" ref="BD219" si="2267">BD141-BC141</f>
        <v>0</v>
      </c>
      <c r="BE219" s="22">
        <f t="shared" ref="BE219" si="2268">BE141-BD141</f>
        <v>0</v>
      </c>
      <c r="BF219" s="22">
        <f t="shared" ref="BF219" si="2269">BF141-BE141</f>
        <v>0</v>
      </c>
      <c r="BG219" s="22">
        <f t="shared" ref="BG219" si="2270">BG141-BF141</f>
        <v>0</v>
      </c>
      <c r="BH219" s="22">
        <f t="shared" ref="BH219" si="2271">BH141-BG141</f>
        <v>0</v>
      </c>
      <c r="BI219" s="22">
        <f t="shared" ref="BI219" si="2272">BI141-BH141</f>
        <v>57.739999999999995</v>
      </c>
      <c r="BJ219" s="22">
        <f t="shared" ref="BJ219" si="2273">BJ141-BI141</f>
        <v>0</v>
      </c>
      <c r="BK219" s="22">
        <f t="shared" ref="BK219" si="2274">BK141-BJ141</f>
        <v>-47.739999999999995</v>
      </c>
      <c r="BL219" s="22">
        <f t="shared" ref="BL219" si="2275">BL141-BK141</f>
        <v>0</v>
      </c>
      <c r="BM219" s="22">
        <f t="shared" ref="BM219" si="2276">BM141-BL141</f>
        <v>-10</v>
      </c>
      <c r="BN219" s="22">
        <f t="shared" ref="BN219" si="2277">BN141-BM141</f>
        <v>0</v>
      </c>
      <c r="BO219" s="22">
        <f t="shared" ref="BO219" si="2278">BO141-BN141</f>
        <v>0</v>
      </c>
      <c r="BP219" s="22">
        <f t="shared" ref="BP219" si="2279">BP141-BO141</f>
        <v>0</v>
      </c>
      <c r="BQ219" s="22">
        <f t="shared" ref="BQ219" si="2280">BQ141-BP141</f>
        <v>0</v>
      </c>
      <c r="BR219" s="22">
        <f t="shared" ref="BR219" si="2281">BR141-BQ141</f>
        <v>0</v>
      </c>
      <c r="BS219" s="22">
        <f t="shared" ref="BS219" si="2282">BS141-BR141</f>
        <v>0</v>
      </c>
      <c r="BT219" s="22">
        <f t="shared" ref="BT219" si="2283">BT141-BS141</f>
        <v>0</v>
      </c>
      <c r="BU219" s="22">
        <f t="shared" ref="BU219" si="2284">BU141-BT141</f>
        <v>0</v>
      </c>
      <c r="BV219" s="22">
        <f t="shared" ref="BV219" si="2285">BV141-BU141</f>
        <v>0</v>
      </c>
      <c r="BW219" s="22">
        <f t="shared" ref="BW219" si="2286">BW141-BV141</f>
        <v>0</v>
      </c>
      <c r="BX219" s="22">
        <f t="shared" ref="BX219" si="2287">BX141-BW141</f>
        <v>0</v>
      </c>
      <c r="BY219" s="22">
        <f t="shared" ref="BY219" si="2288">BY141-BX141</f>
        <v>0</v>
      </c>
      <c r="BZ219" s="22">
        <f t="shared" ref="BZ219" si="2289">BZ141-BY141</f>
        <v>0</v>
      </c>
      <c r="CA219" s="22">
        <f t="shared" ref="CA219" si="2290">CA141-BZ141</f>
        <v>0</v>
      </c>
      <c r="CB219" s="22">
        <f t="shared" ref="CB219" si="2291">CB141-CA141</f>
        <v>0</v>
      </c>
      <c r="CC219" s="22">
        <f t="shared" ref="CC219" si="2292">CC141-CB141</f>
        <v>0</v>
      </c>
      <c r="CD219" s="22">
        <f t="shared" ref="CD219" si="2293">CD141-CC141</f>
        <v>0</v>
      </c>
      <c r="CE219" s="22">
        <f t="shared" ref="CE219" si="2294">CE141-CD141</f>
        <v>0</v>
      </c>
      <c r="CF219" s="22">
        <f t="shared" ref="CF219" si="2295">CF141-CE141</f>
        <v>0</v>
      </c>
      <c r="CG219" s="22">
        <f t="shared" ref="CG219" si="2296">CG141-CF141</f>
        <v>0</v>
      </c>
      <c r="CH219" s="22">
        <f t="shared" ref="CH219:CL219" si="2297">CH141-CG141</f>
        <v>0</v>
      </c>
      <c r="CI219" s="22">
        <f t="shared" si="2297"/>
        <v>0</v>
      </c>
      <c r="CJ219" s="22">
        <f t="shared" si="2297"/>
        <v>0</v>
      </c>
      <c r="CK219" s="22">
        <f t="shared" ref="CK219" si="2298">CK141-CJ141</f>
        <v>0</v>
      </c>
      <c r="CL219" s="22">
        <f t="shared" si="2297"/>
        <v>0</v>
      </c>
      <c r="CM219" s="23">
        <f t="shared" ref="CM219" si="2299">CM141-CL141</f>
        <v>0</v>
      </c>
      <c r="CN219" s="23">
        <f t="shared" ref="CN219" si="2300">CN141-CM141</f>
        <v>0</v>
      </c>
      <c r="CO219" s="23">
        <f t="shared" ref="CO219" si="2301">CO141-CN141</f>
        <v>0</v>
      </c>
      <c r="CP219" s="23">
        <f t="shared" ref="CP219" si="2302">CP141-CO141</f>
        <v>0</v>
      </c>
      <c r="CQ219" s="23">
        <f t="shared" ref="CQ219" si="2303">CQ141-CP141</f>
        <v>0</v>
      </c>
      <c r="CR219" s="23">
        <f t="shared" ref="CR219" si="2304">CR141-CQ141</f>
        <v>0</v>
      </c>
      <c r="CS219" s="23">
        <f t="shared" ref="CS219" si="2305">CS141-CR141</f>
        <v>0</v>
      </c>
      <c r="CT219" s="23">
        <f t="shared" ref="CT219" si="2306">CT141-CS141</f>
        <v>0</v>
      </c>
      <c r="CU219" s="23">
        <f t="shared" ref="CU219" si="2307">CU141-CT141</f>
        <v>0</v>
      </c>
      <c r="CV219" s="23">
        <f t="shared" ref="CV219" si="2308">CV141-CU141</f>
        <v>0</v>
      </c>
      <c r="CW219" s="23">
        <f t="shared" ref="CW219" si="2309">CW141-CV141</f>
        <v>0</v>
      </c>
      <c r="CX219" s="23">
        <f t="shared" ref="CX219" si="2310">CX141-CW141</f>
        <v>0</v>
      </c>
      <c r="CY219" s="23">
        <f t="shared" ref="CY219" si="2311">CY141-CX141</f>
        <v>0</v>
      </c>
      <c r="CZ219" s="23">
        <f t="shared" ref="CZ219" si="2312">CZ141-CY141</f>
        <v>0</v>
      </c>
      <c r="DA219" s="23">
        <f t="shared" ref="DA219" si="2313">DA141-CZ141</f>
        <v>0</v>
      </c>
      <c r="DD219" s="122"/>
      <c r="DE219" s="22">
        <v>0</v>
      </c>
    </row>
    <row r="220" spans="1:109" s="22" customFormat="1" x14ac:dyDescent="0.2">
      <c r="A220" s="22" t="s">
        <v>27</v>
      </c>
      <c r="C220" s="22">
        <f t="shared" ref="C220:AE220" si="2314">C133-C61-B133+C135-B135</f>
        <v>0</v>
      </c>
      <c r="D220" s="22">
        <f t="shared" si="2314"/>
        <v>82.610000000000028</v>
      </c>
      <c r="E220" s="22">
        <f t="shared" si="2314"/>
        <v>-9.3500000000000085</v>
      </c>
      <c r="F220" s="22">
        <f t="shared" si="2314"/>
        <v>-6.640000000000029</v>
      </c>
      <c r="G220" s="22">
        <f t="shared" si="2314"/>
        <v>-6.7500000000000284</v>
      </c>
      <c r="H220" s="22">
        <f t="shared" si="2314"/>
        <v>-7.6399999999999579</v>
      </c>
      <c r="I220" s="22">
        <f t="shared" si="2314"/>
        <v>-9.0600000000000023</v>
      </c>
      <c r="J220" s="22">
        <f t="shared" si="2314"/>
        <v>-8.8100000000000591</v>
      </c>
      <c r="K220" s="22">
        <f t="shared" si="2314"/>
        <v>-8.8100000000000591</v>
      </c>
      <c r="L220" s="22">
        <f t="shared" si="2314"/>
        <v>-9.779999999999859</v>
      </c>
      <c r="M220" s="22">
        <f t="shared" si="2314"/>
        <v>-19.389999999999986</v>
      </c>
      <c r="N220" s="22">
        <f t="shared" si="2314"/>
        <v>-9.7200000000000273</v>
      </c>
      <c r="O220" s="22">
        <f t="shared" si="2314"/>
        <v>-11.7800000000002</v>
      </c>
      <c r="P220" s="22">
        <f t="shared" si="2314"/>
        <v>-34.940000000000055</v>
      </c>
      <c r="Q220" s="22">
        <f t="shared" si="2314"/>
        <v>-15.730000000000018</v>
      </c>
      <c r="R220" s="22">
        <f t="shared" si="2314"/>
        <v>-9.1400000000001</v>
      </c>
      <c r="S220" s="22">
        <f t="shared" si="2314"/>
        <v>461.51000000000113</v>
      </c>
      <c r="T220" s="22">
        <f t="shared" si="2314"/>
        <v>-38.840000000000146</v>
      </c>
      <c r="U220" s="22">
        <f t="shared" si="2314"/>
        <v>-111.599999999999</v>
      </c>
      <c r="V220" s="22">
        <f t="shared" si="2314"/>
        <v>-112.84000000000015</v>
      </c>
      <c r="W220" s="22">
        <f t="shared" si="2314"/>
        <v>-115.74000000000069</v>
      </c>
      <c r="X220" s="22">
        <f t="shared" si="2314"/>
        <v>-246.97999999999956</v>
      </c>
      <c r="Y220" s="22">
        <f t="shared" si="2314"/>
        <v>-379.56999999999971</v>
      </c>
      <c r="Z220" s="22">
        <f t="shared" si="2314"/>
        <v>-409.77999999999975</v>
      </c>
      <c r="AA220" s="22">
        <f t="shared" si="2314"/>
        <v>-436.82000000000062</v>
      </c>
      <c r="AB220" s="23">
        <f t="shared" si="2314"/>
        <v>-9.0949470177292824E-13</v>
      </c>
      <c r="AC220" s="23">
        <f t="shared" si="2314"/>
        <v>-9.0949470177292824E-13</v>
      </c>
      <c r="AD220" s="23">
        <f t="shared" si="2314"/>
        <v>-1.8189894035458565E-12</v>
      </c>
      <c r="AE220" s="23">
        <f t="shared" si="2314"/>
        <v>0</v>
      </c>
      <c r="AI220" s="22">
        <f t="shared" ref="AI220:BN220" si="2315">AI133-AI61-AH133+AI135-AH135</f>
        <v>757.01</v>
      </c>
      <c r="AJ220" s="22">
        <f t="shared" si="2315"/>
        <v>0</v>
      </c>
      <c r="AK220" s="22">
        <f t="shared" si="2315"/>
        <v>9.6199999999998909</v>
      </c>
      <c r="AL220" s="22">
        <f t="shared" si="2315"/>
        <v>0</v>
      </c>
      <c r="AM220" s="22">
        <f t="shared" si="2315"/>
        <v>-8.9999999999804459E-2</v>
      </c>
      <c r="AN220" s="22">
        <f t="shared" si="2315"/>
        <v>0</v>
      </c>
      <c r="AO220" s="22">
        <f t="shared" si="2315"/>
        <v>-11.690000000000055</v>
      </c>
      <c r="AP220" s="22">
        <f t="shared" si="2315"/>
        <v>-1.1368683772161603E-13</v>
      </c>
      <c r="AQ220" s="22">
        <f t="shared" si="2315"/>
        <v>-2.9999999999972715E-2</v>
      </c>
      <c r="AR220" s="22">
        <f t="shared" si="2315"/>
        <v>0</v>
      </c>
      <c r="AS220" s="22">
        <f t="shared" si="2315"/>
        <v>-34.910000000000082</v>
      </c>
      <c r="AT220" s="22">
        <f t="shared" si="2315"/>
        <v>0</v>
      </c>
      <c r="AU220" s="22">
        <f t="shared" si="2315"/>
        <v>10.250000000000227</v>
      </c>
      <c r="AV220" s="22">
        <f t="shared" si="2315"/>
        <v>0</v>
      </c>
      <c r="AW220" s="22">
        <f t="shared" si="2315"/>
        <v>-25.980000000000018</v>
      </c>
      <c r="AX220" s="22">
        <f t="shared" si="2315"/>
        <v>0</v>
      </c>
      <c r="AY220" s="22">
        <f t="shared" si="2315"/>
        <v>-0.4499999999998181</v>
      </c>
      <c r="AZ220" s="22">
        <f t="shared" si="2315"/>
        <v>0</v>
      </c>
      <c r="BA220" s="22">
        <f t="shared" si="2315"/>
        <v>-8.6900000000000546</v>
      </c>
      <c r="BB220" s="22">
        <f t="shared" si="2315"/>
        <v>0</v>
      </c>
      <c r="BC220" s="22">
        <f t="shared" si="2315"/>
        <v>-19.599999999999909</v>
      </c>
      <c r="BD220" s="22">
        <f t="shared" si="2315"/>
        <v>0</v>
      </c>
      <c r="BE220" s="22">
        <f t="shared" si="2315"/>
        <v>-71.130000000000109</v>
      </c>
      <c r="BF220" s="22">
        <f t="shared" si="2315"/>
        <v>0</v>
      </c>
      <c r="BG220" s="22">
        <f t="shared" si="2315"/>
        <v>-130.54999999999995</v>
      </c>
      <c r="BH220" s="22">
        <f t="shared" si="2315"/>
        <v>0</v>
      </c>
      <c r="BI220" s="22">
        <f t="shared" si="2315"/>
        <v>721.56000000000017</v>
      </c>
      <c r="BJ220" s="22">
        <f t="shared" si="2315"/>
        <v>0</v>
      </c>
      <c r="BK220" s="22">
        <f t="shared" si="2315"/>
        <v>-112.05999999999995</v>
      </c>
      <c r="BL220" s="22">
        <f t="shared" si="2315"/>
        <v>0</v>
      </c>
      <c r="BM220" s="22">
        <f t="shared" si="2315"/>
        <v>0.45999999999958163</v>
      </c>
      <c r="BN220" s="22">
        <f t="shared" si="2315"/>
        <v>0</v>
      </c>
      <c r="BO220" s="22">
        <f t="shared" ref="BO220:CT220" si="2316">BO133-BO61-BN133+BO135-BN135</f>
        <v>-110.82999999999993</v>
      </c>
      <c r="BP220" s="22">
        <f t="shared" si="2316"/>
        <v>0</v>
      </c>
      <c r="BQ220" s="22">
        <f t="shared" si="2316"/>
        <v>-2.0099999999997635</v>
      </c>
      <c r="BR220" s="22">
        <f t="shared" si="2316"/>
        <v>0</v>
      </c>
      <c r="BS220" s="22">
        <f t="shared" si="2316"/>
        <v>-111.69000000000005</v>
      </c>
      <c r="BT220" s="22">
        <f t="shared" si="2316"/>
        <v>0</v>
      </c>
      <c r="BU220" s="22">
        <f t="shared" si="2316"/>
        <v>-4.0500000000001819</v>
      </c>
      <c r="BV220" s="22">
        <f t="shared" si="2316"/>
        <v>0</v>
      </c>
      <c r="BW220" s="22">
        <f t="shared" si="2316"/>
        <v>-246.00999999999976</v>
      </c>
      <c r="BX220" s="22">
        <f t="shared" si="2316"/>
        <v>0</v>
      </c>
      <c r="BY220" s="22">
        <f t="shared" si="2316"/>
        <v>-0.96999999999979991</v>
      </c>
      <c r="BZ220" s="22">
        <f t="shared" si="2316"/>
        <v>0</v>
      </c>
      <c r="CA220" s="22">
        <f t="shared" si="2316"/>
        <v>-375.77999999999975</v>
      </c>
      <c r="CB220" s="22">
        <f t="shared" si="2316"/>
        <v>0</v>
      </c>
      <c r="CC220" s="22">
        <f t="shared" si="2316"/>
        <v>-3.7899999999999636</v>
      </c>
      <c r="CD220" s="22">
        <f t="shared" si="2316"/>
        <v>0</v>
      </c>
      <c r="CE220" s="22">
        <f t="shared" si="2316"/>
        <v>-404.36999999999989</v>
      </c>
      <c r="CF220" s="22">
        <f t="shared" si="2316"/>
        <v>0</v>
      </c>
      <c r="CG220" s="22">
        <f t="shared" si="2316"/>
        <v>-5.4099999999998545</v>
      </c>
      <c r="CH220" s="22">
        <f t="shared" si="2316"/>
        <v>0</v>
      </c>
      <c r="CI220" s="22">
        <f t="shared" si="2316"/>
        <v>-438.28999999999996</v>
      </c>
      <c r="CJ220" s="22">
        <f t="shared" si="2316"/>
        <v>0</v>
      </c>
      <c r="CK220" s="22">
        <f t="shared" si="2316"/>
        <v>1.4700000000002547</v>
      </c>
      <c r="CL220" s="22">
        <f t="shared" si="2316"/>
        <v>0</v>
      </c>
      <c r="CM220" s="23">
        <f t="shared" si="2316"/>
        <v>0</v>
      </c>
      <c r="CN220" s="23">
        <f t="shared" si="2316"/>
        <v>0</v>
      </c>
      <c r="CO220" s="23">
        <f t="shared" si="2316"/>
        <v>0</v>
      </c>
      <c r="CP220" s="23">
        <f t="shared" si="2316"/>
        <v>0</v>
      </c>
      <c r="CQ220" s="23">
        <f t="shared" si="2316"/>
        <v>0</v>
      </c>
      <c r="CR220" s="23">
        <f t="shared" si="2316"/>
        <v>0</v>
      </c>
      <c r="CS220" s="23">
        <f t="shared" si="2316"/>
        <v>0</v>
      </c>
      <c r="CT220" s="23">
        <f t="shared" si="2316"/>
        <v>0</v>
      </c>
      <c r="CU220" s="23">
        <f t="shared" ref="CU220:DA220" si="2317">CU133-CU61-CT133+CU135-CT135</f>
        <v>0</v>
      </c>
      <c r="CV220" s="23">
        <f t="shared" si="2317"/>
        <v>0</v>
      </c>
      <c r="CW220" s="23">
        <f t="shared" si="2317"/>
        <v>0</v>
      </c>
      <c r="CX220" s="23">
        <f t="shared" si="2317"/>
        <v>0</v>
      </c>
      <c r="CY220" s="23">
        <f t="shared" si="2317"/>
        <v>0</v>
      </c>
      <c r="CZ220" s="23">
        <f t="shared" si="2317"/>
        <v>0</v>
      </c>
      <c r="DA220" s="23">
        <f t="shared" si="2317"/>
        <v>0</v>
      </c>
      <c r="DD220" s="122"/>
      <c r="DE220" s="22">
        <v>-436.8199999999988</v>
      </c>
    </row>
    <row r="221" spans="1:109" s="22" customFormat="1" x14ac:dyDescent="0.2">
      <c r="AB221" s="23"/>
      <c r="AC221" s="23"/>
      <c r="AD221" s="23"/>
      <c r="AE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D221" s="122"/>
    </row>
    <row r="222" spans="1:109" s="22" customFormat="1" x14ac:dyDescent="0.2">
      <c r="A222" s="22" t="s">
        <v>441</v>
      </c>
      <c r="C222" s="22">
        <f t="shared" ref="C222" si="2318">B174</f>
        <v>0</v>
      </c>
      <c r="D222" s="22">
        <f t="shared" ref="D222" si="2319">C174</f>
        <v>0</v>
      </c>
      <c r="E222" s="22">
        <f>D174</f>
        <v>3.0300000000000002</v>
      </c>
      <c r="F222" s="22">
        <f t="shared" ref="F222" si="2320">E174</f>
        <v>5.38</v>
      </c>
      <c r="G222" s="22">
        <f t="shared" ref="G222" si="2321">F174</f>
        <v>3.49</v>
      </c>
      <c r="H222" s="22">
        <f t="shared" ref="H222" si="2322">G174</f>
        <v>8.89</v>
      </c>
      <c r="I222" s="22">
        <f t="shared" ref="I222" si="2323">H174</f>
        <v>13.2</v>
      </c>
      <c r="J222" s="22">
        <f>I174</f>
        <v>64.849999999999994</v>
      </c>
      <c r="K222" s="22">
        <f>J174</f>
        <v>63.55</v>
      </c>
      <c r="L222" s="22">
        <f t="shared" ref="L222" si="2324">K174</f>
        <v>173.07</v>
      </c>
      <c r="M222" s="22">
        <f t="shared" ref="M222" si="2325">L174</f>
        <v>288.01</v>
      </c>
      <c r="N222" s="22">
        <f t="shared" ref="N222" si="2326">M174</f>
        <v>233.42</v>
      </c>
      <c r="O222" s="22">
        <f t="shared" ref="O222" si="2327">N174</f>
        <v>194.82</v>
      </c>
      <c r="P222" s="22">
        <f t="shared" ref="P222" si="2328">O174</f>
        <v>237.66</v>
      </c>
      <c r="Q222" s="22">
        <f t="shared" ref="Q222" si="2329">P174</f>
        <v>329.45</v>
      </c>
      <c r="R222" s="22">
        <f t="shared" ref="R222" si="2330">Q174</f>
        <v>470.41</v>
      </c>
      <c r="S222" s="22">
        <f t="shared" ref="S222" si="2331">R174</f>
        <v>640.54999999999995</v>
      </c>
      <c r="T222" s="22">
        <f t="shared" ref="T222" si="2332">S174</f>
        <v>893.77</v>
      </c>
      <c r="U222" s="22">
        <f t="shared" ref="U222" si="2333">T174</f>
        <v>847.6</v>
      </c>
      <c r="V222" s="22">
        <f t="shared" ref="V222" si="2334">U174</f>
        <v>835.36</v>
      </c>
      <c r="W222" s="22">
        <f t="shared" ref="W222:AA222" si="2335">V174</f>
        <v>1245.9000000000001</v>
      </c>
      <c r="X222" s="22">
        <f t="shared" si="2335"/>
        <v>1415.67</v>
      </c>
      <c r="Y222" s="22">
        <f t="shared" si="2335"/>
        <v>1554.53</v>
      </c>
      <c r="Z222" s="22">
        <f t="shared" si="2335"/>
        <v>1585.66</v>
      </c>
      <c r="AA222" s="22">
        <f t="shared" si="2335"/>
        <v>1350.03</v>
      </c>
      <c r="AB222" s="23">
        <f t="shared" ref="AB222" si="2336">AA174</f>
        <v>1845.64</v>
      </c>
      <c r="AC222" s="23">
        <f t="shared" ref="AC222" si="2337">AB174</f>
        <v>2788.5316241168703</v>
      </c>
      <c r="AD222" s="23">
        <f t="shared" ref="AD222" si="2338">AC174</f>
        <v>4133.2926874328314</v>
      </c>
      <c r="AE222" s="23">
        <f t="shared" ref="AE222" si="2339">AD174</f>
        <v>5742.5169234798041</v>
      </c>
      <c r="AI222" s="22">
        <f t="shared" ref="AI222" si="2340">AH174</f>
        <v>0</v>
      </c>
      <c r="AJ222" s="22">
        <f t="shared" ref="AJ222" si="2341">AI174</f>
        <v>184.62</v>
      </c>
      <c r="AK222" s="22">
        <f t="shared" ref="AK222" si="2342">AJ174</f>
        <v>248.64897979585402</v>
      </c>
      <c r="AL222" s="22">
        <f t="shared" ref="AL222" si="2343">AK174</f>
        <v>194.82</v>
      </c>
      <c r="AM222" s="22">
        <f t="shared" ref="AM222" si="2344">AL174</f>
        <v>229.39559950449416</v>
      </c>
      <c r="AN222" s="22">
        <f t="shared" ref="AN222" si="2345">AM174</f>
        <v>227.76</v>
      </c>
      <c r="AO222" s="22">
        <f t="shared" ref="AO222" si="2346">AN174</f>
        <v>172.33203880626402</v>
      </c>
      <c r="AP222" s="22">
        <f t="shared" ref="AP222" si="2347">AO174</f>
        <v>237.66</v>
      </c>
      <c r="AQ222" s="22">
        <f t="shared" ref="AQ222" si="2348">AP174</f>
        <v>268.5013215691252</v>
      </c>
      <c r="AR222" s="22">
        <f t="shared" ref="AR222" si="2349">AQ174</f>
        <v>268.75</v>
      </c>
      <c r="AS222" s="22">
        <f t="shared" ref="AS222" si="2350">AR174</f>
        <v>293.57642775097639</v>
      </c>
      <c r="AT222" s="22">
        <f t="shared" ref="AT222" si="2351">AS174</f>
        <v>329.45</v>
      </c>
      <c r="AU222" s="22">
        <f t="shared" ref="AU222" si="2352">AT174</f>
        <v>383.4680321303839</v>
      </c>
      <c r="AV222" s="22">
        <f t="shared" ref="AV222" si="2353">AU174</f>
        <v>408.19</v>
      </c>
      <c r="AW222" s="22">
        <f t="shared" ref="AW222" si="2354">AV174</f>
        <v>454.66977945940948</v>
      </c>
      <c r="AX222" s="22">
        <f t="shared" ref="AX222" si="2355">AW174</f>
        <v>470.41</v>
      </c>
      <c r="AY222" s="22">
        <f t="shared" ref="AY222" si="2356">AX174</f>
        <v>534.66759259259243</v>
      </c>
      <c r="AZ222" s="22">
        <f t="shared" ref="AZ222" si="2357">AY174</f>
        <v>529.16</v>
      </c>
      <c r="BA222" s="22">
        <f t="shared" ref="BA222" si="2358">AZ174</f>
        <v>590.6421511089145</v>
      </c>
      <c r="BB222" s="22">
        <f t="shared" ref="BB222" si="2359">BA174</f>
        <v>640.54999999999995</v>
      </c>
      <c r="BC222" s="22">
        <f t="shared" ref="BC222" si="2360">BB174</f>
        <v>723.36048911303237</v>
      </c>
      <c r="BD222" s="22">
        <f t="shared" ref="BD222" si="2361">BC174</f>
        <v>720.99</v>
      </c>
      <c r="BE222" s="22">
        <f t="shared" ref="BE222" si="2362">BD174</f>
        <v>470.65116987988307</v>
      </c>
      <c r="BF222" s="22">
        <f t="shared" ref="BF222" si="2363">BE174</f>
        <v>830.64</v>
      </c>
      <c r="BG222" s="22">
        <f t="shared" ref="BG222" si="2364">BF174</f>
        <v>922.73496404144771</v>
      </c>
      <c r="BH222" s="22">
        <f t="shared" ref="BH222" si="2365">BG174</f>
        <v>883.51</v>
      </c>
      <c r="BI222" s="22">
        <f t="shared" ref="BI222" si="2366">BH174</f>
        <v>943.10274644175024</v>
      </c>
      <c r="BJ222" s="22">
        <f t="shared" ref="BJ222" si="2367">BI174</f>
        <v>847.6</v>
      </c>
      <c r="BK222" s="22">
        <f t="shared" ref="BK222" si="2368">BJ174</f>
        <v>964.08978934324659</v>
      </c>
      <c r="BL222" s="22">
        <f t="shared" ref="BL222" si="2369">BK174</f>
        <v>596.28</v>
      </c>
      <c r="BM222" s="22">
        <f t="shared" ref="BM222" si="2370">BL174</f>
        <v>769.58536509357987</v>
      </c>
      <c r="BN222" s="22">
        <f t="shared" ref="BN222" si="2371">BM174</f>
        <v>835.36</v>
      </c>
      <c r="BO222" s="22">
        <f t="shared" ref="BO222" si="2372">BN174</f>
        <v>1002.5640048433627</v>
      </c>
      <c r="BP222" s="22">
        <f t="shared" ref="BP222" si="2373">BO174</f>
        <v>873.49</v>
      </c>
      <c r="BQ222" s="22">
        <f t="shared" ref="BQ222" si="2374">BP174</f>
        <v>-380.51018159861519</v>
      </c>
      <c r="BR222" s="22">
        <f t="shared" ref="BR222" si="2375">BQ174</f>
        <v>1245.9000000000001</v>
      </c>
      <c r="BS222" s="22">
        <f t="shared" ref="BS222" si="2376">BR174</f>
        <v>1363.9215904755172</v>
      </c>
      <c r="BT222" s="22">
        <f t="shared" ref="BT222" si="2377">BS174</f>
        <v>1236.9000000000001</v>
      </c>
      <c r="BU222" s="22">
        <f t="shared" ref="BU222" si="2378">BT174</f>
        <v>1229.4069617727453</v>
      </c>
      <c r="BV222" s="22">
        <f t="shared" ref="BV222" si="2379">BU174</f>
        <v>1415.67</v>
      </c>
      <c r="BW222" s="22">
        <f t="shared" ref="BW222" si="2380">BV174</f>
        <v>1593.717218458266</v>
      </c>
      <c r="BX222" s="22">
        <f t="shared" ref="BX222" si="2381">BW174</f>
        <v>1339.61</v>
      </c>
      <c r="BY222" s="22">
        <f t="shared" ref="BY222" si="2382">BX174</f>
        <v>1549.7386144450863</v>
      </c>
      <c r="BZ222" s="22">
        <f t="shared" ref="BZ222" si="2383">BY174</f>
        <v>1554.53</v>
      </c>
      <c r="CA222" s="22">
        <f t="shared" ref="CA222" si="2384">BZ174</f>
        <v>1839.4303103669233</v>
      </c>
      <c r="CB222" s="22">
        <f t="shared" ref="CB222" si="2385">CA174</f>
        <v>1394.86</v>
      </c>
      <c r="CC222" s="22">
        <f t="shared" ref="CC222" si="2386">CB174</f>
        <v>1609.7828170615701</v>
      </c>
      <c r="CD222" s="22">
        <f t="shared" ref="CD222" si="2387">CC174</f>
        <v>1585.66</v>
      </c>
      <c r="CE222" s="22">
        <f t="shared" ref="CE222" si="2388">CD174</f>
        <v>1806.3769353711559</v>
      </c>
      <c r="CF222" s="22">
        <f t="shared" ref="CF222" si="2389">CE174</f>
        <v>1115.94</v>
      </c>
      <c r="CG222" s="22">
        <f t="shared" ref="CG222" si="2390">CF174</f>
        <v>1344.9233311499681</v>
      </c>
      <c r="CH222" s="22">
        <f t="shared" ref="CH222:CL222" si="2391">CG174</f>
        <v>1350.03</v>
      </c>
      <c r="CI222" s="22">
        <f t="shared" si="2391"/>
        <v>1572.3055335524286</v>
      </c>
      <c r="CJ222" s="22">
        <f t="shared" si="2391"/>
        <v>1402.77</v>
      </c>
      <c r="CK222" s="22">
        <f t="shared" ref="CK222" si="2392">CJ174</f>
        <v>1634.799481720147</v>
      </c>
      <c r="CL222" s="22">
        <f t="shared" si="2391"/>
        <v>1845.64</v>
      </c>
      <c r="CM222" s="23">
        <f t="shared" ref="CM222" si="2393">CL174</f>
        <v>2104.8656070543525</v>
      </c>
      <c r="CN222" s="23">
        <f t="shared" ref="CN222" si="2394">CM174</f>
        <v>2377.9602203694621</v>
      </c>
      <c r="CO222" s="23">
        <f t="shared" ref="CO222" si="2395">CN174</f>
        <v>2635.0152846021956</v>
      </c>
      <c r="CP222" s="23">
        <f t="shared" ref="CP222" si="2396">CO174</f>
        <v>2788.5316241168703</v>
      </c>
      <c r="CQ222" s="23">
        <f t="shared" ref="CQ222" si="2397">CP174</f>
        <v>3287.5824195157602</v>
      </c>
      <c r="CR222" s="23">
        <f t="shared" ref="CR222" si="2398">CQ174</f>
        <v>3622.8689502980792</v>
      </c>
      <c r="CS222" s="23">
        <f t="shared" ref="CS222" si="2399">CR174</f>
        <v>3931.0725656897412</v>
      </c>
      <c r="CT222" s="23">
        <f t="shared" ref="CT222" si="2400">CS174</f>
        <v>4133.2926874328314</v>
      </c>
      <c r="CU222" s="23">
        <f t="shared" ref="CU222" si="2401">CT174</f>
        <v>4783.7828007124508</v>
      </c>
      <c r="CV222" s="23">
        <f t="shared" ref="CV222" si="2402">CU174</f>
        <v>5175.3115939766058</v>
      </c>
      <c r="CW222" s="23">
        <f t="shared" ref="CW222" si="2403">CV174</f>
        <v>5513.0276379912366</v>
      </c>
      <c r="CX222" s="23">
        <f t="shared" ref="CX222" si="2404">CW174</f>
        <v>5742.5169234798041</v>
      </c>
      <c r="CY222" s="23">
        <f t="shared" ref="CY222" si="2405">CX174</f>
        <v>6481.5850515670618</v>
      </c>
      <c r="CZ222" s="23">
        <f t="shared" ref="CZ222" si="2406">CY174</f>
        <v>6958.6782833079133</v>
      </c>
      <c r="DA222" s="23">
        <f t="shared" ref="DA222" si="2407">CZ174</f>
        <v>7355.6719830945449</v>
      </c>
      <c r="DD222" s="122"/>
      <c r="DE222" s="22">
        <v>1350.03</v>
      </c>
    </row>
    <row r="223" spans="1:109" s="22" customFormat="1" x14ac:dyDescent="0.2">
      <c r="A223" s="22" t="s">
        <v>442</v>
      </c>
      <c r="C223" s="22">
        <f t="shared" ref="C223:W223" si="2408">C222+C218+C214+C212</f>
        <v>0</v>
      </c>
      <c r="D223" s="22">
        <f t="shared" si="2408"/>
        <v>3.0300000000000011</v>
      </c>
      <c r="E223" s="22">
        <f t="shared" si="2408"/>
        <v>5.3799999999999812</v>
      </c>
      <c r="F223" s="22">
        <f t="shared" si="2408"/>
        <v>3.4899999999999807</v>
      </c>
      <c r="G223" s="22">
        <f t="shared" si="2408"/>
        <v>8.8899999999999864</v>
      </c>
      <c r="H223" s="22">
        <f t="shared" si="2408"/>
        <v>13.199999999999996</v>
      </c>
      <c r="I223" s="22">
        <f t="shared" si="2408"/>
        <v>64.850000000000065</v>
      </c>
      <c r="J223" s="22">
        <f>J222+J218+J214+J212</f>
        <v>63.54999999999999</v>
      </c>
      <c r="K223" s="22">
        <f>K222+K218+K214+K212</f>
        <v>173.06999999999994</v>
      </c>
      <c r="L223" s="22">
        <f>L222+L218+L214+L212</f>
        <v>288.01</v>
      </c>
      <c r="M223" s="22">
        <f>M222+M218+M214+M212</f>
        <v>233.41999999999993</v>
      </c>
      <c r="N223" s="22">
        <f t="shared" si="2408"/>
        <v>194.82</v>
      </c>
      <c r="O223" s="22">
        <f t="shared" si="2408"/>
        <v>237.65999999999977</v>
      </c>
      <c r="P223" s="22">
        <f t="shared" si="2408"/>
        <v>329.45000000000005</v>
      </c>
      <c r="Q223" s="22">
        <f t="shared" si="2408"/>
        <v>470.4100000000002</v>
      </c>
      <c r="R223" s="22">
        <f t="shared" si="2408"/>
        <v>640.54999999999995</v>
      </c>
      <c r="S223" s="22">
        <f t="shared" si="2408"/>
        <v>893.77000000000021</v>
      </c>
      <c r="T223" s="22">
        <f t="shared" si="2408"/>
        <v>847.60000000000014</v>
      </c>
      <c r="U223" s="22">
        <f t="shared" si="2408"/>
        <v>835.36000000000035</v>
      </c>
      <c r="V223" s="22">
        <f t="shared" si="2408"/>
        <v>1245.8999999999996</v>
      </c>
      <c r="W223" s="22">
        <f t="shared" si="2408"/>
        <v>1415.6700000000003</v>
      </c>
      <c r="X223" s="22">
        <f t="shared" ref="X223:Y223" si="2409">X222+X218+X214+X212</f>
        <v>1554.5300000000004</v>
      </c>
      <c r="Y223" s="22">
        <f t="shared" si="2409"/>
        <v>1585.66</v>
      </c>
      <c r="Z223" s="22">
        <f t="shared" ref="Z223:AA223" si="2410">Z222+Z218+Z214+Z212</f>
        <v>1350.0299999999997</v>
      </c>
      <c r="AA223" s="22">
        <f t="shared" ref="AA223" si="2411">AA222+AA218+AA214+AA212</f>
        <v>1845.64</v>
      </c>
      <c r="AB223" s="23">
        <f t="shared" ref="AB223:AD223" si="2412">AB222+AB218+AB214+AB212</f>
        <v>2819.9116241168695</v>
      </c>
      <c r="AC223" s="23">
        <f t="shared" si="2412"/>
        <v>4175.1326874328324</v>
      </c>
      <c r="AD223" s="23">
        <f t="shared" si="2412"/>
        <v>5850.0000834798011</v>
      </c>
      <c r="AE223" s="23">
        <f t="shared" ref="AE223" si="2413">AE222+AE218+AE214+AE212</f>
        <v>7756.075721827041</v>
      </c>
      <c r="AI223" s="22">
        <f t="shared" ref="AI223" si="2414">AI222+AI218+AI214+AI212</f>
        <v>184.62</v>
      </c>
      <c r="AJ223" s="22">
        <f t="shared" ref="AJ223:AL223" si="2415">AJ222+AJ218+AJ214+AJ212</f>
        <v>248.64897979585402</v>
      </c>
      <c r="AK223" s="22">
        <f t="shared" si="2415"/>
        <v>194.81999999999988</v>
      </c>
      <c r="AL223" s="22">
        <f t="shared" si="2415"/>
        <v>229.39559950449416</v>
      </c>
      <c r="AM223" s="22">
        <f t="shared" ref="AM223" si="2416">AM222+AM218+AM214+AM212</f>
        <v>227.7600000000001</v>
      </c>
      <c r="AN223" s="22">
        <f t="shared" ref="AN223:CD223" si="2417">AN222+AN218+AN214+AN212</f>
        <v>172.33203880626402</v>
      </c>
      <c r="AO223" s="22">
        <f t="shared" si="2417"/>
        <v>237.65999999999977</v>
      </c>
      <c r="AP223" s="22">
        <f t="shared" si="2417"/>
        <v>268.5013215691252</v>
      </c>
      <c r="AQ223" s="22">
        <f t="shared" si="2417"/>
        <v>268.75000000000011</v>
      </c>
      <c r="AR223" s="22">
        <f t="shared" si="2417"/>
        <v>293.57642775097639</v>
      </c>
      <c r="AS223" s="22">
        <f t="shared" si="2417"/>
        <v>329.45000000000005</v>
      </c>
      <c r="AT223" s="22">
        <f t="shared" si="2417"/>
        <v>383.4680321303839</v>
      </c>
      <c r="AU223" s="22">
        <f t="shared" si="2417"/>
        <v>408.19000000000011</v>
      </c>
      <c r="AV223" s="22">
        <f t="shared" si="2417"/>
        <v>454.66977945940948</v>
      </c>
      <c r="AW223" s="22">
        <f t="shared" si="2417"/>
        <v>470.41000000000008</v>
      </c>
      <c r="AX223" s="22">
        <f t="shared" si="2417"/>
        <v>534.66759259259243</v>
      </c>
      <c r="AY223" s="22">
        <f t="shared" si="2417"/>
        <v>529.16</v>
      </c>
      <c r="AZ223" s="22">
        <f t="shared" si="2417"/>
        <v>590.6421511089145</v>
      </c>
      <c r="BA223" s="22">
        <f t="shared" si="2417"/>
        <v>640.54999999999984</v>
      </c>
      <c r="BB223" s="22">
        <f t="shared" si="2417"/>
        <v>723.36048911303237</v>
      </c>
      <c r="BC223" s="22">
        <f t="shared" si="2417"/>
        <v>720.99000000000012</v>
      </c>
      <c r="BD223" s="22">
        <f t="shared" si="2417"/>
        <v>470.65116987988307</v>
      </c>
      <c r="BE223" s="22">
        <f t="shared" si="2417"/>
        <v>830.64</v>
      </c>
      <c r="BF223" s="22">
        <f t="shared" si="2417"/>
        <v>922.73496404144771</v>
      </c>
      <c r="BG223" s="22">
        <f t="shared" si="2417"/>
        <v>883.5200000000001</v>
      </c>
      <c r="BH223" s="22">
        <f t="shared" si="2417"/>
        <v>943.10274644175024</v>
      </c>
      <c r="BI223" s="22">
        <f t="shared" si="2417"/>
        <v>847.5899999999998</v>
      </c>
      <c r="BJ223" s="22">
        <f t="shared" si="2417"/>
        <v>964.08978934324659</v>
      </c>
      <c r="BK223" s="22">
        <f t="shared" si="2417"/>
        <v>596.28000000000009</v>
      </c>
      <c r="BL223" s="22">
        <f t="shared" si="2417"/>
        <v>769.58536509357987</v>
      </c>
      <c r="BM223" s="22">
        <f t="shared" si="2417"/>
        <v>835.35999999999979</v>
      </c>
      <c r="BN223" s="22">
        <f t="shared" si="2417"/>
        <v>1002.5640048433627</v>
      </c>
      <c r="BO223" s="22">
        <f t="shared" si="2417"/>
        <v>873.49000000000012</v>
      </c>
      <c r="BP223" s="22">
        <f t="shared" si="2417"/>
        <v>-380.51018159861519</v>
      </c>
      <c r="BQ223" s="22">
        <f t="shared" si="2417"/>
        <v>1245.9000000000008</v>
      </c>
      <c r="BR223" s="22">
        <f t="shared" si="2417"/>
        <v>1363.9215904755172</v>
      </c>
      <c r="BS223" s="22">
        <f t="shared" si="2417"/>
        <v>1236.8999999999999</v>
      </c>
      <c r="BT223" s="22">
        <f t="shared" si="2417"/>
        <v>1229.4069617727453</v>
      </c>
      <c r="BU223" s="22">
        <f t="shared" si="2417"/>
        <v>1415.6700000000003</v>
      </c>
      <c r="BV223" s="22">
        <f t="shared" si="2417"/>
        <v>1593.717218458266</v>
      </c>
      <c r="BW223" s="22">
        <f t="shared" si="2417"/>
        <v>1339.6099999999997</v>
      </c>
      <c r="BX223" s="22">
        <f t="shared" si="2417"/>
        <v>1549.7386144450863</v>
      </c>
      <c r="BY223" s="22">
        <f t="shared" si="2417"/>
        <v>1554.5300000000007</v>
      </c>
      <c r="BZ223" s="22">
        <f t="shared" si="2417"/>
        <v>1839.4303103669233</v>
      </c>
      <c r="CA223" s="22">
        <f t="shared" si="2417"/>
        <v>1394.8599999999992</v>
      </c>
      <c r="CB223" s="22">
        <f t="shared" si="2417"/>
        <v>1609.7828170615701</v>
      </c>
      <c r="CC223" s="22">
        <f t="shared" si="2417"/>
        <v>1585.6600000000003</v>
      </c>
      <c r="CD223" s="22">
        <f t="shared" si="2417"/>
        <v>1806.3769353711559</v>
      </c>
      <c r="CE223" s="22">
        <f t="shared" ref="CE223:CF223" si="2418">CE222+CE218+CE214+CE212</f>
        <v>1115.9400000000005</v>
      </c>
      <c r="CF223" s="22">
        <f t="shared" si="2418"/>
        <v>1344.9233311499681</v>
      </c>
      <c r="CG223" s="22">
        <f t="shared" ref="CG223:CH223" si="2419">CG222+CG218+CG214+CG212</f>
        <v>1350.0299999999997</v>
      </c>
      <c r="CH223" s="22">
        <f t="shared" si="2419"/>
        <v>1572.3055335524286</v>
      </c>
      <c r="CI223" s="22">
        <f t="shared" ref="CI223:CJ223" si="2420">CI222+CI218+CI214+CI212</f>
        <v>1402.7700000000004</v>
      </c>
      <c r="CJ223" s="22">
        <f t="shared" si="2420"/>
        <v>1634.799481720147</v>
      </c>
      <c r="CK223" s="22">
        <f t="shared" ref="CK223:DA223" si="2421">CK222+CK218+CK214+CK212</f>
        <v>1845.6399999999999</v>
      </c>
      <c r="CL223" s="22">
        <f t="shared" si="2421"/>
        <v>2104.8656070543525</v>
      </c>
      <c r="CM223" s="23">
        <f t="shared" si="2421"/>
        <v>2377.9602203694621</v>
      </c>
      <c r="CN223" s="23">
        <f t="shared" si="2421"/>
        <v>2635.0152846021956</v>
      </c>
      <c r="CO223" s="23">
        <f t="shared" si="2421"/>
        <v>2788.5316241168703</v>
      </c>
      <c r="CP223" s="23">
        <f t="shared" si="2421"/>
        <v>3287.5824195157602</v>
      </c>
      <c r="CQ223" s="23">
        <f t="shared" si="2421"/>
        <v>3622.8689502980792</v>
      </c>
      <c r="CR223" s="23">
        <f t="shared" si="2421"/>
        <v>3931.0725656897412</v>
      </c>
      <c r="CS223" s="23">
        <f t="shared" si="2421"/>
        <v>4133.2926874328314</v>
      </c>
      <c r="CT223" s="23">
        <f t="shared" si="2421"/>
        <v>4783.7828007124508</v>
      </c>
      <c r="CU223" s="23">
        <f t="shared" si="2421"/>
        <v>5175.3115939766058</v>
      </c>
      <c r="CV223" s="23">
        <f t="shared" si="2421"/>
        <v>5513.0276379912366</v>
      </c>
      <c r="CW223" s="23">
        <f t="shared" si="2421"/>
        <v>5742.5169234798041</v>
      </c>
      <c r="CX223" s="23">
        <f t="shared" si="2421"/>
        <v>6481.5850515670618</v>
      </c>
      <c r="CY223" s="23">
        <f t="shared" si="2421"/>
        <v>6958.6782833079133</v>
      </c>
      <c r="CZ223" s="23">
        <f t="shared" si="2421"/>
        <v>7355.6719830945449</v>
      </c>
      <c r="DA223" s="23">
        <f t="shared" si="2421"/>
        <v>7648.5925618270394</v>
      </c>
      <c r="DD223" s="122"/>
      <c r="DE223" s="22">
        <v>1845.6399999999996</v>
      </c>
    </row>
    <row r="224" spans="1:109" s="27" customFormat="1" x14ac:dyDescent="0.2">
      <c r="A224" s="27" t="s">
        <v>443</v>
      </c>
      <c r="C224" s="27">
        <f t="shared" ref="C224:W224" si="2422">C223-C174</f>
        <v>0</v>
      </c>
      <c r="D224" s="27">
        <f t="shared" si="2422"/>
        <v>0</v>
      </c>
      <c r="E224" s="27">
        <f t="shared" si="2422"/>
        <v>-1.865174681370263E-14</v>
      </c>
      <c r="F224" s="27">
        <f t="shared" si="2422"/>
        <v>-1.9539925233402755E-14</v>
      </c>
      <c r="G224" s="27">
        <f t="shared" si="2422"/>
        <v>-1.4210854715202004E-14</v>
      </c>
      <c r="H224" s="27">
        <f t="shared" si="2422"/>
        <v>0</v>
      </c>
      <c r="I224" s="27">
        <f t="shared" si="2422"/>
        <v>0</v>
      </c>
      <c r="J224" s="27">
        <f>J223-J174</f>
        <v>0</v>
      </c>
      <c r="K224" s="27">
        <f t="shared" si="2422"/>
        <v>0</v>
      </c>
      <c r="L224" s="27">
        <f t="shared" si="2422"/>
        <v>0</v>
      </c>
      <c r="M224" s="27">
        <f t="shared" si="2422"/>
        <v>0</v>
      </c>
      <c r="N224" s="27">
        <f t="shared" si="2422"/>
        <v>0</v>
      </c>
      <c r="O224" s="27">
        <f t="shared" si="2422"/>
        <v>-2.2737367544323206E-13</v>
      </c>
      <c r="P224" s="27">
        <f t="shared" si="2422"/>
        <v>0</v>
      </c>
      <c r="Q224" s="27">
        <f t="shared" si="2422"/>
        <v>0</v>
      </c>
      <c r="R224" s="27">
        <f t="shared" si="2422"/>
        <v>0</v>
      </c>
      <c r="S224" s="27">
        <f t="shared" si="2422"/>
        <v>0</v>
      </c>
      <c r="T224" s="27">
        <f t="shared" si="2422"/>
        <v>0</v>
      </c>
      <c r="U224" s="27">
        <f t="shared" si="2422"/>
        <v>0</v>
      </c>
      <c r="V224" s="27">
        <f t="shared" si="2422"/>
        <v>0</v>
      </c>
      <c r="W224" s="27">
        <f t="shared" si="2422"/>
        <v>0</v>
      </c>
      <c r="X224" s="27">
        <f t="shared" ref="X224:Y224" si="2423">X223-X174</f>
        <v>0</v>
      </c>
      <c r="Y224" s="27">
        <f t="shared" si="2423"/>
        <v>0</v>
      </c>
      <c r="Z224" s="27">
        <f t="shared" ref="Z224:AA224" si="2424">Z223-Z174</f>
        <v>0</v>
      </c>
      <c r="AA224" s="27">
        <f t="shared" ref="AA224" si="2425">AA223-AA174</f>
        <v>0</v>
      </c>
      <c r="AB224" s="29">
        <f t="shared" ref="AB224:AD224" si="2426">AB223-AB174</f>
        <v>31.3799999999992</v>
      </c>
      <c r="AC224" s="29">
        <f t="shared" si="2426"/>
        <v>41.840000000001055</v>
      </c>
      <c r="AD224" s="29">
        <f t="shared" si="2426"/>
        <v>107.48315999999704</v>
      </c>
      <c r="AE224" s="29">
        <f t="shared" ref="AE224" si="2427">AE223-AE174</f>
        <v>107.48316000000159</v>
      </c>
      <c r="AI224" s="27">
        <f t="shared" ref="AI224" si="2428">AI223-AI174</f>
        <v>0</v>
      </c>
      <c r="AJ224" s="27">
        <f t="shared" ref="AJ224:AL224" si="2429">AJ223-AJ174</f>
        <v>0</v>
      </c>
      <c r="AK224" s="27">
        <f t="shared" si="2429"/>
        <v>0</v>
      </c>
      <c r="AL224" s="27">
        <f t="shared" si="2429"/>
        <v>0</v>
      </c>
      <c r="AM224" s="27">
        <f t="shared" ref="AM224" si="2430">AM223-AM174</f>
        <v>0</v>
      </c>
      <c r="AN224" s="27">
        <f t="shared" ref="AN224:CD224" si="2431">AN223-AN174</f>
        <v>0</v>
      </c>
      <c r="AO224" s="27">
        <f t="shared" si="2431"/>
        <v>-2.2737367544323206E-13</v>
      </c>
      <c r="AP224" s="27">
        <f t="shared" si="2431"/>
        <v>0</v>
      </c>
      <c r="AQ224" s="27">
        <f t="shared" si="2431"/>
        <v>0</v>
      </c>
      <c r="AR224" s="27">
        <f t="shared" si="2431"/>
        <v>0</v>
      </c>
      <c r="AS224" s="27">
        <f t="shared" si="2431"/>
        <v>0</v>
      </c>
      <c r="AT224" s="27">
        <f t="shared" si="2431"/>
        <v>0</v>
      </c>
      <c r="AU224" s="27">
        <f t="shared" si="2431"/>
        <v>0</v>
      </c>
      <c r="AV224" s="27">
        <f t="shared" si="2431"/>
        <v>0</v>
      </c>
      <c r="AW224" s="27">
        <f t="shared" si="2431"/>
        <v>0</v>
      </c>
      <c r="AX224" s="27">
        <f t="shared" si="2431"/>
        <v>0</v>
      </c>
      <c r="AY224" s="27">
        <f t="shared" si="2431"/>
        <v>0</v>
      </c>
      <c r="AZ224" s="27">
        <f t="shared" si="2431"/>
        <v>0</v>
      </c>
      <c r="BA224" s="27">
        <f t="shared" si="2431"/>
        <v>0</v>
      </c>
      <c r="BB224" s="27">
        <f t="shared" si="2431"/>
        <v>0</v>
      </c>
      <c r="BC224" s="27">
        <f t="shared" si="2431"/>
        <v>0</v>
      </c>
      <c r="BD224" s="27">
        <f t="shared" si="2431"/>
        <v>0</v>
      </c>
      <c r="BE224" s="27">
        <f t="shared" si="2431"/>
        <v>0</v>
      </c>
      <c r="BF224" s="27">
        <f t="shared" si="2431"/>
        <v>0</v>
      </c>
      <c r="BG224" s="27">
        <f t="shared" si="2431"/>
        <v>1.0000000000104592E-2</v>
      </c>
      <c r="BH224" s="27">
        <f t="shared" si="2431"/>
        <v>0</v>
      </c>
      <c r="BI224" s="27">
        <f t="shared" si="2431"/>
        <v>-1.0000000000218279E-2</v>
      </c>
      <c r="BJ224" s="27">
        <f t="shared" si="2431"/>
        <v>0</v>
      </c>
      <c r="BK224" s="27">
        <f t="shared" si="2431"/>
        <v>0</v>
      </c>
      <c r="BL224" s="27">
        <f t="shared" si="2431"/>
        <v>0</v>
      </c>
      <c r="BM224" s="27">
        <f t="shared" si="2431"/>
        <v>0</v>
      </c>
      <c r="BN224" s="27">
        <f t="shared" si="2431"/>
        <v>0</v>
      </c>
      <c r="BO224" s="27">
        <f t="shared" si="2431"/>
        <v>0</v>
      </c>
      <c r="BP224" s="27">
        <f t="shared" si="2431"/>
        <v>0</v>
      </c>
      <c r="BQ224" s="27">
        <f t="shared" si="2431"/>
        <v>0</v>
      </c>
      <c r="BR224" s="27">
        <f t="shared" si="2431"/>
        <v>0</v>
      </c>
      <c r="BS224" s="27">
        <f t="shared" si="2431"/>
        <v>0</v>
      </c>
      <c r="BT224" s="27">
        <f t="shared" si="2431"/>
        <v>0</v>
      </c>
      <c r="BU224" s="27">
        <f t="shared" si="2431"/>
        <v>0</v>
      </c>
      <c r="BV224" s="27">
        <f t="shared" si="2431"/>
        <v>0</v>
      </c>
      <c r="BW224" s="27">
        <f t="shared" si="2431"/>
        <v>0</v>
      </c>
      <c r="BX224" s="27">
        <f t="shared" si="2431"/>
        <v>0</v>
      </c>
      <c r="BY224" s="27">
        <f t="shared" si="2431"/>
        <v>0</v>
      </c>
      <c r="BZ224" s="27">
        <f t="shared" si="2431"/>
        <v>0</v>
      </c>
      <c r="CA224" s="27">
        <f t="shared" si="2431"/>
        <v>0</v>
      </c>
      <c r="CB224" s="27">
        <f t="shared" si="2431"/>
        <v>0</v>
      </c>
      <c r="CC224" s="27">
        <f t="shared" si="2431"/>
        <v>0</v>
      </c>
      <c r="CD224" s="27">
        <f t="shared" si="2431"/>
        <v>0</v>
      </c>
      <c r="CE224" s="27">
        <f t="shared" ref="CE224:CF224" si="2432">CE223-CE174</f>
        <v>0</v>
      </c>
      <c r="CF224" s="27">
        <f t="shared" si="2432"/>
        <v>0</v>
      </c>
      <c r="CG224" s="27">
        <f t="shared" ref="CG224:CH224" si="2433">CG223-CG174</f>
        <v>0</v>
      </c>
      <c r="CH224" s="27">
        <f t="shared" si="2433"/>
        <v>0</v>
      </c>
      <c r="CI224" s="27">
        <f t="shared" ref="CI224:CJ224" si="2434">CI223-CI174</f>
        <v>0</v>
      </c>
      <c r="CJ224" s="27">
        <f t="shared" si="2434"/>
        <v>0</v>
      </c>
      <c r="CK224" s="27">
        <f t="shared" ref="CK224:DA224" si="2435">CK223-CK174</f>
        <v>0</v>
      </c>
      <c r="CL224" s="27">
        <f t="shared" si="2435"/>
        <v>0</v>
      </c>
      <c r="CM224" s="29">
        <f t="shared" si="2435"/>
        <v>0</v>
      </c>
      <c r="CN224" s="29">
        <f t="shared" si="2435"/>
        <v>0</v>
      </c>
      <c r="CO224" s="29">
        <f t="shared" si="2435"/>
        <v>0</v>
      </c>
      <c r="CP224" s="29">
        <f t="shared" si="2435"/>
        <v>0</v>
      </c>
      <c r="CQ224" s="29">
        <f t="shared" si="2435"/>
        <v>0</v>
      </c>
      <c r="CR224" s="29">
        <f t="shared" si="2435"/>
        <v>0</v>
      </c>
      <c r="CS224" s="29">
        <f t="shared" si="2435"/>
        <v>0</v>
      </c>
      <c r="CT224" s="29">
        <f t="shared" si="2435"/>
        <v>0</v>
      </c>
      <c r="CU224" s="29">
        <f t="shared" si="2435"/>
        <v>0</v>
      </c>
      <c r="CV224" s="29">
        <f t="shared" si="2435"/>
        <v>0</v>
      </c>
      <c r="CW224" s="29">
        <f t="shared" si="2435"/>
        <v>0</v>
      </c>
      <c r="CX224" s="29">
        <f t="shared" si="2435"/>
        <v>0</v>
      </c>
      <c r="CY224" s="29">
        <f t="shared" si="2435"/>
        <v>0</v>
      </c>
      <c r="CZ224" s="29">
        <f t="shared" si="2435"/>
        <v>0</v>
      </c>
      <c r="DA224" s="29">
        <f t="shared" si="2435"/>
        <v>0</v>
      </c>
      <c r="DD224" s="138"/>
      <c r="DE224" s="27">
        <v>0</v>
      </c>
    </row>
    <row r="225" spans="1:109" s="22" customFormat="1" x14ac:dyDescent="0.2">
      <c r="AB225" s="23"/>
      <c r="AC225" s="23"/>
      <c r="AD225" s="23"/>
      <c r="AE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D225" s="122"/>
    </row>
    <row r="226" spans="1:109" s="21" customFormat="1" x14ac:dyDescent="0.2">
      <c r="A226" s="21" t="s">
        <v>96</v>
      </c>
      <c r="C226" s="21">
        <f t="shared" ref="C226:W226" si="2436">C212+C214</f>
        <v>0</v>
      </c>
      <c r="D226" s="21">
        <f t="shared" si="2436"/>
        <v>-134.14000000000001</v>
      </c>
      <c r="E226" s="21">
        <f t="shared" si="2436"/>
        <v>41.379999999999995</v>
      </c>
      <c r="F226" s="21">
        <f t="shared" si="2436"/>
        <v>29.590000000000011</v>
      </c>
      <c r="G226" s="21">
        <f t="shared" si="2436"/>
        <v>1.0000000000000142</v>
      </c>
      <c r="H226" s="21">
        <f t="shared" si="2436"/>
        <v>23.139999999999951</v>
      </c>
      <c r="I226" s="21">
        <f t="shared" si="2436"/>
        <v>60.710000000000065</v>
      </c>
      <c r="J226" s="21">
        <f>J212+J214</f>
        <v>7.5100000000000549</v>
      </c>
      <c r="K226" s="21">
        <f t="shared" si="2436"/>
        <v>118.33</v>
      </c>
      <c r="L226" s="21">
        <f t="shared" si="2436"/>
        <v>124.71999999999989</v>
      </c>
      <c r="M226" s="21">
        <f t="shared" si="2436"/>
        <v>-35.200000000000074</v>
      </c>
      <c r="N226" s="21">
        <f t="shared" si="2436"/>
        <v>-28.879999999999967</v>
      </c>
      <c r="O226" s="21">
        <f t="shared" si="2436"/>
        <v>54.619999999999976</v>
      </c>
      <c r="P226" s="21">
        <f t="shared" si="2436"/>
        <v>126.7300000000001</v>
      </c>
      <c r="Q226" s="21">
        <f t="shared" si="2436"/>
        <v>156.69000000000023</v>
      </c>
      <c r="R226" s="21">
        <f t="shared" si="2436"/>
        <v>179.28000000000009</v>
      </c>
      <c r="S226" s="21">
        <f t="shared" si="2436"/>
        <v>-277.6700000000007</v>
      </c>
      <c r="T226" s="21">
        <f t="shared" si="2436"/>
        <v>4.3100000000002865</v>
      </c>
      <c r="U226" s="21">
        <f t="shared" si="2436"/>
        <v>157.09999999999934</v>
      </c>
      <c r="V226" s="21">
        <f t="shared" si="2436"/>
        <v>523.37999999999965</v>
      </c>
      <c r="W226" s="21">
        <f t="shared" si="2436"/>
        <v>285.5100000000009</v>
      </c>
      <c r="X226" s="21">
        <f t="shared" ref="X226:Y226" si="2437">X212+X214</f>
        <v>385.83999999999992</v>
      </c>
      <c r="Y226" s="21">
        <f t="shared" si="2437"/>
        <v>410.69999999999982</v>
      </c>
      <c r="Z226" s="21">
        <f t="shared" ref="Z226:AA226" si="2438">Z212+Z214</f>
        <v>174.14999999999941</v>
      </c>
      <c r="AA226" s="21">
        <f t="shared" ref="AA226" si="2439">AA212+AA214</f>
        <v>932.43000000000075</v>
      </c>
      <c r="AB226" s="20">
        <f t="shared" ref="AB226:AD226" si="2440">AB212+AB214</f>
        <v>974.27162411687004</v>
      </c>
      <c r="AC226" s="20">
        <f t="shared" si="2440"/>
        <v>1386.6010633159633</v>
      </c>
      <c r="AD226" s="20">
        <f t="shared" si="2440"/>
        <v>1716.7073960469713</v>
      </c>
      <c r="AE226" s="20">
        <f t="shared" ref="AE226" si="2441">AE212+AE214</f>
        <v>2013.5587983472367</v>
      </c>
      <c r="AI226" s="21">
        <f t="shared" ref="AI226" si="2442">AI212+AI214</f>
        <v>-572.39</v>
      </c>
      <c r="AJ226" s="21">
        <f t="shared" ref="AJ226:AL226" si="2443">AJ212+AJ214</f>
        <v>64.028979795854028</v>
      </c>
      <c r="AK226" s="21">
        <f t="shared" si="2443"/>
        <v>-63.448979795854029</v>
      </c>
      <c r="AL226" s="21">
        <f t="shared" si="2443"/>
        <v>34.575599504494164</v>
      </c>
      <c r="AM226" s="21">
        <f t="shared" ref="AM226" si="2444">AM212+AM214</f>
        <v>-1.5455995044942341</v>
      </c>
      <c r="AN226" s="21">
        <f t="shared" ref="AN226:CD226" si="2445">AN212+AN214</f>
        <v>-55.427961193735968</v>
      </c>
      <c r="AO226" s="21">
        <f t="shared" si="2445"/>
        <v>77.0179611937358</v>
      </c>
      <c r="AP226" s="21">
        <f t="shared" si="2445"/>
        <v>30.841321569125313</v>
      </c>
      <c r="AQ226" s="21">
        <f t="shared" si="2445"/>
        <v>0.27867843087488353</v>
      </c>
      <c r="AR226" s="21">
        <f t="shared" si="2445"/>
        <v>24.826427750976379</v>
      </c>
      <c r="AS226" s="21">
        <f t="shared" si="2445"/>
        <v>70.783572249023706</v>
      </c>
      <c r="AT226" s="21">
        <f t="shared" si="2445"/>
        <v>54.018032130383943</v>
      </c>
      <c r="AU226" s="21">
        <f t="shared" si="2445"/>
        <v>14.471967869616009</v>
      </c>
      <c r="AV226" s="21">
        <f t="shared" si="2445"/>
        <v>46.479779459409457</v>
      </c>
      <c r="AW226" s="21">
        <f t="shared" si="2445"/>
        <v>41.720220540590645</v>
      </c>
      <c r="AX226" s="21">
        <f t="shared" si="2445"/>
        <v>64.257592592592445</v>
      </c>
      <c r="AY226" s="21">
        <f t="shared" si="2445"/>
        <v>-5.05759259259262</v>
      </c>
      <c r="AZ226" s="21">
        <f t="shared" si="2445"/>
        <v>61.482151108914579</v>
      </c>
      <c r="BA226" s="21">
        <f t="shared" si="2445"/>
        <v>58.597848891085448</v>
      </c>
      <c r="BB226" s="21">
        <f t="shared" si="2445"/>
        <v>82.810489113032389</v>
      </c>
      <c r="BC226" s="21">
        <f t="shared" si="2445"/>
        <v>17.229510886967688</v>
      </c>
      <c r="BD226" s="21">
        <f t="shared" si="2445"/>
        <v>-250.338830120117</v>
      </c>
      <c r="BE226" s="21">
        <f t="shared" si="2445"/>
        <v>431.11883012011702</v>
      </c>
      <c r="BF226" s="21">
        <f t="shared" si="2445"/>
        <v>92.094964041447696</v>
      </c>
      <c r="BG226" s="21">
        <f t="shared" si="2445"/>
        <v>91.335035958552368</v>
      </c>
      <c r="BH226" s="21">
        <f t="shared" si="2445"/>
        <v>59.59274644175035</v>
      </c>
      <c r="BI226" s="21">
        <f t="shared" si="2445"/>
        <v>-874.81274644175051</v>
      </c>
      <c r="BJ226" s="21">
        <f t="shared" si="2445"/>
        <v>116.48978934324663</v>
      </c>
      <c r="BK226" s="21">
        <f t="shared" si="2445"/>
        <v>-208.00978934324652</v>
      </c>
      <c r="BL226" s="21">
        <f t="shared" si="2445"/>
        <v>173.30536509357984</v>
      </c>
      <c r="BM226" s="21">
        <f t="shared" si="2445"/>
        <v>75.314634906420366</v>
      </c>
      <c r="BN226" s="21">
        <f t="shared" si="2445"/>
        <v>167.20400484336261</v>
      </c>
      <c r="BO226" s="21">
        <f t="shared" si="2445"/>
        <v>-18.244004843362632</v>
      </c>
      <c r="BP226" s="21">
        <f t="shared" si="2445"/>
        <v>-1254.0001815986152</v>
      </c>
      <c r="BQ226" s="21">
        <f t="shared" si="2445"/>
        <v>1628.4201815986157</v>
      </c>
      <c r="BR226" s="21">
        <f t="shared" si="2445"/>
        <v>118.02159047551712</v>
      </c>
      <c r="BS226" s="21">
        <f t="shared" si="2445"/>
        <v>-15.331590475517288</v>
      </c>
      <c r="BT226" s="21">
        <f t="shared" si="2445"/>
        <v>-7.4930382272548286</v>
      </c>
      <c r="BU226" s="21">
        <f t="shared" si="2445"/>
        <v>190.31303822725516</v>
      </c>
      <c r="BV226" s="21">
        <f t="shared" si="2445"/>
        <v>178.04721845826583</v>
      </c>
      <c r="BW226" s="21">
        <f t="shared" si="2445"/>
        <v>-8.097218458266525</v>
      </c>
      <c r="BX226" s="21">
        <f t="shared" si="2445"/>
        <v>210.12861444508644</v>
      </c>
      <c r="BY226" s="21">
        <f t="shared" si="2445"/>
        <v>5.7613855549141704</v>
      </c>
      <c r="BZ226" s="21">
        <f t="shared" si="2445"/>
        <v>284.90031036692341</v>
      </c>
      <c r="CA226" s="21">
        <f t="shared" si="2445"/>
        <v>-68.790310366924302</v>
      </c>
      <c r="CB226" s="21">
        <f t="shared" si="2445"/>
        <v>214.92281706157024</v>
      </c>
      <c r="CC226" s="21">
        <f t="shared" si="2445"/>
        <v>-20.332817061569699</v>
      </c>
      <c r="CD226" s="21">
        <f t="shared" si="2445"/>
        <v>220.7169353711559</v>
      </c>
      <c r="CE226" s="21">
        <f t="shared" ref="CE226:CF226" si="2446">CE212+CE214</f>
        <v>-286.06693537115552</v>
      </c>
      <c r="CF226" s="21">
        <f t="shared" si="2446"/>
        <v>228.98333114996814</v>
      </c>
      <c r="CG226" s="21">
        <f t="shared" ref="CG226:CH226" si="2447">CG212+CG214</f>
        <v>10.516668850031408</v>
      </c>
      <c r="CH226" s="21">
        <f t="shared" si="2447"/>
        <v>222.27553355242867</v>
      </c>
      <c r="CI226" s="21">
        <f t="shared" ref="CI226:CJ226" si="2448">CI212+CI214</f>
        <v>268.75446644757182</v>
      </c>
      <c r="CJ226" s="21">
        <f t="shared" si="2448"/>
        <v>232.02948172014703</v>
      </c>
      <c r="CK226" s="21">
        <f t="shared" ref="CK226:DA226" si="2449">CK212+CK214</f>
        <v>209.37051827985272</v>
      </c>
      <c r="CL226" s="21">
        <f t="shared" si="2449"/>
        <v>259.22560705435257</v>
      </c>
      <c r="CM226" s="20">
        <f t="shared" si="2449"/>
        <v>273.0946133151096</v>
      </c>
      <c r="CN226" s="20">
        <f t="shared" si="2449"/>
        <v>257.05506423273334</v>
      </c>
      <c r="CO226" s="20">
        <f t="shared" si="2449"/>
        <v>153.51633951467471</v>
      </c>
      <c r="CP226" s="20">
        <f t="shared" si="2449"/>
        <v>499.05079539888993</v>
      </c>
      <c r="CQ226" s="20">
        <f t="shared" si="2449"/>
        <v>335.28653078231895</v>
      </c>
      <c r="CR226" s="20">
        <f t="shared" si="2449"/>
        <v>308.2036153916622</v>
      </c>
      <c r="CS226" s="20">
        <f t="shared" si="2449"/>
        <v>202.22012174309054</v>
      </c>
      <c r="CT226" s="20">
        <f t="shared" si="2449"/>
        <v>650.49011327961921</v>
      </c>
      <c r="CU226" s="20">
        <f t="shared" si="2449"/>
        <v>391.52879326415496</v>
      </c>
      <c r="CV226" s="20">
        <f t="shared" si="2449"/>
        <v>337.71604401463071</v>
      </c>
      <c r="CW226" s="20">
        <f t="shared" si="2449"/>
        <v>229.4892854885677</v>
      </c>
      <c r="CX226" s="20">
        <f t="shared" si="2449"/>
        <v>739.06812808725772</v>
      </c>
      <c r="CY226" s="20">
        <f t="shared" si="2449"/>
        <v>477.09323174085148</v>
      </c>
      <c r="CZ226" s="20">
        <f t="shared" si="2449"/>
        <v>396.99369978663185</v>
      </c>
      <c r="DA226" s="20">
        <f t="shared" si="2449"/>
        <v>292.92057873249496</v>
      </c>
      <c r="DD226" s="125"/>
      <c r="DE226" s="21">
        <v>932.42999999999847</v>
      </c>
    </row>
    <row r="227" spans="1:109" x14ac:dyDescent="0.2">
      <c r="A227" s="151" t="s">
        <v>496</v>
      </c>
      <c r="AA227" s="2"/>
      <c r="CL227" s="2"/>
    </row>
    <row r="228" spans="1:109" x14ac:dyDescent="0.2">
      <c r="AA228" s="2"/>
      <c r="CL228" s="2"/>
    </row>
    <row r="229" spans="1:109" s="7" customFormat="1" hidden="1" outlineLevel="1" x14ac:dyDescent="0.2">
      <c r="A229" s="60" t="s">
        <v>97</v>
      </c>
      <c r="AB229" s="76"/>
      <c r="AC229" s="76"/>
      <c r="AD229" s="76"/>
      <c r="AE229" s="76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D229" s="137"/>
    </row>
    <row r="230" spans="1:109" s="61" customFormat="1" hidden="1" outlineLevel="1" x14ac:dyDescent="0.2">
      <c r="A230" s="61" t="s">
        <v>98</v>
      </c>
      <c r="AB230" s="62"/>
      <c r="AC230" s="62"/>
      <c r="AD230" s="62"/>
      <c r="AE230" s="62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1" customFormat="1" hidden="1" outlineLevel="1" x14ac:dyDescent="0.2">
      <c r="A231" s="61" t="s">
        <v>99</v>
      </c>
      <c r="AB231" s="62"/>
      <c r="AC231" s="62"/>
      <c r="AD231" s="62"/>
      <c r="AE231" s="62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D231" s="138"/>
    </row>
    <row r="232" spans="1:109" s="61" customFormat="1" hidden="1" outlineLevel="1" x14ac:dyDescent="0.2">
      <c r="A232" s="61" t="s">
        <v>100</v>
      </c>
      <c r="AB232" s="62"/>
      <c r="AC232" s="62"/>
      <c r="AD232" s="62"/>
      <c r="AE232" s="62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D232" s="138"/>
    </row>
    <row r="233" spans="1:109" s="61" customFormat="1" hidden="1" outlineLevel="1" x14ac:dyDescent="0.2">
      <c r="AB233" s="62"/>
      <c r="AC233" s="62"/>
      <c r="AD233" s="62"/>
      <c r="AE233" s="62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D233" s="138"/>
    </row>
    <row r="234" spans="1:109" s="61" customFormat="1" hidden="1" outlineLevel="1" x14ac:dyDescent="0.2">
      <c r="AB234" s="62"/>
      <c r="AC234" s="62"/>
      <c r="AD234" s="62"/>
      <c r="AE234" s="62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D234" s="138"/>
    </row>
    <row r="235" spans="1:109" s="61" customFormat="1" hidden="1" outlineLevel="1" x14ac:dyDescent="0.2">
      <c r="AB235" s="62"/>
      <c r="AC235" s="62"/>
      <c r="AD235" s="62"/>
      <c r="AE235" s="62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11" customFormat="1" collapsed="1" x14ac:dyDescent="0.2">
      <c r="AB236" s="62"/>
      <c r="AC236" s="62"/>
      <c r="AD236" s="62"/>
      <c r="AE236" s="62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82" customFormat="1" x14ac:dyDescent="0.2">
      <c r="A237" s="81" t="s">
        <v>101</v>
      </c>
      <c r="AB237" s="71"/>
      <c r="AC237" s="71"/>
      <c r="AD237" s="71"/>
      <c r="AE237" s="71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5" customFormat="1" x14ac:dyDescent="0.2">
      <c r="A238" s="65" t="s">
        <v>470</v>
      </c>
      <c r="AB238" s="49"/>
      <c r="AC238" s="49"/>
      <c r="AD238" s="49"/>
      <c r="AE238" s="49"/>
      <c r="AL238" s="65">
        <f t="shared" ref="AL238:BQ238" si="2450">SUM(AI23:AL23)</f>
        <v>1416.0199999999998</v>
      </c>
      <c r="AM238" s="65">
        <f t="shared" si="2450"/>
        <v>1340.4899999999998</v>
      </c>
      <c r="AN238" s="65">
        <f t="shared" si="2450"/>
        <v>1355.69</v>
      </c>
      <c r="AO238" s="65">
        <f t="shared" si="2450"/>
        <v>1402.4199999999998</v>
      </c>
      <c r="AP238" s="65">
        <f t="shared" si="2450"/>
        <v>1470.51</v>
      </c>
      <c r="AQ238" s="65">
        <f t="shared" si="2450"/>
        <v>1557.69</v>
      </c>
      <c r="AR238" s="65">
        <f t="shared" si="2450"/>
        <v>1596.5</v>
      </c>
      <c r="AS238" s="65">
        <f t="shared" si="2450"/>
        <v>1632.15</v>
      </c>
      <c r="AT238" s="65">
        <f t="shared" si="2450"/>
        <v>1640.49</v>
      </c>
      <c r="AU238" s="65">
        <f t="shared" si="2450"/>
        <v>1680.8400000000001</v>
      </c>
      <c r="AV238" s="65">
        <f t="shared" si="2450"/>
        <v>1708.9699999999998</v>
      </c>
      <c r="AW238" s="65">
        <f t="shared" si="2450"/>
        <v>1724.43</v>
      </c>
      <c r="AX238" s="65">
        <f t="shared" si="2450"/>
        <v>1728.27</v>
      </c>
      <c r="AY238" s="65">
        <f t="shared" si="2450"/>
        <v>1744.17</v>
      </c>
      <c r="AZ238" s="65">
        <f t="shared" si="2450"/>
        <v>1778.53</v>
      </c>
      <c r="BA238" s="65">
        <f t="shared" si="2450"/>
        <v>1796.32</v>
      </c>
      <c r="BB238" s="65">
        <f t="shared" si="2450"/>
        <v>1844.68</v>
      </c>
      <c r="BC238" s="65">
        <f t="shared" si="2450"/>
        <v>1855.88</v>
      </c>
      <c r="BD238" s="65">
        <f t="shared" si="2450"/>
        <v>2387.25</v>
      </c>
      <c r="BE238" s="65">
        <f t="shared" si="2450"/>
        <v>2946.51</v>
      </c>
      <c r="BF238" s="65">
        <f t="shared" si="2450"/>
        <v>3568.74</v>
      </c>
      <c r="BG238" s="65">
        <f t="shared" si="2450"/>
        <v>4209.78</v>
      </c>
      <c r="BH238" s="65">
        <f t="shared" si="2450"/>
        <v>4397.2299999999996</v>
      </c>
      <c r="BI238" s="65">
        <f t="shared" si="2450"/>
        <v>4561.51</v>
      </c>
      <c r="BJ238" s="65">
        <f t="shared" si="2450"/>
        <v>4650.33</v>
      </c>
      <c r="BK238" s="65">
        <f t="shared" si="2450"/>
        <v>4666.7699999999995</v>
      </c>
      <c r="BL238" s="65">
        <f t="shared" si="2450"/>
        <v>4510.45</v>
      </c>
      <c r="BM238" s="65">
        <f t="shared" si="2450"/>
        <v>4360.63</v>
      </c>
      <c r="BN238" s="65">
        <f t="shared" si="2450"/>
        <v>4116.88</v>
      </c>
      <c r="BO238" s="65">
        <f t="shared" si="2450"/>
        <v>3439.0600000000004</v>
      </c>
      <c r="BP238" s="65">
        <f t="shared" si="2450"/>
        <v>3524.54</v>
      </c>
      <c r="BQ238" s="65">
        <f t="shared" si="2450"/>
        <v>3761.84</v>
      </c>
      <c r="BR238" s="65">
        <f t="shared" ref="BR238:CW238" si="2451">SUM(BO23:BR23)</f>
        <v>4150.12</v>
      </c>
      <c r="BS238" s="65">
        <f t="shared" si="2451"/>
        <v>4944.13</v>
      </c>
      <c r="BT238" s="65">
        <f t="shared" si="2451"/>
        <v>5311.06</v>
      </c>
      <c r="BU238" s="65">
        <f t="shared" si="2451"/>
        <v>5560.51</v>
      </c>
      <c r="BV238" s="65">
        <f t="shared" si="2451"/>
        <v>5811.2000000000007</v>
      </c>
      <c r="BW238" s="65">
        <f t="shared" si="2451"/>
        <v>6327.14</v>
      </c>
      <c r="BX238" s="65">
        <f t="shared" si="2451"/>
        <v>6595.99</v>
      </c>
      <c r="BY238" s="65">
        <f t="shared" si="2451"/>
        <v>6867.42</v>
      </c>
      <c r="BZ238" s="65">
        <f t="shared" si="2451"/>
        <v>6993.53</v>
      </c>
      <c r="CA238" s="65">
        <f t="shared" si="2451"/>
        <v>7073.84</v>
      </c>
      <c r="CB238" s="65">
        <f t="shared" si="2451"/>
        <v>7171.01</v>
      </c>
      <c r="CC238" s="65">
        <f t="shared" si="2451"/>
        <v>7250.9100000000008</v>
      </c>
      <c r="CD238" s="65">
        <f t="shared" si="2451"/>
        <v>7430.42</v>
      </c>
      <c r="CE238" s="65">
        <f t="shared" si="2451"/>
        <v>7708.12</v>
      </c>
      <c r="CF238" s="65">
        <f t="shared" si="2451"/>
        <v>7970.8700000000008</v>
      </c>
      <c r="CG238" s="65">
        <f t="shared" si="2451"/>
        <v>8232.3799999999992</v>
      </c>
      <c r="CH238" s="65">
        <f t="shared" si="2451"/>
        <v>8533.66</v>
      </c>
      <c r="CI238" s="65">
        <f t="shared" si="2451"/>
        <v>8779.41</v>
      </c>
      <c r="CJ238" s="65">
        <f t="shared" si="2451"/>
        <v>9097.7099999999991</v>
      </c>
      <c r="CK238" s="65">
        <f t="shared" si="2451"/>
        <v>9685.8499999999985</v>
      </c>
      <c r="CL238" s="65">
        <f t="shared" si="2451"/>
        <v>10097.08</v>
      </c>
      <c r="CM238" s="49">
        <f t="shared" si="2451"/>
        <v>10425.833666329123</v>
      </c>
      <c r="CN238" s="49">
        <f t="shared" si="2451"/>
        <v>10812.195487808576</v>
      </c>
      <c r="CO238" s="49">
        <f t="shared" si="2451"/>
        <v>11274.016573323584</v>
      </c>
      <c r="CP238" s="49">
        <f t="shared" si="2451"/>
        <v>11708.719637789385</v>
      </c>
      <c r="CQ238" s="49">
        <f t="shared" si="2451"/>
        <v>12148.500147400913</v>
      </c>
      <c r="CR238" s="49">
        <f t="shared" si="2451"/>
        <v>12630.41088626332</v>
      </c>
      <c r="CS238" s="49">
        <f t="shared" si="2451"/>
        <v>13169.367055630151</v>
      </c>
      <c r="CT238" s="49">
        <f t="shared" si="2451"/>
        <v>13563.431224804835</v>
      </c>
      <c r="CU238" s="49">
        <f t="shared" si="2451"/>
        <v>13950.310487839586</v>
      </c>
      <c r="CV238" s="49">
        <f t="shared" si="2451"/>
        <v>14372.400092083506</v>
      </c>
      <c r="CW238" s="49">
        <f t="shared" si="2451"/>
        <v>14834.816278594535</v>
      </c>
      <c r="CX238" s="49">
        <f t="shared" ref="CX238:DA238" si="2452">SUM(CU23:CX23)</f>
        <v>15284.305075103443</v>
      </c>
      <c r="CY238" s="49">
        <f t="shared" si="2452"/>
        <v>15728.100019957652</v>
      </c>
      <c r="CZ238" s="49">
        <f t="shared" si="2452"/>
        <v>16218.014732208194</v>
      </c>
      <c r="DA238" s="49">
        <f t="shared" si="2452"/>
        <v>16765.959654335853</v>
      </c>
      <c r="DD238" s="137"/>
    </row>
    <row r="239" spans="1:109" s="65" customFormat="1" x14ac:dyDescent="0.2">
      <c r="A239" s="65" t="s">
        <v>471</v>
      </c>
      <c r="AB239" s="49"/>
      <c r="AC239" s="49"/>
      <c r="AD239" s="49"/>
      <c r="AE239" s="49"/>
      <c r="AL239" s="65">
        <f t="shared" ref="AL239:BQ239" si="2453">SUM(AI41:AL41)</f>
        <v>198.26999999999998</v>
      </c>
      <c r="AM239" s="65">
        <f t="shared" si="2453"/>
        <v>175.98999999999995</v>
      </c>
      <c r="AN239" s="65">
        <f t="shared" si="2453"/>
        <v>175.05999999999992</v>
      </c>
      <c r="AO239" s="65">
        <f t="shared" si="2453"/>
        <v>183.58999999999986</v>
      </c>
      <c r="AP239" s="65">
        <f t="shared" si="2453"/>
        <v>197.84999999999991</v>
      </c>
      <c r="AQ239" s="65">
        <f t="shared" si="2453"/>
        <v>219.84000000000003</v>
      </c>
      <c r="AR239" s="65">
        <f t="shared" si="2453"/>
        <v>229.23000000000002</v>
      </c>
      <c r="AS239" s="65">
        <f t="shared" si="2453"/>
        <v>241.74000000000009</v>
      </c>
      <c r="AT239" s="65">
        <f t="shared" si="2453"/>
        <v>249.38000000000005</v>
      </c>
      <c r="AU239" s="65">
        <f t="shared" si="2453"/>
        <v>260.66000000000003</v>
      </c>
      <c r="AV239" s="65">
        <f t="shared" si="2453"/>
        <v>276.21000000000004</v>
      </c>
      <c r="AW239" s="65">
        <f t="shared" si="2453"/>
        <v>305.27999999999997</v>
      </c>
      <c r="AX239" s="65">
        <f t="shared" si="2453"/>
        <v>313.74</v>
      </c>
      <c r="AY239" s="65">
        <f t="shared" si="2453"/>
        <v>309.95999999999998</v>
      </c>
      <c r="AZ239" s="65">
        <f t="shared" si="2453"/>
        <v>314.6099999999999</v>
      </c>
      <c r="BA239" s="65">
        <f t="shared" si="2453"/>
        <v>296.94</v>
      </c>
      <c r="BB239" s="65">
        <f t="shared" si="2453"/>
        <v>313.61</v>
      </c>
      <c r="BC239" s="65">
        <f t="shared" si="2453"/>
        <v>328.63000000000011</v>
      </c>
      <c r="BD239" s="65">
        <f t="shared" si="2453"/>
        <v>416.1</v>
      </c>
      <c r="BE239" s="65">
        <f t="shared" si="2453"/>
        <v>526.91000000000008</v>
      </c>
      <c r="BF239" s="65">
        <f t="shared" si="2453"/>
        <v>622.27</v>
      </c>
      <c r="BG239" s="65">
        <f t="shared" si="2453"/>
        <v>716.26999999999987</v>
      </c>
      <c r="BH239" s="65">
        <f t="shared" si="2453"/>
        <v>748.22</v>
      </c>
      <c r="BI239" s="65">
        <f t="shared" si="2453"/>
        <v>735.46</v>
      </c>
      <c r="BJ239" s="65">
        <f t="shared" si="2453"/>
        <v>736.05</v>
      </c>
      <c r="BK239" s="65">
        <f t="shared" si="2453"/>
        <v>715.26</v>
      </c>
      <c r="BL239" s="65">
        <f t="shared" si="2453"/>
        <v>658.42000000000007</v>
      </c>
      <c r="BM239" s="65">
        <f t="shared" si="2453"/>
        <v>633.59000000000015</v>
      </c>
      <c r="BN239" s="65">
        <f t="shared" si="2453"/>
        <v>586.42000000000019</v>
      </c>
      <c r="BO239" s="65">
        <f t="shared" si="2453"/>
        <v>407.2600000000001</v>
      </c>
      <c r="BP239" s="65">
        <f t="shared" si="2453"/>
        <v>454.03000000000009</v>
      </c>
      <c r="BQ239" s="65">
        <f t="shared" si="2453"/>
        <v>536.12000000000012</v>
      </c>
      <c r="BR239" s="65">
        <f t="shared" ref="BR239:CW239" si="2454">SUM(BO41:BR41)</f>
        <v>611.73</v>
      </c>
      <c r="BS239" s="65">
        <f t="shared" si="2454"/>
        <v>838.60000000000014</v>
      </c>
      <c r="BT239" s="65">
        <f t="shared" si="2454"/>
        <v>913.47999999999979</v>
      </c>
      <c r="BU239" s="65">
        <f t="shared" si="2454"/>
        <v>971.54</v>
      </c>
      <c r="BV239" s="65">
        <f t="shared" si="2454"/>
        <v>1067.1400000000001</v>
      </c>
      <c r="BW239" s="65">
        <f t="shared" si="2454"/>
        <v>1181.81</v>
      </c>
      <c r="BX239" s="65">
        <f t="shared" si="2454"/>
        <v>1236.3</v>
      </c>
      <c r="BY239" s="65">
        <f t="shared" si="2454"/>
        <v>1294.3899999999999</v>
      </c>
      <c r="BZ239" s="65">
        <f t="shared" si="2454"/>
        <v>1300.5999999999997</v>
      </c>
      <c r="CA239" s="65">
        <f t="shared" si="2454"/>
        <v>1320.8899999999999</v>
      </c>
      <c r="CB239" s="65">
        <f t="shared" si="2454"/>
        <v>1342.32</v>
      </c>
      <c r="CC239" s="65">
        <f t="shared" si="2454"/>
        <v>1321.2</v>
      </c>
      <c r="CD239" s="65">
        <f t="shared" si="2454"/>
        <v>1336.3800000000006</v>
      </c>
      <c r="CE239" s="65">
        <f t="shared" si="2454"/>
        <v>1370.6800000000005</v>
      </c>
      <c r="CF239" s="65">
        <f t="shared" si="2454"/>
        <v>1399.0700000000002</v>
      </c>
      <c r="CG239" s="65">
        <f t="shared" si="2454"/>
        <v>1445.3600000000001</v>
      </c>
      <c r="CH239" s="65">
        <f t="shared" si="2454"/>
        <v>1508.3399999999997</v>
      </c>
      <c r="CI239" s="65">
        <f t="shared" si="2454"/>
        <v>1562.1399999999996</v>
      </c>
      <c r="CJ239" s="65">
        <f t="shared" si="2454"/>
        <v>1649.29</v>
      </c>
      <c r="CK239" s="65">
        <f t="shared" si="2454"/>
        <v>1763.02</v>
      </c>
      <c r="CL239" s="65">
        <f t="shared" si="2454"/>
        <v>1848.5</v>
      </c>
      <c r="CM239" s="49">
        <f t="shared" si="2454"/>
        <v>1909.6030953013696</v>
      </c>
      <c r="CN239" s="49">
        <f t="shared" si="2454"/>
        <v>1970.7358430594859</v>
      </c>
      <c r="CO239" s="49">
        <f t="shared" si="2454"/>
        <v>2067.4239432589529</v>
      </c>
      <c r="CP239" s="49">
        <f t="shared" si="2454"/>
        <v>2143.1734580976877</v>
      </c>
      <c r="CQ239" s="49">
        <f t="shared" si="2454"/>
        <v>2223.30217531977</v>
      </c>
      <c r="CR239" s="49">
        <f t="shared" si="2454"/>
        <v>2310.7449812802774</v>
      </c>
      <c r="CS239" s="49">
        <f t="shared" si="2454"/>
        <v>2411.4483253194521</v>
      </c>
      <c r="CT239" s="49">
        <f t="shared" si="2454"/>
        <v>2475.6713695431654</v>
      </c>
      <c r="CU239" s="49">
        <f t="shared" si="2454"/>
        <v>2537.4650660105353</v>
      </c>
      <c r="CV239" s="49">
        <f t="shared" si="2454"/>
        <v>2602.8433644079341</v>
      </c>
      <c r="CW239" s="49">
        <f t="shared" si="2454"/>
        <v>2671.0085289816298</v>
      </c>
      <c r="CX239" s="49">
        <f t="shared" ref="CX239:DA239" si="2455">SUM(CU41:CX41)</f>
        <v>2748.6402747118873</v>
      </c>
      <c r="CY239" s="49">
        <f t="shared" si="2455"/>
        <v>2826.2889083399186</v>
      </c>
      <c r="CZ239" s="49">
        <f t="shared" si="2455"/>
        <v>2913.8637461156322</v>
      </c>
      <c r="DA239" s="49">
        <f t="shared" si="2455"/>
        <v>3015.0306877671655</v>
      </c>
      <c r="DD239" s="137"/>
    </row>
    <row r="240" spans="1:109" s="65" customFormat="1" x14ac:dyDescent="0.2">
      <c r="A240" s="65" t="s">
        <v>472</v>
      </c>
      <c r="AB240" s="49"/>
      <c r="AC240" s="49"/>
      <c r="AD240" s="49"/>
      <c r="AE240" s="49"/>
      <c r="AL240" s="65">
        <f t="shared" ref="AL240:BQ240" si="2456">SUM(AI54:AL54)</f>
        <v>138.32</v>
      </c>
      <c r="AM240" s="65">
        <f t="shared" si="2456"/>
        <v>117.65999999999997</v>
      </c>
      <c r="AN240" s="65">
        <f t="shared" si="2456"/>
        <v>116.60999999999993</v>
      </c>
      <c r="AO240" s="65">
        <f t="shared" si="2456"/>
        <v>121.8299999999999</v>
      </c>
      <c r="AP240" s="65">
        <f t="shared" si="2456"/>
        <v>131.05999999999992</v>
      </c>
      <c r="AQ240" s="65">
        <f t="shared" si="2456"/>
        <v>146.25000000000003</v>
      </c>
      <c r="AR240" s="65">
        <f t="shared" si="2456"/>
        <v>147.87000000000006</v>
      </c>
      <c r="AS240" s="65">
        <f t="shared" si="2456"/>
        <v>152.88000000000011</v>
      </c>
      <c r="AT240" s="65">
        <f t="shared" si="2456"/>
        <v>159.60000000000008</v>
      </c>
      <c r="AU240" s="65">
        <f t="shared" si="2456"/>
        <v>168.10000000000002</v>
      </c>
      <c r="AV240" s="65">
        <f t="shared" si="2456"/>
        <v>181.19</v>
      </c>
      <c r="AW240" s="65">
        <f t="shared" si="2456"/>
        <v>197.47999999999996</v>
      </c>
      <c r="AX240" s="65">
        <f t="shared" si="2456"/>
        <v>197.54000000000002</v>
      </c>
      <c r="AY240" s="65">
        <f t="shared" si="2456"/>
        <v>194.60999999999999</v>
      </c>
      <c r="AZ240" s="65">
        <f t="shared" si="2456"/>
        <v>196.52999999999997</v>
      </c>
      <c r="BA240" s="65">
        <f t="shared" si="2456"/>
        <v>195.06</v>
      </c>
      <c r="BB240" s="65">
        <f t="shared" si="2456"/>
        <v>211.08000000000007</v>
      </c>
      <c r="BC240" s="65">
        <f t="shared" si="2456"/>
        <v>218.72000000000014</v>
      </c>
      <c r="BD240" s="65">
        <f t="shared" si="2456"/>
        <v>262.0800000000001</v>
      </c>
      <c r="BE240" s="65">
        <f t="shared" si="2456"/>
        <v>315.42</v>
      </c>
      <c r="BF240" s="65">
        <f t="shared" si="2456"/>
        <v>371.95000000000005</v>
      </c>
      <c r="BG240" s="65">
        <f t="shared" si="2456"/>
        <v>429.99999999999989</v>
      </c>
      <c r="BH240" s="65">
        <f t="shared" si="2456"/>
        <v>463.92000000000013</v>
      </c>
      <c r="BI240" s="65">
        <f t="shared" si="2456"/>
        <v>462.99000000000007</v>
      </c>
      <c r="BJ240" s="65">
        <f t="shared" si="2456"/>
        <v>455.5</v>
      </c>
      <c r="BK240" s="65">
        <f t="shared" si="2456"/>
        <v>425.95</v>
      </c>
      <c r="BL240" s="65">
        <f t="shared" si="2456"/>
        <v>390.58000000000004</v>
      </c>
      <c r="BM240" s="65">
        <f t="shared" si="2456"/>
        <v>367.98000000000013</v>
      </c>
      <c r="BN240" s="65">
        <f t="shared" si="2456"/>
        <v>339.81000000000017</v>
      </c>
      <c r="BO240" s="65">
        <f t="shared" si="2456"/>
        <v>214.86000000000013</v>
      </c>
      <c r="BP240" s="65">
        <f t="shared" si="2456"/>
        <v>233.90000000000015</v>
      </c>
      <c r="BQ240" s="65">
        <f t="shared" si="2456"/>
        <v>290.97000000000008</v>
      </c>
      <c r="BR240" s="65">
        <f t="shared" ref="BR240:CW240" si="2457">SUM(BO54:BR54)</f>
        <v>352.15999999999997</v>
      </c>
      <c r="BS240" s="65">
        <f t="shared" si="2457"/>
        <v>522.76000000000022</v>
      </c>
      <c r="BT240" s="65">
        <f t="shared" si="2457"/>
        <v>580.0999999999998</v>
      </c>
      <c r="BU240" s="65">
        <f t="shared" si="2457"/>
        <v>629.11999999999989</v>
      </c>
      <c r="BV240" s="65">
        <f t="shared" si="2457"/>
        <v>696.7</v>
      </c>
      <c r="BW240" s="65">
        <f t="shared" si="2457"/>
        <v>779.33999999999992</v>
      </c>
      <c r="BX240" s="65">
        <f t="shared" si="2457"/>
        <v>823.88999999999987</v>
      </c>
      <c r="BY240" s="65">
        <f t="shared" si="2457"/>
        <v>864.23000000000013</v>
      </c>
      <c r="BZ240" s="65">
        <f t="shared" si="2457"/>
        <v>876.47999999999979</v>
      </c>
      <c r="CA240" s="65">
        <f t="shared" si="2457"/>
        <v>902.9899999999999</v>
      </c>
      <c r="CB240" s="65">
        <f t="shared" si="2457"/>
        <v>920.3900000000001</v>
      </c>
      <c r="CC240" s="65">
        <f t="shared" si="2457"/>
        <v>903.72</v>
      </c>
      <c r="CD240" s="65">
        <f t="shared" si="2457"/>
        <v>904.07000000000062</v>
      </c>
      <c r="CE240" s="65">
        <f t="shared" si="2457"/>
        <v>912.24000000000046</v>
      </c>
      <c r="CF240" s="65">
        <f t="shared" si="2457"/>
        <v>915.89000000000033</v>
      </c>
      <c r="CG240" s="65">
        <f t="shared" si="2457"/>
        <v>938.86000000000013</v>
      </c>
      <c r="CH240" s="65">
        <f t="shared" si="2457"/>
        <v>970.75999999999942</v>
      </c>
      <c r="CI240" s="65">
        <f t="shared" si="2457"/>
        <v>1012.4199999999994</v>
      </c>
      <c r="CJ240" s="65">
        <f t="shared" si="2457"/>
        <v>1065.27</v>
      </c>
      <c r="CK240" s="65">
        <f t="shared" si="2457"/>
        <v>1150.3499999999999</v>
      </c>
      <c r="CL240" s="65">
        <f t="shared" si="2457"/>
        <v>1214.8</v>
      </c>
      <c r="CM240" s="49">
        <f t="shared" si="2457"/>
        <v>1257.2866812694779</v>
      </c>
      <c r="CN240" s="49">
        <f t="shared" si="2457"/>
        <v>1321.4470079399778</v>
      </c>
      <c r="CO240" s="49">
        <f t="shared" si="2457"/>
        <v>1404.4446743708891</v>
      </c>
      <c r="CP240" s="49">
        <f t="shared" si="2457"/>
        <v>1473.1144733841543</v>
      </c>
      <c r="CQ240" s="49">
        <f t="shared" si="2457"/>
        <v>1548.3391302093009</v>
      </c>
      <c r="CR240" s="49">
        <f t="shared" si="2457"/>
        <v>1628.5558006825754</v>
      </c>
      <c r="CS240" s="49">
        <f t="shared" si="2457"/>
        <v>1716.618575485335</v>
      </c>
      <c r="CT240" s="49">
        <f t="shared" si="2457"/>
        <v>1768.08839345665</v>
      </c>
      <c r="CU240" s="49">
        <f t="shared" si="2457"/>
        <v>1819.3733672493054</v>
      </c>
      <c r="CV240" s="49">
        <f t="shared" si="2457"/>
        <v>1873.1794780469452</v>
      </c>
      <c r="CW240" s="49">
        <f t="shared" si="2457"/>
        <v>1928.2723191310793</v>
      </c>
      <c r="CX240" s="49">
        <f t="shared" ref="CX240:DA240" si="2458">SUM(CU54:CX54)</f>
        <v>2007.9309683979536</v>
      </c>
      <c r="CY240" s="49">
        <f t="shared" si="2458"/>
        <v>2089.5668842390073</v>
      </c>
      <c r="CZ240" s="49">
        <f t="shared" si="2458"/>
        <v>2180.6652759828739</v>
      </c>
      <c r="DA240" s="49">
        <f t="shared" si="2458"/>
        <v>2284.1350189228542</v>
      </c>
      <c r="DD240" s="137"/>
    </row>
    <row r="241" spans="1:109" s="92" customFormat="1" x14ac:dyDescent="0.2">
      <c r="AB241" s="29"/>
      <c r="AC241" s="29"/>
      <c r="AD241" s="29"/>
      <c r="AE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x14ac:dyDescent="0.2">
      <c r="AB242" s="62"/>
      <c r="AC242" s="62"/>
      <c r="AD242" s="62"/>
      <c r="AE242" s="62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hidden="1" outlineLevel="1" x14ac:dyDescent="0.2">
      <c r="A243" s="60" t="s">
        <v>339</v>
      </c>
      <c r="AB243" s="62"/>
      <c r="AC243" s="62"/>
      <c r="AD243" s="62"/>
      <c r="AE243" s="62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63" customFormat="1" hidden="1" outlineLevel="1" x14ac:dyDescent="0.2">
      <c r="A244" s="63" t="s">
        <v>473</v>
      </c>
      <c r="B244" s="63">
        <f t="shared" ref="B244:Z244" si="2459">B21-B250</f>
        <v>0</v>
      </c>
      <c r="C244" s="63">
        <f t="shared" si="2459"/>
        <v>0</v>
      </c>
      <c r="D244" s="63">
        <f t="shared" si="2459"/>
        <v>278.58999999999997</v>
      </c>
      <c r="E244" s="63">
        <f t="shared" si="2459"/>
        <v>305.77999999999997</v>
      </c>
      <c r="F244" s="63">
        <f t="shared" si="2459"/>
        <v>368.75</v>
      </c>
      <c r="G244" s="63">
        <f t="shared" si="2459"/>
        <v>462.65</v>
      </c>
      <c r="H244" s="63">
        <f t="shared" si="2459"/>
        <v>612.25</v>
      </c>
      <c r="I244" s="63">
        <f t="shared" si="2459"/>
        <v>715.97</v>
      </c>
      <c r="J244" s="63">
        <f t="shared" si="2459"/>
        <v>815.53</v>
      </c>
      <c r="K244" s="63">
        <f t="shared" si="2459"/>
        <v>845.45</v>
      </c>
      <c r="L244" s="63">
        <f t="shared" si="2459"/>
        <v>1112.72</v>
      </c>
      <c r="M244" s="63">
        <f t="shared" si="2459"/>
        <v>1398.74</v>
      </c>
      <c r="N244" s="63">
        <f t="shared" si="2459"/>
        <v>1560.74</v>
      </c>
      <c r="O244" s="63">
        <f t="shared" si="2459"/>
        <v>1520.77</v>
      </c>
      <c r="P244" s="63">
        <f t="shared" si="2459"/>
        <v>1746.6</v>
      </c>
      <c r="Q244" s="63">
        <f t="shared" si="2459"/>
        <v>1867.44</v>
      </c>
      <c r="R244" s="63">
        <f t="shared" si="2459"/>
        <v>1945.16</v>
      </c>
      <c r="S244" s="63">
        <f t="shared" si="2459"/>
        <v>4099.6499999999996</v>
      </c>
      <c r="T244" s="63">
        <f t="shared" si="2459"/>
        <v>4614.13</v>
      </c>
      <c r="U244" s="63">
        <f t="shared" si="2459"/>
        <v>4409.1499999999996</v>
      </c>
      <c r="V244" s="63">
        <f t="shared" si="2459"/>
        <v>3814.9</v>
      </c>
      <c r="W244" s="63">
        <f t="shared" si="2459"/>
        <v>5623.09</v>
      </c>
      <c r="X244" s="63">
        <f t="shared" si="2459"/>
        <v>6940.75</v>
      </c>
      <c r="Y244" s="63">
        <f t="shared" si="2459"/>
        <v>7332.78</v>
      </c>
      <c r="Z244" s="63">
        <f t="shared" si="2459"/>
        <v>8339.32</v>
      </c>
      <c r="AA244" s="63">
        <f t="shared" ref="AA244" si="2460">AA21-AA250</f>
        <v>9823.91</v>
      </c>
      <c r="AB244" s="29"/>
      <c r="AC244" s="29"/>
      <c r="AD244" s="29"/>
      <c r="AE244" s="29"/>
      <c r="AI244" s="63">
        <f t="shared" ref="AI244:BN244" si="2461">AI21-AI250</f>
        <v>380.12</v>
      </c>
      <c r="AJ244" s="63">
        <f t="shared" si="2461"/>
        <v>356.17</v>
      </c>
      <c r="AK244" s="63">
        <f t="shared" si="2461"/>
        <v>347.12</v>
      </c>
      <c r="AL244" s="63">
        <f t="shared" si="2461"/>
        <v>332.60999999999996</v>
      </c>
      <c r="AM244" s="63">
        <f t="shared" si="2461"/>
        <v>304.58999999999997</v>
      </c>
      <c r="AN244" s="63">
        <f t="shared" si="2461"/>
        <v>371.37</v>
      </c>
      <c r="AO244" s="63">
        <f t="shared" si="2461"/>
        <v>393.84999999999997</v>
      </c>
      <c r="AP244" s="63">
        <f t="shared" si="2461"/>
        <v>400.7</v>
      </c>
      <c r="AQ244" s="63">
        <f t="shared" si="2461"/>
        <v>391.77000000000004</v>
      </c>
      <c r="AR244" s="63">
        <f t="shared" si="2461"/>
        <v>410.18</v>
      </c>
      <c r="AS244" s="63">
        <f t="shared" si="2461"/>
        <v>429.5</v>
      </c>
      <c r="AT244" s="63">
        <f t="shared" si="2461"/>
        <v>409.03999999999996</v>
      </c>
      <c r="AU244" s="63">
        <f t="shared" si="2461"/>
        <v>432.12</v>
      </c>
      <c r="AV244" s="63">
        <f t="shared" si="2461"/>
        <v>438.31</v>
      </c>
      <c r="AW244" s="63">
        <f t="shared" si="2461"/>
        <v>444.96</v>
      </c>
      <c r="AX244" s="63">
        <f t="shared" si="2461"/>
        <v>448.44</v>
      </c>
      <c r="AY244" s="63">
        <f t="shared" si="2461"/>
        <v>485.61</v>
      </c>
      <c r="AZ244" s="63">
        <f t="shared" si="2461"/>
        <v>511.43</v>
      </c>
      <c r="BA244" s="63">
        <f t="shared" si="2461"/>
        <v>499.68</v>
      </c>
      <c r="BB244" s="63">
        <f t="shared" si="2461"/>
        <v>497.46</v>
      </c>
      <c r="BC244" s="63">
        <f t="shared" si="2461"/>
        <v>495.35</v>
      </c>
      <c r="BD244" s="63">
        <f t="shared" si="2461"/>
        <v>1004.04</v>
      </c>
      <c r="BE244" s="63">
        <f t="shared" si="2461"/>
        <v>1022.01</v>
      </c>
      <c r="BF244" s="63">
        <f t="shared" si="2461"/>
        <v>1083.47</v>
      </c>
      <c r="BG244" s="63">
        <f t="shared" si="2461"/>
        <v>1100.26</v>
      </c>
      <c r="BH244" s="63">
        <f t="shared" si="2461"/>
        <v>1191.49</v>
      </c>
      <c r="BI244" s="63">
        <f t="shared" si="2461"/>
        <v>1186.29</v>
      </c>
      <c r="BJ244" s="63">
        <f t="shared" si="2461"/>
        <v>1172.29</v>
      </c>
      <c r="BK244" s="63">
        <f t="shared" si="2461"/>
        <v>1116.7</v>
      </c>
      <c r="BL244" s="63">
        <f t="shared" si="2461"/>
        <v>1035.17</v>
      </c>
      <c r="BM244" s="63">
        <f t="shared" si="2461"/>
        <v>1036.47</v>
      </c>
      <c r="BN244" s="63">
        <f t="shared" si="2461"/>
        <v>928.54</v>
      </c>
      <c r="BO244" s="63">
        <f t="shared" ref="BO244:CT244" si="2462">BO21-BO250</f>
        <v>438.88</v>
      </c>
      <c r="BP244" s="63">
        <f t="shared" si="2462"/>
        <v>1120.6500000000001</v>
      </c>
      <c r="BQ244" s="63">
        <f t="shared" si="2462"/>
        <v>1273.77</v>
      </c>
      <c r="BR244" s="63">
        <f t="shared" si="2462"/>
        <v>1316.82</v>
      </c>
      <c r="BS244" s="63">
        <f t="shared" si="2462"/>
        <v>1232.8900000000001</v>
      </c>
      <c r="BT244" s="63">
        <f t="shared" si="2462"/>
        <v>1487.58</v>
      </c>
      <c r="BU244" s="63">
        <f t="shared" si="2462"/>
        <v>1523.22</v>
      </c>
      <c r="BV244" s="63">
        <f t="shared" si="2462"/>
        <v>1567.51</v>
      </c>
      <c r="BW244" s="63">
        <f t="shared" si="2462"/>
        <v>1748.83</v>
      </c>
      <c r="BX244" s="63">
        <f t="shared" si="2462"/>
        <v>1756.43</v>
      </c>
      <c r="BY244" s="63">
        <f t="shared" si="2462"/>
        <v>1794.65</v>
      </c>
      <c r="BZ244" s="63">
        <f t="shared" si="2462"/>
        <v>1693.62</v>
      </c>
      <c r="CA244" s="63">
        <f t="shared" si="2462"/>
        <v>1829.14</v>
      </c>
      <c r="CB244" s="63">
        <f t="shared" si="2462"/>
        <v>1853.6</v>
      </c>
      <c r="CC244" s="63">
        <f t="shared" si="2462"/>
        <v>1874.55</v>
      </c>
      <c r="CD244" s="63">
        <f t="shared" si="2462"/>
        <v>1873.13</v>
      </c>
      <c r="CE244" s="63">
        <f t="shared" si="2462"/>
        <v>2106.84</v>
      </c>
      <c r="CF244" s="63">
        <f t="shared" si="2462"/>
        <v>2116.35</v>
      </c>
      <c r="CG244" s="63">
        <f t="shared" si="2462"/>
        <v>2136.06</v>
      </c>
      <c r="CH244" s="63">
        <f t="shared" si="2462"/>
        <v>2174.41</v>
      </c>
      <c r="CI244" s="63">
        <f t="shared" si="2462"/>
        <v>2352.59</v>
      </c>
      <c r="CJ244" s="63">
        <f t="shared" si="2462"/>
        <v>2434.65</v>
      </c>
      <c r="CK244" s="63">
        <f t="shared" si="2462"/>
        <v>2724.2</v>
      </c>
      <c r="CL244" s="63">
        <f t="shared" ref="CL244" si="2463">CL21-CL250</f>
        <v>2585.64</v>
      </c>
      <c r="CM244" s="29">
        <f t="shared" si="2462"/>
        <v>2681.3436663291222</v>
      </c>
      <c r="CN244" s="29">
        <f t="shared" si="2462"/>
        <v>2821.0118214794538</v>
      </c>
      <c r="CO244" s="29">
        <f t="shared" si="2462"/>
        <v>3186.0210855150071</v>
      </c>
      <c r="CP244" s="29">
        <f t="shared" si="2462"/>
        <v>3020.3430644658029</v>
      </c>
      <c r="CQ244" s="29">
        <f t="shared" si="2462"/>
        <v>3121.1241759406498</v>
      </c>
      <c r="CR244" s="29">
        <f t="shared" si="2462"/>
        <v>3302.9225603418599</v>
      </c>
      <c r="CS244" s="29">
        <f t="shared" si="2462"/>
        <v>3724.9772548818382</v>
      </c>
      <c r="CT244" s="29">
        <f t="shared" si="2462"/>
        <v>3414.4072336404879</v>
      </c>
      <c r="CU244" s="29">
        <f t="shared" ref="CU244:DA244" si="2464">CU21-CU250</f>
        <v>3508.003438975401</v>
      </c>
      <c r="CV244" s="29">
        <f t="shared" si="2464"/>
        <v>3725.0121645857807</v>
      </c>
      <c r="CW244" s="29">
        <f t="shared" si="2464"/>
        <v>4187.3934413928664</v>
      </c>
      <c r="CX244" s="29">
        <f t="shared" si="2464"/>
        <v>3863.8960301493935</v>
      </c>
      <c r="CY244" s="29">
        <f t="shared" si="2464"/>
        <v>3951.7983838296122</v>
      </c>
      <c r="CZ244" s="29">
        <f t="shared" si="2464"/>
        <v>4214.9268768363218</v>
      </c>
      <c r="DA244" s="29">
        <f t="shared" si="2464"/>
        <v>4735.3383635205246</v>
      </c>
      <c r="DD244" s="138"/>
      <c r="DE244" s="63">
        <v>9823.91</v>
      </c>
    </row>
    <row r="245" spans="1:109" s="63" customFormat="1" hidden="1" outlineLevel="1" x14ac:dyDescent="0.2">
      <c r="A245" s="63" t="s">
        <v>474</v>
      </c>
      <c r="B245" s="63">
        <f t="shared" ref="B245:Z245" si="2465">B41-B251</f>
        <v>0</v>
      </c>
      <c r="C245" s="63">
        <f t="shared" si="2465"/>
        <v>0</v>
      </c>
      <c r="D245" s="63">
        <f t="shared" si="2465"/>
        <v>44.129999999999981</v>
      </c>
      <c r="E245" s="63">
        <f t="shared" si="2465"/>
        <v>42.289999999999992</v>
      </c>
      <c r="F245" s="63">
        <f t="shared" si="2465"/>
        <v>52.790000000000035</v>
      </c>
      <c r="G245" s="63">
        <f t="shared" si="2465"/>
        <v>78.580000000000013</v>
      </c>
      <c r="H245" s="63">
        <f t="shared" si="2465"/>
        <v>118.13999999999996</v>
      </c>
      <c r="I245" s="63">
        <f t="shared" si="2465"/>
        <v>130.93000000000004</v>
      </c>
      <c r="J245" s="63">
        <f t="shared" si="2465"/>
        <v>146.75</v>
      </c>
      <c r="K245" s="63">
        <f t="shared" si="2465"/>
        <v>90.510000000000048</v>
      </c>
      <c r="L245" s="63">
        <f t="shared" si="2465"/>
        <v>177.60999999999987</v>
      </c>
      <c r="M245" s="63">
        <f t="shared" si="2465"/>
        <v>254.48999999999995</v>
      </c>
      <c r="N245" s="63">
        <f t="shared" si="2465"/>
        <v>220.92000000000007</v>
      </c>
      <c r="O245" s="63">
        <f t="shared" si="2465"/>
        <v>184.0200000000001</v>
      </c>
      <c r="P245" s="63">
        <f t="shared" si="2465"/>
        <v>242.26999999999992</v>
      </c>
      <c r="Q245" s="63">
        <f t="shared" si="2465"/>
        <v>305.8</v>
      </c>
      <c r="R245" s="63">
        <f t="shared" si="2465"/>
        <v>297.30000000000007</v>
      </c>
      <c r="S245" s="63">
        <f t="shared" si="2465"/>
        <v>678.91999999999939</v>
      </c>
      <c r="T245" s="63">
        <f t="shared" si="2465"/>
        <v>697.00000000000034</v>
      </c>
      <c r="U245" s="63">
        <f t="shared" si="2465"/>
        <v>634.25999999999908</v>
      </c>
      <c r="V245" s="63">
        <f t="shared" si="2465"/>
        <v>536.82000000000028</v>
      </c>
      <c r="W245" s="63">
        <f t="shared" si="2465"/>
        <v>972.77000000000021</v>
      </c>
      <c r="X245" s="63">
        <f t="shared" si="2465"/>
        <v>1295.8500000000001</v>
      </c>
      <c r="Y245" s="63">
        <f t="shared" si="2465"/>
        <v>1321.7899999999993</v>
      </c>
      <c r="Z245" s="63">
        <f t="shared" si="2465"/>
        <v>1445.87</v>
      </c>
      <c r="AA245" s="63">
        <f t="shared" ref="AA245" si="2466">AA41-AA251</f>
        <v>1763.1800000000003</v>
      </c>
      <c r="AB245" s="29"/>
      <c r="AC245" s="29"/>
      <c r="AD245" s="29"/>
      <c r="AE245" s="29"/>
      <c r="AI245" s="63">
        <f t="shared" ref="AI245:BN245" si="2467">AI41-AI251</f>
        <v>63.910000000000011</v>
      </c>
      <c r="AJ245" s="63">
        <f t="shared" si="2467"/>
        <v>51.590000000000032</v>
      </c>
      <c r="AK245" s="63">
        <f t="shared" si="2467"/>
        <v>41.320000000000007</v>
      </c>
      <c r="AL245" s="63">
        <f t="shared" si="2467"/>
        <v>41.449999999999946</v>
      </c>
      <c r="AM245" s="63">
        <f t="shared" si="2467"/>
        <v>41.629999999999967</v>
      </c>
      <c r="AN245" s="63">
        <f t="shared" si="2467"/>
        <v>50.66</v>
      </c>
      <c r="AO245" s="63">
        <f t="shared" si="2467"/>
        <v>49.84999999999998</v>
      </c>
      <c r="AP245" s="63">
        <f t="shared" si="2467"/>
        <v>55.70999999999998</v>
      </c>
      <c r="AQ245" s="63">
        <f t="shared" si="2467"/>
        <v>63.620000000000061</v>
      </c>
      <c r="AR245" s="63">
        <f t="shared" si="2467"/>
        <v>60.050000000000011</v>
      </c>
      <c r="AS245" s="63">
        <f t="shared" si="2467"/>
        <v>62.360000000000042</v>
      </c>
      <c r="AT245" s="63">
        <f t="shared" si="2467"/>
        <v>63.349999999999937</v>
      </c>
      <c r="AU245" s="63">
        <f t="shared" si="2467"/>
        <v>74.90000000000002</v>
      </c>
      <c r="AV245" s="63">
        <f t="shared" si="2467"/>
        <v>75.600000000000009</v>
      </c>
      <c r="AW245" s="63">
        <f t="shared" si="2467"/>
        <v>91.429999999999978</v>
      </c>
      <c r="AX245" s="63">
        <f t="shared" si="2467"/>
        <v>71.81</v>
      </c>
      <c r="AY245" s="63">
        <f t="shared" si="2467"/>
        <v>71.11999999999999</v>
      </c>
      <c r="AZ245" s="63">
        <f t="shared" si="2467"/>
        <v>80.249999999999972</v>
      </c>
      <c r="BA245" s="63">
        <f t="shared" si="2467"/>
        <v>73.760000000000019</v>
      </c>
      <c r="BB245" s="63">
        <f t="shared" si="2467"/>
        <v>88.480000000000047</v>
      </c>
      <c r="BC245" s="63">
        <f t="shared" si="2467"/>
        <v>86.140000000000072</v>
      </c>
      <c r="BD245" s="63">
        <f t="shared" si="2467"/>
        <v>167.71999999999991</v>
      </c>
      <c r="BE245" s="63">
        <f t="shared" si="2467"/>
        <v>184.57</v>
      </c>
      <c r="BF245" s="63">
        <f t="shared" si="2467"/>
        <v>183.84000000000003</v>
      </c>
      <c r="BG245" s="63">
        <f t="shared" si="2467"/>
        <v>180.13999999999996</v>
      </c>
      <c r="BH245" s="63">
        <f t="shared" si="2467"/>
        <v>199.67000000000013</v>
      </c>
      <c r="BI245" s="63">
        <f t="shared" si="2467"/>
        <v>171.80999999999995</v>
      </c>
      <c r="BJ245" s="63">
        <f t="shared" si="2467"/>
        <v>184.42999999999992</v>
      </c>
      <c r="BK245" s="63">
        <f t="shared" si="2467"/>
        <v>159.35000000000002</v>
      </c>
      <c r="BL245" s="63">
        <f t="shared" si="2467"/>
        <v>142.83000000000015</v>
      </c>
      <c r="BM245" s="63">
        <f t="shared" si="2467"/>
        <v>146.98000000000008</v>
      </c>
      <c r="BN245" s="63">
        <f t="shared" si="2467"/>
        <v>137.25999999999993</v>
      </c>
      <c r="BO245" s="63">
        <f t="shared" ref="BO245:CT245" si="2468">BO41-BO251</f>
        <v>-19.810000000000031</v>
      </c>
      <c r="BP245" s="63">
        <f t="shared" si="2468"/>
        <v>189.60000000000016</v>
      </c>
      <c r="BQ245" s="63">
        <f t="shared" si="2468"/>
        <v>229.07</v>
      </c>
      <c r="BR245" s="63">
        <f t="shared" si="2468"/>
        <v>212.86999999999989</v>
      </c>
      <c r="BS245" s="63">
        <f t="shared" si="2468"/>
        <v>207.06000000000012</v>
      </c>
      <c r="BT245" s="63">
        <f t="shared" si="2468"/>
        <v>264.47999999999985</v>
      </c>
      <c r="BU245" s="63">
        <f t="shared" si="2468"/>
        <v>287.13000000000005</v>
      </c>
      <c r="BV245" s="63">
        <f t="shared" si="2468"/>
        <v>308.47000000000003</v>
      </c>
      <c r="BW245" s="63">
        <f t="shared" si="2468"/>
        <v>321.7299999999999</v>
      </c>
      <c r="BX245" s="63">
        <f t="shared" si="2468"/>
        <v>318.96999999999991</v>
      </c>
      <c r="BY245" s="63">
        <f t="shared" si="2468"/>
        <v>345.22000000000014</v>
      </c>
      <c r="BZ245" s="63">
        <f t="shared" si="2468"/>
        <v>314.67999999999978</v>
      </c>
      <c r="CA245" s="63">
        <f t="shared" si="2468"/>
        <v>342.02000000000004</v>
      </c>
      <c r="CB245" s="63">
        <f t="shared" si="2468"/>
        <v>340.40000000000009</v>
      </c>
      <c r="CC245" s="63">
        <f t="shared" si="2468"/>
        <v>324.10000000000008</v>
      </c>
      <c r="CD245" s="63">
        <f t="shared" si="2468"/>
        <v>329.86000000000035</v>
      </c>
      <c r="CE245" s="63">
        <f t="shared" si="2468"/>
        <v>376.32</v>
      </c>
      <c r="CF245" s="63">
        <f t="shared" si="2468"/>
        <v>368.78999999999985</v>
      </c>
      <c r="CG245" s="63">
        <f t="shared" si="2468"/>
        <v>370.39</v>
      </c>
      <c r="CH245" s="63">
        <f t="shared" si="2468"/>
        <v>392.83999999999958</v>
      </c>
      <c r="CI245" s="63">
        <f t="shared" si="2468"/>
        <v>430.12000000000012</v>
      </c>
      <c r="CJ245" s="63">
        <f t="shared" si="2468"/>
        <v>455.94000000000034</v>
      </c>
      <c r="CK245" s="63">
        <f t="shared" si="2468"/>
        <v>484.11999999999989</v>
      </c>
      <c r="CL245" s="63">
        <f t="shared" ref="CL245" si="2469">CL41-CL251</f>
        <v>478.31999999999971</v>
      </c>
      <c r="CM245" s="29">
        <f t="shared" si="2468"/>
        <v>491.22309530136965</v>
      </c>
      <c r="CN245" s="29">
        <f t="shared" si="2468"/>
        <v>517.07274775811686</v>
      </c>
      <c r="CO245" s="29">
        <f t="shared" si="2468"/>
        <v>580.80810019946648</v>
      </c>
      <c r="CP245" s="29">
        <f t="shared" si="2468"/>
        <v>554.06951483873456</v>
      </c>
      <c r="CQ245" s="29">
        <f t="shared" si="2468"/>
        <v>571.35181252345205</v>
      </c>
      <c r="CR245" s="29">
        <f t="shared" si="2468"/>
        <v>604.51555371862457</v>
      </c>
      <c r="CS245" s="29">
        <f t="shared" si="2468"/>
        <v>681.51144423864059</v>
      </c>
      <c r="CT245" s="29">
        <f t="shared" si="2468"/>
        <v>618.29255906244805</v>
      </c>
      <c r="CU245" s="29">
        <f t="shared" ref="CU245:DA245" si="2470">CU41-CU251</f>
        <v>633.14550899082212</v>
      </c>
      <c r="CV245" s="29">
        <f t="shared" si="2470"/>
        <v>669.89385211602337</v>
      </c>
      <c r="CW245" s="29">
        <f t="shared" si="2470"/>
        <v>749.67660881233621</v>
      </c>
      <c r="CX245" s="29">
        <f t="shared" si="2470"/>
        <v>695.92430479270558</v>
      </c>
      <c r="CY245" s="29">
        <f t="shared" si="2470"/>
        <v>710.79414261885336</v>
      </c>
      <c r="CZ245" s="29">
        <f t="shared" si="2470"/>
        <v>757.46868989173731</v>
      </c>
      <c r="DA245" s="29">
        <f t="shared" si="2470"/>
        <v>850.84355046386941</v>
      </c>
      <c r="DD245" s="138"/>
      <c r="DE245" s="63">
        <v>1763.1800000000003</v>
      </c>
    </row>
    <row r="246" spans="1:109" s="88" customFormat="1" hidden="1" outlineLevel="1" x14ac:dyDescent="0.2">
      <c r="A246" s="85" t="s">
        <v>475</v>
      </c>
      <c r="B246" s="85" t="e">
        <f>+B245/B244</f>
        <v>#DIV/0!</v>
      </c>
      <c r="C246" s="85" t="e">
        <f t="shared" ref="C246" si="2471">+C245/C244</f>
        <v>#DIV/0!</v>
      </c>
      <c r="D246" s="85">
        <f t="shared" ref="D246" si="2472">+D245/D244</f>
        <v>0.15840482429376498</v>
      </c>
      <c r="E246" s="85">
        <f t="shared" ref="E246" si="2473">+E245/E244</f>
        <v>0.13830204722349401</v>
      </c>
      <c r="F246" s="85">
        <f t="shared" ref="F246" si="2474">+F245/F244</f>
        <v>0.14315932203389839</v>
      </c>
      <c r="G246" s="85">
        <f t="shared" ref="G246" si="2475">+G245/G244</f>
        <v>0.16984761698908465</v>
      </c>
      <c r="H246" s="85">
        <f t="shared" ref="H246" si="2476">+H245/H244</f>
        <v>0.19296039199673329</v>
      </c>
      <c r="I246" s="85">
        <f t="shared" ref="I246" si="2477">+I245/I244</f>
        <v>0.18287079067558701</v>
      </c>
      <c r="J246" s="85">
        <f t="shared" ref="J246" si="2478">+J245/J244</f>
        <v>0.17994433068066165</v>
      </c>
      <c r="K246" s="85">
        <f t="shared" ref="K246" si="2479">+K245/K244</f>
        <v>0.10705541427642089</v>
      </c>
      <c r="L246" s="85">
        <f t="shared" ref="L246" si="2480">+L245/L244</f>
        <v>0.15961787331943333</v>
      </c>
      <c r="M246" s="85">
        <f t="shared" ref="M246" si="2481">+M245/M244</f>
        <v>0.1819423195161359</v>
      </c>
      <c r="N246" s="85">
        <f t="shared" ref="N246" si="2482">+N245/N244</f>
        <v>0.1415482399374656</v>
      </c>
      <c r="O246" s="85">
        <f t="shared" ref="O246" si="2483">+O245/O244</f>
        <v>0.12100449114593272</v>
      </c>
      <c r="P246" s="85">
        <f t="shared" ref="P246" si="2484">+P245/P244</f>
        <v>0.13870949272873007</v>
      </c>
      <c r="Q246" s="85">
        <f t="shared" ref="Q246" si="2485">+Q245/Q244</f>
        <v>0.16375358779934027</v>
      </c>
      <c r="R246" s="85">
        <f t="shared" ref="R246" si="2486">+R245/R244</f>
        <v>0.15284089740689716</v>
      </c>
      <c r="S246" s="85">
        <f t="shared" ref="S246" si="2487">+S245/S244</f>
        <v>0.16560438086178075</v>
      </c>
      <c r="T246" s="85">
        <f t="shared" ref="T246" si="2488">+T245/T244</f>
        <v>0.15105772919271895</v>
      </c>
      <c r="U246" s="85">
        <f t="shared" ref="U246" si="2489">+U245/U244</f>
        <v>0.1438508556070896</v>
      </c>
      <c r="V246" s="85">
        <f t="shared" ref="V246" si="2490">+V245/V244</f>
        <v>0.14071666360848259</v>
      </c>
      <c r="W246" s="85">
        <f t="shared" ref="W246" si="2491">+W245/W244</f>
        <v>0.17299563051631758</v>
      </c>
      <c r="X246" s="85">
        <f t="shared" ref="X246:Y246" si="2492">+X245/X244</f>
        <v>0.18670172531786913</v>
      </c>
      <c r="Y246" s="85">
        <f t="shared" si="2492"/>
        <v>0.18025769217131829</v>
      </c>
      <c r="Z246" s="85">
        <f t="shared" ref="Z246:AA246" si="2493">+Z245/Z244</f>
        <v>0.17337984392012779</v>
      </c>
      <c r="AA246" s="85">
        <f t="shared" ref="AA246" si="2494">+AA245/AA244</f>
        <v>0.17947843577557207</v>
      </c>
      <c r="AB246" s="86"/>
      <c r="AC246" s="86"/>
      <c r="AD246" s="86"/>
      <c r="AE246" s="86"/>
      <c r="AF246" s="85"/>
      <c r="AG246" s="85"/>
      <c r="AH246" s="85"/>
      <c r="AI246" s="85">
        <f t="shared" ref="AI246" si="2495">+AI245/AI244</f>
        <v>0.16813111648952964</v>
      </c>
      <c r="AJ246" s="85">
        <f t="shared" ref="AJ246" si="2496">+AJ245/AJ244</f>
        <v>0.14484656203498339</v>
      </c>
      <c r="AK246" s="85">
        <f t="shared" ref="AK246" si="2497">+AK245/AK244</f>
        <v>0.11903664438810788</v>
      </c>
      <c r="AL246" s="85">
        <f t="shared" ref="AL246" si="2498">+AL245/AL244</f>
        <v>0.12462042632512538</v>
      </c>
      <c r="AM246" s="85">
        <f t="shared" ref="AM246" si="2499">+AM245/AM244</f>
        <v>0.13667553104172814</v>
      </c>
      <c r="AN246" s="85">
        <f t="shared" ref="AN246" si="2500">+AN245/AN244</f>
        <v>0.13641381910224304</v>
      </c>
      <c r="AO246" s="85">
        <f t="shared" ref="AO246" si="2501">+AO245/AO244</f>
        <v>0.12657102957978922</v>
      </c>
      <c r="AP246" s="85">
        <f t="shared" ref="AP246" si="2502">+AP245/AP244</f>
        <v>0.13903169453456446</v>
      </c>
      <c r="AQ246" s="85">
        <f t="shared" ref="AQ246" si="2503">+AQ245/AQ244</f>
        <v>0.16239119891773249</v>
      </c>
      <c r="AR246" s="85">
        <f t="shared" ref="AR246" si="2504">+AR245/AR244</f>
        <v>0.14639914184016775</v>
      </c>
      <c r="AS246" s="85">
        <f t="shared" ref="AS246" si="2505">+AS245/AS244</f>
        <v>0.14519208381839357</v>
      </c>
      <c r="AT246" s="85">
        <f t="shared" ref="AT246" si="2506">+AT245/AT244</f>
        <v>0.15487482886759227</v>
      </c>
      <c r="AU246" s="85">
        <f t="shared" ref="AU246" si="2507">+AU245/AU244</f>
        <v>0.17333148199574197</v>
      </c>
      <c r="AV246" s="85">
        <f t="shared" ref="AV246" si="2508">+AV245/AV244</f>
        <v>0.17248066436996648</v>
      </c>
      <c r="AW246" s="85">
        <f t="shared" ref="AW246" si="2509">+AW245/AW244</f>
        <v>0.20547914419273638</v>
      </c>
      <c r="AX246" s="85">
        <f t="shared" ref="AX246" si="2510">+AX245/AX244</f>
        <v>0.16013290518241013</v>
      </c>
      <c r="AY246" s="85">
        <f t="shared" ref="AY246" si="2511">+AY245/AY244</f>
        <v>0.14645497415621586</v>
      </c>
      <c r="AZ246" s="85">
        <f t="shared" ref="AZ246" si="2512">+AZ245/AZ244</f>
        <v>0.15691296951684486</v>
      </c>
      <c r="BA246" s="85">
        <f t="shared" ref="BA246" si="2513">+BA245/BA244</f>
        <v>0.14761447326288829</v>
      </c>
      <c r="BB246" s="85">
        <f t="shared" ref="BB246" si="2514">+BB245/BB244</f>
        <v>0.1778635468178347</v>
      </c>
      <c r="BC246" s="85">
        <f t="shared" ref="BC246" si="2515">+BC245/BC244</f>
        <v>0.17389724437266593</v>
      </c>
      <c r="BD246" s="85">
        <f t="shared" ref="BD246" si="2516">+BD245/BD244</f>
        <v>0.16704513764391848</v>
      </c>
      <c r="BE246" s="85">
        <f t="shared" ref="BE246" si="2517">+BE245/BE244</f>
        <v>0.18059510180917995</v>
      </c>
      <c r="BF246" s="85">
        <f t="shared" ref="BF246" si="2518">+BF245/BF244</f>
        <v>0.16967705612522729</v>
      </c>
      <c r="BG246" s="85">
        <f t="shared" ref="BG246" si="2519">+BG245/BG244</f>
        <v>0.16372493774198821</v>
      </c>
      <c r="BH246" s="85">
        <f t="shared" ref="BH246" si="2520">+BH245/BH244</f>
        <v>0.16758008879638112</v>
      </c>
      <c r="BI246" s="85">
        <f t="shared" ref="BI246" si="2521">+BI245/BI244</f>
        <v>0.14482967908352928</v>
      </c>
      <c r="BJ246" s="85">
        <f t="shared" ref="BJ246" si="2522">+BJ245/BJ244</f>
        <v>0.15732455279836893</v>
      </c>
      <c r="BK246" s="85">
        <f t="shared" ref="BK246" si="2523">+BK245/BK244</f>
        <v>0.14269723291842035</v>
      </c>
      <c r="BL246" s="85">
        <f t="shared" ref="BL246" si="2524">+BL245/BL244</f>
        <v>0.13797733705574944</v>
      </c>
      <c r="BM246" s="85">
        <f t="shared" ref="BM246" si="2525">+BM245/BM244</f>
        <v>0.14180825301262948</v>
      </c>
      <c r="BN246" s="85">
        <f t="shared" ref="BN246" si="2526">+BN245/BN244</f>
        <v>0.14782346479419298</v>
      </c>
      <c r="BO246" s="85">
        <f t="shared" ref="BO246" si="2527">+BO245/BO244</f>
        <v>-4.5137623040466715E-2</v>
      </c>
      <c r="BP246" s="85">
        <f t="shared" ref="BP246" si="2528">+BP245/BP244</f>
        <v>0.16918752509704202</v>
      </c>
      <c r="BQ246" s="85">
        <f t="shared" ref="BQ246" si="2529">+BQ245/BQ244</f>
        <v>0.17983623417100419</v>
      </c>
      <c r="BR246" s="85">
        <f t="shared" ref="BR246" si="2530">+BR245/BR244</f>
        <v>0.16165459212344885</v>
      </c>
      <c r="BS246" s="85">
        <f t="shared" ref="BS246" si="2531">+BS245/BS244</f>
        <v>0.16794685657276812</v>
      </c>
      <c r="BT246" s="85">
        <f t="shared" ref="BT246" si="2532">+BT245/BT244</f>
        <v>0.17779211874319356</v>
      </c>
      <c r="BU246" s="85">
        <f t="shared" ref="BU246" si="2533">+BU245/BU244</f>
        <v>0.18850198920707451</v>
      </c>
      <c r="BV246" s="85">
        <f t="shared" ref="BV246" si="2534">+BV245/BV244</f>
        <v>0.19678981314313787</v>
      </c>
      <c r="BW246" s="85">
        <f t="shared" ref="BW246" si="2535">+BW245/BW244</f>
        <v>0.18396871050931191</v>
      </c>
      <c r="BX246" s="85">
        <f t="shared" ref="BX246" si="2536">+BX245/BX244</f>
        <v>0.18160131630637139</v>
      </c>
      <c r="BY246" s="85">
        <f t="shared" ref="BY246" si="2537">+BY245/BY244</f>
        <v>0.19236062742038845</v>
      </c>
      <c r="BZ246" s="85">
        <f t="shared" ref="BZ246" si="2538">+BZ245/BZ244</f>
        <v>0.18580319079840801</v>
      </c>
      <c r="CA246" s="85">
        <f t="shared" ref="CA246" si="2539">+CA245/CA244</f>
        <v>0.18698404714783998</v>
      </c>
      <c r="CB246" s="85">
        <f t="shared" ref="CB246:CC246" si="2540">+CB245/CB244</f>
        <v>0.18364264134656891</v>
      </c>
      <c r="CC246" s="85">
        <f t="shared" si="2540"/>
        <v>0.17289482809207549</v>
      </c>
      <c r="CD246" s="85">
        <f t="shared" ref="CD246" si="2541">+CD245/CD244</f>
        <v>0.17610096469545644</v>
      </c>
      <c r="CE246" s="85">
        <f t="shared" ref="CE246:CF246" si="2542">+CE245/CE244</f>
        <v>0.1786182149569972</v>
      </c>
      <c r="CF246" s="85">
        <f t="shared" si="2542"/>
        <v>0.17425756609256496</v>
      </c>
      <c r="CG246" s="85">
        <f t="shared" ref="CG246:CH246" si="2543">+CG245/CG244</f>
        <v>0.17339868730279112</v>
      </c>
      <c r="CH246" s="85">
        <f t="shared" si="2543"/>
        <v>0.18066509995814939</v>
      </c>
      <c r="CI246" s="85">
        <f t="shared" ref="CI246:CJ246" si="2544">+CI245/CI244</f>
        <v>0.18282828712185298</v>
      </c>
      <c r="CJ246" s="85">
        <f t="shared" si="2544"/>
        <v>0.18727127102458271</v>
      </c>
      <c r="CK246" s="85">
        <f t="shared" ref="CK246:DA246" si="2545">+CK245/CK244</f>
        <v>0.17771088760002934</v>
      </c>
      <c r="CL246" s="85">
        <f t="shared" si="2545"/>
        <v>0.18499095001624347</v>
      </c>
      <c r="CM246" s="46">
        <f t="shared" si="2545"/>
        <v>0.1832003489406771</v>
      </c>
      <c r="CN246" s="46">
        <f t="shared" si="2545"/>
        <v>0.18329336439538307</v>
      </c>
      <c r="CO246" s="46">
        <f t="shared" si="2545"/>
        <v>0.18229888773808328</v>
      </c>
      <c r="CP246" s="46">
        <f t="shared" si="2545"/>
        <v>0.18344588777259674</v>
      </c>
      <c r="CQ246" s="46">
        <f t="shared" si="2545"/>
        <v>0.18305962221168501</v>
      </c>
      <c r="CR246" s="46">
        <f t="shared" si="2545"/>
        <v>0.183024440529437</v>
      </c>
      <c r="CS246" s="46">
        <f t="shared" si="2545"/>
        <v>0.1829572095629505</v>
      </c>
      <c r="CT246" s="46">
        <f t="shared" si="2545"/>
        <v>0.18108342583471393</v>
      </c>
      <c r="CU246" s="46">
        <f t="shared" si="2545"/>
        <v>0.18048600008663274</v>
      </c>
      <c r="CV246" s="46">
        <f t="shared" si="2545"/>
        <v>0.17983668845025508</v>
      </c>
      <c r="CW246" s="46">
        <f t="shared" si="2545"/>
        <v>0.17903180565783397</v>
      </c>
      <c r="CX246" s="46">
        <f t="shared" si="2545"/>
        <v>0.18010948000735891</v>
      </c>
      <c r="CY246" s="46">
        <f t="shared" si="2545"/>
        <v>0.17986599355052024</v>
      </c>
      <c r="CZ246" s="46">
        <f t="shared" si="2545"/>
        <v>0.17971099191649206</v>
      </c>
      <c r="DA246" s="46">
        <f t="shared" si="2545"/>
        <v>0.17967956778305133</v>
      </c>
      <c r="DD246" s="129"/>
      <c r="DE246" s="88">
        <v>0.17947843577557207</v>
      </c>
    </row>
    <row r="247" spans="1:109" s="63" customFormat="1" hidden="1" outlineLevel="1" x14ac:dyDescent="0.2">
      <c r="A247" s="63" t="s">
        <v>476</v>
      </c>
      <c r="B247" s="63">
        <f t="shared" ref="B247:Z247" si="2546">B54-B253</f>
        <v>0</v>
      </c>
      <c r="C247" s="63">
        <f t="shared" si="2546"/>
        <v>0</v>
      </c>
      <c r="D247" s="63">
        <f t="shared" si="2546"/>
        <v>19.769999999999978</v>
      </c>
      <c r="E247" s="63">
        <f t="shared" si="2546"/>
        <v>23.159999999999997</v>
      </c>
      <c r="F247" s="63">
        <f t="shared" si="2546"/>
        <v>30.880000000000042</v>
      </c>
      <c r="G247" s="63">
        <f t="shared" si="2546"/>
        <v>47.890000000000015</v>
      </c>
      <c r="H247" s="63">
        <f t="shared" si="2546"/>
        <v>73.69999999999996</v>
      </c>
      <c r="I247" s="63">
        <f t="shared" si="2546"/>
        <v>79.53000000000003</v>
      </c>
      <c r="J247" s="63">
        <f t="shared" si="2546"/>
        <v>95.72</v>
      </c>
      <c r="K247" s="63">
        <f t="shared" si="2546"/>
        <v>65.540000000000049</v>
      </c>
      <c r="L247" s="63">
        <f t="shared" si="2546"/>
        <v>121.49999999999991</v>
      </c>
      <c r="M247" s="63">
        <f t="shared" si="2546"/>
        <v>175.96999999999991</v>
      </c>
      <c r="N247" s="63">
        <f t="shared" si="2546"/>
        <v>159.18000000000006</v>
      </c>
      <c r="O247" s="63">
        <f t="shared" si="2546"/>
        <v>121.83000000000011</v>
      </c>
      <c r="P247" s="63">
        <f t="shared" si="2546"/>
        <v>152.87999999999994</v>
      </c>
      <c r="Q247" s="63">
        <f t="shared" si="2546"/>
        <v>197.48000000000008</v>
      </c>
      <c r="R247" s="63">
        <f t="shared" si="2546"/>
        <v>195.06000000000012</v>
      </c>
      <c r="S247" s="63">
        <f t="shared" si="2546"/>
        <v>393.01999999999941</v>
      </c>
      <c r="T247" s="63">
        <f t="shared" si="2546"/>
        <v>463.00000000000034</v>
      </c>
      <c r="U247" s="63">
        <f t="shared" si="2546"/>
        <v>367.979999999999</v>
      </c>
      <c r="V247" s="63">
        <f t="shared" si="2546"/>
        <v>290.97000000000025</v>
      </c>
      <c r="W247" s="63">
        <f t="shared" si="2546"/>
        <v>629.12000000000023</v>
      </c>
      <c r="X247" s="63">
        <f t="shared" si="2546"/>
        <v>864.23000000000025</v>
      </c>
      <c r="Y247" s="63">
        <f t="shared" si="2546"/>
        <v>903.71999999999935</v>
      </c>
      <c r="Z247" s="63">
        <f t="shared" si="2546"/>
        <v>938.86</v>
      </c>
      <c r="AA247" s="63">
        <f t="shared" ref="AA247" si="2547">AA54-AA253</f>
        <v>1150.3500000000001</v>
      </c>
      <c r="AB247" s="29"/>
      <c r="AC247" s="29"/>
      <c r="AD247" s="29"/>
      <c r="AE247" s="29"/>
      <c r="AI247" s="63">
        <f t="shared" ref="AI247:BN247" si="2548">AI54-AI253</f>
        <v>46.240000000000009</v>
      </c>
      <c r="AJ247" s="63">
        <f t="shared" si="2548"/>
        <v>36.940000000000033</v>
      </c>
      <c r="AK247" s="63">
        <f t="shared" si="2548"/>
        <v>29.690000000000012</v>
      </c>
      <c r="AL247" s="63">
        <f t="shared" si="2548"/>
        <v>25.449999999999946</v>
      </c>
      <c r="AM247" s="63">
        <f t="shared" si="2548"/>
        <v>25.579999999999966</v>
      </c>
      <c r="AN247" s="63">
        <f t="shared" si="2548"/>
        <v>35.89</v>
      </c>
      <c r="AO247" s="63">
        <f t="shared" si="2548"/>
        <v>34.909999999999975</v>
      </c>
      <c r="AP247" s="63">
        <f t="shared" si="2548"/>
        <v>34.679999999999986</v>
      </c>
      <c r="AQ247" s="63">
        <f t="shared" si="2548"/>
        <v>40.770000000000067</v>
      </c>
      <c r="AR247" s="63">
        <f t="shared" si="2548"/>
        <v>37.510000000000019</v>
      </c>
      <c r="AS247" s="63">
        <f t="shared" si="2548"/>
        <v>39.920000000000044</v>
      </c>
      <c r="AT247" s="63">
        <f t="shared" si="2548"/>
        <v>41.399999999999935</v>
      </c>
      <c r="AU247" s="63">
        <f t="shared" si="2548"/>
        <v>49.270000000000024</v>
      </c>
      <c r="AV247" s="63">
        <f t="shared" si="2548"/>
        <v>50.600000000000009</v>
      </c>
      <c r="AW247" s="63">
        <f t="shared" si="2548"/>
        <v>56.20999999999998</v>
      </c>
      <c r="AX247" s="63">
        <f t="shared" si="2548"/>
        <v>41.460000000000008</v>
      </c>
      <c r="AY247" s="63">
        <f t="shared" si="2548"/>
        <v>46.34</v>
      </c>
      <c r="AZ247" s="63">
        <f t="shared" si="2548"/>
        <v>52.519999999999982</v>
      </c>
      <c r="BA247" s="63">
        <f t="shared" si="2548"/>
        <v>54.740000000000023</v>
      </c>
      <c r="BB247" s="63">
        <f t="shared" si="2548"/>
        <v>57.480000000000047</v>
      </c>
      <c r="BC247" s="63">
        <f t="shared" si="2548"/>
        <v>53.980000000000075</v>
      </c>
      <c r="BD247" s="63">
        <f t="shared" si="2548"/>
        <v>95.879999999999924</v>
      </c>
      <c r="BE247" s="63">
        <f t="shared" si="2548"/>
        <v>108.07999999999998</v>
      </c>
      <c r="BF247" s="63">
        <f t="shared" si="2548"/>
        <v>114.01000000000002</v>
      </c>
      <c r="BG247" s="63">
        <f t="shared" si="2548"/>
        <v>112.03</v>
      </c>
      <c r="BH247" s="63">
        <f t="shared" si="2548"/>
        <v>129.80000000000013</v>
      </c>
      <c r="BI247" s="63">
        <f t="shared" si="2548"/>
        <v>107.14999999999993</v>
      </c>
      <c r="BJ247" s="63">
        <f t="shared" si="2548"/>
        <v>106.51999999999994</v>
      </c>
      <c r="BK247" s="63">
        <f t="shared" si="2548"/>
        <v>82.480000000000018</v>
      </c>
      <c r="BL247" s="63">
        <f t="shared" si="2548"/>
        <v>94.430000000000149</v>
      </c>
      <c r="BM247" s="63">
        <f t="shared" si="2548"/>
        <v>84.550000000000068</v>
      </c>
      <c r="BN247" s="63">
        <f t="shared" si="2548"/>
        <v>78.349999999999937</v>
      </c>
      <c r="BO247" s="63">
        <f t="shared" ref="BO247:CT247" si="2549">BO54-BO253</f>
        <v>-42.470000000000041</v>
      </c>
      <c r="BP247" s="63">
        <f t="shared" si="2549"/>
        <v>113.47000000000017</v>
      </c>
      <c r="BQ247" s="63">
        <f t="shared" si="2549"/>
        <v>141.62</v>
      </c>
      <c r="BR247" s="63">
        <f t="shared" si="2549"/>
        <v>139.53999999999988</v>
      </c>
      <c r="BS247" s="63">
        <f t="shared" si="2549"/>
        <v>128.13000000000011</v>
      </c>
      <c r="BT247" s="63">
        <f t="shared" si="2549"/>
        <v>170.80999999999983</v>
      </c>
      <c r="BU247" s="63">
        <f t="shared" si="2549"/>
        <v>190.64000000000004</v>
      </c>
      <c r="BV247" s="63">
        <f t="shared" si="2549"/>
        <v>207.12000000000006</v>
      </c>
      <c r="BW247" s="63">
        <f t="shared" si="2549"/>
        <v>210.76999999999992</v>
      </c>
      <c r="BX247" s="63">
        <f t="shared" si="2549"/>
        <v>215.35999999999996</v>
      </c>
      <c r="BY247" s="63">
        <f t="shared" si="2549"/>
        <v>230.9800000000001</v>
      </c>
      <c r="BZ247" s="63">
        <f t="shared" si="2549"/>
        <v>219.36999999999978</v>
      </c>
      <c r="CA247" s="63">
        <f t="shared" si="2549"/>
        <v>237.28000000000009</v>
      </c>
      <c r="CB247" s="63">
        <f t="shared" si="2549"/>
        <v>232.7600000000001</v>
      </c>
      <c r="CC247" s="63">
        <f t="shared" si="2549"/>
        <v>214.31000000000009</v>
      </c>
      <c r="CD247" s="63">
        <f t="shared" si="2549"/>
        <v>219.72000000000037</v>
      </c>
      <c r="CE247" s="63">
        <f t="shared" si="2549"/>
        <v>245.45</v>
      </c>
      <c r="CF247" s="63">
        <f t="shared" si="2549"/>
        <v>236.40999999999985</v>
      </c>
      <c r="CG247" s="63">
        <f t="shared" si="2549"/>
        <v>237.27999999999997</v>
      </c>
      <c r="CH247" s="63">
        <f t="shared" si="2549"/>
        <v>251.61999999999955</v>
      </c>
      <c r="CI247" s="63">
        <f t="shared" si="2549"/>
        <v>287.11000000000007</v>
      </c>
      <c r="CJ247" s="63">
        <f t="shared" si="2549"/>
        <v>289.26000000000033</v>
      </c>
      <c r="CK247" s="63">
        <f t="shared" si="2549"/>
        <v>322.3599999999999</v>
      </c>
      <c r="CL247" s="63">
        <f t="shared" ref="CL247" si="2550">CL54-CL253</f>
        <v>316.06999999999971</v>
      </c>
      <c r="CM247" s="29">
        <f t="shared" si="2549"/>
        <v>329.59668126947781</v>
      </c>
      <c r="CN247" s="29">
        <f t="shared" si="2549"/>
        <v>353.42032667050029</v>
      </c>
      <c r="CO247" s="29">
        <f t="shared" si="2549"/>
        <v>405.35766643091131</v>
      </c>
      <c r="CP247" s="29">
        <f t="shared" si="2549"/>
        <v>384.73979901326504</v>
      </c>
      <c r="CQ247" s="29">
        <f t="shared" si="2549"/>
        <v>404.82133809462448</v>
      </c>
      <c r="CR247" s="29">
        <f t="shared" si="2549"/>
        <v>433.63699714377458</v>
      </c>
      <c r="CS247" s="29">
        <f t="shared" si="2549"/>
        <v>493.42044123367066</v>
      </c>
      <c r="CT247" s="29">
        <f t="shared" si="2549"/>
        <v>436.20961698458052</v>
      </c>
      <c r="CU247" s="29">
        <f t="shared" ref="CU247:DA247" si="2551">CU54-CU253</f>
        <v>456.10631188727973</v>
      </c>
      <c r="CV247" s="29">
        <f t="shared" si="2551"/>
        <v>487.44310794141421</v>
      </c>
      <c r="CW247" s="29">
        <f t="shared" si="2551"/>
        <v>548.51328231780474</v>
      </c>
      <c r="CX247" s="29">
        <f t="shared" si="2551"/>
        <v>515.86826625145477</v>
      </c>
      <c r="CY247" s="29">
        <f t="shared" si="2551"/>
        <v>537.74222772833355</v>
      </c>
      <c r="CZ247" s="29">
        <f t="shared" si="2551"/>
        <v>578.54149968528077</v>
      </c>
      <c r="DA247" s="29">
        <f t="shared" si="2551"/>
        <v>651.9830252577849</v>
      </c>
      <c r="DD247" s="138"/>
      <c r="DE247" s="63">
        <v>1150.3500000000001</v>
      </c>
    </row>
    <row r="248" spans="1:109" s="63" customFormat="1" hidden="1" outlineLevel="1" x14ac:dyDescent="0.2">
      <c r="AB248" s="29"/>
      <c r="AC248" s="29"/>
      <c r="AD248" s="29"/>
      <c r="AE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D248" s="138"/>
    </row>
    <row r="249" spans="1:109" s="63" customFormat="1" hidden="1" outlineLevel="1" x14ac:dyDescent="0.2">
      <c r="A249" s="64" t="s">
        <v>352</v>
      </c>
      <c r="AB249" s="29"/>
      <c r="AC249" s="29"/>
      <c r="AD249" s="29"/>
      <c r="AE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D249" s="138"/>
    </row>
    <row r="250" spans="1:109" s="63" customFormat="1" hidden="1" outlineLevel="1" x14ac:dyDescent="0.2">
      <c r="A250" s="63" t="s">
        <v>477</v>
      </c>
      <c r="AB250" s="29"/>
      <c r="AC250" s="29"/>
      <c r="AD250" s="29"/>
      <c r="AE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D250" s="138"/>
    </row>
    <row r="251" spans="1:109" s="63" customFormat="1" hidden="1" outlineLevel="1" x14ac:dyDescent="0.2">
      <c r="A251" s="63" t="s">
        <v>478</v>
      </c>
      <c r="AB251" s="29"/>
      <c r="AC251" s="29"/>
      <c r="AD251" s="29"/>
      <c r="AE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D251" s="138"/>
    </row>
    <row r="252" spans="1:109" s="88" customFormat="1" hidden="1" outlineLevel="1" x14ac:dyDescent="0.2">
      <c r="A252" s="85" t="s">
        <v>479</v>
      </c>
      <c r="B252" s="85" t="e">
        <f>+B251/B250</f>
        <v>#DIV/0!</v>
      </c>
      <c r="C252" s="85" t="e">
        <f t="shared" ref="C252:X252" si="2552">+C251/C250</f>
        <v>#DIV/0!</v>
      </c>
      <c r="D252" s="85" t="e">
        <f t="shared" si="2552"/>
        <v>#DIV/0!</v>
      </c>
      <c r="E252" s="85" t="e">
        <f t="shared" si="2552"/>
        <v>#DIV/0!</v>
      </c>
      <c r="F252" s="85" t="e">
        <f t="shared" si="2552"/>
        <v>#DIV/0!</v>
      </c>
      <c r="G252" s="85" t="e">
        <f t="shared" si="2552"/>
        <v>#DIV/0!</v>
      </c>
      <c r="H252" s="85" t="e">
        <f t="shared" si="2552"/>
        <v>#DIV/0!</v>
      </c>
      <c r="I252" s="85" t="e">
        <f t="shared" si="2552"/>
        <v>#DIV/0!</v>
      </c>
      <c r="J252" s="85" t="e">
        <f t="shared" si="2552"/>
        <v>#DIV/0!</v>
      </c>
      <c r="K252" s="85" t="e">
        <f t="shared" si="2552"/>
        <v>#DIV/0!</v>
      </c>
      <c r="L252" s="85" t="e">
        <f t="shared" si="2552"/>
        <v>#DIV/0!</v>
      </c>
      <c r="M252" s="85" t="e">
        <f t="shared" si="2552"/>
        <v>#DIV/0!</v>
      </c>
      <c r="N252" s="85" t="e">
        <f t="shared" si="2552"/>
        <v>#DIV/0!</v>
      </c>
      <c r="O252" s="85" t="e">
        <f t="shared" si="2552"/>
        <v>#DIV/0!</v>
      </c>
      <c r="P252" s="85" t="e">
        <f t="shared" si="2552"/>
        <v>#DIV/0!</v>
      </c>
      <c r="Q252" s="85" t="e">
        <f t="shared" si="2552"/>
        <v>#DIV/0!</v>
      </c>
      <c r="R252" s="85" t="e">
        <f t="shared" si="2552"/>
        <v>#DIV/0!</v>
      </c>
      <c r="S252" s="85" t="e">
        <f t="shared" si="2552"/>
        <v>#DIV/0!</v>
      </c>
      <c r="T252" s="85" t="e">
        <f t="shared" si="2552"/>
        <v>#DIV/0!</v>
      </c>
      <c r="U252" s="85" t="e">
        <f t="shared" si="2552"/>
        <v>#DIV/0!</v>
      </c>
      <c r="V252" s="85" t="e">
        <f t="shared" si="2552"/>
        <v>#DIV/0!</v>
      </c>
      <c r="W252" s="85" t="e">
        <f t="shared" si="2552"/>
        <v>#DIV/0!</v>
      </c>
      <c r="X252" s="85" t="e">
        <f t="shared" si="2552"/>
        <v>#DIV/0!</v>
      </c>
      <c r="Y252" s="85" t="e">
        <f t="shared" ref="Y252:Z252" si="2553">+Y251/Y250</f>
        <v>#DIV/0!</v>
      </c>
      <c r="Z252" s="85" t="e">
        <f t="shared" si="2553"/>
        <v>#DIV/0!</v>
      </c>
      <c r="AA252" s="85" t="e">
        <f t="shared" ref="AA252" si="2554">+AA251/AA250</f>
        <v>#DIV/0!</v>
      </c>
      <c r="AB252" s="86"/>
      <c r="AC252" s="86"/>
      <c r="AD252" s="86"/>
      <c r="AE252" s="86"/>
      <c r="AF252" s="85"/>
      <c r="AG252" s="85"/>
      <c r="AH252" s="85"/>
      <c r="AI252" s="85" t="e">
        <f t="shared" ref="AI252" si="2555">+AI251/AI250</f>
        <v>#DIV/0!</v>
      </c>
      <c r="AJ252" s="85" t="e">
        <f t="shared" ref="AJ252" si="2556">+AJ251/AJ250</f>
        <v>#DIV/0!</v>
      </c>
      <c r="AK252" s="85" t="e">
        <f t="shared" ref="AK252" si="2557">+AK251/AK250</f>
        <v>#DIV/0!</v>
      </c>
      <c r="AL252" s="85" t="e">
        <f t="shared" ref="AL252" si="2558">+AL251/AL250</f>
        <v>#DIV/0!</v>
      </c>
      <c r="AM252" s="85" t="e">
        <f t="shared" ref="AM252" si="2559">+AM251/AM250</f>
        <v>#DIV/0!</v>
      </c>
      <c r="AN252" s="85" t="e">
        <f t="shared" ref="AN252" si="2560">+AN251/AN250</f>
        <v>#DIV/0!</v>
      </c>
      <c r="AO252" s="85" t="e">
        <f t="shared" ref="AO252" si="2561">+AO251/AO250</f>
        <v>#DIV/0!</v>
      </c>
      <c r="AP252" s="85" t="e">
        <f t="shared" ref="AP252" si="2562">+AP251/AP250</f>
        <v>#DIV/0!</v>
      </c>
      <c r="AQ252" s="85" t="e">
        <f t="shared" ref="AQ252" si="2563">+AQ251/AQ250</f>
        <v>#DIV/0!</v>
      </c>
      <c r="AR252" s="85" t="e">
        <f t="shared" ref="AR252" si="2564">+AR251/AR250</f>
        <v>#DIV/0!</v>
      </c>
      <c r="AS252" s="85" t="e">
        <f t="shared" ref="AS252" si="2565">+AS251/AS250</f>
        <v>#DIV/0!</v>
      </c>
      <c r="AT252" s="85" t="e">
        <f t="shared" ref="AT252" si="2566">+AT251/AT250</f>
        <v>#DIV/0!</v>
      </c>
      <c r="AU252" s="85" t="e">
        <f t="shared" ref="AU252" si="2567">+AU251/AU250</f>
        <v>#DIV/0!</v>
      </c>
      <c r="AV252" s="85" t="e">
        <f t="shared" ref="AV252" si="2568">+AV251/AV250</f>
        <v>#DIV/0!</v>
      </c>
      <c r="AW252" s="85" t="e">
        <f t="shared" ref="AW252" si="2569">+AW251/AW250</f>
        <v>#DIV/0!</v>
      </c>
      <c r="AX252" s="85" t="e">
        <f t="shared" ref="AX252" si="2570">+AX251/AX250</f>
        <v>#DIV/0!</v>
      </c>
      <c r="AY252" s="85" t="e">
        <f t="shared" ref="AY252" si="2571">+AY251/AY250</f>
        <v>#DIV/0!</v>
      </c>
      <c r="AZ252" s="85" t="e">
        <f t="shared" ref="AZ252" si="2572">+AZ251/AZ250</f>
        <v>#DIV/0!</v>
      </c>
      <c r="BA252" s="85" t="e">
        <f t="shared" ref="BA252" si="2573">+BA251/BA250</f>
        <v>#DIV/0!</v>
      </c>
      <c r="BB252" s="85" t="e">
        <f t="shared" ref="BB252" si="2574">+BB251/BB250</f>
        <v>#DIV/0!</v>
      </c>
      <c r="BC252" s="85" t="e">
        <f t="shared" ref="BC252" si="2575">+BC251/BC250</f>
        <v>#DIV/0!</v>
      </c>
      <c r="BD252" s="85" t="e">
        <f t="shared" ref="BD252" si="2576">+BD251/BD250</f>
        <v>#DIV/0!</v>
      </c>
      <c r="BE252" s="85" t="e">
        <f t="shared" ref="BE252" si="2577">+BE251/BE250</f>
        <v>#DIV/0!</v>
      </c>
      <c r="BF252" s="85" t="e">
        <f t="shared" ref="BF252" si="2578">+BF251/BF250</f>
        <v>#DIV/0!</v>
      </c>
      <c r="BG252" s="85" t="e">
        <f t="shared" ref="BG252" si="2579">+BG251/BG250</f>
        <v>#DIV/0!</v>
      </c>
      <c r="BH252" s="85" t="e">
        <f t="shared" ref="BH252" si="2580">+BH251/BH250</f>
        <v>#DIV/0!</v>
      </c>
      <c r="BI252" s="85" t="e">
        <f t="shared" ref="BI252" si="2581">+BI251/BI250</f>
        <v>#DIV/0!</v>
      </c>
      <c r="BJ252" s="85" t="e">
        <f t="shared" ref="BJ252" si="2582">+BJ251/BJ250</f>
        <v>#DIV/0!</v>
      </c>
      <c r="BK252" s="85" t="e">
        <f t="shared" ref="BK252" si="2583">+BK251/BK250</f>
        <v>#DIV/0!</v>
      </c>
      <c r="BL252" s="85" t="e">
        <f t="shared" ref="BL252" si="2584">+BL251/BL250</f>
        <v>#DIV/0!</v>
      </c>
      <c r="BM252" s="85" t="e">
        <f t="shared" ref="BM252" si="2585">+BM251/BM250</f>
        <v>#DIV/0!</v>
      </c>
      <c r="BN252" s="85" t="e">
        <f t="shared" ref="BN252" si="2586">+BN251/BN250</f>
        <v>#DIV/0!</v>
      </c>
      <c r="BO252" s="85" t="e">
        <f t="shared" ref="BO252" si="2587">+BO251/BO250</f>
        <v>#DIV/0!</v>
      </c>
      <c r="BP252" s="85" t="e">
        <f t="shared" ref="BP252" si="2588">+BP251/BP250</f>
        <v>#DIV/0!</v>
      </c>
      <c r="BQ252" s="85" t="e">
        <f t="shared" ref="BQ252" si="2589">+BQ251/BQ250</f>
        <v>#DIV/0!</v>
      </c>
      <c r="BR252" s="85" t="e">
        <f t="shared" ref="BR252" si="2590">+BR251/BR250</f>
        <v>#DIV/0!</v>
      </c>
      <c r="BS252" s="85" t="e">
        <f t="shared" ref="BS252" si="2591">+BS251/BS250</f>
        <v>#DIV/0!</v>
      </c>
      <c r="BT252" s="85" t="e">
        <f t="shared" ref="BT252" si="2592">+BT251/BT250</f>
        <v>#DIV/0!</v>
      </c>
      <c r="BU252" s="85" t="e">
        <f t="shared" ref="BU252" si="2593">+BU251/BU250</f>
        <v>#DIV/0!</v>
      </c>
      <c r="BV252" s="85" t="e">
        <f t="shared" ref="BV252" si="2594">+BV251/BV250</f>
        <v>#DIV/0!</v>
      </c>
      <c r="BW252" s="85" t="e">
        <f t="shared" ref="BW252" si="2595">+BW251/BW250</f>
        <v>#DIV/0!</v>
      </c>
      <c r="BX252" s="85" t="e">
        <f t="shared" ref="BX252" si="2596">+BX251/BX250</f>
        <v>#DIV/0!</v>
      </c>
      <c r="BY252" s="85" t="e">
        <f t="shared" ref="BY252" si="2597">+BY251/BY250</f>
        <v>#DIV/0!</v>
      </c>
      <c r="BZ252" s="85" t="e">
        <f t="shared" ref="BZ252" si="2598">+BZ251/BZ250</f>
        <v>#DIV/0!</v>
      </c>
      <c r="CA252" s="85" t="e">
        <f t="shared" ref="CA252" si="2599">+CA251/CA250</f>
        <v>#DIV/0!</v>
      </c>
      <c r="CB252" s="85" t="e">
        <f t="shared" ref="CB252:CC252" si="2600">+CB251/CB250</f>
        <v>#DIV/0!</v>
      </c>
      <c r="CC252" s="85" t="e">
        <f t="shared" si="2600"/>
        <v>#DIV/0!</v>
      </c>
      <c r="CD252" s="85" t="e">
        <f t="shared" ref="CD252" si="2601">+CD251/CD250</f>
        <v>#DIV/0!</v>
      </c>
      <c r="CE252" s="85" t="e">
        <f t="shared" ref="CE252:CF252" si="2602">+CE251/CE250</f>
        <v>#DIV/0!</v>
      </c>
      <c r="CF252" s="85" t="e">
        <f t="shared" si="2602"/>
        <v>#DIV/0!</v>
      </c>
      <c r="CG252" s="85" t="e">
        <f t="shared" ref="CG252:CH252" si="2603">+CG251/CG250</f>
        <v>#DIV/0!</v>
      </c>
      <c r="CH252" s="85" t="e">
        <f t="shared" si="2603"/>
        <v>#DIV/0!</v>
      </c>
      <c r="CI252" s="85" t="e">
        <f t="shared" ref="CI252:CJ252" si="2604">+CI251/CI250</f>
        <v>#DIV/0!</v>
      </c>
      <c r="CJ252" s="85" t="e">
        <f t="shared" si="2604"/>
        <v>#DIV/0!</v>
      </c>
      <c r="CK252" s="85" t="e">
        <f t="shared" ref="CK252:DA252" si="2605">+CK251/CK250</f>
        <v>#DIV/0!</v>
      </c>
      <c r="CL252" s="85" t="e">
        <f t="shared" si="2605"/>
        <v>#DIV/0!</v>
      </c>
      <c r="CM252" s="46" t="e">
        <f t="shared" si="2605"/>
        <v>#DIV/0!</v>
      </c>
      <c r="CN252" s="46" t="e">
        <f t="shared" si="2605"/>
        <v>#DIV/0!</v>
      </c>
      <c r="CO252" s="46" t="e">
        <f t="shared" si="2605"/>
        <v>#DIV/0!</v>
      </c>
      <c r="CP252" s="46" t="e">
        <f t="shared" si="2605"/>
        <v>#DIV/0!</v>
      </c>
      <c r="CQ252" s="46" t="e">
        <f t="shared" si="2605"/>
        <v>#DIV/0!</v>
      </c>
      <c r="CR252" s="46" t="e">
        <f t="shared" si="2605"/>
        <v>#DIV/0!</v>
      </c>
      <c r="CS252" s="46" t="e">
        <f t="shared" si="2605"/>
        <v>#DIV/0!</v>
      </c>
      <c r="CT252" s="46" t="e">
        <f t="shared" si="2605"/>
        <v>#DIV/0!</v>
      </c>
      <c r="CU252" s="46" t="e">
        <f t="shared" si="2605"/>
        <v>#DIV/0!</v>
      </c>
      <c r="CV252" s="46" t="e">
        <f t="shared" si="2605"/>
        <v>#DIV/0!</v>
      </c>
      <c r="CW252" s="46" t="e">
        <f t="shared" si="2605"/>
        <v>#DIV/0!</v>
      </c>
      <c r="CX252" s="46" t="e">
        <f t="shared" si="2605"/>
        <v>#DIV/0!</v>
      </c>
      <c r="CY252" s="46" t="e">
        <f t="shared" si="2605"/>
        <v>#DIV/0!</v>
      </c>
      <c r="CZ252" s="46" t="e">
        <f t="shared" si="2605"/>
        <v>#DIV/0!</v>
      </c>
      <c r="DA252" s="46" t="e">
        <f t="shared" si="2605"/>
        <v>#DIV/0!</v>
      </c>
      <c r="DD252" s="129"/>
    </row>
    <row r="253" spans="1:109" s="63" customFormat="1" hidden="1" outlineLevel="1" x14ac:dyDescent="0.2">
      <c r="A253" s="63" t="s">
        <v>480</v>
      </c>
      <c r="AB253" s="29"/>
      <c r="AC253" s="29"/>
      <c r="AD253" s="29"/>
      <c r="AE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D253" s="138"/>
    </row>
    <row r="254" spans="1:109" s="61" customFormat="1" hidden="1" outlineLevel="1" x14ac:dyDescent="0.2">
      <c r="AB254" s="62"/>
      <c r="AC254" s="62"/>
      <c r="AD254" s="62"/>
      <c r="AE254" s="62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D254" s="138"/>
    </row>
    <row r="255" spans="1:109" s="11" customFormat="1" collapsed="1" x14ac:dyDescent="0.2">
      <c r="AB255" s="62"/>
      <c r="AC255" s="62"/>
      <c r="AD255" s="62"/>
      <c r="AE255" s="62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D255" s="138"/>
    </row>
    <row r="256" spans="1:109" s="61" customFormat="1" x14ac:dyDescent="0.2">
      <c r="A256" s="153" t="s">
        <v>497</v>
      </c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62"/>
      <c r="AC256" s="62"/>
      <c r="AD256" s="62"/>
      <c r="AE256" s="62"/>
      <c r="AL256" s="179"/>
      <c r="CF256" s="179"/>
      <c r="CG256" s="179"/>
      <c r="CH256" s="179"/>
      <c r="CI256" s="179"/>
      <c r="CJ256" s="179"/>
      <c r="CK256" s="179"/>
      <c r="CL256" s="17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D256" s="138"/>
    </row>
    <row r="257" spans="1:109" s="83" customFormat="1" x14ac:dyDescent="0.2">
      <c r="A257" s="83" t="s">
        <v>512</v>
      </c>
      <c r="B257" s="83" t="e">
        <f>B21/B178</f>
        <v>#DIV/0!</v>
      </c>
      <c r="C257" s="83" t="e">
        <f>C21/C178</f>
        <v>#DIV/0!</v>
      </c>
      <c r="D257" s="83">
        <f>D21/D178</f>
        <v>1.7751369950299476</v>
      </c>
      <c r="E257" s="83">
        <f t="shared" ref="E257:AE257" si="2606">E23/(E174+E161+E151)</f>
        <v>1.2546300648679136</v>
      </c>
      <c r="F257" s="83">
        <f t="shared" si="2606"/>
        <v>1.4880722114764666</v>
      </c>
      <c r="G257" s="83">
        <f t="shared" si="2606"/>
        <v>1.4567249375668925</v>
      </c>
      <c r="H257" s="83">
        <f t="shared" si="2606"/>
        <v>1.5239969634773805</v>
      </c>
      <c r="I257" s="83">
        <f t="shared" si="2606"/>
        <v>1.4472051091101936</v>
      </c>
      <c r="J257" s="83">
        <f t="shared" si="2606"/>
        <v>1.3562098052433091</v>
      </c>
      <c r="K257" s="83">
        <f t="shared" si="2606"/>
        <v>1.3090190029210018</v>
      </c>
      <c r="L257" s="83">
        <f t="shared" si="2606"/>
        <v>1.338170963923627</v>
      </c>
      <c r="M257" s="83">
        <f t="shared" si="2606"/>
        <v>1.3127508025682184</v>
      </c>
      <c r="N257" s="83">
        <f t="shared" si="2606"/>
        <v>1.2697597668764427</v>
      </c>
      <c r="O257" s="83">
        <f t="shared" si="2606"/>
        <v>1.0553080697107426</v>
      </c>
      <c r="P257" s="83">
        <f t="shared" si="2606"/>
        <v>1.1414913556761594</v>
      </c>
      <c r="Q257" s="83">
        <f t="shared" si="2606"/>
        <v>1.0417124768935231</v>
      </c>
      <c r="R257" s="83">
        <f t="shared" si="2606"/>
        <v>0.97028098566443788</v>
      </c>
      <c r="S257" s="83">
        <f t="shared" si="2606"/>
        <v>1.2432049713785396</v>
      </c>
      <c r="T257" s="83">
        <f t="shared" si="2606"/>
        <v>1.2213270573619501</v>
      </c>
      <c r="U257" s="83">
        <f t="shared" si="2606"/>
        <v>1.2040185215352883</v>
      </c>
      <c r="V257" s="83">
        <f t="shared" si="2606"/>
        <v>0.89301627770616565</v>
      </c>
      <c r="W257" s="83">
        <f t="shared" si="2606"/>
        <v>1.1099708559565633</v>
      </c>
      <c r="X257" s="83">
        <f t="shared" si="2606"/>
        <v>1.161946916130735</v>
      </c>
      <c r="Y257" s="83">
        <f t="shared" si="2606"/>
        <v>1.1206035354081729</v>
      </c>
      <c r="Z257" s="83">
        <f t="shared" si="2606"/>
        <v>1.1599982527557844</v>
      </c>
      <c r="AA257" s="83">
        <f t="shared" ref="AA257" si="2607">AA23/(AA174+AA161+AA151)</f>
        <v>1.1423164876585217</v>
      </c>
      <c r="AB257" s="49">
        <f t="shared" si="2606"/>
        <v>1.1357290630583647</v>
      </c>
      <c r="AC257" s="49">
        <f t="shared" si="2606"/>
        <v>1.0946356304202993</v>
      </c>
      <c r="AD257" s="49">
        <f t="shared" si="2606"/>
        <v>1.0432359279696364</v>
      </c>
      <c r="AE257" s="49">
        <f t="shared" si="2606"/>
        <v>0.99600665788128351</v>
      </c>
      <c r="AL257" s="83">
        <f t="shared" ref="AL257:BQ257" si="2608">SUM(AI23:AL23)/(AL174+AL161+AL151)</f>
        <v>1.2235612704775007</v>
      </c>
      <c r="AM257" s="83">
        <f t="shared" si="2608"/>
        <v>1.1068824573717022</v>
      </c>
      <c r="AN257" s="83">
        <f t="shared" si="2608"/>
        <v>1.0872134986446822</v>
      </c>
      <c r="AO257" s="83">
        <f t="shared" si="2608"/>
        <v>1.0553080697107424</v>
      </c>
      <c r="AP257" s="83">
        <f t="shared" si="2608"/>
        <v>1.0751052588154317</v>
      </c>
      <c r="AQ257" s="83">
        <f t="shared" si="2608"/>
        <v>1.1331538937184009</v>
      </c>
      <c r="AR257" s="83">
        <f t="shared" si="2608"/>
        <v>1.1227259132740086</v>
      </c>
      <c r="AS257" s="83">
        <f t="shared" si="2608"/>
        <v>1.1414913556761594</v>
      </c>
      <c r="AT257" s="83">
        <f t="shared" si="2608"/>
        <v>1.1228944862265839</v>
      </c>
      <c r="AU257" s="83">
        <f t="shared" si="2608"/>
        <v>1.0784985563041387</v>
      </c>
      <c r="AV257" s="83">
        <f t="shared" si="2608"/>
        <v>1.0598299518007228</v>
      </c>
      <c r="AW257" s="83">
        <f t="shared" si="2608"/>
        <v>1.0417124768935229</v>
      </c>
      <c r="AX257" s="83">
        <f t="shared" si="2608"/>
        <v>1.029037016283527</v>
      </c>
      <c r="AY257" s="83">
        <f t="shared" si="2608"/>
        <v>1.0042550006333562</v>
      </c>
      <c r="AZ257" s="83">
        <f t="shared" si="2608"/>
        <v>0.99784589639221921</v>
      </c>
      <c r="BA257" s="83">
        <f t="shared" si="2608"/>
        <v>0.97028098566443766</v>
      </c>
      <c r="BB257" s="83">
        <f t="shared" si="2608"/>
        <v>0.97706948337909327</v>
      </c>
      <c r="BC257" s="83">
        <f t="shared" si="2608"/>
        <v>0.95733990859288765</v>
      </c>
      <c r="BD257" s="83">
        <f t="shared" si="2608"/>
        <v>1.0405951464559611</v>
      </c>
      <c r="BE257" s="83">
        <f t="shared" si="2608"/>
        <v>1.4095638571162046</v>
      </c>
      <c r="BF257" s="83">
        <f t="shared" si="2608"/>
        <v>1.608876547604384</v>
      </c>
      <c r="BG257" s="83">
        <f t="shared" si="2608"/>
        <v>1.8579498812791835</v>
      </c>
      <c r="BH257" s="83">
        <f t="shared" si="2608"/>
        <v>1.8415203909607469</v>
      </c>
      <c r="BI257" s="83">
        <f t="shared" si="2608"/>
        <v>1.2213270573619501</v>
      </c>
      <c r="BJ257" s="83">
        <f t="shared" si="2608"/>
        <v>1.2136267999624499</v>
      </c>
      <c r="BK257" s="83">
        <f t="shared" si="2608"/>
        <v>1.2933359568996097</v>
      </c>
      <c r="BL257" s="83">
        <f t="shared" si="2608"/>
        <v>1.2343031474318604</v>
      </c>
      <c r="BM257" s="83">
        <f t="shared" si="2608"/>
        <v>1.2040185215352883</v>
      </c>
      <c r="BN257" s="83">
        <f t="shared" si="2608"/>
        <v>1.1284990354608666</v>
      </c>
      <c r="BO257" s="83">
        <f t="shared" si="2608"/>
        <v>0.92936264508370614</v>
      </c>
      <c r="BP257" s="83">
        <f t="shared" si="2608"/>
        <v>0.77192318497778534</v>
      </c>
      <c r="BQ257" s="83">
        <f t="shared" si="2608"/>
        <v>0.91158331939971549</v>
      </c>
      <c r="BR257" s="83">
        <f t="shared" ref="BR257:CW257" si="2609">SUM(BO23:BR23)/(BR174+BR161+BR151)</f>
        <v>0.96689164243776116</v>
      </c>
      <c r="BS257" s="83">
        <f t="shared" si="2609"/>
        <v>1.1141575869567666</v>
      </c>
      <c r="BT257" s="83">
        <f t="shared" si="2609"/>
        <v>1.1062280675481653</v>
      </c>
      <c r="BU257" s="83">
        <f t="shared" si="2609"/>
        <v>1.1450119329776436</v>
      </c>
      <c r="BV257" s="83">
        <f t="shared" si="2609"/>
        <v>1.1415695469135119</v>
      </c>
      <c r="BW257" s="83">
        <f t="shared" si="2609"/>
        <v>1.2056311082909839</v>
      </c>
      <c r="BX257" s="83">
        <f t="shared" si="2609"/>
        <v>1.2062014195348771</v>
      </c>
      <c r="BY257" s="83">
        <f t="shared" si="2609"/>
        <v>1.2072950123675563</v>
      </c>
      <c r="BZ257" s="83">
        <f t="shared" si="2609"/>
        <v>1.1964865927005612</v>
      </c>
      <c r="CA257" s="83">
        <f t="shared" si="2609"/>
        <v>1.2204524437205837</v>
      </c>
      <c r="CB257" s="83">
        <f t="shared" si="2609"/>
        <v>1.1864344120260433</v>
      </c>
      <c r="CC257" s="83">
        <f t="shared" si="2609"/>
        <v>1.1617087953550298</v>
      </c>
      <c r="CD257" s="83">
        <f t="shared" si="2609"/>
        <v>1.1501288872097781</v>
      </c>
      <c r="CE257" s="83">
        <f t="shared" si="2609"/>
        <v>1.1667443676852565</v>
      </c>
      <c r="CF257" s="83">
        <f t="shared" si="2609"/>
        <v>1.1637959868099408</v>
      </c>
      <c r="CG257" s="83">
        <f t="shared" si="2609"/>
        <v>1.1599982527557844</v>
      </c>
      <c r="CH257" s="83">
        <f t="shared" si="2609"/>
        <v>1.1580858099613793</v>
      </c>
      <c r="CI257" s="83">
        <f t="shared" si="2609"/>
        <v>1.2054016055710322</v>
      </c>
      <c r="CJ257" s="83">
        <f t="shared" si="2609"/>
        <v>1.1933656242287383</v>
      </c>
      <c r="CK257" s="83">
        <f t="shared" si="2609"/>
        <v>1.1840675293240344</v>
      </c>
      <c r="CL257" s="83">
        <f t="shared" si="2609"/>
        <v>1.1994372391007353</v>
      </c>
      <c r="CM257" s="49">
        <f t="shared" si="2609"/>
        <v>1.1851278996633774</v>
      </c>
      <c r="CN257" s="49">
        <f t="shared" si="2609"/>
        <v>1.1673827805318742</v>
      </c>
      <c r="CO257" s="49">
        <f t="shared" si="2609"/>
        <v>1.132150134474974</v>
      </c>
      <c r="CP257" s="49">
        <f t="shared" si="2609"/>
        <v>1.1466986128768013</v>
      </c>
      <c r="CQ257" s="49">
        <f t="shared" si="2609"/>
        <v>1.1358071406902626</v>
      </c>
      <c r="CR257" s="49">
        <f t="shared" si="2609"/>
        <v>1.1202747301557268</v>
      </c>
      <c r="CS257" s="49">
        <f t="shared" si="2609"/>
        <v>1.0880139401583857</v>
      </c>
      <c r="CT257" s="49">
        <f t="shared" si="2609"/>
        <v>1.1033609191397047</v>
      </c>
      <c r="CU257" s="49">
        <f t="shared" si="2609"/>
        <v>1.0878704367150025</v>
      </c>
      <c r="CV257" s="49">
        <f t="shared" si="2609"/>
        <v>1.0658989845850542</v>
      </c>
      <c r="CW257" s="49">
        <f t="shared" si="2609"/>
        <v>1.0301451775137302</v>
      </c>
      <c r="CX257" s="49">
        <f t="shared" ref="CX257:DA257" si="2610">SUM(CU23:CX23)/(CX174+CX161+CX151)</f>
        <v>1.0426670819862436</v>
      </c>
      <c r="CY257" s="49">
        <f t="shared" si="2610"/>
        <v>1.0302276866784439</v>
      </c>
      <c r="CZ257" s="49">
        <f t="shared" si="2610"/>
        <v>1.0101666472519524</v>
      </c>
      <c r="DA257" s="49">
        <f t="shared" si="2610"/>
        <v>0.97924190423961777</v>
      </c>
      <c r="DD257" s="137"/>
      <c r="DE257" s="83">
        <v>1.1840675293240344</v>
      </c>
    </row>
    <row r="258" spans="1:109" s="83" customFormat="1" x14ac:dyDescent="0.2">
      <c r="A258" s="83" t="s">
        <v>513</v>
      </c>
      <c r="E258" s="180">
        <f>+E55</f>
        <v>8.6770821625266947E-2</v>
      </c>
      <c r="F258" s="180">
        <f t="shared" ref="F258:AE258" si="2611">+F55</f>
        <v>9.5568209952958783E-2</v>
      </c>
      <c r="G258" s="180">
        <f t="shared" si="2611"/>
        <v>0.11728546238244518</v>
      </c>
      <c r="H258" s="180">
        <f t="shared" si="2611"/>
        <v>0.13596782525274881</v>
      </c>
      <c r="I258" s="180">
        <f t="shared" si="2611"/>
        <v>0.12401372212692971</v>
      </c>
      <c r="J258" s="180">
        <f t="shared" si="2611"/>
        <v>0.12858505393533134</v>
      </c>
      <c r="K258" s="180">
        <f t="shared" si="2611"/>
        <v>8.2162243478042907E-2</v>
      </c>
      <c r="L258" s="180">
        <f t="shared" si="2611"/>
        <v>0.11681793708176287</v>
      </c>
      <c r="M258" s="180">
        <f t="shared" si="2611"/>
        <v>0.13447709296549609</v>
      </c>
      <c r="N258" s="180">
        <f t="shared" si="2611"/>
        <v>0.11003352573186331</v>
      </c>
      <c r="O258" s="180">
        <f t="shared" si="2611"/>
        <v>8.6871265384121807E-2</v>
      </c>
      <c r="P258" s="180">
        <f t="shared" si="2611"/>
        <v>9.3667861409796868E-2</v>
      </c>
      <c r="Q258" s="180">
        <f t="shared" si="2611"/>
        <v>0.11451900048131851</v>
      </c>
      <c r="R258" s="180">
        <f t="shared" si="2611"/>
        <v>0.10858867017012565</v>
      </c>
      <c r="S258" s="180">
        <f t="shared" si="2611"/>
        <v>9.9925250563163134E-2</v>
      </c>
      <c r="T258" s="180">
        <f t="shared" si="2611"/>
        <v>0.1015014764847606</v>
      </c>
      <c r="U258" s="180">
        <f t="shared" si="2611"/>
        <v>8.4386889050435163E-2</v>
      </c>
      <c r="V258" s="180">
        <f t="shared" si="2611"/>
        <v>7.7347787253046446E-2</v>
      </c>
      <c r="W258" s="180">
        <f t="shared" si="2611"/>
        <v>0.11314070112273877</v>
      </c>
      <c r="X258" s="180">
        <f t="shared" si="2611"/>
        <v>0.12584493157546797</v>
      </c>
      <c r="Y258" s="180">
        <f t="shared" si="2611"/>
        <v>0.12463539059235315</v>
      </c>
      <c r="Z258" s="180">
        <f t="shared" si="2611"/>
        <v>0.11404478413289962</v>
      </c>
      <c r="AA258" s="180">
        <f t="shared" ref="AA258" si="2612">+AA55</f>
        <v>0.11876603498918527</v>
      </c>
      <c r="AB258" s="181">
        <f t="shared" si="2611"/>
        <v>0.12457358610719683</v>
      </c>
      <c r="AC258" s="181">
        <f t="shared" si="2611"/>
        <v>0.13034936062105199</v>
      </c>
      <c r="AD258" s="181">
        <f t="shared" si="2611"/>
        <v>0.12998289179444864</v>
      </c>
      <c r="AE258" s="181">
        <f t="shared" si="2611"/>
        <v>0.13623646161716452</v>
      </c>
      <c r="AL258" s="180">
        <f t="shared" ref="AL258:CW258" si="2613">+AL55</f>
        <v>7.6516039806379693E-2</v>
      </c>
      <c r="AM258" s="180">
        <f t="shared" si="2613"/>
        <v>8.3981745953576839E-2</v>
      </c>
      <c r="AN258" s="180">
        <f t="shared" si="2613"/>
        <v>9.6642162802595799E-2</v>
      </c>
      <c r="AO258" s="180">
        <f t="shared" si="2613"/>
        <v>8.8637806271423078E-2</v>
      </c>
      <c r="AP258" s="180">
        <f t="shared" si="2613"/>
        <v>8.654854005490388E-2</v>
      </c>
      <c r="AQ258" s="180">
        <f t="shared" si="2613"/>
        <v>0.10406616126809114</v>
      </c>
      <c r="AR258" s="180">
        <f t="shared" si="2613"/>
        <v>9.1447657126139795E-2</v>
      </c>
      <c r="AS258" s="180">
        <f t="shared" si="2613"/>
        <v>9.294528521536681E-2</v>
      </c>
      <c r="AT258" s="180">
        <f t="shared" si="2613"/>
        <v>0.10121259534519836</v>
      </c>
      <c r="AU258" s="180">
        <f t="shared" si="2613"/>
        <v>0.11401925391095072</v>
      </c>
      <c r="AV258" s="180">
        <f t="shared" si="2613"/>
        <v>0.11544340763386646</v>
      </c>
      <c r="AW258" s="180">
        <f t="shared" si="2613"/>
        <v>0.12632596188421427</v>
      </c>
      <c r="AX258" s="180">
        <f t="shared" si="2613"/>
        <v>0.10041658593295875</v>
      </c>
      <c r="AY258" s="180">
        <f t="shared" si="2613"/>
        <v>0.10343288246060445</v>
      </c>
      <c r="AZ258" s="180">
        <f t="shared" si="2613"/>
        <v>0.11111346182325932</v>
      </c>
      <c r="BA258" s="180">
        <f t="shared" si="2613"/>
        <v>0.11829281469475963</v>
      </c>
      <c r="BB258" s="180">
        <f t="shared" si="2613"/>
        <v>0.12462058798022731</v>
      </c>
      <c r="BC258" s="180">
        <f t="shared" si="2613"/>
        <v>0.11754714515918312</v>
      </c>
      <c r="BD258" s="180">
        <f t="shared" si="2613"/>
        <v>9.549420341819044E-2</v>
      </c>
      <c r="BE258" s="180">
        <f t="shared" si="2613"/>
        <v>0.10575238989833757</v>
      </c>
      <c r="BF258" s="180">
        <f t="shared" si="2613"/>
        <v>0.10522672524389233</v>
      </c>
      <c r="BG258" s="180">
        <f t="shared" si="2613"/>
        <v>0.1018213876720048</v>
      </c>
      <c r="BH258" s="180">
        <f t="shared" si="2613"/>
        <v>0.10893922735398545</v>
      </c>
      <c r="BI258" s="180">
        <f t="shared" si="2613"/>
        <v>9.0323613956115226E-2</v>
      </c>
      <c r="BJ258" s="180">
        <f t="shared" si="2613"/>
        <v>9.0864888380861347E-2</v>
      </c>
      <c r="BK258" s="180">
        <f t="shared" si="2613"/>
        <v>7.3860481776663392E-2</v>
      </c>
      <c r="BL258" s="180">
        <f t="shared" si="2613"/>
        <v>9.1221731696243272E-2</v>
      </c>
      <c r="BM258" s="180">
        <f t="shared" si="2613"/>
        <v>8.1574961166266335E-2</v>
      </c>
      <c r="BN258" s="180">
        <f t="shared" si="2613"/>
        <v>8.4379779007904818E-2</v>
      </c>
      <c r="BO258" s="180">
        <f t="shared" si="2613"/>
        <v>-9.6769048487058057E-2</v>
      </c>
      <c r="BP258" s="180">
        <f t="shared" si="2613"/>
        <v>0.10125373667068234</v>
      </c>
      <c r="BQ258" s="180">
        <f t="shared" si="2613"/>
        <v>0.11118176750904794</v>
      </c>
      <c r="BR258" s="180">
        <f t="shared" si="2613"/>
        <v>0.10596740632736432</v>
      </c>
      <c r="BS258" s="180">
        <f t="shared" si="2613"/>
        <v>0.10392654656944261</v>
      </c>
      <c r="BT258" s="180">
        <f t="shared" si="2613"/>
        <v>0.11482407668831246</v>
      </c>
      <c r="BU258" s="180">
        <f t="shared" si="2613"/>
        <v>0.12515591969643258</v>
      </c>
      <c r="BV258" s="180">
        <f t="shared" si="2613"/>
        <v>0.13213312833729932</v>
      </c>
      <c r="BW258" s="180">
        <f t="shared" si="2613"/>
        <v>0.12052057661407908</v>
      </c>
      <c r="BX258" s="180">
        <f t="shared" si="2613"/>
        <v>0.12261234435758894</v>
      </c>
      <c r="BY258" s="180">
        <f t="shared" si="2613"/>
        <v>0.12870476137408413</v>
      </c>
      <c r="BZ258" s="180">
        <f t="shared" si="2613"/>
        <v>0.12952728475100658</v>
      </c>
      <c r="CA258" s="180">
        <f t="shared" si="2613"/>
        <v>0.12972216451447133</v>
      </c>
      <c r="CB258" s="180">
        <f t="shared" si="2613"/>
        <v>0.12557186016400523</v>
      </c>
      <c r="CC258" s="180">
        <f t="shared" si="2613"/>
        <v>0.11432610493185036</v>
      </c>
      <c r="CD258" s="180">
        <f t="shared" si="2613"/>
        <v>0.11730098818555058</v>
      </c>
      <c r="CE258" s="180">
        <f t="shared" si="2613"/>
        <v>0.1165014903837026</v>
      </c>
      <c r="CF258" s="180">
        <f t="shared" si="2613"/>
        <v>0.11170647577196582</v>
      </c>
      <c r="CG258" s="180">
        <f t="shared" si="2613"/>
        <v>0.11108302201249028</v>
      </c>
      <c r="CH258" s="180">
        <f t="shared" si="2613"/>
        <v>0.11571874669450544</v>
      </c>
      <c r="CI258" s="180">
        <f t="shared" si="2613"/>
        <v>0.12203996446469638</v>
      </c>
      <c r="CJ258" s="180">
        <f t="shared" si="2613"/>
        <v>0.11880968517035316</v>
      </c>
      <c r="CK258" s="180">
        <f t="shared" si="2613"/>
        <v>0.11833198737243959</v>
      </c>
      <c r="CL258" s="180">
        <f t="shared" ref="CL258" si="2614">+CL55</f>
        <v>0.12224052845717104</v>
      </c>
      <c r="CM258" s="181">
        <f t="shared" si="2613"/>
        <v>0.12292220702939963</v>
      </c>
      <c r="CN258" s="181">
        <f t="shared" si="2613"/>
        <v>0.12528140576353639</v>
      </c>
      <c r="CO258" s="181">
        <f t="shared" si="2613"/>
        <v>0.12723006394208686</v>
      </c>
      <c r="CP258" s="181">
        <f t="shared" si="2613"/>
        <v>0.12738281407159044</v>
      </c>
      <c r="CQ258" s="181">
        <f t="shared" si="2613"/>
        <v>0.12970369497478221</v>
      </c>
      <c r="CR258" s="181">
        <f t="shared" si="2613"/>
        <v>0.13128887802289019</v>
      </c>
      <c r="CS258" s="181">
        <f t="shared" si="2613"/>
        <v>0.13246267224504776</v>
      </c>
      <c r="CT258" s="181">
        <f t="shared" si="2613"/>
        <v>0.12775559185993401</v>
      </c>
      <c r="CU258" s="181">
        <f t="shared" si="2613"/>
        <v>0.13001877558606295</v>
      </c>
      <c r="CV258" s="181">
        <f t="shared" si="2613"/>
        <v>0.13085678285177293</v>
      </c>
      <c r="CW258" s="181">
        <f t="shared" si="2613"/>
        <v>0.13099157984432219</v>
      </c>
      <c r="CX258" s="181">
        <f t="shared" ref="CX258:DA258" si="2615">+CX55</f>
        <v>0.13350987247747173</v>
      </c>
      <c r="CY258" s="181">
        <f t="shared" si="2615"/>
        <v>0.13607531951243368</v>
      </c>
      <c r="CZ258" s="181">
        <f t="shared" si="2615"/>
        <v>0.13726015102770364</v>
      </c>
      <c r="DA258" s="181">
        <f t="shared" si="2615"/>
        <v>0.13768456976178214</v>
      </c>
      <c r="DD258" s="137"/>
      <c r="DE258" s="83">
        <v>0.11876603498918513</v>
      </c>
    </row>
    <row r="259" spans="1:109" s="83" customFormat="1" x14ac:dyDescent="0.2">
      <c r="A259" s="83" t="s">
        <v>514</v>
      </c>
      <c r="E259" s="83">
        <f>(E174+E161+E151+E153)/E133</f>
        <v>1.8465444530510373</v>
      </c>
      <c r="F259" s="83">
        <f t="shared" ref="F259:AE259" si="2616">(F174+F161+F151+F153)/F133</f>
        <v>1.5591397849462365</v>
      </c>
      <c r="G259" s="83">
        <f t="shared" si="2616"/>
        <v>1.5537258357658206</v>
      </c>
      <c r="H259" s="83">
        <f t="shared" si="2616"/>
        <v>1.4433226991883052</v>
      </c>
      <c r="I259" s="83">
        <f t="shared" si="2616"/>
        <v>1.3939955988682804</v>
      </c>
      <c r="J259" s="83">
        <f t="shared" si="2616"/>
        <v>1.3560405915903313</v>
      </c>
      <c r="K259" s="83">
        <f t="shared" si="2616"/>
        <v>1.3204400745008014</v>
      </c>
      <c r="L259" s="83">
        <f t="shared" si="2616"/>
        <v>1.3559097408712029</v>
      </c>
      <c r="M259" s="83">
        <f t="shared" si="2616"/>
        <v>1.3654046353624458</v>
      </c>
      <c r="N259" s="83">
        <f t="shared" si="2616"/>
        <v>1.3003524729960205</v>
      </c>
      <c r="O259" s="83">
        <f t="shared" si="2616"/>
        <v>1.3473498054671316</v>
      </c>
      <c r="P259" s="83">
        <f t="shared" si="2616"/>
        <v>1.2949913768973087</v>
      </c>
      <c r="Q259" s="83">
        <f t="shared" si="2616"/>
        <v>1.2839967732927928</v>
      </c>
      <c r="R259" s="83">
        <f t="shared" si="2616"/>
        <v>1.2550096260744596</v>
      </c>
      <c r="S259" s="83">
        <f t="shared" si="2616"/>
        <v>1.3606418483029123</v>
      </c>
      <c r="T259" s="83">
        <f t="shared" si="2616"/>
        <v>1.3801605250321491</v>
      </c>
      <c r="U259" s="83">
        <f t="shared" si="2616"/>
        <v>1.222665217273881</v>
      </c>
      <c r="V259" s="83">
        <f t="shared" si="2616"/>
        <v>1.3414398033302655</v>
      </c>
      <c r="W259" s="83">
        <f t="shared" si="2616"/>
        <v>1.3711145232054347</v>
      </c>
      <c r="X259" s="83">
        <f t="shared" si="2616"/>
        <v>1.379003243192795</v>
      </c>
      <c r="Y259" s="83">
        <f t="shared" si="2616"/>
        <v>1.3465283486114434</v>
      </c>
      <c r="Z259" s="83">
        <f t="shared" si="2616"/>
        <v>1.33039331287504</v>
      </c>
      <c r="AA259" s="83">
        <f t="shared" ref="AA259" si="2617">(AA174+AA161+AA151+AA153)/AA133</f>
        <v>1.4019818252766221</v>
      </c>
      <c r="AB259" s="49">
        <f t="shared" si="2616"/>
        <v>1.3320100448762793</v>
      </c>
      <c r="AC259" s="49">
        <f t="shared" si="2616"/>
        <v>1.3121160508351708</v>
      </c>
      <c r="AD259" s="49">
        <f t="shared" si="2616"/>
        <v>1.2813934023073321</v>
      </c>
      <c r="AE259" s="49">
        <f t="shared" si="2616"/>
        <v>1.2579507244492318</v>
      </c>
      <c r="AL259" s="83">
        <f t="shared" ref="AL259:CW259" si="2618">(AL174+AL161+AL151+AL153)/AL133</f>
        <v>1.2836553449510573</v>
      </c>
      <c r="AM259" s="83">
        <f t="shared" si="2618"/>
        <v>1.3062637031941875</v>
      </c>
      <c r="AN259" s="83">
        <f t="shared" si="2618"/>
        <v>1.2948889095857521</v>
      </c>
      <c r="AO259" s="83">
        <f t="shared" si="2618"/>
        <v>1.3473498054671316</v>
      </c>
      <c r="AP259" s="83">
        <f t="shared" si="2618"/>
        <v>1.3396720974961032</v>
      </c>
      <c r="AQ259" s="83">
        <f t="shared" si="2618"/>
        <v>1.2948721560231746</v>
      </c>
      <c r="AR259" s="83">
        <f t="shared" si="2618"/>
        <v>1.2937518390155442</v>
      </c>
      <c r="AS259" s="83">
        <f t="shared" si="2618"/>
        <v>1.2949913768973087</v>
      </c>
      <c r="AT259" s="83">
        <f t="shared" si="2618"/>
        <v>1.2754028634674168</v>
      </c>
      <c r="AU259" s="83">
        <f t="shared" si="2618"/>
        <v>1.3036800423697257</v>
      </c>
      <c r="AV259" s="83">
        <f t="shared" si="2618"/>
        <v>1.2941712377119081</v>
      </c>
      <c r="AW259" s="83">
        <f t="shared" si="2618"/>
        <v>1.283996773292793</v>
      </c>
      <c r="AX259" s="83">
        <f t="shared" si="2618"/>
        <v>1.2621193848141341</v>
      </c>
      <c r="AY259" s="83">
        <f t="shared" si="2618"/>
        <v>1.2616537967005426</v>
      </c>
      <c r="AZ259" s="83">
        <f t="shared" si="2618"/>
        <v>1.2471883958358518</v>
      </c>
      <c r="BA259" s="83">
        <f t="shared" si="2618"/>
        <v>1.2550096260744599</v>
      </c>
      <c r="BB259" s="83">
        <f t="shared" si="2618"/>
        <v>1.231843210012483</v>
      </c>
      <c r="BC259" s="83">
        <f t="shared" si="2618"/>
        <v>1.2371124810149201</v>
      </c>
      <c r="BD259" s="83">
        <f t="shared" si="2618"/>
        <v>1.3799217250960247</v>
      </c>
      <c r="BE259" s="83">
        <f t="shared" si="2618"/>
        <v>1.2330238539036877</v>
      </c>
      <c r="BF259" s="83">
        <f t="shared" si="2618"/>
        <v>1.2283103438520995</v>
      </c>
      <c r="BG259" s="83">
        <f t="shared" si="2618"/>
        <v>1.2681236882608089</v>
      </c>
      <c r="BH259" s="83">
        <f t="shared" si="2618"/>
        <v>1.2718723421570572</v>
      </c>
      <c r="BI259" s="83">
        <f t="shared" si="2618"/>
        <v>1.3801605250321491</v>
      </c>
      <c r="BJ259" s="83">
        <f t="shared" si="2618"/>
        <v>1.362501432725159</v>
      </c>
      <c r="BK259" s="83">
        <f t="shared" si="2618"/>
        <v>1.296688132474701</v>
      </c>
      <c r="BL259" s="83">
        <f t="shared" si="2618"/>
        <v>1.2700930280441218</v>
      </c>
      <c r="BM259" s="83">
        <f t="shared" si="2618"/>
        <v>1.222665217273881</v>
      </c>
      <c r="BN259" s="83">
        <f t="shared" si="2618"/>
        <v>1.1998323849794219</v>
      </c>
      <c r="BO259" s="83">
        <f t="shared" si="2618"/>
        <v>1.2816698473612933</v>
      </c>
      <c r="BP259" s="83">
        <f t="shared" si="2618"/>
        <v>1.5216286429718049</v>
      </c>
      <c r="BQ259" s="83">
        <f t="shared" si="2618"/>
        <v>1.3141174859646718</v>
      </c>
      <c r="BR259" s="83">
        <f t="shared" si="2618"/>
        <v>1.3086741204790806</v>
      </c>
      <c r="BS259" s="83">
        <f t="shared" si="2618"/>
        <v>1.3462337733256073</v>
      </c>
      <c r="BT259" s="83">
        <f t="shared" si="2618"/>
        <v>1.384754138211802</v>
      </c>
      <c r="BU259" s="83">
        <f t="shared" si="2618"/>
        <v>1.3291539739494809</v>
      </c>
      <c r="BV259" s="83">
        <f t="shared" si="2618"/>
        <v>1.3185216583789372</v>
      </c>
      <c r="BW259" s="83">
        <f t="shared" si="2618"/>
        <v>1.3664754604182234</v>
      </c>
      <c r="BX259" s="83">
        <f t="shared" si="2618"/>
        <v>1.3482610407104894</v>
      </c>
      <c r="BY259" s="83">
        <f t="shared" si="2618"/>
        <v>1.3272054877621968</v>
      </c>
      <c r="BZ259" s="83">
        <f t="shared" si="2618"/>
        <v>1.2973817438754287</v>
      </c>
      <c r="CA259" s="83">
        <f t="shared" si="2618"/>
        <v>1.3273151551375499</v>
      </c>
      <c r="CB259" s="83">
        <f t="shared" si="2618"/>
        <v>1.3140840305472501</v>
      </c>
      <c r="CC259" s="83">
        <f t="shared" si="2618"/>
        <v>1.2988835360587678</v>
      </c>
      <c r="CD259" s="83">
        <f t="shared" si="2618"/>
        <v>1.2856558645906191</v>
      </c>
      <c r="CE259" s="83">
        <f t="shared" si="2618"/>
        <v>1.3576482434779031</v>
      </c>
      <c r="CF259" s="83">
        <f t="shared" si="2618"/>
        <v>1.3422726794020305</v>
      </c>
      <c r="CG259" s="83">
        <f t="shared" si="2618"/>
        <v>1.33039331287504</v>
      </c>
      <c r="CH259" s="83">
        <f t="shared" si="2618"/>
        <v>1.3191366197246506</v>
      </c>
      <c r="CI259" s="83">
        <f t="shared" si="2618"/>
        <v>1.3401222108348498</v>
      </c>
      <c r="CJ259" s="83">
        <f t="shared" si="2618"/>
        <v>1.3318308704071629</v>
      </c>
      <c r="CK259" s="83">
        <f t="shared" si="2618"/>
        <v>1.3525469745170271</v>
      </c>
      <c r="CL259" s="83">
        <f t="shared" ref="CL259" si="2619">(CL174+CL161+CL151+CL153)/CL133</f>
        <v>1.3227752204203957</v>
      </c>
      <c r="CM259" s="49">
        <f t="shared" si="2618"/>
        <v>1.3142684505136202</v>
      </c>
      <c r="CN259" s="49">
        <f t="shared" si="2618"/>
        <v>1.3142967615924199</v>
      </c>
      <c r="CO259" s="49">
        <f t="shared" si="2618"/>
        <v>1.3362207662972345</v>
      </c>
      <c r="CP259" s="49">
        <f t="shared" si="2618"/>
        <v>1.3028735489374044</v>
      </c>
      <c r="CQ259" s="49">
        <f t="shared" si="2618"/>
        <v>1.2977387116919814</v>
      </c>
      <c r="CR259" s="49">
        <f t="shared" si="2618"/>
        <v>1.2995508528246733</v>
      </c>
      <c r="CS259" s="49">
        <f t="shared" si="2618"/>
        <v>1.3201016342506287</v>
      </c>
      <c r="CT259" s="49">
        <f t="shared" si="2618"/>
        <v>1.2798058001248673</v>
      </c>
      <c r="CU259" s="49">
        <f t="shared" si="2618"/>
        <v>1.2745324848285917</v>
      </c>
      <c r="CV259" s="49">
        <f t="shared" si="2618"/>
        <v>1.2782356350001274</v>
      </c>
      <c r="CW259" s="49">
        <f t="shared" si="2618"/>
        <v>1.2976769336304947</v>
      </c>
      <c r="CX259" s="49">
        <f t="shared" ref="CX259:DA259" si="2620">(CX174+CX161+CX151+CX153)/CX133</f>
        <v>1.2622619240665314</v>
      </c>
      <c r="CY259" s="49">
        <f t="shared" si="2620"/>
        <v>1.2564186716608601</v>
      </c>
      <c r="CZ259" s="49">
        <f t="shared" si="2620"/>
        <v>1.2612323710838609</v>
      </c>
      <c r="DA259" s="49">
        <f t="shared" si="2620"/>
        <v>1.2794870107309368</v>
      </c>
      <c r="DD259" s="137"/>
      <c r="DE259" s="83">
        <v>1.3525469745170271</v>
      </c>
    </row>
    <row r="260" spans="1:109" s="83" customFormat="1" x14ac:dyDescent="0.2">
      <c r="A260" s="153" t="s">
        <v>498</v>
      </c>
      <c r="AB260" s="49"/>
      <c r="AC260" s="49"/>
      <c r="AD260" s="49"/>
      <c r="AE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D260" s="137"/>
    </row>
    <row r="261" spans="1:109" s="87" customFormat="1" x14ac:dyDescent="0.2">
      <c r="A261" s="87" t="s">
        <v>102</v>
      </c>
      <c r="B261" s="87" t="e">
        <f t="shared" ref="B261:AE261" si="2621">B174/B133</f>
        <v>#DIV/0!</v>
      </c>
      <c r="C261" s="87" t="e">
        <f t="shared" si="2621"/>
        <v>#DIV/0!</v>
      </c>
      <c r="D261" s="87">
        <f t="shared" si="2621"/>
        <v>2.9595624145340886E-2</v>
      </c>
      <c r="F261" s="87">
        <f t="shared" si="2621"/>
        <v>2.4852239549953713E-2</v>
      </c>
      <c r="G261" s="87">
        <f t="shared" si="2621"/>
        <v>4.8961832901911112E-2</v>
      </c>
      <c r="H261" s="87">
        <f t="shared" si="2621"/>
        <v>5.3305334571740096E-2</v>
      </c>
      <c r="I261" s="87">
        <f t="shared" si="2621"/>
        <v>0.20386670858220682</v>
      </c>
      <c r="J261" s="87">
        <f t="shared" si="2621"/>
        <v>0.15690970593318684</v>
      </c>
      <c r="K261" s="87">
        <f t="shared" si="2621"/>
        <v>0.37482132802009788</v>
      </c>
      <c r="L261" s="87">
        <f t="shared" si="2621"/>
        <v>0.50223206500889339</v>
      </c>
      <c r="M261" s="87">
        <f t="shared" si="2621"/>
        <v>0.31973590488192427</v>
      </c>
      <c r="N261" s="87">
        <f t="shared" si="2621"/>
        <v>0.22151222285389424</v>
      </c>
      <c r="O261" s="87">
        <f t="shared" si="2621"/>
        <v>0.24016977413976051</v>
      </c>
      <c r="P261" s="87">
        <f t="shared" si="2621"/>
        <v>0.29747446929543386</v>
      </c>
      <c r="Q261" s="87">
        <f t="shared" si="2621"/>
        <v>0.36487387918463599</v>
      </c>
      <c r="R261" s="87">
        <f t="shared" si="2621"/>
        <v>0.4342240841671412</v>
      </c>
      <c r="S261" s="87">
        <f t="shared" si="2621"/>
        <v>0.38439075160419062</v>
      </c>
      <c r="T261" s="87">
        <f t="shared" si="2621"/>
        <v>0.31321596972787602</v>
      </c>
      <c r="U261" s="87">
        <f t="shared" si="2621"/>
        <v>0.28201042482512756</v>
      </c>
      <c r="V261" s="87">
        <f t="shared" si="2621"/>
        <v>0.39674679727031575</v>
      </c>
      <c r="W261" s="87">
        <f t="shared" si="2621"/>
        <v>0.38746520621731029</v>
      </c>
      <c r="X261" s="87">
        <f t="shared" si="2621"/>
        <v>0.36270794932219597</v>
      </c>
      <c r="Y261" s="87">
        <f t="shared" si="2621"/>
        <v>0.32997804530367192</v>
      </c>
      <c r="Z261" s="87">
        <f t="shared" si="2621"/>
        <v>0.25307858571581215</v>
      </c>
      <c r="AA261" s="87">
        <f t="shared" ref="AA261" si="2622">AA174/AA133</f>
        <v>0.30516736221800411</v>
      </c>
      <c r="AB261" s="41">
        <f t="shared" si="2621"/>
        <v>0.37417877127724153</v>
      </c>
      <c r="AC261" s="41">
        <f t="shared" si="2621"/>
        <v>0.45078876722203143</v>
      </c>
      <c r="AD261" s="41">
        <f t="shared" si="2621"/>
        <v>0.51746994461677165</v>
      </c>
      <c r="AE261" s="41">
        <f t="shared" si="2621"/>
        <v>0.57158257568793758</v>
      </c>
      <c r="AL261" s="87">
        <f t="shared" ref="AL261:CW261" si="2623">AL174/AL133</f>
        <v>0.25348980551908301</v>
      </c>
      <c r="AM261" s="87">
        <f t="shared" si="2623"/>
        <v>0.24478741240703319</v>
      </c>
      <c r="AN261" s="87">
        <f t="shared" si="2623"/>
        <v>0.17833663324771457</v>
      </c>
      <c r="AO261" s="87">
        <f t="shared" si="2623"/>
        <v>0.24016977413976051</v>
      </c>
      <c r="AP261" s="87">
        <f t="shared" si="2623"/>
        <v>0.26214944062283396</v>
      </c>
      <c r="AQ261" s="87">
        <f t="shared" si="2623"/>
        <v>0.25235452641858463</v>
      </c>
      <c r="AR261" s="87">
        <f t="shared" si="2623"/>
        <v>0.26628730475924867</v>
      </c>
      <c r="AS261" s="87">
        <f t="shared" si="2623"/>
        <v>0.29747446929543386</v>
      </c>
      <c r="AT261" s="87">
        <f t="shared" si="2623"/>
        <v>0.33377262586529954</v>
      </c>
      <c r="AU261" s="87">
        <f t="shared" si="2623"/>
        <v>0.33779098153772319</v>
      </c>
      <c r="AV261" s="87">
        <f t="shared" si="2623"/>
        <v>0.36113277850009895</v>
      </c>
      <c r="AW261" s="87">
        <f t="shared" si="2623"/>
        <v>0.36487387918463599</v>
      </c>
      <c r="AX261" s="87">
        <f t="shared" si="2623"/>
        <v>0.401794238064622</v>
      </c>
      <c r="AY261" s="87">
        <f t="shared" si="2623"/>
        <v>0.38439913118648256</v>
      </c>
      <c r="AZ261" s="87">
        <f t="shared" si="2623"/>
        <v>0.41329369405358196</v>
      </c>
      <c r="BA261" s="87">
        <f t="shared" si="2623"/>
        <v>0.4342240841671412</v>
      </c>
      <c r="BB261" s="87">
        <f t="shared" si="2623"/>
        <v>0.47197025336219361</v>
      </c>
      <c r="BC261" s="87">
        <f t="shared" si="2623"/>
        <v>0.46010261515487999</v>
      </c>
      <c r="BD261" s="87">
        <f t="shared" si="2623"/>
        <v>0.28309844804804996</v>
      </c>
      <c r="BE261" s="87">
        <f t="shared" si="2623"/>
        <v>0.48996059740933867</v>
      </c>
      <c r="BF261" s="87">
        <f t="shared" si="2623"/>
        <v>0.51096705394739783</v>
      </c>
      <c r="BG261" s="87">
        <f t="shared" si="2623"/>
        <v>0.49447880229466906</v>
      </c>
      <c r="BH261" s="87">
        <f t="shared" si="2623"/>
        <v>0.50234245393480925</v>
      </c>
      <c r="BI261" s="87">
        <f t="shared" si="2623"/>
        <v>0.31321596972787602</v>
      </c>
      <c r="BJ261" s="87">
        <f t="shared" si="2623"/>
        <v>0.34281185838752853</v>
      </c>
      <c r="BK261" s="87">
        <f t="shared" si="2623"/>
        <v>0.21427955381784725</v>
      </c>
      <c r="BL261" s="87">
        <f t="shared" si="2623"/>
        <v>0.26748183622459021</v>
      </c>
      <c r="BM261" s="87">
        <f t="shared" si="2623"/>
        <v>0.28201042482512756</v>
      </c>
      <c r="BN261" s="87">
        <f t="shared" si="2623"/>
        <v>0.3297354736025741</v>
      </c>
      <c r="BO261" s="87">
        <f t="shared" si="2623"/>
        <v>0.30253774405048472</v>
      </c>
      <c r="BP261" s="87">
        <f t="shared" si="2623"/>
        <v>-0.12680798405648558</v>
      </c>
      <c r="BQ261" s="87">
        <f t="shared" si="2623"/>
        <v>0.39674679727031575</v>
      </c>
      <c r="BR261" s="87">
        <f t="shared" si="2623"/>
        <v>0.4158513064626877</v>
      </c>
      <c r="BS261" s="87">
        <f t="shared" si="2623"/>
        <v>0.37524231934883973</v>
      </c>
      <c r="BT261" s="87">
        <f t="shared" si="2623"/>
        <v>0.35459434503176884</v>
      </c>
      <c r="BU261" s="87">
        <f t="shared" si="2623"/>
        <v>0.38746520621731029</v>
      </c>
      <c r="BV261" s="87">
        <f t="shared" si="2623"/>
        <v>0.41279562433032252</v>
      </c>
      <c r="BW261" s="87">
        <f t="shared" si="2623"/>
        <v>0.34880862797582624</v>
      </c>
      <c r="BX261" s="87">
        <f t="shared" si="2623"/>
        <v>0.38209581976954166</v>
      </c>
      <c r="BY261" s="87">
        <f t="shared" si="2623"/>
        <v>0.36270794932219597</v>
      </c>
      <c r="BZ261" s="87">
        <f t="shared" si="2623"/>
        <v>0.4082841450938397</v>
      </c>
      <c r="CA261" s="87">
        <f t="shared" si="2623"/>
        <v>0.3194260288496989</v>
      </c>
      <c r="CB261" s="87">
        <f t="shared" si="2623"/>
        <v>0.34998854601699952</v>
      </c>
      <c r="CC261" s="87">
        <f t="shared" si="2623"/>
        <v>0.32997804530367192</v>
      </c>
      <c r="CD261" s="87">
        <f t="shared" si="2623"/>
        <v>0.35947298950485379</v>
      </c>
      <c r="CE261" s="87">
        <f t="shared" si="2623"/>
        <v>0.22932708609475663</v>
      </c>
      <c r="CF261" s="87">
        <f t="shared" si="2623"/>
        <v>0.26357815119272837</v>
      </c>
      <c r="CG261" s="87">
        <f t="shared" si="2623"/>
        <v>0.25307858571581215</v>
      </c>
      <c r="CH261" s="87">
        <f t="shared" si="2623"/>
        <v>0.28147000717008058</v>
      </c>
      <c r="CI261" s="87">
        <f t="shared" si="2623"/>
        <v>0.25810552966308303</v>
      </c>
      <c r="CJ261" s="87">
        <f t="shared" si="2623"/>
        <v>0.28559789552650744</v>
      </c>
      <c r="CK261" s="87">
        <f t="shared" si="2623"/>
        <v>0.30516736221800411</v>
      </c>
      <c r="CL261" s="87">
        <f t="shared" ref="CL261" si="2624">CL174/CL133</f>
        <v>0.33074413650695433</v>
      </c>
      <c r="CM261" s="41">
        <f t="shared" si="2623"/>
        <v>0.35525737146704317</v>
      </c>
      <c r="CN261" s="41">
        <f t="shared" si="2623"/>
        <v>0.37391765396673216</v>
      </c>
      <c r="CO261" s="41">
        <f t="shared" si="2623"/>
        <v>0.37417877127724153</v>
      </c>
      <c r="CP261" s="41">
        <f t="shared" si="2623"/>
        <v>0.4194872801797605</v>
      </c>
      <c r="CQ261" s="41">
        <f t="shared" si="2623"/>
        <v>0.43956369550240371</v>
      </c>
      <c r="CR261" s="41">
        <f t="shared" si="2623"/>
        <v>0.45311808901425349</v>
      </c>
      <c r="CS261" s="41">
        <f t="shared" si="2623"/>
        <v>0.45078876722203143</v>
      </c>
      <c r="CT261" s="41">
        <f t="shared" si="2623"/>
        <v>0.49803923205516765</v>
      </c>
      <c r="CU261" s="41">
        <f t="shared" si="2623"/>
        <v>0.51437601914051057</v>
      </c>
      <c r="CV261" s="41">
        <f t="shared" si="2623"/>
        <v>0.52262218407503336</v>
      </c>
      <c r="CW261" s="41">
        <f t="shared" si="2623"/>
        <v>0.51746994461677165</v>
      </c>
      <c r="CX261" s="41">
        <f t="shared" ref="CX261:DA261" si="2625">CX174/CX133</f>
        <v>0.55812396548643084</v>
      </c>
      <c r="CY261" s="41">
        <f t="shared" si="2625"/>
        <v>0.57268801579465889</v>
      </c>
      <c r="CZ261" s="41">
        <f t="shared" si="2625"/>
        <v>0.57784691337868876</v>
      </c>
      <c r="DA261" s="41">
        <f t="shared" si="2625"/>
        <v>0.57158257568793758</v>
      </c>
      <c r="DD261" s="124"/>
      <c r="DE261" s="87">
        <v>0.30516736221800411</v>
      </c>
    </row>
    <row r="262" spans="1:109" s="88" customFormat="1" x14ac:dyDescent="0.2">
      <c r="A262" s="88" t="s">
        <v>103</v>
      </c>
      <c r="C262" s="88" t="e">
        <f t="shared" ref="C262:AE262" si="2626">C141/B141-1</f>
        <v>#DIV/0!</v>
      </c>
      <c r="D262" s="88" t="e">
        <f t="shared" si="2626"/>
        <v>#DIV/0!</v>
      </c>
      <c r="F262" s="88">
        <f t="shared" si="2626"/>
        <v>-0.99839228295819937</v>
      </c>
      <c r="G262" s="88">
        <f t="shared" si="2626"/>
        <v>278.75</v>
      </c>
      <c r="H262" s="88">
        <f t="shared" si="2626"/>
        <v>-1</v>
      </c>
      <c r="I262" s="88" t="e">
        <f t="shared" si="2626"/>
        <v>#DIV/0!</v>
      </c>
      <c r="J262" s="88" t="e">
        <f t="shared" si="2626"/>
        <v>#DIV/0!</v>
      </c>
      <c r="K262" s="88" t="e">
        <f>K141/J141-1</f>
        <v>#DIV/0!</v>
      </c>
      <c r="L262" s="88" t="e">
        <f t="shared" si="2626"/>
        <v>#DIV/0!</v>
      </c>
      <c r="M262" s="88" t="e">
        <f t="shared" si="2626"/>
        <v>#DIV/0!</v>
      </c>
      <c r="N262" s="88" t="e">
        <f t="shared" si="2626"/>
        <v>#DIV/0!</v>
      </c>
      <c r="O262" s="88" t="e">
        <f t="shared" si="2626"/>
        <v>#DIV/0!</v>
      </c>
      <c r="P262" s="88" t="e">
        <f t="shared" si="2626"/>
        <v>#DIV/0!</v>
      </c>
      <c r="Q262" s="88" t="e">
        <f t="shared" si="2626"/>
        <v>#DIV/0!</v>
      </c>
      <c r="R262" s="88" t="e">
        <f t="shared" si="2626"/>
        <v>#DIV/0!</v>
      </c>
      <c r="S262" s="88" t="e">
        <f t="shared" si="2626"/>
        <v>#DIV/0!</v>
      </c>
      <c r="T262" s="88">
        <f t="shared" si="2626"/>
        <v>-0.16777169213029697</v>
      </c>
      <c r="U262" s="88">
        <f t="shared" si="2626"/>
        <v>-1</v>
      </c>
      <c r="V262" s="88" t="e">
        <f t="shared" si="2626"/>
        <v>#DIV/0!</v>
      </c>
      <c r="W262" s="88" t="e">
        <f t="shared" si="2626"/>
        <v>#DIV/0!</v>
      </c>
      <c r="X262" s="88" t="e">
        <f t="shared" si="2626"/>
        <v>#DIV/0!</v>
      </c>
      <c r="Y262" s="88" t="e">
        <f t="shared" si="2626"/>
        <v>#DIV/0!</v>
      </c>
      <c r="Z262" s="88" t="e">
        <f t="shared" si="2626"/>
        <v>#DIV/0!</v>
      </c>
      <c r="AA262" s="88" t="e">
        <f t="shared" si="2626"/>
        <v>#DIV/0!</v>
      </c>
      <c r="AB262" s="46" t="e">
        <f t="shared" si="2626"/>
        <v>#DIV/0!</v>
      </c>
      <c r="AC262" s="46" t="e">
        <f t="shared" si="2626"/>
        <v>#DIV/0!</v>
      </c>
      <c r="AD262" s="46" t="e">
        <f t="shared" si="2626"/>
        <v>#DIV/0!</v>
      </c>
      <c r="AE262" s="46" t="e">
        <f t="shared" si="2626"/>
        <v>#DIV/0!</v>
      </c>
      <c r="AL262" s="88" t="e">
        <f t="shared" ref="AL262:CW262" si="2627">AL141/AK141-1</f>
        <v>#DIV/0!</v>
      </c>
      <c r="AM262" s="88" t="e">
        <f t="shared" si="2627"/>
        <v>#DIV/0!</v>
      </c>
      <c r="AN262" s="88" t="e">
        <f t="shared" si="2627"/>
        <v>#DIV/0!</v>
      </c>
      <c r="AO262" s="88" t="e">
        <f t="shared" si="2627"/>
        <v>#DIV/0!</v>
      </c>
      <c r="AP262" s="88" t="e">
        <f t="shared" si="2627"/>
        <v>#DIV/0!</v>
      </c>
      <c r="AQ262" s="88" t="e">
        <f t="shared" si="2627"/>
        <v>#DIV/0!</v>
      </c>
      <c r="AR262" s="88" t="e">
        <f t="shared" si="2627"/>
        <v>#DIV/0!</v>
      </c>
      <c r="AS262" s="88" t="e">
        <f t="shared" si="2627"/>
        <v>#DIV/0!</v>
      </c>
      <c r="AT262" s="88" t="e">
        <f t="shared" si="2627"/>
        <v>#DIV/0!</v>
      </c>
      <c r="AU262" s="88" t="e">
        <f t="shared" si="2627"/>
        <v>#DIV/0!</v>
      </c>
      <c r="AV262" s="88" t="e">
        <f t="shared" si="2627"/>
        <v>#DIV/0!</v>
      </c>
      <c r="AW262" s="88" t="e">
        <f t="shared" si="2627"/>
        <v>#DIV/0!</v>
      </c>
      <c r="AX262" s="88" t="e">
        <f t="shared" si="2627"/>
        <v>#DIV/0!</v>
      </c>
      <c r="AY262" s="88" t="e">
        <f t="shared" si="2627"/>
        <v>#DIV/0!</v>
      </c>
      <c r="AZ262" s="88" t="e">
        <f t="shared" si="2627"/>
        <v>#DIV/0!</v>
      </c>
      <c r="BA262" s="88" t="e">
        <f t="shared" si="2627"/>
        <v>#DIV/0!</v>
      </c>
      <c r="BB262" s="88" t="e">
        <f t="shared" si="2627"/>
        <v>#DIV/0!</v>
      </c>
      <c r="BC262" s="88" t="e">
        <f t="shared" si="2627"/>
        <v>#DIV/0!</v>
      </c>
      <c r="BD262" s="88" t="e">
        <f t="shared" si="2627"/>
        <v>#DIV/0!</v>
      </c>
      <c r="BE262" s="88" t="e">
        <f t="shared" si="2627"/>
        <v>#DIV/0!</v>
      </c>
      <c r="BF262" s="88" t="e">
        <f t="shared" si="2627"/>
        <v>#DIV/0!</v>
      </c>
      <c r="BG262" s="88" t="e">
        <f t="shared" si="2627"/>
        <v>#DIV/0!</v>
      </c>
      <c r="BH262" s="88" t="e">
        <f t="shared" si="2627"/>
        <v>#DIV/0!</v>
      </c>
      <c r="BI262" s="88" t="e">
        <f t="shared" si="2627"/>
        <v>#DIV/0!</v>
      </c>
      <c r="BJ262" s="88">
        <f t="shared" si="2627"/>
        <v>0</v>
      </c>
      <c r="BK262" s="88">
        <f t="shared" si="2627"/>
        <v>-0.8268098372012469</v>
      </c>
      <c r="BL262" s="88">
        <f t="shared" si="2627"/>
        <v>0</v>
      </c>
      <c r="BM262" s="88">
        <f t="shared" si="2627"/>
        <v>-1</v>
      </c>
      <c r="BN262" s="88" t="e">
        <f t="shared" si="2627"/>
        <v>#DIV/0!</v>
      </c>
      <c r="BO262" s="88" t="e">
        <f t="shared" si="2627"/>
        <v>#DIV/0!</v>
      </c>
      <c r="BP262" s="88" t="e">
        <f t="shared" si="2627"/>
        <v>#DIV/0!</v>
      </c>
      <c r="BQ262" s="88" t="e">
        <f t="shared" si="2627"/>
        <v>#DIV/0!</v>
      </c>
      <c r="BR262" s="88" t="e">
        <f t="shared" si="2627"/>
        <v>#DIV/0!</v>
      </c>
      <c r="BS262" s="88" t="e">
        <f t="shared" si="2627"/>
        <v>#DIV/0!</v>
      </c>
      <c r="BT262" s="88" t="e">
        <f t="shared" si="2627"/>
        <v>#DIV/0!</v>
      </c>
      <c r="BU262" s="88" t="e">
        <f t="shared" si="2627"/>
        <v>#DIV/0!</v>
      </c>
      <c r="BV262" s="88" t="e">
        <f t="shared" si="2627"/>
        <v>#DIV/0!</v>
      </c>
      <c r="BW262" s="88" t="e">
        <f t="shared" si="2627"/>
        <v>#DIV/0!</v>
      </c>
      <c r="BX262" s="88" t="e">
        <f t="shared" si="2627"/>
        <v>#DIV/0!</v>
      </c>
      <c r="BY262" s="88" t="e">
        <f t="shared" si="2627"/>
        <v>#DIV/0!</v>
      </c>
      <c r="BZ262" s="88" t="e">
        <f t="shared" si="2627"/>
        <v>#DIV/0!</v>
      </c>
      <c r="CA262" s="88" t="e">
        <f t="shared" si="2627"/>
        <v>#DIV/0!</v>
      </c>
      <c r="CB262" s="88" t="e">
        <f t="shared" si="2627"/>
        <v>#DIV/0!</v>
      </c>
      <c r="CC262" s="88" t="e">
        <f t="shared" si="2627"/>
        <v>#DIV/0!</v>
      </c>
      <c r="CD262" s="88" t="e">
        <f t="shared" si="2627"/>
        <v>#DIV/0!</v>
      </c>
      <c r="CE262" s="88" t="e">
        <f t="shared" si="2627"/>
        <v>#DIV/0!</v>
      </c>
      <c r="CF262" s="88" t="e">
        <f t="shared" si="2627"/>
        <v>#DIV/0!</v>
      </c>
      <c r="CG262" s="88" t="e">
        <f t="shared" si="2627"/>
        <v>#DIV/0!</v>
      </c>
      <c r="CH262" s="88" t="e">
        <f t="shared" si="2627"/>
        <v>#DIV/0!</v>
      </c>
      <c r="CI262" s="88" t="e">
        <f t="shared" si="2627"/>
        <v>#DIV/0!</v>
      </c>
      <c r="CJ262" s="88" t="e">
        <f t="shared" si="2627"/>
        <v>#DIV/0!</v>
      </c>
      <c r="CK262" s="88" t="e">
        <f t="shared" si="2627"/>
        <v>#DIV/0!</v>
      </c>
      <c r="CL262" s="88" t="e">
        <f t="shared" si="2627"/>
        <v>#DIV/0!</v>
      </c>
      <c r="CM262" s="46" t="e">
        <f t="shared" si="2627"/>
        <v>#DIV/0!</v>
      </c>
      <c r="CN262" s="46" t="e">
        <f t="shared" si="2627"/>
        <v>#DIV/0!</v>
      </c>
      <c r="CO262" s="46" t="e">
        <f t="shared" si="2627"/>
        <v>#DIV/0!</v>
      </c>
      <c r="CP262" s="46" t="e">
        <f t="shared" si="2627"/>
        <v>#DIV/0!</v>
      </c>
      <c r="CQ262" s="46" t="e">
        <f t="shared" si="2627"/>
        <v>#DIV/0!</v>
      </c>
      <c r="CR262" s="46" t="e">
        <f t="shared" si="2627"/>
        <v>#DIV/0!</v>
      </c>
      <c r="CS262" s="46" t="e">
        <f t="shared" si="2627"/>
        <v>#DIV/0!</v>
      </c>
      <c r="CT262" s="46" t="e">
        <f t="shared" si="2627"/>
        <v>#DIV/0!</v>
      </c>
      <c r="CU262" s="46" t="e">
        <f t="shared" si="2627"/>
        <v>#DIV/0!</v>
      </c>
      <c r="CV262" s="46" t="e">
        <f t="shared" si="2627"/>
        <v>#DIV/0!</v>
      </c>
      <c r="CW262" s="46" t="e">
        <f t="shared" si="2627"/>
        <v>#DIV/0!</v>
      </c>
      <c r="CX262" s="46" t="e">
        <f t="shared" ref="CX262:DA262" si="2628">CX141/CW141-1</f>
        <v>#DIV/0!</v>
      </c>
      <c r="CY262" s="46" t="e">
        <f t="shared" si="2628"/>
        <v>#DIV/0!</v>
      </c>
      <c r="CZ262" s="46" t="e">
        <f t="shared" si="2628"/>
        <v>#DIV/0!</v>
      </c>
      <c r="DA262" s="46" t="e">
        <f t="shared" si="2628"/>
        <v>#DIV/0!</v>
      </c>
      <c r="DD262" s="129"/>
    </row>
    <row r="263" spans="1:109" s="88" customFormat="1" x14ac:dyDescent="0.2">
      <c r="A263" s="88" t="s">
        <v>104</v>
      </c>
      <c r="C263" s="88" t="e">
        <f>C41/B41-1</f>
        <v>#DIV/0!</v>
      </c>
      <c r="D263" s="88" t="e">
        <f>D41/C41-1</f>
        <v>#DIV/0!</v>
      </c>
      <c r="F263" s="88">
        <f t="shared" ref="F263:AE263" si="2629">F41/E41-1</f>
        <v>0.2482856467249952</v>
      </c>
      <c r="G263" s="88">
        <f t="shared" si="2629"/>
        <v>0.48853949611668801</v>
      </c>
      <c r="H263" s="88">
        <f t="shared" si="2629"/>
        <v>0.50343598880122098</v>
      </c>
      <c r="I263" s="88">
        <f t="shared" si="2629"/>
        <v>0.10826138479769831</v>
      </c>
      <c r="J263" s="88">
        <f t="shared" si="2629"/>
        <v>0.12082792331780312</v>
      </c>
      <c r="K263" s="88">
        <f t="shared" si="2629"/>
        <v>-0.38323679727427562</v>
      </c>
      <c r="L263" s="88">
        <f t="shared" si="2629"/>
        <v>0.96232460501601791</v>
      </c>
      <c r="M263" s="88">
        <f t="shared" si="2629"/>
        <v>0.43285851021901989</v>
      </c>
      <c r="N263" s="88">
        <f t="shared" si="2629"/>
        <v>-0.13191088058469835</v>
      </c>
      <c r="O263" s="88">
        <f t="shared" si="2629"/>
        <v>-0.16702878870179239</v>
      </c>
      <c r="P263" s="88">
        <f t="shared" si="2629"/>
        <v>0.31654168025214546</v>
      </c>
      <c r="Q263" s="88">
        <f t="shared" si="2629"/>
        <v>0.26222809262393243</v>
      </c>
      <c r="R263" s="88">
        <f t="shared" si="2629"/>
        <v>-2.7795945062131899E-2</v>
      </c>
      <c r="S263" s="88">
        <f t="shared" si="2629"/>
        <v>1.2836192398250899</v>
      </c>
      <c r="T263" s="88">
        <f t="shared" si="2629"/>
        <v>2.6630530843105182E-2</v>
      </c>
      <c r="U263" s="88">
        <f t="shared" si="2629"/>
        <v>-9.0014347202297285E-2</v>
      </c>
      <c r="V263" s="88">
        <f t="shared" si="2629"/>
        <v>-0.15362784977769206</v>
      </c>
      <c r="W263" s="88">
        <f t="shared" si="2629"/>
        <v>0.81209716478521621</v>
      </c>
      <c r="X263" s="88">
        <f t="shared" si="2629"/>
        <v>0.33212372914460753</v>
      </c>
      <c r="Y263" s="88">
        <f t="shared" si="2629"/>
        <v>2.0017748967858351E-2</v>
      </c>
      <c r="Z263" s="88">
        <f t="shared" si="2629"/>
        <v>9.387270292557881E-2</v>
      </c>
      <c r="AA263" s="88">
        <f t="shared" si="2629"/>
        <v>0.21945956413785495</v>
      </c>
      <c r="AB263" s="46">
        <f t="shared" si="2629"/>
        <v>0.17255410296110041</v>
      </c>
      <c r="AC263" s="46">
        <f t="shared" si="2629"/>
        <v>0.16640243680171496</v>
      </c>
      <c r="AD263" s="46">
        <f t="shared" si="2629"/>
        <v>0.10763664347971891</v>
      </c>
      <c r="AE263" s="46">
        <f t="shared" si="2629"/>
        <v>0.12879859987444608</v>
      </c>
      <c r="AL263" s="88">
        <f t="shared" ref="AL263:CW263" si="2630">AL41/AK41-1</f>
        <v>3.1461761858648796E-3</v>
      </c>
      <c r="AM263" s="88">
        <f t="shared" si="2630"/>
        <v>4.3425814234021587E-3</v>
      </c>
      <c r="AN263" s="88">
        <f t="shared" si="2630"/>
        <v>0.21691088157578764</v>
      </c>
      <c r="AO263" s="88">
        <f t="shared" si="2630"/>
        <v>-1.5988945913936403E-2</v>
      </c>
      <c r="AP263" s="88">
        <f t="shared" si="2630"/>
        <v>0.11755265797392189</v>
      </c>
      <c r="AQ263" s="88">
        <f t="shared" si="2630"/>
        <v>0.1419852809190465</v>
      </c>
      <c r="AR263" s="88">
        <f t="shared" si="2630"/>
        <v>-5.61144294247099E-2</v>
      </c>
      <c r="AS263" s="88">
        <f t="shared" si="2630"/>
        <v>3.8467943380516845E-2</v>
      </c>
      <c r="AT263" s="88">
        <f t="shared" si="2630"/>
        <v>1.5875561257214565E-2</v>
      </c>
      <c r="AU263" s="88">
        <f t="shared" si="2630"/>
        <v>0.1823204419889517</v>
      </c>
      <c r="AV263" s="88">
        <f t="shared" si="2630"/>
        <v>9.3457943925232545E-3</v>
      </c>
      <c r="AW263" s="88">
        <f t="shared" si="2630"/>
        <v>0.20939153439153402</v>
      </c>
      <c r="AX263" s="88">
        <f t="shared" si="2630"/>
        <v>-0.21459039702504623</v>
      </c>
      <c r="AY263" s="88">
        <f t="shared" si="2630"/>
        <v>-9.6086895975492359E-3</v>
      </c>
      <c r="AZ263" s="88">
        <f t="shared" si="2630"/>
        <v>0.12837457817772746</v>
      </c>
      <c r="BA263" s="88">
        <f t="shared" si="2630"/>
        <v>-8.0872274143301559E-2</v>
      </c>
      <c r="BB263" s="88">
        <f t="shared" si="2630"/>
        <v>0.19956616052060761</v>
      </c>
      <c r="BC263" s="88">
        <f t="shared" si="2630"/>
        <v>-2.6446654611211318E-2</v>
      </c>
      <c r="BD263" s="88">
        <f t="shared" si="2630"/>
        <v>0.94706292082655885</v>
      </c>
      <c r="BE263" s="88">
        <f t="shared" si="2630"/>
        <v>0.10046506081564566</v>
      </c>
      <c r="BF263" s="88">
        <f t="shared" si="2630"/>
        <v>-3.9551389716636631E-3</v>
      </c>
      <c r="BG263" s="88">
        <f t="shared" si="2630"/>
        <v>-2.012619669277671E-2</v>
      </c>
      <c r="BH263" s="88">
        <f t="shared" si="2630"/>
        <v>0.10841567669590413</v>
      </c>
      <c r="BI263" s="88">
        <f t="shared" si="2630"/>
        <v>-0.13953022487103806</v>
      </c>
      <c r="BJ263" s="88">
        <f t="shared" si="2630"/>
        <v>7.3453233222745995E-2</v>
      </c>
      <c r="BK263" s="88">
        <f t="shared" si="2630"/>
        <v>-0.13598655316380148</v>
      </c>
      <c r="BL263" s="88">
        <f t="shared" si="2630"/>
        <v>-0.10367116410417232</v>
      </c>
      <c r="BM263" s="88">
        <f t="shared" si="2630"/>
        <v>2.9055520548903813E-2</v>
      </c>
      <c r="BN263" s="88">
        <f t="shared" si="2630"/>
        <v>-6.6131446455301002E-2</v>
      </c>
      <c r="BO263" s="88">
        <f t="shared" si="2630"/>
        <v>-1.144324639370538</v>
      </c>
      <c r="BP263" s="88">
        <f t="shared" si="2630"/>
        <v>-10.570923775870765</v>
      </c>
      <c r="BQ263" s="88">
        <f t="shared" si="2630"/>
        <v>0.20817510548523099</v>
      </c>
      <c r="BR263" s="88">
        <f t="shared" si="2630"/>
        <v>-7.0720740385035619E-2</v>
      </c>
      <c r="BS263" s="88">
        <f t="shared" si="2630"/>
        <v>-2.7293653403484663E-2</v>
      </c>
      <c r="BT263" s="88">
        <f t="shared" si="2630"/>
        <v>0.27731092436974647</v>
      </c>
      <c r="BU263" s="88">
        <f t="shared" si="2630"/>
        <v>8.5639745916516352E-2</v>
      </c>
      <c r="BV263" s="88">
        <f t="shared" si="2630"/>
        <v>7.4321735799115274E-2</v>
      </c>
      <c r="BW263" s="88">
        <f t="shared" si="2630"/>
        <v>4.2986351995331296E-2</v>
      </c>
      <c r="BX263" s="88">
        <f t="shared" si="2630"/>
        <v>-8.5786218257545288E-3</v>
      </c>
      <c r="BY263" s="88">
        <f t="shared" si="2630"/>
        <v>8.2296140702888154E-2</v>
      </c>
      <c r="BZ263" s="88">
        <f t="shared" si="2630"/>
        <v>-8.8465326458491256E-2</v>
      </c>
      <c r="CA263" s="88">
        <f t="shared" si="2630"/>
        <v>8.6881911783399879E-2</v>
      </c>
      <c r="CB263" s="88">
        <f t="shared" si="2630"/>
        <v>-4.7365651131511255E-3</v>
      </c>
      <c r="CC263" s="88">
        <f t="shared" si="2630"/>
        <v>-4.7884841363102226E-2</v>
      </c>
      <c r="CD263" s="88">
        <f t="shared" si="2630"/>
        <v>1.7772292502314935E-2</v>
      </c>
      <c r="CE263" s="88">
        <f t="shared" si="2630"/>
        <v>0.14084763232886544</v>
      </c>
      <c r="CF263" s="88">
        <f t="shared" si="2630"/>
        <v>-2.0009566326530948E-2</v>
      </c>
      <c r="CG263" s="88">
        <f t="shared" si="2630"/>
        <v>4.3385124325501234E-3</v>
      </c>
      <c r="CH263" s="88">
        <f t="shared" si="2630"/>
        <v>6.0611787575257425E-2</v>
      </c>
      <c r="CI263" s="88">
        <f t="shared" si="2630"/>
        <v>9.489868648813915E-2</v>
      </c>
      <c r="CJ263" s="88">
        <f t="shared" si="2630"/>
        <v>6.0029759136985605E-2</v>
      </c>
      <c r="CK263" s="88">
        <f t="shared" si="2630"/>
        <v>6.1806378032196241E-2</v>
      </c>
      <c r="CL263" s="88">
        <f t="shared" si="2630"/>
        <v>-1.1980500702305608E-2</v>
      </c>
      <c r="CM263" s="46">
        <f t="shared" si="2630"/>
        <v>2.6975864068761402E-2</v>
      </c>
      <c r="CN263" s="46">
        <f t="shared" si="2630"/>
        <v>5.2623039722691001E-2</v>
      </c>
      <c r="CO263" s="46">
        <f t="shared" si="2630"/>
        <v>0.1232618673439827</v>
      </c>
      <c r="CP263" s="46">
        <f t="shared" si="2630"/>
        <v>-4.6036867171014184E-2</v>
      </c>
      <c r="CQ263" s="46">
        <f t="shared" si="2630"/>
        <v>3.1191569328169244E-2</v>
      </c>
      <c r="CR263" s="46">
        <f t="shared" si="2630"/>
        <v>5.8044344077076371E-2</v>
      </c>
      <c r="CS263" s="46">
        <f t="shared" si="2630"/>
        <v>0.12736792303586331</v>
      </c>
      <c r="CT263" s="46">
        <f t="shared" si="2630"/>
        <v>-9.2762763869384979E-2</v>
      </c>
      <c r="CU263" s="46">
        <f t="shared" si="2630"/>
        <v>2.4022527379104153E-2</v>
      </c>
      <c r="CV263" s="46">
        <f t="shared" si="2630"/>
        <v>5.8040912560170854E-2</v>
      </c>
      <c r="CW263" s="46">
        <f t="shared" si="2630"/>
        <v>0.11909760993372243</v>
      </c>
      <c r="CX263" s="46">
        <f t="shared" ref="CX263:DA263" si="2631">CX41/CW41-1</f>
        <v>-7.1700655172884376E-2</v>
      </c>
      <c r="CY263" s="46">
        <f t="shared" si="2631"/>
        <v>2.1367033345066178E-2</v>
      </c>
      <c r="CZ263" s="46">
        <f t="shared" si="2631"/>
        <v>6.5665351575515229E-2</v>
      </c>
      <c r="DA263" s="46">
        <f t="shared" si="2631"/>
        <v>0.12327223793960096</v>
      </c>
      <c r="DD263" s="129"/>
      <c r="DE263" s="88">
        <v>0.21934890412000985</v>
      </c>
    </row>
    <row r="264" spans="1:109" s="102" customFormat="1" x14ac:dyDescent="0.2">
      <c r="A264" s="146" t="s">
        <v>105</v>
      </c>
      <c r="C264" s="102" t="e">
        <f>IF(C262&gt;C263,"RF",0)</f>
        <v>#DIV/0!</v>
      </c>
      <c r="D264" s="102" t="e">
        <f t="shared" ref="D264:U264" si="2632">IF(D262&gt;D263,"RF",0)</f>
        <v>#DIV/0!</v>
      </c>
      <c r="F264" s="102">
        <f t="shared" si="2632"/>
        <v>0</v>
      </c>
      <c r="G264" s="102" t="str">
        <f t="shared" si="2632"/>
        <v>RF</v>
      </c>
      <c r="H264" s="102">
        <f t="shared" si="2632"/>
        <v>0</v>
      </c>
      <c r="I264" s="102" t="e">
        <f t="shared" si="2632"/>
        <v>#DIV/0!</v>
      </c>
      <c r="J264" s="102" t="e">
        <f t="shared" si="2632"/>
        <v>#DIV/0!</v>
      </c>
      <c r="K264" s="102" t="e">
        <f t="shared" si="2632"/>
        <v>#DIV/0!</v>
      </c>
      <c r="L264" s="102" t="e">
        <f t="shared" si="2632"/>
        <v>#DIV/0!</v>
      </c>
      <c r="M264" s="102" t="e">
        <f t="shared" si="2632"/>
        <v>#DIV/0!</v>
      </c>
      <c r="N264" s="102" t="e">
        <f t="shared" si="2632"/>
        <v>#DIV/0!</v>
      </c>
      <c r="O264" s="102" t="e">
        <f t="shared" si="2632"/>
        <v>#DIV/0!</v>
      </c>
      <c r="P264" s="102" t="e">
        <f t="shared" si="2632"/>
        <v>#DIV/0!</v>
      </c>
      <c r="Q264" s="102" t="e">
        <f t="shared" si="2632"/>
        <v>#DIV/0!</v>
      </c>
      <c r="R264" s="102" t="e">
        <f t="shared" si="2632"/>
        <v>#DIV/0!</v>
      </c>
      <c r="S264" s="102" t="e">
        <f t="shared" si="2632"/>
        <v>#DIV/0!</v>
      </c>
      <c r="T264" s="102">
        <f t="shared" si="2632"/>
        <v>0</v>
      </c>
      <c r="U264" s="102">
        <f t="shared" si="2632"/>
        <v>0</v>
      </c>
      <c r="V264" s="102" t="e">
        <f>IF(V262&gt;V263,"RF",0)</f>
        <v>#DIV/0!</v>
      </c>
      <c r="W264" s="102" t="e">
        <f t="shared" ref="W264:AE264" si="2633">IF(W262&gt;W263,"RF",0)</f>
        <v>#DIV/0!</v>
      </c>
      <c r="X264" s="102" t="e">
        <f t="shared" si="2633"/>
        <v>#DIV/0!</v>
      </c>
      <c r="Y264" s="102" t="e">
        <f t="shared" si="2633"/>
        <v>#DIV/0!</v>
      </c>
      <c r="Z264" s="102" t="e">
        <f t="shared" si="2633"/>
        <v>#DIV/0!</v>
      </c>
      <c r="AA264" s="102" t="e">
        <f t="shared" ref="AA264" si="2634">IF(AA262&gt;AA263,"RF",0)</f>
        <v>#DIV/0!</v>
      </c>
      <c r="AB264" s="72" t="e">
        <f t="shared" si="2633"/>
        <v>#DIV/0!</v>
      </c>
      <c r="AC264" s="72" t="e">
        <f t="shared" si="2633"/>
        <v>#DIV/0!</v>
      </c>
      <c r="AD264" s="72" t="e">
        <f t="shared" si="2633"/>
        <v>#DIV/0!</v>
      </c>
      <c r="AE264" s="72" t="e">
        <f t="shared" si="2633"/>
        <v>#DIV/0!</v>
      </c>
      <c r="AL264" s="102" t="e">
        <f t="shared" ref="AL264:CW264" si="2635">IF(AL262&gt;AL263,"RF",0)</f>
        <v>#DIV/0!</v>
      </c>
      <c r="AM264" s="102" t="e">
        <f t="shared" si="2635"/>
        <v>#DIV/0!</v>
      </c>
      <c r="AN264" s="102" t="e">
        <f t="shared" si="2635"/>
        <v>#DIV/0!</v>
      </c>
      <c r="AO264" s="102" t="e">
        <f t="shared" si="2635"/>
        <v>#DIV/0!</v>
      </c>
      <c r="AP264" s="102" t="e">
        <f t="shared" si="2635"/>
        <v>#DIV/0!</v>
      </c>
      <c r="AQ264" s="102" t="e">
        <f t="shared" si="2635"/>
        <v>#DIV/0!</v>
      </c>
      <c r="AR264" s="102" t="e">
        <f t="shared" si="2635"/>
        <v>#DIV/0!</v>
      </c>
      <c r="AS264" s="102" t="e">
        <f t="shared" si="2635"/>
        <v>#DIV/0!</v>
      </c>
      <c r="AT264" s="102" t="e">
        <f t="shared" si="2635"/>
        <v>#DIV/0!</v>
      </c>
      <c r="AU264" s="102" t="e">
        <f t="shared" si="2635"/>
        <v>#DIV/0!</v>
      </c>
      <c r="AV264" s="102" t="e">
        <f t="shared" si="2635"/>
        <v>#DIV/0!</v>
      </c>
      <c r="AW264" s="102" t="e">
        <f t="shared" si="2635"/>
        <v>#DIV/0!</v>
      </c>
      <c r="AX264" s="102" t="e">
        <f t="shared" si="2635"/>
        <v>#DIV/0!</v>
      </c>
      <c r="AY264" s="102" t="e">
        <f t="shared" si="2635"/>
        <v>#DIV/0!</v>
      </c>
      <c r="AZ264" s="102" t="e">
        <f t="shared" si="2635"/>
        <v>#DIV/0!</v>
      </c>
      <c r="BA264" s="102" t="e">
        <f t="shared" si="2635"/>
        <v>#DIV/0!</v>
      </c>
      <c r="BB264" s="102" t="e">
        <f t="shared" si="2635"/>
        <v>#DIV/0!</v>
      </c>
      <c r="BC264" s="102" t="e">
        <f t="shared" si="2635"/>
        <v>#DIV/0!</v>
      </c>
      <c r="BD264" s="102" t="e">
        <f t="shared" si="2635"/>
        <v>#DIV/0!</v>
      </c>
      <c r="BE264" s="102" t="e">
        <f t="shared" si="2635"/>
        <v>#DIV/0!</v>
      </c>
      <c r="BF264" s="102" t="e">
        <f t="shared" si="2635"/>
        <v>#DIV/0!</v>
      </c>
      <c r="BG264" s="102" t="e">
        <f t="shared" si="2635"/>
        <v>#DIV/0!</v>
      </c>
      <c r="BH264" s="102" t="e">
        <f t="shared" si="2635"/>
        <v>#DIV/0!</v>
      </c>
      <c r="BI264" s="102" t="e">
        <f t="shared" si="2635"/>
        <v>#DIV/0!</v>
      </c>
      <c r="BJ264" s="102">
        <f t="shared" si="2635"/>
        <v>0</v>
      </c>
      <c r="BK264" s="102">
        <f t="shared" si="2635"/>
        <v>0</v>
      </c>
      <c r="BL264" s="102" t="str">
        <f t="shared" si="2635"/>
        <v>RF</v>
      </c>
      <c r="BM264" s="102">
        <f t="shared" si="2635"/>
        <v>0</v>
      </c>
      <c r="BN264" s="102" t="e">
        <f t="shared" si="2635"/>
        <v>#DIV/0!</v>
      </c>
      <c r="BO264" s="102" t="e">
        <f t="shared" si="2635"/>
        <v>#DIV/0!</v>
      </c>
      <c r="BP264" s="102" t="e">
        <f t="shared" si="2635"/>
        <v>#DIV/0!</v>
      </c>
      <c r="BQ264" s="102" t="e">
        <f t="shared" si="2635"/>
        <v>#DIV/0!</v>
      </c>
      <c r="BR264" s="102" t="e">
        <f t="shared" si="2635"/>
        <v>#DIV/0!</v>
      </c>
      <c r="BS264" s="102" t="e">
        <f t="shared" si="2635"/>
        <v>#DIV/0!</v>
      </c>
      <c r="BT264" s="102" t="e">
        <f t="shared" si="2635"/>
        <v>#DIV/0!</v>
      </c>
      <c r="BU264" s="102" t="e">
        <f t="shared" si="2635"/>
        <v>#DIV/0!</v>
      </c>
      <c r="BV264" s="102" t="e">
        <f t="shared" si="2635"/>
        <v>#DIV/0!</v>
      </c>
      <c r="BW264" s="102" t="e">
        <f t="shared" si="2635"/>
        <v>#DIV/0!</v>
      </c>
      <c r="BX264" s="102" t="e">
        <f t="shared" si="2635"/>
        <v>#DIV/0!</v>
      </c>
      <c r="BY264" s="102" t="e">
        <f t="shared" si="2635"/>
        <v>#DIV/0!</v>
      </c>
      <c r="BZ264" s="102" t="e">
        <f t="shared" si="2635"/>
        <v>#DIV/0!</v>
      </c>
      <c r="CA264" s="102" t="e">
        <f t="shared" si="2635"/>
        <v>#DIV/0!</v>
      </c>
      <c r="CB264" s="102" t="e">
        <f t="shared" si="2635"/>
        <v>#DIV/0!</v>
      </c>
      <c r="CC264" s="102" t="e">
        <f t="shared" si="2635"/>
        <v>#DIV/0!</v>
      </c>
      <c r="CD264" s="102" t="e">
        <f t="shared" si="2635"/>
        <v>#DIV/0!</v>
      </c>
      <c r="CE264" s="102" t="e">
        <f t="shared" si="2635"/>
        <v>#DIV/0!</v>
      </c>
      <c r="CF264" s="102" t="e">
        <f t="shared" si="2635"/>
        <v>#DIV/0!</v>
      </c>
      <c r="CG264" s="102" t="e">
        <f t="shared" si="2635"/>
        <v>#DIV/0!</v>
      </c>
      <c r="CH264" s="102" t="e">
        <f t="shared" si="2635"/>
        <v>#DIV/0!</v>
      </c>
      <c r="CI264" s="102" t="e">
        <f t="shared" si="2635"/>
        <v>#DIV/0!</v>
      </c>
      <c r="CJ264" s="102" t="e">
        <f t="shared" si="2635"/>
        <v>#DIV/0!</v>
      </c>
      <c r="CK264" s="102" t="e">
        <f t="shared" si="2635"/>
        <v>#DIV/0!</v>
      </c>
      <c r="CL264" s="102" t="e">
        <f t="shared" ref="CL264" si="2636">IF(CL262&gt;CL263,"RF",0)</f>
        <v>#DIV/0!</v>
      </c>
      <c r="CM264" s="72" t="e">
        <f t="shared" si="2635"/>
        <v>#DIV/0!</v>
      </c>
      <c r="CN264" s="72" t="e">
        <f t="shared" si="2635"/>
        <v>#DIV/0!</v>
      </c>
      <c r="CO264" s="72" t="e">
        <f t="shared" si="2635"/>
        <v>#DIV/0!</v>
      </c>
      <c r="CP264" s="72" t="e">
        <f t="shared" si="2635"/>
        <v>#DIV/0!</v>
      </c>
      <c r="CQ264" s="72" t="e">
        <f t="shared" si="2635"/>
        <v>#DIV/0!</v>
      </c>
      <c r="CR264" s="72" t="e">
        <f t="shared" si="2635"/>
        <v>#DIV/0!</v>
      </c>
      <c r="CS264" s="72" t="e">
        <f t="shared" si="2635"/>
        <v>#DIV/0!</v>
      </c>
      <c r="CT264" s="72" t="e">
        <f t="shared" si="2635"/>
        <v>#DIV/0!</v>
      </c>
      <c r="CU264" s="72" t="e">
        <f t="shared" si="2635"/>
        <v>#DIV/0!</v>
      </c>
      <c r="CV264" s="72" t="e">
        <f t="shared" si="2635"/>
        <v>#DIV/0!</v>
      </c>
      <c r="CW264" s="72" t="e">
        <f t="shared" si="2635"/>
        <v>#DIV/0!</v>
      </c>
      <c r="CX264" s="72" t="e">
        <f t="shared" ref="CX264:DA264" si="2637">IF(CX262&gt;CX263,"RF",0)</f>
        <v>#DIV/0!</v>
      </c>
      <c r="CY264" s="72" t="e">
        <f t="shared" si="2637"/>
        <v>#DIV/0!</v>
      </c>
      <c r="CZ264" s="72" t="e">
        <f t="shared" si="2637"/>
        <v>#DIV/0!</v>
      </c>
      <c r="DA264" s="72" t="e">
        <f t="shared" si="2637"/>
        <v>#DIV/0!</v>
      </c>
      <c r="DD264" s="141"/>
    </row>
    <row r="265" spans="1:109" s="85" customFormat="1" x14ac:dyDescent="0.2">
      <c r="A265" s="85" t="s">
        <v>431</v>
      </c>
      <c r="B265" s="85" t="e">
        <f>B49/B21</f>
        <v>#DIV/0!</v>
      </c>
      <c r="C265" s="85" t="e">
        <f>C49/C21</f>
        <v>#DIV/0!</v>
      </c>
      <c r="D265" s="85">
        <f>D49/D21</f>
        <v>2.498294985462508E-2</v>
      </c>
      <c r="F265" s="85">
        <f t="shared" ref="F265:AE265" si="2638">F49/F21</f>
        <v>5.0169491525423734E-3</v>
      </c>
      <c r="G265" s="85">
        <f t="shared" si="2638"/>
        <v>4.3877661299038147E-3</v>
      </c>
      <c r="H265" s="85">
        <f t="shared" si="2638"/>
        <v>2.1723152307064108E-3</v>
      </c>
      <c r="I265" s="85">
        <f t="shared" si="2638"/>
        <v>5.5868262636702651E-4</v>
      </c>
      <c r="J265" s="85">
        <f t="shared" si="2638"/>
        <v>5.8857430137456627E-4</v>
      </c>
      <c r="K265" s="85">
        <f t="shared" si="2638"/>
        <v>8.2796144065290663E-4</v>
      </c>
      <c r="L265" s="85">
        <f t="shared" si="2638"/>
        <v>7.9984182903156229E-4</v>
      </c>
      <c r="M265" s="85">
        <f t="shared" si="2638"/>
        <v>1.2797231794329181E-3</v>
      </c>
      <c r="N265" s="85">
        <f t="shared" si="2638"/>
        <v>1.1597062931686252E-3</v>
      </c>
      <c r="O265" s="85">
        <f t="shared" si="2638"/>
        <v>7.8249833965688429E-4</v>
      </c>
      <c r="P265" s="85">
        <f t="shared" si="2638"/>
        <v>8.5881140501545869E-4</v>
      </c>
      <c r="Q265" s="85">
        <f t="shared" si="2638"/>
        <v>1.4137000385554556E-3</v>
      </c>
      <c r="R265" s="85">
        <f t="shared" si="2638"/>
        <v>1.0950256020070327E-3</v>
      </c>
      <c r="S265" s="85">
        <f t="shared" si="2638"/>
        <v>2.8002390447965072E-3</v>
      </c>
      <c r="T265" s="85">
        <f t="shared" si="2638"/>
        <v>1.6471144072663752E-3</v>
      </c>
      <c r="U265" s="85">
        <f t="shared" si="2638"/>
        <v>1.0160688568091358E-3</v>
      </c>
      <c r="V265" s="85">
        <f t="shared" si="2638"/>
        <v>1.5570526095048363E-3</v>
      </c>
      <c r="W265" s="85">
        <f t="shared" si="2638"/>
        <v>8.7140700219985818E-4</v>
      </c>
      <c r="X265" s="85">
        <f t="shared" si="2638"/>
        <v>7.218240103735187E-4</v>
      </c>
      <c r="Y265" s="85">
        <f t="shared" si="2638"/>
        <v>6.6277728228584523E-4</v>
      </c>
      <c r="Z265" s="85">
        <f t="shared" si="2638"/>
        <v>5.8398046843147883E-4</v>
      </c>
      <c r="AA265" s="85">
        <f t="shared" ref="AA265" si="2639">AA49/AA21</f>
        <v>5.4764345357398425E-4</v>
      </c>
      <c r="AB265" s="86">
        <f t="shared" si="2638"/>
        <v>-1.3968341877078596E-2</v>
      </c>
      <c r="AC265" s="86">
        <f t="shared" si="2638"/>
        <v>-2.3070128688500176E-2</v>
      </c>
      <c r="AD265" s="86">
        <f t="shared" si="2638"/>
        <v>-2.9074787024147248E-2</v>
      </c>
      <c r="AE265" s="86">
        <f t="shared" si="2638"/>
        <v>-3.4823294422093899E-2</v>
      </c>
      <c r="AL265" s="85">
        <f t="shared" ref="AL265:BQ265" si="2640">AL49/AL21</f>
        <v>6.3137007305853711E-4</v>
      </c>
      <c r="AM265" s="85">
        <f t="shared" si="2640"/>
        <v>7.2228241242325753E-4</v>
      </c>
      <c r="AN265" s="85">
        <f t="shared" si="2640"/>
        <v>4.3083717047688288E-4</v>
      </c>
      <c r="AO265" s="85">
        <f t="shared" si="2640"/>
        <v>4.3163640980068563E-4</v>
      </c>
      <c r="AP265" s="85">
        <f t="shared" si="2640"/>
        <v>4.2425754928874474E-4</v>
      </c>
      <c r="AQ265" s="85">
        <f t="shared" si="2640"/>
        <v>5.8707915358501158E-4</v>
      </c>
      <c r="AR265" s="85">
        <f t="shared" si="2640"/>
        <v>6.826271393046956E-4</v>
      </c>
      <c r="AS265" s="85">
        <f t="shared" si="2640"/>
        <v>6.7520372526193241E-4</v>
      </c>
      <c r="AT265" s="85">
        <f t="shared" si="2640"/>
        <v>1.1734793663211423E-3</v>
      </c>
      <c r="AU265" s="85">
        <f t="shared" si="2640"/>
        <v>2.4067388688327317E-3</v>
      </c>
      <c r="AV265" s="85">
        <f t="shared" si="2640"/>
        <v>5.9318747005544022E-4</v>
      </c>
      <c r="AW265" s="85">
        <f t="shared" si="2640"/>
        <v>7.6411362819129821E-4</v>
      </c>
      <c r="AX265" s="85">
        <f t="shared" si="2640"/>
        <v>9.3658014450093651E-4</v>
      </c>
      <c r="AY265" s="85">
        <f t="shared" si="2640"/>
        <v>6.7955766973497257E-4</v>
      </c>
      <c r="AZ265" s="85">
        <f t="shared" si="2640"/>
        <v>1.0167569364331385E-3</v>
      </c>
      <c r="BA265" s="85">
        <f t="shared" si="2640"/>
        <v>9.8062760166506562E-4</v>
      </c>
      <c r="BB265" s="85">
        <f t="shared" si="2640"/>
        <v>7.0357415671611784E-4</v>
      </c>
      <c r="BC265" s="85">
        <f t="shared" si="2640"/>
        <v>9.0844857171696778E-4</v>
      </c>
      <c r="BD265" s="85">
        <f t="shared" si="2640"/>
        <v>6.3742480379267764E-4</v>
      </c>
      <c r="BE265" s="85">
        <f t="shared" si="2640"/>
        <v>4.0019177894541147E-3</v>
      </c>
      <c r="BF265" s="85">
        <f t="shared" si="2640"/>
        <v>1.1998486344799578E-3</v>
      </c>
      <c r="BG265" s="85">
        <f t="shared" si="2640"/>
        <v>1.5450893425190408E-3</v>
      </c>
      <c r="BH265" s="85">
        <f t="shared" si="2640"/>
        <v>1.1246422546559351E-3</v>
      </c>
      <c r="BI265" s="85">
        <f t="shared" si="2640"/>
        <v>2.2760033381382296E-3</v>
      </c>
      <c r="BJ265" s="85">
        <f t="shared" si="2640"/>
        <v>1.0236374958414727E-3</v>
      </c>
      <c r="BK265" s="85">
        <f t="shared" si="2640"/>
        <v>6.9848661233993018E-4</v>
      </c>
      <c r="BL265" s="85">
        <f t="shared" si="2640"/>
        <v>4.153907087724721E-4</v>
      </c>
      <c r="BM265" s="85">
        <f t="shared" si="2640"/>
        <v>1.0227020560170579E-3</v>
      </c>
      <c r="BN265" s="85">
        <f t="shared" si="2640"/>
        <v>1.0123419561892863E-3</v>
      </c>
      <c r="BO265" s="85">
        <f t="shared" si="2640"/>
        <v>2.096244987240248E-3</v>
      </c>
      <c r="BP265" s="85">
        <f t="shared" si="2640"/>
        <v>8.1202873332440989E-4</v>
      </c>
      <c r="BQ265" s="85">
        <f t="shared" si="2640"/>
        <v>1.9391255878219774E-3</v>
      </c>
      <c r="BR265" s="85">
        <f t="shared" ref="BR265:DA265" si="2641">BR49/BR21</f>
        <v>6.9105876277699308E-4</v>
      </c>
      <c r="BS265" s="85">
        <f t="shared" si="2641"/>
        <v>7.2999213230701848E-4</v>
      </c>
      <c r="BT265" s="85">
        <f t="shared" si="2641"/>
        <v>6.6551042633001254E-4</v>
      </c>
      <c r="BU265" s="85">
        <f t="shared" si="2641"/>
        <v>5.711584669318943E-4</v>
      </c>
      <c r="BV265" s="85">
        <f t="shared" si="2641"/>
        <v>5.3588174876077342E-4</v>
      </c>
      <c r="BW265" s="85">
        <f t="shared" si="2641"/>
        <v>5.3178410708873934E-4</v>
      </c>
      <c r="BX265" s="85">
        <f t="shared" si="2641"/>
        <v>4.8393616597302479E-4</v>
      </c>
      <c r="BY265" s="85">
        <f t="shared" si="2641"/>
        <v>5.1820689270888479E-4</v>
      </c>
      <c r="BZ265" s="85">
        <f t="shared" si="2641"/>
        <v>4.7236097825958603E-4</v>
      </c>
      <c r="CA265" s="85">
        <f t="shared" si="2641"/>
        <v>4.5923220748548497E-4</v>
      </c>
      <c r="CB265" s="85">
        <f t="shared" si="2641"/>
        <v>8.631851532153648E-4</v>
      </c>
      <c r="CC265" s="85">
        <f t="shared" si="2641"/>
        <v>5.4946520498252917E-4</v>
      </c>
      <c r="CD265" s="85">
        <f t="shared" si="2641"/>
        <v>4.4844725139205494E-4</v>
      </c>
      <c r="CE265" s="85">
        <f t="shared" si="2641"/>
        <v>7.5468474112889441E-4</v>
      </c>
      <c r="CF265" s="85">
        <f t="shared" si="2641"/>
        <v>5.0086233373496829E-4</v>
      </c>
      <c r="CG265" s="85">
        <f t="shared" si="2641"/>
        <v>4.0729193000196623E-4</v>
      </c>
      <c r="CH265" s="85">
        <f t="shared" si="2641"/>
        <v>7.1743599413174155E-4</v>
      </c>
      <c r="CI265" s="85">
        <f t="shared" si="2641"/>
        <v>4.590685159760094E-4</v>
      </c>
      <c r="CJ265" s="85">
        <f t="shared" si="2641"/>
        <v>3.9841455650709544E-4</v>
      </c>
      <c r="CK265" s="85">
        <f t="shared" si="2641"/>
        <v>5.9099919242346381E-4</v>
      </c>
      <c r="CL265" s="85">
        <f t="shared" ref="CL265" si="2642">CL49/CL21</f>
        <v>4.563667022477994E-4</v>
      </c>
      <c r="CM265" s="86">
        <f t="shared" si="2641"/>
        <v>-1.7498031116422567E-2</v>
      </c>
      <c r="CN265" s="86">
        <f t="shared" si="2641"/>
        <v>-1.878957567755114E-2</v>
      </c>
      <c r="CO265" s="86">
        <f t="shared" si="2641"/>
        <v>-1.8435366946209484E-2</v>
      </c>
      <c r="CP265" s="86">
        <f t="shared" si="2641"/>
        <v>-2.0579584046528106E-2</v>
      </c>
      <c r="CQ265" s="86">
        <f t="shared" si="2641"/>
        <v>-2.3479178366824505E-2</v>
      </c>
      <c r="CR265" s="86">
        <f t="shared" si="2641"/>
        <v>-2.4449586951747582E-2</v>
      </c>
      <c r="CS265" s="86">
        <f t="shared" si="2641"/>
        <v>-2.35236510757846E-2</v>
      </c>
      <c r="CT265" s="86">
        <f t="shared" si="2641"/>
        <v>-2.6631984090125321E-2</v>
      </c>
      <c r="CU265" s="86">
        <f t="shared" si="2641"/>
        <v>-3.0000888951925542E-2</v>
      </c>
      <c r="CV265" s="86">
        <f t="shared" si="2641"/>
        <v>-3.0565498859289268E-2</v>
      </c>
      <c r="CW265" s="86">
        <f t="shared" si="2641"/>
        <v>-2.8964703158025493E-2</v>
      </c>
      <c r="CX265" s="86">
        <f t="shared" si="2641"/>
        <v>-3.2696369501347855E-2</v>
      </c>
      <c r="CY265" s="86">
        <f t="shared" si="2641"/>
        <v>-3.6083539007951457E-2</v>
      </c>
      <c r="CZ265" s="86">
        <f t="shared" si="2641"/>
        <v>-3.632113360592449E-2</v>
      </c>
      <c r="DA265" s="86">
        <f t="shared" si="2641"/>
        <v>-3.41738585936592E-2</v>
      </c>
      <c r="DD265" s="140"/>
      <c r="DE265" s="85">
        <v>5.3893050171125931E-4</v>
      </c>
    </row>
    <row r="266" spans="1:109" s="85" customFormat="1" x14ac:dyDescent="0.2">
      <c r="A266" s="85" t="s">
        <v>432</v>
      </c>
      <c r="B266" s="85" t="e">
        <f>B45/B21</f>
        <v>#DIV/0!</v>
      </c>
      <c r="C266" s="85" t="e">
        <f>C45/C21</f>
        <v>#DIV/0!</v>
      </c>
      <c r="D266" s="85">
        <f>D45/D21</f>
        <v>6.0949782834990494E-2</v>
      </c>
      <c r="F266" s="85">
        <f t="shared" ref="F266:AE266" si="2643">F45/F21</f>
        <v>4.6074576271186433E-2</v>
      </c>
      <c r="G266" s="85">
        <f t="shared" si="2643"/>
        <v>3.6377391116394681E-2</v>
      </c>
      <c r="H266" s="85">
        <f t="shared" si="2643"/>
        <v>2.9889750918742346E-2</v>
      </c>
      <c r="I266" s="85">
        <f t="shared" si="2643"/>
        <v>2.7040239116164082E-2</v>
      </c>
      <c r="J266" s="85">
        <f t="shared" si="2643"/>
        <v>2.5247385136046498E-2</v>
      </c>
      <c r="K266" s="85">
        <f t="shared" si="2643"/>
        <v>2.3750665326157664E-2</v>
      </c>
      <c r="L266" s="85">
        <f t="shared" si="2643"/>
        <v>1.8072830541376088E-2</v>
      </c>
      <c r="M266" s="85">
        <f t="shared" si="2643"/>
        <v>1.615024951027353E-2</v>
      </c>
      <c r="N266" s="85">
        <f t="shared" si="2643"/>
        <v>1.9394646129400155E-2</v>
      </c>
      <c r="O266" s="85">
        <f t="shared" si="2643"/>
        <v>2.8439540495932981E-2</v>
      </c>
      <c r="P266" s="85">
        <f t="shared" si="2643"/>
        <v>2.825489522500859E-2</v>
      </c>
      <c r="Q266" s="85">
        <f t="shared" si="2643"/>
        <v>3.5080109668851479E-2</v>
      </c>
      <c r="R266" s="85">
        <f t="shared" si="2643"/>
        <v>3.2953587365563752E-2</v>
      </c>
      <c r="S266" s="85">
        <f t="shared" si="2643"/>
        <v>3.3700437842254828E-2</v>
      </c>
      <c r="T266" s="85">
        <f t="shared" si="2643"/>
        <v>3.2183748615665357E-2</v>
      </c>
      <c r="U266" s="85">
        <f t="shared" si="2643"/>
        <v>3.5995600058968284E-2</v>
      </c>
      <c r="V266" s="85">
        <f t="shared" si="2643"/>
        <v>5.0845369472332168E-2</v>
      </c>
      <c r="W266" s="85">
        <f t="shared" si="2643"/>
        <v>3.5053680449717149E-2</v>
      </c>
      <c r="X266" s="85">
        <f t="shared" si="2643"/>
        <v>2.9746064906530274E-2</v>
      </c>
      <c r="Y266" s="85">
        <f t="shared" si="2643"/>
        <v>3.0412749325630935E-2</v>
      </c>
      <c r="Z266" s="85">
        <f t="shared" si="2643"/>
        <v>3.3761745561988271E-2</v>
      </c>
      <c r="AA266" s="85">
        <f t="shared" ref="AA266" si="2644">AA45/AA21</f>
        <v>3.4988105550641246E-2</v>
      </c>
      <c r="AB266" s="86">
        <f t="shared" si="2643"/>
        <v>3.2095038857418441E-2</v>
      </c>
      <c r="AC266" s="86">
        <f t="shared" si="2643"/>
        <v>2.7475883880486617E-2</v>
      </c>
      <c r="AD266" s="86">
        <f t="shared" si="2643"/>
        <v>2.8816208571239559E-2</v>
      </c>
      <c r="AE266" s="86">
        <f t="shared" si="2643"/>
        <v>2.549708867332556E-2</v>
      </c>
      <c r="AL266" s="85">
        <f t="shared" ref="AL266:BQ266" si="2645">AL45/AL21</f>
        <v>2.8892697152821625E-2</v>
      </c>
      <c r="AM266" s="85">
        <f t="shared" si="2645"/>
        <v>3.4439738665090779E-2</v>
      </c>
      <c r="AN266" s="85">
        <f t="shared" si="2645"/>
        <v>3.0347093195465438E-2</v>
      </c>
      <c r="AO266" s="85">
        <f t="shared" si="2645"/>
        <v>3.0163767931953793E-2</v>
      </c>
      <c r="AP266" s="85">
        <f t="shared" si="2645"/>
        <v>3.0072373346643377E-2</v>
      </c>
      <c r="AQ266" s="85">
        <f t="shared" si="2645"/>
        <v>3.1370446945912137E-2</v>
      </c>
      <c r="AR266" s="85">
        <f t="shared" si="2645"/>
        <v>3.0523184943195669E-2</v>
      </c>
      <c r="AS266" s="85">
        <f t="shared" si="2645"/>
        <v>2.9080325960419092E-2</v>
      </c>
      <c r="AT266" s="85">
        <f t="shared" si="2645"/>
        <v>3.0437121063954627E-2</v>
      </c>
      <c r="AU266" s="85">
        <f t="shared" si="2645"/>
        <v>2.8742016106637045E-2</v>
      </c>
      <c r="AV266" s="85">
        <f t="shared" si="2645"/>
        <v>2.920307544888321E-2</v>
      </c>
      <c r="AW266" s="85">
        <f t="shared" si="2645"/>
        <v>6.2567421790722763E-2</v>
      </c>
      <c r="AX266" s="85">
        <f t="shared" si="2645"/>
        <v>3.3895281420033896E-2</v>
      </c>
      <c r="AY266" s="85">
        <f t="shared" si="2645"/>
        <v>3.2248100327423243E-2</v>
      </c>
      <c r="AZ266" s="85">
        <f t="shared" si="2645"/>
        <v>3.0776450345110767E-2</v>
      </c>
      <c r="BA266" s="85">
        <f t="shared" si="2645"/>
        <v>3.5022414345180913E-2</v>
      </c>
      <c r="BB266" s="85">
        <f t="shared" si="2645"/>
        <v>3.5299320548385797E-2</v>
      </c>
      <c r="BC266" s="85">
        <f t="shared" si="2645"/>
        <v>3.5813061471686683E-2</v>
      </c>
      <c r="BD266" s="85">
        <f t="shared" si="2645"/>
        <v>3.4699812756463888E-2</v>
      </c>
      <c r="BE266" s="85">
        <f t="shared" si="2645"/>
        <v>3.4490856253852703E-2</v>
      </c>
      <c r="BF266" s="85">
        <f t="shared" si="2645"/>
        <v>3.3134281521408064E-2</v>
      </c>
      <c r="BG266" s="85">
        <f t="shared" si="2645"/>
        <v>3.3273953429189464E-2</v>
      </c>
      <c r="BH266" s="85">
        <f t="shared" si="2645"/>
        <v>3.1213018993025539E-2</v>
      </c>
      <c r="BI266" s="85">
        <f t="shared" si="2645"/>
        <v>3.2707010933245663E-2</v>
      </c>
      <c r="BJ266" s="85">
        <f t="shared" si="2645"/>
        <v>3.2253111431471734E-2</v>
      </c>
      <c r="BK266" s="85">
        <f t="shared" si="2645"/>
        <v>3.444971791886809E-2</v>
      </c>
      <c r="BL266" s="85">
        <f t="shared" si="2645"/>
        <v>3.8612015417757467E-2</v>
      </c>
      <c r="BM266" s="85">
        <f t="shared" si="2645"/>
        <v>4.096597103630592E-2</v>
      </c>
      <c r="BN266" s="85">
        <f t="shared" si="2645"/>
        <v>4.7838542227583089E-2</v>
      </c>
      <c r="BO266" s="85">
        <f t="shared" si="2645"/>
        <v>0.11369850528618301</v>
      </c>
      <c r="BP266" s="85">
        <f t="shared" si="2645"/>
        <v>4.3340918217106138E-2</v>
      </c>
      <c r="BQ266" s="85">
        <f t="shared" si="2645"/>
        <v>4.0101431184593764E-2</v>
      </c>
      <c r="BR266" s="85">
        <f t="shared" ref="BR266:DA266" si="2646">BR45/BR21</f>
        <v>3.6352728543005121E-2</v>
      </c>
      <c r="BS266" s="85">
        <f t="shared" si="2646"/>
        <v>3.930602081288679E-2</v>
      </c>
      <c r="BT266" s="85">
        <f t="shared" si="2646"/>
        <v>3.3349466919426182E-2</v>
      </c>
      <c r="BU266" s="85">
        <f t="shared" si="2646"/>
        <v>3.3593308911385095E-2</v>
      </c>
      <c r="BV266" s="85">
        <f t="shared" si="2646"/>
        <v>3.2210320827299348E-2</v>
      </c>
      <c r="BW266" s="85">
        <f t="shared" si="2646"/>
        <v>2.9316743194021149E-2</v>
      </c>
      <c r="BX266" s="85">
        <f t="shared" si="2646"/>
        <v>2.9440398991135427E-2</v>
      </c>
      <c r="BY266" s="85">
        <f t="shared" si="2646"/>
        <v>2.9526648650154627E-2</v>
      </c>
      <c r="BZ266" s="85">
        <f t="shared" si="2646"/>
        <v>3.0969166637144108E-2</v>
      </c>
      <c r="CA266" s="85">
        <f t="shared" si="2646"/>
        <v>2.9483801130585956E-2</v>
      </c>
      <c r="CB266" s="85">
        <f t="shared" si="2646"/>
        <v>3.0319378506689688E-2</v>
      </c>
      <c r="CC266" s="85">
        <f t="shared" si="2646"/>
        <v>3.2237070230188576E-2</v>
      </c>
      <c r="CD266" s="85">
        <f t="shared" si="2646"/>
        <v>3.3345256335652086E-2</v>
      </c>
      <c r="CE266" s="85">
        <f t="shared" si="2646"/>
        <v>3.2114446279736475E-2</v>
      </c>
      <c r="CF266" s="85">
        <f t="shared" si="2646"/>
        <v>3.4639828005764643E-2</v>
      </c>
      <c r="CG266" s="85">
        <f t="shared" si="2646"/>
        <v>3.6572006404314489E-2</v>
      </c>
      <c r="CH266" s="85">
        <f t="shared" si="2646"/>
        <v>3.8217263533556228E-2</v>
      </c>
      <c r="CI266" s="85">
        <f t="shared" si="2646"/>
        <v>3.4311120934799516E-2</v>
      </c>
      <c r="CJ266" s="85">
        <f t="shared" si="2646"/>
        <v>3.6095537346230458E-2</v>
      </c>
      <c r="CK266" s="85">
        <f t="shared" si="2646"/>
        <v>3.3778724029072754E-2</v>
      </c>
      <c r="CL266" s="85">
        <f t="shared" ref="CL266" si="2647">CL45/CL21</f>
        <v>3.4985535496047403E-2</v>
      </c>
      <c r="CM266" s="86">
        <f t="shared" si="2646"/>
        <v>3.3736816781805415E-2</v>
      </c>
      <c r="CN266" s="86">
        <f t="shared" si="2646"/>
        <v>3.2066508658782959E-2</v>
      </c>
      <c r="CO266" s="86">
        <f t="shared" si="2646"/>
        <v>2.8392781331946993E-2</v>
      </c>
      <c r="CP266" s="86">
        <f t="shared" si="2646"/>
        <v>2.9950240111548166E-2</v>
      </c>
      <c r="CQ266" s="86">
        <f t="shared" si="2646"/>
        <v>2.898314674479012E-2</v>
      </c>
      <c r="CR266" s="86">
        <f t="shared" si="2646"/>
        <v>2.7387865851337786E-2</v>
      </c>
      <c r="CS266" s="86">
        <f t="shared" si="2646"/>
        <v>2.4284712042589241E-2</v>
      </c>
      <c r="CT266" s="86">
        <f t="shared" si="2646"/>
        <v>3.1299954190306963E-2</v>
      </c>
      <c r="CU266" s="86">
        <f t="shared" si="2646"/>
        <v>3.0464847557622195E-2</v>
      </c>
      <c r="CV266" s="86">
        <f t="shared" si="2646"/>
        <v>2.8690051274472543E-2</v>
      </c>
      <c r="CW266" s="86">
        <f t="shared" si="2646"/>
        <v>2.552203214141999E-2</v>
      </c>
      <c r="CX266" s="86">
        <f t="shared" si="2646"/>
        <v>2.7658816170544824E-2</v>
      </c>
      <c r="CY266" s="86">
        <f t="shared" si="2646"/>
        <v>2.7043583609251229E-2</v>
      </c>
      <c r="CZ266" s="86">
        <f t="shared" si="2646"/>
        <v>2.5355312944412466E-2</v>
      </c>
      <c r="DA266" s="86">
        <f t="shared" si="2646"/>
        <v>2.2568775828839836E-2</v>
      </c>
      <c r="DD266" s="140"/>
      <c r="DE266" s="85">
        <v>3.5486818400037173E-2</v>
      </c>
    </row>
    <row r="267" spans="1:109" s="84" customFormat="1" x14ac:dyDescent="0.2">
      <c r="AB267" s="57"/>
      <c r="AC267" s="57"/>
      <c r="AD267" s="57"/>
      <c r="AE267" s="57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1"/>
      <c r="DD267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105790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Schaeffler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378.25</v>
      </c>
      <c r="D6">
        <f>_xll.EQNXTDZ($A$1,$B6,D$1,$B$1)</f>
        <v>353.93</v>
      </c>
      <c r="E6">
        <f>_xll.EQNXTDZ($A$1,$B6,E$1,$B$1)</f>
        <v>343.56</v>
      </c>
      <c r="F6">
        <f>_xll.EQNXTDZ($A$1,$B6,F$1,$B$1)</f>
        <v>331.27</v>
      </c>
      <c r="G6">
        <f>_xll.EQNXTDZ($A$1,$B6,G$1,$B$1)</f>
        <v>302.52999999999997</v>
      </c>
      <c r="H6">
        <f>_xll.EQNXTDZ($A$1,$B6,H$1,$B$1)</f>
        <v>368.07</v>
      </c>
      <c r="I6">
        <f>_xll.EQNXTDZ($A$1,$B6,I$1,$B$1)</f>
        <v>390.78</v>
      </c>
      <c r="J6">
        <f>_xll.EQNXTDZ($A$1,$B6,J$1,$B$1)</f>
        <v>397.67</v>
      </c>
      <c r="K6">
        <f>_xll.EQNXTDZ($A$1,$B6,K$1,$B$1)</f>
        <v>388.04</v>
      </c>
      <c r="L6">
        <f>_xll.EQNXTDZ($A$1,$B6,L$1,$B$1)</f>
        <v>406.35</v>
      </c>
      <c r="M6">
        <f>_xll.EQNXTDZ($A$1,$B6,M$1,$B$1)</f>
        <v>425.55</v>
      </c>
      <c r="N6">
        <f>_xll.EQNXTDZ($A$1,$B6,N$1,$B$1)</f>
        <v>405.26</v>
      </c>
      <c r="O6">
        <f>_xll.EQNXTDZ($A$1,$B6,O$1,$B$1)</f>
        <v>428.77</v>
      </c>
      <c r="P6">
        <f>_xll.EQNXTDZ($A$1,$B6,P$1,$B$1)</f>
        <v>434.9</v>
      </c>
      <c r="Q6">
        <f>_xll.EQNXTDZ($A$1,$B6,Q$1,$B$1)</f>
        <v>438.83</v>
      </c>
      <c r="R6">
        <f>_xll.EQNXTDZ($A$1,$B6,R$1,$B$1)</f>
        <v>448.44</v>
      </c>
      <c r="S6">
        <f>_xll.EQNXTDZ($A$1,$B6,S$1,$B$1)</f>
        <v>485.61</v>
      </c>
      <c r="T6">
        <f>_xll.EQNXTDZ($A$1,$B6,T$1,$B$1)</f>
        <v>511.43</v>
      </c>
      <c r="U6">
        <f>_xll.EQNXTDZ($A$1,$B6,U$1,$B$1)</f>
        <v>499.68</v>
      </c>
      <c r="V6">
        <f>_xll.EQNXTDZ($A$1,$B6,V$1,$B$1)</f>
        <v>497.46</v>
      </c>
      <c r="W6">
        <f>_xll.EQNXTDZ($A$1,$B6,W$1,$B$1)</f>
        <v>495.35</v>
      </c>
      <c r="X6">
        <f>_xll.EQNXTDZ($A$1,$B6,X$1,$B$1)</f>
        <v>1004.04</v>
      </c>
      <c r="Y6">
        <f>_xll.EQNXTDZ($A$1,$B6,Y$1,$B$1)</f>
        <v>1022.01</v>
      </c>
      <c r="Z6">
        <f>_xll.EQNXTDZ($A$1,$B6,Z$1,$B$1)</f>
        <v>1083.47</v>
      </c>
      <c r="AA6">
        <f>_xll.EQNXTDZ($A$1,$B6,AA$1,$B$1)</f>
        <v>1100.26</v>
      </c>
      <c r="AB6">
        <f>_xll.EQNXTDZ($A$1,$B6,AB$1,$B$1)</f>
        <v>1191.49</v>
      </c>
      <c r="AC6">
        <f>_xll.EQNXTDZ($A$1,$B6,AC$1,$B$1)</f>
        <v>1186.29</v>
      </c>
      <c r="AD6">
        <f>_xll.EQNXTDZ($A$1,$B6,AD$1,$B$1)</f>
        <v>1172.29</v>
      </c>
      <c r="AE6">
        <f>_xll.EQNXTDZ($A$1,$B6,AE$1,$B$1)</f>
        <v>1116.7</v>
      </c>
      <c r="AF6">
        <f>_xll.EQNXTDZ($A$1,$B6,AF$1,$B$1)</f>
        <v>1035.17</v>
      </c>
      <c r="AG6">
        <f>_xll.EQNXTDZ($A$1,$B6,AG$1,$B$1)</f>
        <v>1036.47</v>
      </c>
      <c r="AH6">
        <f>_xll.EQNXTDZ($A$1,$B6,AH$1,$B$1)</f>
        <v>928.54</v>
      </c>
      <c r="AI6">
        <f>_xll.EQNXTDZ($A$1,$B6,AI$1,$B$1)</f>
        <v>438.88</v>
      </c>
      <c r="AJ6">
        <f>_xll.EQNXTDZ($A$1,$B6,AJ$1,$B$1)</f>
        <v>1120.6500000000001</v>
      </c>
      <c r="AK6">
        <f>_xll.EQNXTDZ($A$1,$B6,AK$1,$B$1)</f>
        <v>1273.77</v>
      </c>
      <c r="AL6">
        <f>_xll.EQNXTDZ($A$1,$B6,AL$1,$B$1)</f>
        <v>1316.82</v>
      </c>
      <c r="AM6">
        <f>_xll.EQNXTDZ($A$1,$B6,AM$1,$B$1)</f>
        <v>1232.8900000000001</v>
      </c>
      <c r="AN6">
        <f>_xll.EQNXTDZ($A$1,$B6,AN$1,$B$1)</f>
        <v>1487.58</v>
      </c>
      <c r="AO6">
        <f>_xll.EQNXTDZ($A$1,$B6,AO$1,$B$1)</f>
        <v>1523.22</v>
      </c>
      <c r="AP6">
        <f>_xll.EQNXTDZ($A$1,$B6,AP$1,$B$1)</f>
        <v>1567.51</v>
      </c>
      <c r="AQ6">
        <f>_xll.EQNXTDZ($A$1,$B6,AQ$1,$B$1)</f>
        <v>1748.83</v>
      </c>
      <c r="AR6">
        <f>_xll.EQNXTDZ($A$1,$B6,AR$1,$B$1)</f>
        <v>1756.43</v>
      </c>
      <c r="AS6">
        <f>_xll.EQNXTDZ($A$1,$B6,AS$1,$B$1)</f>
        <v>1794.65</v>
      </c>
      <c r="AT6">
        <f>_xll.EQNXTDZ($A$1,$B6,AT$1,$B$1)</f>
        <v>1693.62</v>
      </c>
      <c r="AU6">
        <f>_xll.EQNXTDZ($A$1,$B6,AU$1,$B$1)</f>
        <v>1829.14</v>
      </c>
      <c r="AV6">
        <f>_xll.EQNXTDZ($A$1,$B6,AV$1,$B$1)</f>
        <v>1853.6</v>
      </c>
      <c r="AW6">
        <f>_xll.EQNXTDZ($A$1,$B6,AW$1,$B$1)</f>
        <v>1874.55</v>
      </c>
      <c r="AX6">
        <f>_xll.EQNXTDZ($A$1,$B6,AX$1,$B$1)</f>
        <v>1873.13</v>
      </c>
      <c r="AY6">
        <f>_xll.EQNXTDZ($A$1,$B6,AY$1,$B$1)</f>
        <v>2106.84</v>
      </c>
      <c r="AZ6">
        <f>_xll.EQNXTDZ($A$1,$B6,AZ$1,$B$1)</f>
        <v>2116.35</v>
      </c>
      <c r="BA6">
        <f>_xll.EQNXTDZ($A$1,$B6,BA$1,$B$1)</f>
        <v>2136.06</v>
      </c>
      <c r="BB6">
        <f>_xll.EQNXTDZ($A$1,$B6,BB$1,$B$1)</f>
        <v>2174.41</v>
      </c>
      <c r="BC6">
        <f>_xll.EQNXTDZ($A$1,$B6,BC$1,$B$1)</f>
        <v>2352.59</v>
      </c>
      <c r="BD6">
        <f>_xll.EQNXTDZ($A$1,$B6,BD$1,$B$1)</f>
        <v>2434.65</v>
      </c>
      <c r="BE6">
        <f>_xll.EQNXTDZ($A$1,$B6,BE$1,$B$1)</f>
        <v>2724.2</v>
      </c>
      <c r="BF6">
        <f>_xll.EQNXTDZ($A$1,$B6,BF$1,$B$1)</f>
        <v>2585.64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1.87</v>
      </c>
      <c r="D8">
        <f>_xll.EQNXTDZ($A$1,$B8,D$1,$B$1)</f>
        <v>2.2400000000000002</v>
      </c>
      <c r="E8">
        <f>_xll.EQNXTDZ($A$1,$B8,E$1,$B$1)</f>
        <v>3.56</v>
      </c>
      <c r="F8">
        <f>_xll.EQNXTDZ($A$1,$B8,F$1,$B$1)</f>
        <v>1.34</v>
      </c>
      <c r="G8">
        <f>_xll.EQNXTDZ($A$1,$B8,G$1,$B$1)</f>
        <v>2.06</v>
      </c>
      <c r="H8">
        <f>_xll.EQNXTDZ($A$1,$B8,H$1,$B$1)</f>
        <v>3.3</v>
      </c>
      <c r="I8">
        <f>_xll.EQNXTDZ($A$1,$B8,I$1,$B$1)</f>
        <v>3.07</v>
      </c>
      <c r="J8">
        <f>_xll.EQNXTDZ($A$1,$B8,J$1,$B$1)</f>
        <v>3.03</v>
      </c>
      <c r="K8">
        <f>_xll.EQNXTDZ($A$1,$B8,K$1,$B$1)</f>
        <v>3.73</v>
      </c>
      <c r="L8">
        <f>_xll.EQNXTDZ($A$1,$B8,L$1,$B$1)</f>
        <v>3.83</v>
      </c>
      <c r="M8">
        <f>_xll.EQNXTDZ($A$1,$B8,M$1,$B$1)</f>
        <v>3.95</v>
      </c>
      <c r="N8">
        <f>_xll.EQNXTDZ($A$1,$B8,N$1,$B$1)</f>
        <v>3.78</v>
      </c>
      <c r="O8">
        <f>_xll.EQNXTDZ($A$1,$B8,O$1,$B$1)</f>
        <v>3.35</v>
      </c>
      <c r="P8">
        <f>_xll.EQNXTDZ($A$1,$B8,P$1,$B$1)</f>
        <v>3.41</v>
      </c>
      <c r="Q8">
        <f>_xll.EQNXTDZ($A$1,$B8,Q$1,$B$1)</f>
        <v>6.13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380.12</v>
      </c>
      <c r="D9">
        <f>_xll.EQNXTDZ($A$1,$B9,D$1,$B$1)</f>
        <v>356.17</v>
      </c>
      <c r="E9">
        <f>_xll.EQNXTDZ($A$1,$B9,E$1,$B$1)</f>
        <v>347.12</v>
      </c>
      <c r="F9">
        <f>_xll.EQNXTDZ($A$1,$B9,F$1,$B$1)</f>
        <v>332.61</v>
      </c>
      <c r="G9">
        <f>_xll.EQNXTDZ($A$1,$B9,G$1,$B$1)</f>
        <v>304.58999999999997</v>
      </c>
      <c r="H9">
        <f>_xll.EQNXTDZ($A$1,$B9,H$1,$B$1)</f>
        <v>371.37</v>
      </c>
      <c r="I9">
        <f>_xll.EQNXTDZ($A$1,$B9,I$1,$B$1)</f>
        <v>393.85</v>
      </c>
      <c r="J9">
        <f>_xll.EQNXTDZ($A$1,$B9,J$1,$B$1)</f>
        <v>400.7</v>
      </c>
      <c r="K9">
        <f>_xll.EQNXTDZ($A$1,$B9,K$1,$B$1)</f>
        <v>391.77</v>
      </c>
      <c r="L9">
        <f>_xll.EQNXTDZ($A$1,$B9,L$1,$B$1)</f>
        <v>410.18</v>
      </c>
      <c r="M9">
        <f>_xll.EQNXTDZ($A$1,$B9,M$1,$B$1)</f>
        <v>429.5</v>
      </c>
      <c r="N9">
        <f>_xll.EQNXTDZ($A$1,$B9,N$1,$B$1)</f>
        <v>409.04</v>
      </c>
      <c r="O9">
        <f>_xll.EQNXTDZ($A$1,$B9,O$1,$B$1)</f>
        <v>432.12</v>
      </c>
      <c r="P9">
        <f>_xll.EQNXTDZ($A$1,$B9,P$1,$B$1)</f>
        <v>438.31</v>
      </c>
      <c r="Q9">
        <f>_xll.EQNXTDZ($A$1,$B9,Q$1,$B$1)</f>
        <v>444.96</v>
      </c>
      <c r="R9">
        <f>_xll.EQNXTDZ($A$1,$B9,R$1,$B$1)</f>
        <v>448.44</v>
      </c>
      <c r="S9">
        <f>_xll.EQNXTDZ($A$1,$B9,S$1,$B$1)</f>
        <v>485.61</v>
      </c>
      <c r="T9">
        <f>_xll.EQNXTDZ($A$1,$B9,T$1,$B$1)</f>
        <v>511.43</v>
      </c>
      <c r="U9">
        <f>_xll.EQNXTDZ($A$1,$B9,U$1,$B$1)</f>
        <v>499.68</v>
      </c>
      <c r="V9">
        <f>_xll.EQNXTDZ($A$1,$B9,V$1,$B$1)</f>
        <v>497.46</v>
      </c>
      <c r="W9">
        <f>_xll.EQNXTDZ($A$1,$B9,W$1,$B$1)</f>
        <v>495.35</v>
      </c>
      <c r="X9">
        <f>_xll.EQNXTDZ($A$1,$B9,X$1,$B$1)</f>
        <v>1004.04</v>
      </c>
      <c r="Y9">
        <f>_xll.EQNXTDZ($A$1,$B9,Y$1,$B$1)</f>
        <v>1022.01</v>
      </c>
      <c r="Z9">
        <f>_xll.EQNXTDZ($A$1,$B9,Z$1,$B$1)</f>
        <v>1083.47</v>
      </c>
      <c r="AA9">
        <f>_xll.EQNXTDZ($A$1,$B9,AA$1,$B$1)</f>
        <v>1100.26</v>
      </c>
      <c r="AB9">
        <f>_xll.EQNXTDZ($A$1,$B9,AB$1,$B$1)</f>
        <v>1191.49</v>
      </c>
      <c r="AC9">
        <f>_xll.EQNXTDZ($A$1,$B9,AC$1,$B$1)</f>
        <v>1186.29</v>
      </c>
      <c r="AD9">
        <f>_xll.EQNXTDZ($A$1,$B9,AD$1,$B$1)</f>
        <v>1172.29</v>
      </c>
      <c r="AE9">
        <f>_xll.EQNXTDZ($A$1,$B9,AE$1,$B$1)</f>
        <v>1116.7</v>
      </c>
      <c r="AF9">
        <f>_xll.EQNXTDZ($A$1,$B9,AF$1,$B$1)</f>
        <v>1035.17</v>
      </c>
      <c r="AG9">
        <f>_xll.EQNXTDZ($A$1,$B9,AG$1,$B$1)</f>
        <v>1036.47</v>
      </c>
      <c r="AH9">
        <f>_xll.EQNXTDZ($A$1,$B9,AH$1,$B$1)</f>
        <v>928.54</v>
      </c>
      <c r="AI9">
        <f>_xll.EQNXTDZ($A$1,$B9,AI$1,$B$1)</f>
        <v>438.88</v>
      </c>
      <c r="AJ9">
        <f>_xll.EQNXTDZ($A$1,$B9,AJ$1,$B$1)</f>
        <v>1120.6500000000001</v>
      </c>
      <c r="AK9">
        <f>_xll.EQNXTDZ($A$1,$B9,AK$1,$B$1)</f>
        <v>1273.77</v>
      </c>
      <c r="AL9">
        <f>_xll.EQNXTDZ($A$1,$B9,AL$1,$B$1)</f>
        <v>1316.82</v>
      </c>
      <c r="AM9">
        <f>_xll.EQNXTDZ($A$1,$B9,AM$1,$B$1)</f>
        <v>1232.8900000000001</v>
      </c>
      <c r="AN9">
        <f>_xll.EQNXTDZ($A$1,$B9,AN$1,$B$1)</f>
        <v>1487.58</v>
      </c>
      <c r="AO9">
        <f>_xll.EQNXTDZ($A$1,$B9,AO$1,$B$1)</f>
        <v>1523.22</v>
      </c>
      <c r="AP9">
        <f>_xll.EQNXTDZ($A$1,$B9,AP$1,$B$1)</f>
        <v>1567.51</v>
      </c>
      <c r="AQ9">
        <f>_xll.EQNXTDZ($A$1,$B9,AQ$1,$B$1)</f>
        <v>1748.83</v>
      </c>
      <c r="AR9">
        <f>_xll.EQNXTDZ($A$1,$B9,AR$1,$B$1)</f>
        <v>1756.43</v>
      </c>
      <c r="AS9">
        <f>_xll.EQNXTDZ($A$1,$B9,AS$1,$B$1)</f>
        <v>1794.65</v>
      </c>
      <c r="AT9">
        <f>_xll.EQNXTDZ($A$1,$B9,AT$1,$B$1)</f>
        <v>1693.62</v>
      </c>
      <c r="AU9">
        <f>_xll.EQNXTDZ($A$1,$B9,AU$1,$B$1)</f>
        <v>1829.14</v>
      </c>
      <c r="AV9">
        <f>_xll.EQNXTDZ($A$1,$B9,AV$1,$B$1)</f>
        <v>1853.6</v>
      </c>
      <c r="AW9">
        <f>_xll.EQNXTDZ($A$1,$B9,AW$1,$B$1)</f>
        <v>1874.55</v>
      </c>
      <c r="AX9">
        <f>_xll.EQNXTDZ($A$1,$B9,AX$1,$B$1)</f>
        <v>1873.13</v>
      </c>
      <c r="AY9">
        <f>_xll.EQNXTDZ($A$1,$B9,AY$1,$B$1)</f>
        <v>2106.84</v>
      </c>
      <c r="AZ9">
        <f>_xll.EQNXTDZ($A$1,$B9,AZ$1,$B$1)</f>
        <v>2116.35</v>
      </c>
      <c r="BA9">
        <f>_xll.EQNXTDZ($A$1,$B9,BA$1,$B$1)</f>
        <v>2136.06</v>
      </c>
      <c r="BB9">
        <f>_xll.EQNXTDZ($A$1,$B9,BB$1,$B$1)</f>
        <v>2174.41</v>
      </c>
      <c r="BC9">
        <f>_xll.EQNXTDZ($A$1,$B9,BC$1,$B$1)</f>
        <v>2352.59</v>
      </c>
      <c r="BD9">
        <f>_xll.EQNXTDZ($A$1,$B9,BD$1,$B$1)</f>
        <v>2434.65</v>
      </c>
      <c r="BE9">
        <f>_xll.EQNXTDZ($A$1,$B9,BE$1,$B$1)</f>
        <v>2724.2</v>
      </c>
      <c r="BF9">
        <f>_xll.EQNXTDZ($A$1,$B9,BF$1,$B$1)</f>
        <v>2585.64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10.69</v>
      </c>
      <c r="D10">
        <f>_xll.EQNXTDZ($A$1,$B10,D$1,$B$1)</f>
        <v>-17.41</v>
      </c>
      <c r="E10">
        <f>_xll.EQNXTDZ($A$1,$B10,E$1,$B$1)</f>
        <v>22.81</v>
      </c>
      <c r="F10">
        <f>_xll.EQNXTDZ($A$1,$B10,F$1,$B$1)</f>
        <v>3.36</v>
      </c>
      <c r="G10">
        <f>_xll.EQNXTDZ($A$1,$B10,G$1,$B$1)</f>
        <v>-28.38</v>
      </c>
      <c r="H10">
        <f>_xll.EQNXTDZ($A$1,$B10,H$1,$B$1)</f>
        <v>-9.7100000000000009</v>
      </c>
      <c r="I10">
        <f>_xll.EQNXTDZ($A$1,$B10,I$1,$B$1)</f>
        <v>2.5299999999999998</v>
      </c>
      <c r="J10">
        <f>_xll.EQNXTDZ($A$1,$B10,J$1,$B$1)</f>
        <v>5.57</v>
      </c>
      <c r="K10">
        <f>_xll.EQNXTDZ($A$1,$B10,K$1,$B$1)</f>
        <v>-10.24</v>
      </c>
      <c r="L10">
        <f>_xll.EQNXTDZ($A$1,$B10,L$1,$B$1)</f>
        <v>-40.270000000000003</v>
      </c>
      <c r="M10">
        <f>_xll.EQNXTDZ($A$1,$B10,M$1,$B$1)</f>
        <v>42.83</v>
      </c>
      <c r="N10">
        <f>_xll.EQNXTDZ($A$1,$B10,N$1,$B$1)</f>
        <v>8.4700000000000006</v>
      </c>
      <c r="O10">
        <f>_xll.EQNXTDZ($A$1,$B10,O$1,$B$1)</f>
        <v>-6.44</v>
      </c>
      <c r="P10">
        <f>_xll.EQNXTDZ($A$1,$B10,P$1,$B$1)</f>
        <v>-8.4700000000000006</v>
      </c>
      <c r="Q10">
        <f>_xll.EQNXTDZ($A$1,$B10,Q$1,$B$1)</f>
        <v>-7.06</v>
      </c>
      <c r="R10">
        <f>_xll.EQNXTDZ($A$1,$B10,R$1,$B$1)</f>
        <v>-18.12</v>
      </c>
      <c r="S10">
        <f>_xll.EQNXTDZ($A$1,$B10,S$1,$B$1)</f>
        <v>-14.2</v>
      </c>
      <c r="T10">
        <f>_xll.EQNXTDZ($A$1,$B10,T$1,$B$1)</f>
        <v>-9.56</v>
      </c>
      <c r="U10">
        <f>_xll.EQNXTDZ($A$1,$B10,U$1,$B$1)</f>
        <v>-17.23</v>
      </c>
      <c r="V10">
        <f>_xll.EQNXTDZ($A$1,$B10,V$1,$B$1)</f>
        <v>10.31</v>
      </c>
      <c r="W10">
        <f>_xll.EQNXTDZ($A$1,$B10,W$1,$B$1)</f>
        <v>-21.31</v>
      </c>
      <c r="X10">
        <f>_xll.EQNXTDZ($A$1,$B10,X$1,$B$1)</f>
        <v>25.21</v>
      </c>
      <c r="Y10">
        <f>_xll.EQNXTDZ($A$1,$B10,Y$1,$B$1)</f>
        <v>0.47</v>
      </c>
      <c r="Z10">
        <f>_xll.EQNXTDZ($A$1,$B10,Z$1,$B$1)</f>
        <v>-68.77</v>
      </c>
      <c r="AA10">
        <f>_xll.EQNXTDZ($A$1,$B10,AA$1,$B$1)</f>
        <v>-124.72</v>
      </c>
      <c r="AB10">
        <f>_xll.EQNXTDZ($A$1,$B10,AB$1,$B$1)</f>
        <v>-141.13999999999999</v>
      </c>
      <c r="AC10">
        <f>_xll.EQNXTDZ($A$1,$B10,AC$1,$B$1)</f>
        <v>104.71</v>
      </c>
      <c r="AD10">
        <f>_xll.EQNXTDZ($A$1,$B10,AD$1,$B$1)</f>
        <v>-101.81</v>
      </c>
      <c r="AE10">
        <f>_xll.EQNXTDZ($A$1,$B10,AE$1,$B$1)</f>
        <v>-52.31</v>
      </c>
      <c r="AF10">
        <f>_xll.EQNXTDZ($A$1,$B10,AF$1,$B$1)</f>
        <v>25.06</v>
      </c>
      <c r="AG10">
        <f>_xll.EQNXTDZ($A$1,$B10,AG$1,$B$1)</f>
        <v>144.88999999999999</v>
      </c>
      <c r="AH10">
        <f>_xll.EQNXTDZ($A$1,$B10,AH$1,$B$1)</f>
        <v>-72.510000000000005</v>
      </c>
      <c r="AI10">
        <f>_xll.EQNXTDZ($A$1,$B10,AI$1,$B$1)</f>
        <v>38.17</v>
      </c>
      <c r="AJ10">
        <f>_xll.EQNXTDZ($A$1,$B10,AJ$1,$B$1)</f>
        <v>119.05</v>
      </c>
      <c r="AK10">
        <f>_xll.EQNXTDZ($A$1,$B10,AK$1,$B$1)</f>
        <v>-32.44</v>
      </c>
      <c r="AL10">
        <f>_xll.EQNXTDZ($A$1,$B10,AL$1,$B$1)</f>
        <v>-18.100000000000001</v>
      </c>
      <c r="AM10">
        <f>_xll.EQNXTDZ($A$1,$B10,AM$1,$B$1)</f>
        <v>-147.91999999999999</v>
      </c>
      <c r="AN10">
        <f>_xll.EQNXTDZ($A$1,$B10,AN$1,$B$1)</f>
        <v>-80.25</v>
      </c>
      <c r="AO10">
        <f>_xll.EQNXTDZ($A$1,$B10,AO$1,$B$1)</f>
        <v>13.1</v>
      </c>
      <c r="AP10">
        <f>_xll.EQNXTDZ($A$1,$B10,AP$1,$B$1)</f>
        <v>-82.65</v>
      </c>
      <c r="AQ10">
        <f>_xll.EQNXTDZ($A$1,$B10,AQ$1,$B$1)</f>
        <v>-8.58</v>
      </c>
      <c r="AR10">
        <f>_xll.EQNXTDZ($A$1,$B10,AR$1,$B$1)</f>
        <v>-65.010000000000005</v>
      </c>
      <c r="AS10">
        <f>_xll.EQNXTDZ($A$1,$B10,AS$1,$B$1)</f>
        <v>100.29</v>
      </c>
      <c r="AT10">
        <f>_xll.EQNXTDZ($A$1,$B10,AT$1,$B$1)</f>
        <v>-95.33</v>
      </c>
      <c r="AU10">
        <f>_xll.EQNXTDZ($A$1,$B10,AU$1,$B$1)</f>
        <v>-36.31</v>
      </c>
      <c r="AV10">
        <f>_xll.EQNXTDZ($A$1,$B10,AV$1,$B$1)</f>
        <v>-13.96</v>
      </c>
      <c r="AW10">
        <f>_xll.EQNXTDZ($A$1,$B10,AW$1,$B$1)</f>
        <v>70.7</v>
      </c>
      <c r="AX10">
        <f>_xll.EQNXTDZ($A$1,$B10,AX$1,$B$1)</f>
        <v>-141.15</v>
      </c>
      <c r="AY10">
        <f>_xll.EQNXTDZ($A$1,$B10,AY$1,$B$1)</f>
        <v>-135.1</v>
      </c>
      <c r="AZ10">
        <f>_xll.EQNXTDZ($A$1,$B10,AZ$1,$B$1)</f>
        <v>-34.630000000000003</v>
      </c>
      <c r="BA10">
        <f>_xll.EQNXTDZ($A$1,$B10,BA$1,$B$1)</f>
        <v>154.44</v>
      </c>
      <c r="BB10">
        <f>_xll.EQNXTDZ($A$1,$B10,BB$1,$B$1)</f>
        <v>13.63</v>
      </c>
      <c r="BC10">
        <f>_xll.EQNXTDZ($A$1,$B10,BC$1,$B$1)</f>
        <v>-21.1</v>
      </c>
      <c r="BD10">
        <f>_xll.EQNXTDZ($A$1,$B10,BD$1,$B$1)</f>
        <v>-112.03</v>
      </c>
      <c r="BE10">
        <f>_xll.EQNXTDZ($A$1,$B10,BE$1,$B$1)</f>
        <v>25.4</v>
      </c>
      <c r="BF10">
        <f>_xll.EQNXTDZ($A$1,$B10,BF$1,$B$1)</f>
        <v>-137.41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130.26</v>
      </c>
      <c r="D11">
        <f>_xll.EQNXTDZ($A$1,$B11,D$1,$B$1)</f>
        <v>126.94</v>
      </c>
      <c r="E11">
        <f>_xll.EQNXTDZ($A$1,$B11,E$1,$B$1)</f>
        <v>100.03</v>
      </c>
      <c r="F11">
        <f>_xll.EQNXTDZ($A$1,$B11,F$1,$B$1)</f>
        <v>119.5</v>
      </c>
      <c r="G11">
        <f>_xll.EQNXTDZ($A$1,$B11,G$1,$B$1)</f>
        <v>118.01</v>
      </c>
      <c r="H11">
        <f>_xll.EQNXTDZ($A$1,$B11,H$1,$B$1)</f>
        <v>125.63</v>
      </c>
      <c r="I11">
        <f>_xll.EQNXTDZ($A$1,$B11,I$1,$B$1)</f>
        <v>140.54</v>
      </c>
      <c r="J11">
        <f>_xll.EQNXTDZ($A$1,$B11,J$1,$B$1)</f>
        <v>144.93</v>
      </c>
      <c r="K11">
        <f>_xll.EQNXTDZ($A$1,$B11,K$1,$B$1)</f>
        <v>158.44999999999999</v>
      </c>
      <c r="L11">
        <f>_xll.EQNXTDZ($A$1,$B11,L$1,$B$1)</f>
        <v>160.69</v>
      </c>
      <c r="M11">
        <f>_xll.EQNXTDZ($A$1,$B11,M$1,$B$1)</f>
        <v>138.01</v>
      </c>
      <c r="N11">
        <f>_xll.EQNXTDZ($A$1,$B11,N$1,$B$1)</f>
        <v>145.56</v>
      </c>
      <c r="O11">
        <f>_xll.EQNXTDZ($A$1,$B11,O$1,$B$1)</f>
        <v>150.69999999999999</v>
      </c>
      <c r="P11">
        <f>_xll.EQNXTDZ($A$1,$B11,P$1,$B$1)</f>
        <v>160.16</v>
      </c>
      <c r="Q11">
        <f>_xll.EQNXTDZ($A$1,$B11,Q$1,$B$1)</f>
        <v>172.8</v>
      </c>
      <c r="R11">
        <f>_xll.EQNXTDZ($A$1,$B11,R$1,$B$1)</f>
        <v>157.99</v>
      </c>
      <c r="S11">
        <f>_xll.EQNXTDZ($A$1,$B11,S$1,$B$1)</f>
        <v>169.47</v>
      </c>
      <c r="T11">
        <f>_xll.EQNXTDZ($A$1,$B11,T$1,$B$1)</f>
        <v>177.84</v>
      </c>
      <c r="U11">
        <f>_xll.EQNXTDZ($A$1,$B11,U$1,$B$1)</f>
        <v>177.57</v>
      </c>
      <c r="V11">
        <f>_xll.EQNXTDZ($A$1,$B11,V$1,$B$1)</f>
        <v>175.6</v>
      </c>
      <c r="W11">
        <f>_xll.EQNXTDZ($A$1,$B11,W$1,$B$1)</f>
        <v>186.96</v>
      </c>
      <c r="X11">
        <f>_xll.EQNXTDZ($A$1,$B11,X$1,$B$1)</f>
        <v>408.26</v>
      </c>
      <c r="Y11">
        <f>_xll.EQNXTDZ($A$1,$B11,Y$1,$B$1)</f>
        <v>421.26</v>
      </c>
      <c r="Z11">
        <f>_xll.EQNXTDZ($A$1,$B11,Z$1,$B$1)</f>
        <v>482.89</v>
      </c>
      <c r="AA11">
        <f>_xll.EQNXTDZ($A$1,$B11,AA$1,$B$1)</f>
        <v>449.71</v>
      </c>
      <c r="AB11">
        <f>_xll.EQNXTDZ($A$1,$B11,AB$1,$B$1)</f>
        <v>448.5</v>
      </c>
      <c r="AC11">
        <f>_xll.EQNXTDZ($A$1,$B11,AC$1,$B$1)</f>
        <v>436.5</v>
      </c>
      <c r="AD11">
        <f>_xll.EQNXTDZ($A$1,$B11,AD$1,$B$1)</f>
        <v>489.99</v>
      </c>
      <c r="AE11">
        <f>_xll.EQNXTDZ($A$1,$B11,AE$1,$B$1)</f>
        <v>466.54</v>
      </c>
      <c r="AF11">
        <f>_xll.EQNXTDZ($A$1,$B11,AF$1,$B$1)</f>
        <v>396.07</v>
      </c>
      <c r="AG11">
        <f>_xll.EQNXTDZ($A$1,$B11,AG$1,$B$1)</f>
        <v>378.15</v>
      </c>
      <c r="AH11">
        <f>_xll.EQNXTDZ($A$1,$B11,AH$1,$B$1)</f>
        <v>395.01</v>
      </c>
      <c r="AI11">
        <f>_xll.EQNXTDZ($A$1,$B11,AI$1,$B$1)</f>
        <v>93.9</v>
      </c>
      <c r="AJ11">
        <f>_xll.EQNXTDZ($A$1,$B11,AJ$1,$B$1)</f>
        <v>405.79</v>
      </c>
      <c r="AK11">
        <f>_xll.EQNXTDZ($A$1,$B11,AK$1,$B$1)</f>
        <v>494.94</v>
      </c>
      <c r="AL11">
        <f>_xll.EQNXTDZ($A$1,$B11,AL$1,$B$1)</f>
        <v>552.04</v>
      </c>
      <c r="AM11">
        <f>_xll.EQNXTDZ($A$1,$B11,AM$1,$B$1)</f>
        <v>543.57000000000005</v>
      </c>
      <c r="AN11">
        <f>_xll.EQNXTDZ($A$1,$B11,AN$1,$B$1)</f>
        <v>612.74</v>
      </c>
      <c r="AO11">
        <f>_xll.EQNXTDZ($A$1,$B11,AO$1,$B$1)</f>
        <v>567.19000000000005</v>
      </c>
      <c r="AP11">
        <f>_xll.EQNXTDZ($A$1,$B11,AP$1,$B$1)</f>
        <v>652.72</v>
      </c>
      <c r="AQ11">
        <f>_xll.EQNXTDZ($A$1,$B11,AQ$1,$B$1)</f>
        <v>718.74</v>
      </c>
      <c r="AR11">
        <f>_xll.EQNXTDZ($A$1,$B11,AR$1,$B$1)</f>
        <v>751.59</v>
      </c>
      <c r="AS11">
        <f>_xll.EQNXTDZ($A$1,$B11,AS$1,$B$1)</f>
        <v>649.03</v>
      </c>
      <c r="AT11">
        <f>_xll.EQNXTDZ($A$1,$B11,AT$1,$B$1)</f>
        <v>771.45</v>
      </c>
      <c r="AU11">
        <f>_xll.EQNXTDZ($A$1,$B11,AU$1,$B$1)</f>
        <v>788.53</v>
      </c>
      <c r="AV11">
        <f>_xll.EQNXTDZ($A$1,$B11,AV$1,$B$1)</f>
        <v>780.85</v>
      </c>
      <c r="AW11">
        <f>_xll.EQNXTDZ($A$1,$B11,AW$1,$B$1)</f>
        <v>742.64</v>
      </c>
      <c r="AX11">
        <f>_xll.EQNXTDZ($A$1,$B11,AX$1,$B$1)</f>
        <v>838.43</v>
      </c>
      <c r="AY11">
        <f>_xll.EQNXTDZ($A$1,$B11,AY$1,$B$1)</f>
        <v>850.13</v>
      </c>
      <c r="AZ11">
        <f>_xll.EQNXTDZ($A$1,$B11,AZ$1,$B$1)</f>
        <v>831.61</v>
      </c>
      <c r="BA11">
        <f>_xll.EQNXTDZ($A$1,$B11,BA$1,$B$1)</f>
        <v>768.64</v>
      </c>
      <c r="BB11">
        <f>_xll.EQNXTDZ($A$1,$B11,BB$1,$B$1)</f>
        <v>920.88</v>
      </c>
      <c r="BC11">
        <f>_xll.EQNXTDZ($A$1,$B11,BC$1,$B$1)</f>
        <v>950.33</v>
      </c>
      <c r="BD11">
        <f>_xll.EQNXTDZ($A$1,$B11,BD$1,$B$1)</f>
        <v>1063.5</v>
      </c>
      <c r="BE11">
        <f>_xll.EQNXTDZ($A$1,$B11,BE$1,$B$1)</f>
        <v>1105.56</v>
      </c>
      <c r="BF11">
        <f>_xll.EQNXTDZ($A$1,$B11,BF$1,$B$1)</f>
        <v>1156.3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97.75</v>
      </c>
      <c r="D12">
        <f>_xll.EQNXTDZ($A$1,$B12,D$1,$B$1)</f>
        <v>110.68</v>
      </c>
      <c r="E12">
        <f>_xll.EQNXTDZ($A$1,$B12,E$1,$B$1)</f>
        <v>103.85</v>
      </c>
      <c r="F12">
        <f>_xll.EQNXTDZ($A$1,$B12,F$1,$B$1)</f>
        <v>90.3</v>
      </c>
      <c r="G12">
        <f>_xll.EQNXTDZ($A$1,$B12,G$1,$B$1)</f>
        <v>90.04</v>
      </c>
      <c r="H12">
        <f>_xll.EQNXTDZ($A$1,$B12,H$1,$B$1)</f>
        <v>124.51</v>
      </c>
      <c r="I12">
        <f>_xll.EQNXTDZ($A$1,$B12,I$1,$B$1)</f>
        <v>120.76</v>
      </c>
      <c r="J12">
        <f>_xll.EQNXTDZ($A$1,$B12,J$1,$B$1)</f>
        <v>99.17</v>
      </c>
      <c r="K12">
        <f>_xll.EQNXTDZ($A$1,$B12,K$1,$B$1)</f>
        <v>88.94</v>
      </c>
      <c r="L12">
        <f>_xll.EQNXTDZ($A$1,$B12,L$1,$B$1)</f>
        <v>123.64</v>
      </c>
      <c r="M12">
        <f>_xll.EQNXTDZ($A$1,$B12,M$1,$B$1)</f>
        <v>85.6</v>
      </c>
      <c r="N12">
        <f>_xll.EQNXTDZ($A$1,$B12,N$1,$B$1)</f>
        <v>81.81</v>
      </c>
      <c r="O12">
        <f>_xll.EQNXTDZ($A$1,$B12,O$1,$B$1)</f>
        <v>99.51</v>
      </c>
      <c r="P12">
        <f>_xll.EQNXTDZ($A$1,$B12,P$1,$B$1)</f>
        <v>101.07</v>
      </c>
      <c r="Q12">
        <f>_xll.EQNXTDZ($A$1,$B12,Q$1,$B$1)</f>
        <v>89.03</v>
      </c>
      <c r="R12">
        <f>_xll.EQNXTDZ($A$1,$B12,R$1,$B$1)</f>
        <v>103.2</v>
      </c>
      <c r="S12">
        <f>_xll.EQNXTDZ($A$1,$B12,S$1,$B$1)</f>
        <v>121.49</v>
      </c>
      <c r="T12">
        <f>_xll.EQNXTDZ($A$1,$B12,T$1,$B$1)</f>
        <v>119</v>
      </c>
      <c r="U12">
        <f>_xll.EQNXTDZ($A$1,$B12,U$1,$B$1)</f>
        <v>115.15</v>
      </c>
      <c r="V12">
        <f>_xll.EQNXTDZ($A$1,$B12,V$1,$B$1)</f>
        <v>84.64</v>
      </c>
      <c r="W12">
        <f>_xll.EQNXTDZ($A$1,$B12,W$1,$B$1)</f>
        <v>94.39</v>
      </c>
      <c r="X12">
        <f>_xll.EQNXTDZ($A$1,$B12,X$1,$B$1)</f>
        <v>185.18</v>
      </c>
      <c r="Y12">
        <f>_xll.EQNXTDZ($A$1,$B12,Y$1,$B$1)</f>
        <v>185.37</v>
      </c>
      <c r="Z12">
        <f>_xll.EQNXTDZ($A$1,$B12,Z$1,$B$1)</f>
        <v>261.26</v>
      </c>
      <c r="AA12">
        <f>_xll.EQNXTDZ($A$1,$B12,AA$1,$B$1)</f>
        <v>361.86</v>
      </c>
      <c r="AB12">
        <f>_xll.EQNXTDZ($A$1,$B12,AB$1,$B$1)</f>
        <v>435.07</v>
      </c>
      <c r="AC12">
        <f>_xll.EQNXTDZ($A$1,$B12,AC$1,$B$1)</f>
        <v>227.69</v>
      </c>
      <c r="AD12">
        <f>_xll.EQNXTDZ($A$1,$B12,AD$1,$B$1)</f>
        <v>357.34</v>
      </c>
      <c r="AE12">
        <f>_xll.EQNXTDZ($A$1,$B12,AE$1,$B$1)</f>
        <v>274.82</v>
      </c>
      <c r="AF12">
        <f>_xll.EQNXTDZ($A$1,$B12,AF$1,$B$1)</f>
        <v>231.34</v>
      </c>
      <c r="AG12">
        <f>_xll.EQNXTDZ($A$1,$B12,AG$1,$B$1)</f>
        <v>139.51</v>
      </c>
      <c r="AH12">
        <f>_xll.EQNXTDZ($A$1,$B12,AH$1,$B$1)</f>
        <v>236.74</v>
      </c>
      <c r="AI12">
        <f>_xll.EQNXTDZ($A$1,$B12,AI$1,$B$1)</f>
        <v>142.97999999999999</v>
      </c>
      <c r="AJ12">
        <f>_xll.EQNXTDZ($A$1,$B12,AJ$1,$B$1)</f>
        <v>182.31</v>
      </c>
      <c r="AK12">
        <f>_xll.EQNXTDZ($A$1,$B12,AK$1,$B$1)</f>
        <v>329.2</v>
      </c>
      <c r="AL12">
        <f>_xll.EQNXTDZ($A$1,$B12,AL$1,$B$1)</f>
        <v>309.52</v>
      </c>
      <c r="AM12">
        <f>_xll.EQNXTDZ($A$1,$B12,AM$1,$B$1)</f>
        <v>362.72</v>
      </c>
      <c r="AN12">
        <f>_xll.EQNXTDZ($A$1,$B12,AN$1,$B$1)</f>
        <v>397.93</v>
      </c>
      <c r="AO12">
        <f>_xll.EQNXTDZ($A$1,$B12,AO$1,$B$1)</f>
        <v>349.85</v>
      </c>
      <c r="AP12">
        <f>_xll.EQNXTDZ($A$1,$B12,AP$1,$B$1)</f>
        <v>382.2</v>
      </c>
      <c r="AQ12">
        <f>_xll.EQNXTDZ($A$1,$B12,AQ$1,$B$1)</f>
        <v>389.03</v>
      </c>
      <c r="AR12">
        <f>_xll.EQNXTDZ($A$1,$B12,AR$1,$B$1)</f>
        <v>420.12</v>
      </c>
      <c r="AS12">
        <f>_xll.EQNXTDZ($A$1,$B12,AS$1,$B$1)</f>
        <v>344.85</v>
      </c>
      <c r="AT12">
        <f>_xll.EQNXTDZ($A$1,$B12,AT$1,$B$1)</f>
        <v>360.62</v>
      </c>
      <c r="AU12">
        <f>_xll.EQNXTDZ($A$1,$B12,AU$1,$B$1)</f>
        <v>370.69</v>
      </c>
      <c r="AV12">
        <f>_xll.EQNXTDZ($A$1,$B12,AV$1,$B$1)</f>
        <v>398.39</v>
      </c>
      <c r="AW12">
        <f>_xll.EQNXTDZ($A$1,$B12,AW$1,$B$1)</f>
        <v>364.55</v>
      </c>
      <c r="AX12">
        <f>_xll.EQNXTDZ($A$1,$B12,AX$1,$B$1)</f>
        <v>466.75</v>
      </c>
      <c r="AY12">
        <f>_xll.EQNXTDZ($A$1,$B12,AY$1,$B$1)</f>
        <v>597.16</v>
      </c>
      <c r="AZ12">
        <f>_xll.EQNXTDZ($A$1,$B12,AZ$1,$B$1)</f>
        <v>525.48</v>
      </c>
      <c r="BA12">
        <f>_xll.EQNXTDZ($A$1,$B12,BA$1,$B$1)</f>
        <v>435.17</v>
      </c>
      <c r="BB12">
        <f>_xll.EQNXTDZ($A$1,$B12,BB$1,$B$1)</f>
        <v>413.41</v>
      </c>
      <c r="BC12">
        <f>_xll.EQNXTDZ($A$1,$B12,BC$1,$B$1)</f>
        <v>499.26</v>
      </c>
      <c r="BD12">
        <f>_xll.EQNXTDZ($A$1,$B12,BD$1,$B$1)</f>
        <v>539.41</v>
      </c>
      <c r="BE12">
        <f>_xll.EQNXTDZ($A$1,$B12,BE$1,$B$1)</f>
        <v>534.29</v>
      </c>
      <c r="BF12">
        <f>_xll.EQNXTDZ($A$1,$B12,BF$1,$B$1)</f>
        <v>574.01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35.56</v>
      </c>
      <c r="S13">
        <f>_xll.EQNXTDZ($A$1,$B13,S$1,$B$1)</f>
        <v>37.590000000000003</v>
      </c>
      <c r="T13">
        <f>_xll.EQNXTDZ($A$1,$B13,T$1,$B$1)</f>
        <v>38.76</v>
      </c>
      <c r="U13">
        <f>_xll.EQNXTDZ($A$1,$B13,U$1,$B$1)</f>
        <v>36.93</v>
      </c>
      <c r="V13">
        <f>_xll.EQNXTDZ($A$1,$B13,V$1,$B$1)</f>
        <v>36.22</v>
      </c>
      <c r="W13">
        <f>_xll.EQNXTDZ($A$1,$B13,W$1,$B$1)</f>
        <v>36.130000000000003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49.64</v>
      </c>
      <c r="D14">
        <f>_xll.EQNXTDZ($A$1,$B14,D$1,$B$1)</f>
        <v>56.7</v>
      </c>
      <c r="E14">
        <f>_xll.EQNXTDZ($A$1,$B14,E$1,$B$1)</f>
        <v>48.75</v>
      </c>
      <c r="F14">
        <f>_xll.EQNXTDZ($A$1,$B14,F$1,$B$1)</f>
        <v>48.06</v>
      </c>
      <c r="G14">
        <f>_xll.EQNXTDZ($A$1,$B14,G$1,$B$1)</f>
        <v>51.53</v>
      </c>
      <c r="H14">
        <f>_xll.EQNXTDZ($A$1,$B14,H$1,$B$1)</f>
        <v>49.01</v>
      </c>
      <c r="I14">
        <f>_xll.EQNXTDZ($A$1,$B14,I$1,$B$1)</f>
        <v>54.01</v>
      </c>
      <c r="J14">
        <f>_xll.EQNXTDZ($A$1,$B14,J$1,$B$1)</f>
        <v>57.84</v>
      </c>
      <c r="K14">
        <f>_xll.EQNXTDZ($A$1,$B14,K$1,$B$1)</f>
        <v>57.23</v>
      </c>
      <c r="L14">
        <f>_xll.EQNXTDZ($A$1,$B14,L$1,$B$1)</f>
        <v>74.28</v>
      </c>
      <c r="M14">
        <f>_xll.EQNXTDZ($A$1,$B14,M$1,$B$1)</f>
        <v>65.8</v>
      </c>
      <c r="N14">
        <f>_xll.EQNXTDZ($A$1,$B14,N$1,$B$1)</f>
        <v>75.88</v>
      </c>
      <c r="O14">
        <f>_xll.EQNXTDZ($A$1,$B14,O$1,$B$1)</f>
        <v>80.53</v>
      </c>
      <c r="P14">
        <f>_xll.EQNXTDZ($A$1,$B14,P$1,$B$1)</f>
        <v>76.11</v>
      </c>
      <c r="Q14">
        <f>_xll.EQNXTDZ($A$1,$B14,Q$1,$B$1)</f>
        <v>67.72</v>
      </c>
      <c r="R14">
        <f>_xll.EQNXTDZ($A$1,$B14,R$1,$B$1)</f>
        <v>62.57</v>
      </c>
      <c r="S14">
        <f>_xll.EQNXTDZ($A$1,$B14,S$1,$B$1)</f>
        <v>63.7</v>
      </c>
      <c r="T14">
        <f>_xll.EQNXTDZ($A$1,$B14,T$1,$B$1)</f>
        <v>69.12</v>
      </c>
      <c r="U14">
        <f>_xll.EQNXTDZ($A$1,$B14,U$1,$B$1)</f>
        <v>72.16</v>
      </c>
      <c r="V14">
        <f>_xll.EQNXTDZ($A$1,$B14,V$1,$B$1)</f>
        <v>64.650000000000006</v>
      </c>
      <c r="W14">
        <f>_xll.EQNXTDZ($A$1,$B14,W$1,$B$1)</f>
        <v>73.25</v>
      </c>
      <c r="X14">
        <f>_xll.EQNXTDZ($A$1,$B14,X$1,$B$1)</f>
        <v>142.21</v>
      </c>
      <c r="Y14">
        <f>_xll.EQNXTDZ($A$1,$B14,Y$1,$B$1)</f>
        <v>157.47999999999999</v>
      </c>
      <c r="Z14">
        <f>_xll.EQNXTDZ($A$1,$B14,Z$1,$B$1)</f>
        <v>145.86000000000001</v>
      </c>
      <c r="AA14">
        <f>_xll.EQNXTDZ($A$1,$B14,AA$1,$B$1)</f>
        <v>153.96</v>
      </c>
      <c r="AB14">
        <f>_xll.EQNXTDZ($A$1,$B14,AB$1,$B$1)</f>
        <v>167.75</v>
      </c>
      <c r="AC14">
        <f>_xll.EQNXTDZ($A$1,$B14,AC$1,$B$1)</f>
        <v>167.06</v>
      </c>
      <c r="AD14">
        <f>_xll.EQNXTDZ($A$1,$B14,AD$1,$B$1)</f>
        <v>158.15</v>
      </c>
      <c r="AE14">
        <f>_xll.EQNXTDZ($A$1,$B14,AE$1,$B$1)</f>
        <v>176.79</v>
      </c>
      <c r="AF14">
        <f>_xll.EQNXTDZ($A$1,$B14,AF$1,$B$1)</f>
        <v>150.72999999999999</v>
      </c>
      <c r="AG14">
        <f>_xll.EQNXTDZ($A$1,$B14,AG$1,$B$1)</f>
        <v>146.61000000000001</v>
      </c>
      <c r="AH14">
        <f>_xll.EQNXTDZ($A$1,$B14,AH$1,$B$1)</f>
        <v>139.24</v>
      </c>
      <c r="AI14">
        <f>_xll.EQNXTDZ($A$1,$B14,AI$1,$B$1)</f>
        <v>100.07</v>
      </c>
      <c r="AJ14">
        <f>_xll.EQNXTDZ($A$1,$B14,AJ$1,$B$1)</f>
        <v>141.55000000000001</v>
      </c>
      <c r="AK14">
        <f>_xll.EQNXTDZ($A$1,$B14,AK$1,$B$1)</f>
        <v>158.16999999999999</v>
      </c>
      <c r="AL14">
        <f>_xll.EQNXTDZ($A$1,$B14,AL$1,$B$1)</f>
        <v>162.65</v>
      </c>
      <c r="AM14">
        <f>_xll.EQNXTDZ($A$1,$B14,AM$1,$B$1)</f>
        <v>169.25</v>
      </c>
      <c r="AN14">
        <f>_xll.EQNXTDZ($A$1,$B14,AN$1,$B$1)</f>
        <v>192.97</v>
      </c>
      <c r="AO14">
        <f>_xll.EQNXTDZ($A$1,$B14,AO$1,$B$1)</f>
        <v>206.49</v>
      </c>
      <c r="AP14">
        <f>_xll.EQNXTDZ($A$1,$B14,AP$1,$B$1)</f>
        <v>202.4</v>
      </c>
      <c r="AQ14">
        <f>_xll.EQNXTDZ($A$1,$B14,AQ$1,$B$1)</f>
        <v>218.97</v>
      </c>
      <c r="AR14">
        <f>_xll.EQNXTDZ($A$1,$B14,AR$1,$B$1)</f>
        <v>221.63</v>
      </c>
      <c r="AS14">
        <f>_xll.EQNXTDZ($A$1,$B14,AS$1,$B$1)</f>
        <v>247.11</v>
      </c>
      <c r="AT14">
        <f>_xll.EQNXTDZ($A$1,$B14,AT$1,$B$1)</f>
        <v>228.31</v>
      </c>
      <c r="AU14">
        <f>_xll.EQNXTDZ($A$1,$B14,AU$1,$B$1)</f>
        <v>245.75</v>
      </c>
      <c r="AV14">
        <f>_xll.EQNXTDZ($A$1,$B14,AV$1,$B$1)</f>
        <v>232.89</v>
      </c>
      <c r="AW14">
        <f>_xll.EQNXTDZ($A$1,$B14,AW$1,$B$1)</f>
        <v>258</v>
      </c>
      <c r="AX14">
        <f>_xll.EQNXTDZ($A$1,$B14,AX$1,$B$1)</f>
        <v>252.67</v>
      </c>
      <c r="AY14">
        <f>_xll.EQNXTDZ($A$1,$B14,AY$1,$B$1)</f>
        <v>270.64</v>
      </c>
      <c r="AZ14">
        <f>_xll.EQNXTDZ($A$1,$B14,AZ$1,$B$1)</f>
        <v>284.64</v>
      </c>
      <c r="BA14">
        <f>_xll.EQNXTDZ($A$1,$B14,BA$1,$B$1)</f>
        <v>279.95999999999998</v>
      </c>
      <c r="BB14">
        <f>_xll.EQNXTDZ($A$1,$B14,BB$1,$B$1)</f>
        <v>298.93</v>
      </c>
      <c r="BC14">
        <f>_xll.EQNXTDZ($A$1,$B14,BC$1,$B$1)</f>
        <v>342.52</v>
      </c>
      <c r="BD14">
        <f>_xll.EQNXTDZ($A$1,$B14,BD$1,$B$1)</f>
        <v>336.76</v>
      </c>
      <c r="BE14">
        <f>_xll.EQNXTDZ($A$1,$B14,BE$1,$B$1)</f>
        <v>403.44</v>
      </c>
      <c r="BF14">
        <f>_xll.EQNXTDZ($A$1,$B14,BF$1,$B$1)</f>
        <v>367.12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27.87</v>
      </c>
      <c r="D16">
        <f>_xll.EQNXTDZ($A$1,$B16,D$1,$B$1)</f>
        <v>27.67</v>
      </c>
      <c r="E16">
        <f>_xll.EQNXTDZ($A$1,$B16,E$1,$B$1)</f>
        <v>30.36</v>
      </c>
      <c r="F16">
        <f>_xll.EQNXTDZ($A$1,$B16,F$1,$B$1)</f>
        <v>29.94</v>
      </c>
      <c r="G16">
        <f>_xll.EQNXTDZ($A$1,$B16,G$1,$B$1)</f>
        <v>31.76</v>
      </c>
      <c r="H16">
        <f>_xll.EQNXTDZ($A$1,$B16,H$1,$B$1)</f>
        <v>31.27</v>
      </c>
      <c r="I16">
        <f>_xll.EQNXTDZ($A$1,$B16,I$1,$B$1)</f>
        <v>26.16</v>
      </c>
      <c r="J16">
        <f>_xll.EQNXTDZ($A$1,$B16,J$1,$B$1)</f>
        <v>37.479999999999997</v>
      </c>
      <c r="K16">
        <f>_xll.EQNXTDZ($A$1,$B16,K$1,$B$1)</f>
        <v>33.770000000000003</v>
      </c>
      <c r="L16">
        <f>_xll.EQNXTDZ($A$1,$B16,L$1,$B$1)</f>
        <v>31.79</v>
      </c>
      <c r="M16">
        <f>_xll.EQNXTDZ($A$1,$B16,M$1,$B$1)</f>
        <v>34.9</v>
      </c>
      <c r="N16">
        <f>_xll.EQNXTDZ($A$1,$B16,N$1,$B$1)</f>
        <v>33.97</v>
      </c>
      <c r="O16">
        <f>_xll.EQNXTDZ($A$1,$B16,O$1,$B$1)</f>
        <v>32.92</v>
      </c>
      <c r="P16">
        <f>_xll.EQNXTDZ($A$1,$B16,P$1,$B$1)</f>
        <v>33.840000000000003</v>
      </c>
      <c r="Q16">
        <f>_xll.EQNXTDZ($A$1,$B16,Q$1,$B$1)</f>
        <v>31.04</v>
      </c>
      <c r="R16">
        <f>_xll.EQNXTDZ($A$1,$B16,R$1,$B$1)</f>
        <v>35.43</v>
      </c>
      <c r="S16">
        <f>_xll.EQNXTDZ($A$1,$B16,S$1,$B$1)</f>
        <v>36.44</v>
      </c>
      <c r="T16">
        <f>_xll.EQNXTDZ($A$1,$B16,T$1,$B$1)</f>
        <v>36.020000000000003</v>
      </c>
      <c r="U16">
        <f>_xll.EQNXTDZ($A$1,$B16,U$1,$B$1)</f>
        <v>41.34</v>
      </c>
      <c r="V16">
        <f>_xll.EQNXTDZ($A$1,$B16,V$1,$B$1)</f>
        <v>37.56</v>
      </c>
      <c r="W16">
        <f>_xll.EQNXTDZ($A$1,$B16,W$1,$B$1)</f>
        <v>39.79</v>
      </c>
      <c r="X16">
        <f>_xll.EQNXTDZ($A$1,$B16,X$1,$B$1)</f>
        <v>75.459999999999994</v>
      </c>
      <c r="Y16">
        <f>_xll.EQNXTDZ($A$1,$B16,Y$1,$B$1)</f>
        <v>72.86</v>
      </c>
      <c r="Z16">
        <f>_xll.EQNXTDZ($A$1,$B16,Z$1,$B$1)</f>
        <v>78.39</v>
      </c>
      <c r="AA16">
        <f>_xll.EQNXTDZ($A$1,$B16,AA$1,$B$1)</f>
        <v>79.31</v>
      </c>
      <c r="AB16">
        <f>_xll.EQNXTDZ($A$1,$B16,AB$1,$B$1)</f>
        <v>81.64</v>
      </c>
      <c r="AC16">
        <f>_xll.EQNXTDZ($A$1,$B16,AC$1,$B$1)</f>
        <v>78.52</v>
      </c>
      <c r="AD16">
        <f>_xll.EQNXTDZ($A$1,$B16,AD$1,$B$1)</f>
        <v>84.19</v>
      </c>
      <c r="AE16">
        <f>_xll.EQNXTDZ($A$1,$B16,AE$1,$B$1)</f>
        <v>91.51</v>
      </c>
      <c r="AF16">
        <f>_xll.EQNXTDZ($A$1,$B16,AF$1,$B$1)</f>
        <v>89.14</v>
      </c>
      <c r="AG16">
        <f>_xll.EQNXTDZ($A$1,$B16,AG$1,$B$1)</f>
        <v>80.33</v>
      </c>
      <c r="AH16">
        <f>_xll.EQNXTDZ($A$1,$B16,AH$1,$B$1)</f>
        <v>92.8</v>
      </c>
      <c r="AI16">
        <f>_xll.EQNXTDZ($A$1,$B16,AI$1,$B$1)</f>
        <v>83.57</v>
      </c>
      <c r="AJ16">
        <f>_xll.EQNXTDZ($A$1,$B16,AJ$1,$B$1)</f>
        <v>82.35</v>
      </c>
      <c r="AK16">
        <f>_xll.EQNXTDZ($A$1,$B16,AK$1,$B$1)</f>
        <v>94.83</v>
      </c>
      <c r="AL16">
        <f>_xll.EQNXTDZ($A$1,$B16,AL$1,$B$1)</f>
        <v>97.84</v>
      </c>
      <c r="AM16">
        <f>_xll.EQNXTDZ($A$1,$B16,AM$1,$B$1)</f>
        <v>98.21</v>
      </c>
      <c r="AN16">
        <f>_xll.EQNXTDZ($A$1,$B16,AN$1,$B$1)</f>
        <v>99.71</v>
      </c>
      <c r="AO16">
        <f>_xll.EQNXTDZ($A$1,$B16,AO$1,$B$1)</f>
        <v>99.46</v>
      </c>
      <c r="AP16">
        <f>_xll.EQNXTDZ($A$1,$B16,AP$1,$B$1)</f>
        <v>104.37</v>
      </c>
      <c r="AQ16">
        <f>_xll.EQNXTDZ($A$1,$B16,AQ$1,$B$1)</f>
        <v>108.94</v>
      </c>
      <c r="AR16">
        <f>_xll.EQNXTDZ($A$1,$B16,AR$1,$B$1)</f>
        <v>109.13</v>
      </c>
      <c r="AS16">
        <f>_xll.EQNXTDZ($A$1,$B16,AS$1,$B$1)</f>
        <v>108.15</v>
      </c>
      <c r="AT16">
        <f>_xll.EQNXTDZ($A$1,$B16,AT$1,$B$1)</f>
        <v>113.89</v>
      </c>
      <c r="AU16">
        <f>_xll.EQNXTDZ($A$1,$B16,AU$1,$B$1)</f>
        <v>118.46</v>
      </c>
      <c r="AV16">
        <f>_xll.EQNXTDZ($A$1,$B16,AV$1,$B$1)</f>
        <v>115.03</v>
      </c>
      <c r="AW16">
        <f>_xll.EQNXTDZ($A$1,$B16,AW$1,$B$1)</f>
        <v>114.56</v>
      </c>
      <c r="AX16">
        <f>_xll.EQNXTDZ($A$1,$B16,AX$1,$B$1)</f>
        <v>126.57</v>
      </c>
      <c r="AY16">
        <f>_xll.EQNXTDZ($A$1,$B16,AY$1,$B$1)</f>
        <v>147.69</v>
      </c>
      <c r="AZ16">
        <f>_xll.EQNXTDZ($A$1,$B16,AZ$1,$B$1)</f>
        <v>140.46</v>
      </c>
      <c r="BA16">
        <f>_xll.EQNXTDZ($A$1,$B16,BA$1,$B$1)</f>
        <v>127.46</v>
      </c>
      <c r="BB16">
        <f>_xll.EQNXTDZ($A$1,$B16,BB$1,$B$1)</f>
        <v>134.72</v>
      </c>
      <c r="BC16">
        <f>_xll.EQNXTDZ($A$1,$B16,BC$1,$B$1)</f>
        <v>151.46</v>
      </c>
      <c r="BD16">
        <f>_xll.EQNXTDZ($A$1,$B16,BD$1,$B$1)</f>
        <v>151.07</v>
      </c>
      <c r="BE16">
        <f>_xll.EQNXTDZ($A$1,$B16,BE$1,$B$1)</f>
        <v>171.39</v>
      </c>
      <c r="BF16">
        <f>_xll.EQNXTDZ($A$1,$B16,BF$1,$B$1)</f>
        <v>147.30000000000001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63.91</v>
      </c>
      <c r="D22">
        <f>_xll.EQNXTDZ($A$1,$B22,D$1,$B$1)</f>
        <v>51.59</v>
      </c>
      <c r="E22">
        <f>_xll.EQNXTDZ($A$1,$B22,E$1,$B$1)</f>
        <v>41.32</v>
      </c>
      <c r="F22">
        <f>_xll.EQNXTDZ($A$1,$B22,F$1,$B$1)</f>
        <v>41.45</v>
      </c>
      <c r="G22">
        <f>_xll.EQNXTDZ($A$1,$B22,G$1,$B$1)</f>
        <v>41.63</v>
      </c>
      <c r="H22">
        <f>_xll.EQNXTDZ($A$1,$B22,H$1,$B$1)</f>
        <v>50.66</v>
      </c>
      <c r="I22">
        <f>_xll.EQNXTDZ($A$1,$B22,I$1,$B$1)</f>
        <v>49.85</v>
      </c>
      <c r="J22">
        <f>_xll.EQNXTDZ($A$1,$B22,J$1,$B$1)</f>
        <v>55.71</v>
      </c>
      <c r="K22">
        <f>_xll.EQNXTDZ($A$1,$B22,K$1,$B$1)</f>
        <v>63.62</v>
      </c>
      <c r="L22">
        <f>_xll.EQNXTDZ($A$1,$B22,L$1,$B$1)</f>
        <v>60.05</v>
      </c>
      <c r="M22">
        <f>_xll.EQNXTDZ($A$1,$B22,M$1,$B$1)</f>
        <v>62.36</v>
      </c>
      <c r="N22">
        <f>_xll.EQNXTDZ($A$1,$B22,N$1,$B$1)</f>
        <v>63.35</v>
      </c>
      <c r="O22">
        <f>_xll.EQNXTDZ($A$1,$B22,O$1,$B$1)</f>
        <v>74.900000000000006</v>
      </c>
      <c r="P22">
        <f>_xll.EQNXTDZ($A$1,$B22,P$1,$B$1)</f>
        <v>75.599999999999994</v>
      </c>
      <c r="Q22">
        <f>_xll.EQNXTDZ($A$1,$B22,Q$1,$B$1)</f>
        <v>91.43</v>
      </c>
      <c r="R22">
        <f>_xll.EQNXTDZ($A$1,$B22,R$1,$B$1)</f>
        <v>71.809999999999903</v>
      </c>
      <c r="S22">
        <f>_xll.EQNXTDZ($A$1,$B22,S$1,$B$1)</f>
        <v>71.120000000000104</v>
      </c>
      <c r="T22">
        <f>_xll.EQNXTDZ($A$1,$B22,T$1,$B$1)</f>
        <v>80.25</v>
      </c>
      <c r="U22">
        <f>_xll.EQNXTDZ($A$1,$B22,U$1,$B$1)</f>
        <v>73.760000000000005</v>
      </c>
      <c r="V22">
        <f>_xll.EQNXTDZ($A$1,$B22,V$1,$B$1)</f>
        <v>88.48</v>
      </c>
      <c r="W22">
        <f>_xll.EQNXTDZ($A$1,$B22,W$1,$B$1)</f>
        <v>86.14</v>
      </c>
      <c r="X22">
        <f>_xll.EQNXTDZ($A$1,$B22,X$1,$B$1)</f>
        <v>167.72</v>
      </c>
      <c r="Y22">
        <f>_xll.EQNXTDZ($A$1,$B22,Y$1,$B$1)</f>
        <v>184.57</v>
      </c>
      <c r="Z22">
        <f>_xll.EQNXTDZ($A$1,$B22,Z$1,$B$1)</f>
        <v>183.84</v>
      </c>
      <c r="AA22">
        <f>_xll.EQNXTDZ($A$1,$B22,AA$1,$B$1)</f>
        <v>180.14</v>
      </c>
      <c r="AB22">
        <f>_xll.EQNXTDZ($A$1,$B22,AB$1,$B$1)</f>
        <v>199.67</v>
      </c>
      <c r="AC22">
        <f>_xll.EQNXTDZ($A$1,$B22,AC$1,$B$1)</f>
        <v>171.81</v>
      </c>
      <c r="AD22">
        <f>_xll.EQNXTDZ($A$1,$B22,AD$1,$B$1)</f>
        <v>184.43</v>
      </c>
      <c r="AE22">
        <f>_xll.EQNXTDZ($A$1,$B22,AE$1,$B$1)</f>
        <v>159.35</v>
      </c>
      <c r="AF22">
        <f>_xll.EQNXTDZ($A$1,$B22,AF$1,$B$1)</f>
        <v>142.83000000000001</v>
      </c>
      <c r="AG22">
        <f>_xll.EQNXTDZ($A$1,$B22,AG$1,$B$1)</f>
        <v>146.97999999999999</v>
      </c>
      <c r="AH22">
        <f>_xll.EQNXTDZ($A$1,$B22,AH$1,$B$1)</f>
        <v>137.26</v>
      </c>
      <c r="AI22">
        <f>_xll.EQNXTDZ($A$1,$B22,AI$1,$B$1)</f>
        <v>-19.809999999999999</v>
      </c>
      <c r="AJ22">
        <f>_xll.EQNXTDZ($A$1,$B22,AJ$1,$B$1)</f>
        <v>189.6</v>
      </c>
      <c r="AK22">
        <f>_xll.EQNXTDZ($A$1,$B22,AK$1,$B$1)</f>
        <v>229.07</v>
      </c>
      <c r="AL22">
        <f>_xll.EQNXTDZ($A$1,$B22,AL$1,$B$1)</f>
        <v>212.87</v>
      </c>
      <c r="AM22">
        <f>_xll.EQNXTDZ($A$1,$B22,AM$1,$B$1)</f>
        <v>207.06</v>
      </c>
      <c r="AN22">
        <f>_xll.EQNXTDZ($A$1,$B22,AN$1,$B$1)</f>
        <v>264.48</v>
      </c>
      <c r="AO22">
        <f>_xll.EQNXTDZ($A$1,$B22,AO$1,$B$1)</f>
        <v>287.13</v>
      </c>
      <c r="AP22">
        <f>_xll.EQNXTDZ($A$1,$B22,AP$1,$B$1)</f>
        <v>308.47000000000003</v>
      </c>
      <c r="AQ22">
        <f>_xll.EQNXTDZ($A$1,$B22,AQ$1,$B$1)</f>
        <v>321.73</v>
      </c>
      <c r="AR22">
        <f>_xll.EQNXTDZ($A$1,$B22,AR$1,$B$1)</f>
        <v>318.97000000000003</v>
      </c>
      <c r="AS22">
        <f>_xll.EQNXTDZ($A$1,$B22,AS$1,$B$1)</f>
        <v>345.22</v>
      </c>
      <c r="AT22">
        <f>_xll.EQNXTDZ($A$1,$B22,AT$1,$B$1)</f>
        <v>314.68</v>
      </c>
      <c r="AU22">
        <f>_xll.EQNXTDZ($A$1,$B22,AU$1,$B$1)</f>
        <v>342.02</v>
      </c>
      <c r="AV22">
        <f>_xll.EQNXTDZ($A$1,$B22,AV$1,$B$1)</f>
        <v>340.4</v>
      </c>
      <c r="AW22">
        <f>_xll.EQNXTDZ($A$1,$B22,AW$1,$B$1)</f>
        <v>324.10000000000002</v>
      </c>
      <c r="AX22">
        <f>_xll.EQNXTDZ($A$1,$B22,AX$1,$B$1)</f>
        <v>329.86</v>
      </c>
      <c r="AY22">
        <f>_xll.EQNXTDZ($A$1,$B22,AY$1,$B$1)</f>
        <v>376.32</v>
      </c>
      <c r="AZ22">
        <f>_xll.EQNXTDZ($A$1,$B22,AZ$1,$B$1)</f>
        <v>368.79</v>
      </c>
      <c r="BA22">
        <f>_xll.EQNXTDZ($A$1,$B22,BA$1,$B$1)</f>
        <v>370.39</v>
      </c>
      <c r="BB22">
        <f>_xll.EQNXTDZ($A$1,$B22,BB$1,$B$1)</f>
        <v>392.84</v>
      </c>
      <c r="BC22">
        <f>_xll.EQNXTDZ($A$1,$B22,BC$1,$B$1)</f>
        <v>430.12</v>
      </c>
      <c r="BD22">
        <f>_xll.EQNXTDZ($A$1,$B22,BD$1,$B$1)</f>
        <v>455.94</v>
      </c>
      <c r="BE22">
        <f>_xll.EQNXTDZ($A$1,$B22,BE$1,$B$1)</f>
        <v>484.12</v>
      </c>
      <c r="BF22">
        <f>_xll.EQNXTDZ($A$1,$B22,BF$1,$B$1)</f>
        <v>478.32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11.73</v>
      </c>
      <c r="D23">
        <f>_xll.EQNXTDZ($A$1,$B23,D$1,$B$1)</f>
        <v>12.1</v>
      </c>
      <c r="E23">
        <f>_xll.EQNXTDZ($A$1,$B23,E$1,$B$1)</f>
        <v>9.4700000000000006</v>
      </c>
      <c r="F23">
        <f>_xll.EQNXTDZ($A$1,$B23,F$1,$B$1)</f>
        <v>7.22</v>
      </c>
      <c r="G23">
        <f>_xll.EQNXTDZ($A$1,$B23,G$1,$B$1)</f>
        <v>7.86</v>
      </c>
      <c r="H23">
        <f>_xll.EQNXTDZ($A$1,$B23,H$1,$B$1)</f>
        <v>15.21</v>
      </c>
      <c r="I23">
        <f>_xll.EQNXTDZ($A$1,$B23,I$1,$B$1)</f>
        <v>15.57</v>
      </c>
      <c r="J23">
        <f>_xll.EQNXTDZ($A$1,$B23,J$1,$B$1)</f>
        <v>9.09</v>
      </c>
      <c r="K23">
        <f>_xll.EQNXTDZ($A$1,$B23,K$1,$B$1)</f>
        <v>10.74</v>
      </c>
      <c r="L23">
        <f>_xll.EQNXTDZ($A$1,$B23,L$1,$B$1)</f>
        <v>9.7100000000000009</v>
      </c>
      <c r="M23">
        <f>_xll.EQNXTDZ($A$1,$B23,M$1,$B$1)</f>
        <v>11.41</v>
      </c>
      <c r="N23">
        <f>_xll.EQNXTDZ($A$1,$B23,N$1,$B$1)</f>
        <v>12.82</v>
      </c>
      <c r="O23">
        <f>_xll.EQNXTDZ($A$1,$B23,O$1,$B$1)</f>
        <v>14.71</v>
      </c>
      <c r="P23">
        <f>_xll.EQNXTDZ($A$1,$B23,P$1,$B$1)</f>
        <v>15.01</v>
      </c>
      <c r="Q23">
        <f>_xll.EQNXTDZ($A$1,$B23,Q$1,$B$1)</f>
        <v>13.62</v>
      </c>
      <c r="R23">
        <f>_xll.EQNXTDZ($A$1,$B23,R$1,$B$1)</f>
        <v>15.65</v>
      </c>
      <c r="S23">
        <f>_xll.EQNXTDZ($A$1,$B23,S$1,$B$1)</f>
        <v>16.34</v>
      </c>
      <c r="T23">
        <f>_xll.EQNXTDZ($A$1,$B23,T$1,$B$1)</f>
        <v>17.05</v>
      </c>
      <c r="U23">
        <f>_xll.EQNXTDZ($A$1,$B23,U$1,$B$1)</f>
        <v>19.22</v>
      </c>
      <c r="V23">
        <f>_xll.EQNXTDZ($A$1,$B23,V$1,$B$1)</f>
        <v>15.58</v>
      </c>
      <c r="W23">
        <f>_xll.EQNXTDZ($A$1,$B23,W$1,$B$1)</f>
        <v>15.79</v>
      </c>
      <c r="X23">
        <f>_xll.EQNXTDZ($A$1,$B23,X$1,$B$1)</f>
        <v>15.19</v>
      </c>
      <c r="Y23">
        <f>_xll.EQNXTDZ($A$1,$B23,Y$1,$B$1)</f>
        <v>16.010000000000002</v>
      </c>
      <c r="Z23">
        <f>_xll.EQNXTDZ($A$1,$B23,Z$1,$B$1)</f>
        <v>22.22</v>
      </c>
      <c r="AA23">
        <f>_xll.EQNXTDZ($A$1,$B23,AA$1,$B$1)</f>
        <v>29.18</v>
      </c>
      <c r="AB23">
        <f>_xll.EQNXTDZ($A$1,$B23,AB$1,$B$1)</f>
        <v>17.03</v>
      </c>
      <c r="AC23">
        <f>_xll.EQNXTDZ($A$1,$B23,AC$1,$B$1)</f>
        <v>26.54</v>
      </c>
      <c r="AD23">
        <f>_xll.EQNXTDZ($A$1,$B23,AD$1,$B$1)</f>
        <v>17.18</v>
      </c>
      <c r="AE23">
        <f>_xll.EQNXTDZ($A$1,$B23,AE$1,$B$1)</f>
        <v>12.45</v>
      </c>
      <c r="AF23">
        <f>_xll.EQNXTDZ($A$1,$B23,AF$1,$B$1)</f>
        <v>12.93</v>
      </c>
      <c r="AG23">
        <f>_xll.EQNXTDZ($A$1,$B23,AG$1,$B$1)</f>
        <v>20.65</v>
      </c>
      <c r="AH23">
        <f>_xll.EQNXTDZ($A$1,$B23,AH$1,$B$1)</f>
        <v>18.170000000000002</v>
      </c>
      <c r="AI23">
        <f>_xll.EQNXTDZ($A$1,$B23,AI$1,$B$1)</f>
        <v>14</v>
      </c>
      <c r="AJ23">
        <f>_xll.EQNXTDZ($A$1,$B23,AJ$1,$B$1)</f>
        <v>12.62</v>
      </c>
      <c r="AK23">
        <f>_xll.EQNXTDZ($A$1,$B23,AK$1,$B$1)</f>
        <v>15.51</v>
      </c>
      <c r="AL23">
        <f>_xll.EQNXTDZ($A$1,$B23,AL$1,$B$1)</f>
        <v>21.88</v>
      </c>
      <c r="AM23">
        <f>_xll.EQNXTDZ($A$1,$B23,AM$1,$B$1)</f>
        <v>12.96</v>
      </c>
      <c r="AN23">
        <f>_xll.EQNXTDZ($A$1,$B23,AN$1,$B$1)</f>
        <v>15.75</v>
      </c>
      <c r="AO23">
        <f>_xll.EQNXTDZ($A$1,$B23,AO$1,$B$1)</f>
        <v>21.79</v>
      </c>
      <c r="AP23">
        <f>_xll.EQNXTDZ($A$1,$B23,AP$1,$B$1)</f>
        <v>20.05</v>
      </c>
      <c r="AQ23">
        <f>_xll.EQNXTDZ($A$1,$B23,AQ$1,$B$1)</f>
        <v>16.2</v>
      </c>
      <c r="AR23">
        <f>_xll.EQNXTDZ($A$1,$B23,AR$1,$B$1)</f>
        <v>23.16</v>
      </c>
      <c r="AS23">
        <f>_xll.EQNXTDZ($A$1,$B23,AS$1,$B$1)</f>
        <v>18.27</v>
      </c>
      <c r="AT23">
        <f>_xll.EQNXTDZ($A$1,$B23,AT$1,$B$1)</f>
        <v>32.69</v>
      </c>
      <c r="AU23">
        <f>_xll.EQNXTDZ($A$1,$B23,AU$1,$B$1)</f>
        <v>30.79</v>
      </c>
      <c r="AV23">
        <f>_xll.EQNXTDZ($A$1,$B23,AV$1,$B$1)</f>
        <v>30.87</v>
      </c>
      <c r="AW23">
        <f>_xll.EQNXTDZ($A$1,$B23,AW$1,$B$1)</f>
        <v>30.2</v>
      </c>
      <c r="AX23">
        <f>_xll.EQNXTDZ($A$1,$B23,AX$1,$B$1)</f>
        <v>31.14</v>
      </c>
      <c r="AY23">
        <f>_xll.EQNXTDZ($A$1,$B23,AY$1,$B$1)</f>
        <v>24.77</v>
      </c>
      <c r="AZ23">
        <f>_xll.EQNXTDZ($A$1,$B23,AZ$1,$B$1)</f>
        <v>27.57</v>
      </c>
      <c r="BA23">
        <f>_xll.EQNXTDZ($A$1,$B23,BA$1,$B$1)</f>
        <v>34.82</v>
      </c>
      <c r="BB23">
        <f>_xll.EQNXTDZ($A$1,$B23,BB$1,$B$1)</f>
        <v>33.549999999999997</v>
      </c>
      <c r="BC23">
        <f>_xll.EQNXTDZ($A$1,$B23,BC$1,$B$1)</f>
        <v>43.03</v>
      </c>
      <c r="BD23">
        <f>_xll.EQNXTDZ($A$1,$B23,BD$1,$B$1)</f>
        <v>28.39</v>
      </c>
      <c r="BE23">
        <f>_xll.EQNXTDZ($A$1,$B23,BE$1,$B$1)</f>
        <v>43.31</v>
      </c>
      <c r="BF23">
        <f>_xll.EQNXTDZ($A$1,$B23,BF$1,$B$1)</f>
        <v>42.32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75.64</v>
      </c>
      <c r="D24">
        <f>_xll.EQNXTDZ($A$1,$B24,D$1,$B$1)</f>
        <v>63.69</v>
      </c>
      <c r="E24">
        <f>_xll.EQNXTDZ($A$1,$B24,E$1,$B$1)</f>
        <v>50.79</v>
      </c>
      <c r="F24">
        <f>_xll.EQNXTDZ($A$1,$B24,F$1,$B$1)</f>
        <v>48.67</v>
      </c>
      <c r="G24">
        <f>_xll.EQNXTDZ($A$1,$B24,G$1,$B$1)</f>
        <v>49.49</v>
      </c>
      <c r="H24">
        <f>_xll.EQNXTDZ($A$1,$B24,H$1,$B$1)</f>
        <v>65.87</v>
      </c>
      <c r="I24">
        <f>_xll.EQNXTDZ($A$1,$B24,I$1,$B$1)</f>
        <v>65.42</v>
      </c>
      <c r="J24">
        <f>_xll.EQNXTDZ($A$1,$B24,J$1,$B$1)</f>
        <v>64.8</v>
      </c>
      <c r="K24">
        <f>_xll.EQNXTDZ($A$1,$B24,K$1,$B$1)</f>
        <v>74.36</v>
      </c>
      <c r="L24">
        <f>_xll.EQNXTDZ($A$1,$B24,L$1,$B$1)</f>
        <v>69.760000000000005</v>
      </c>
      <c r="M24">
        <f>_xll.EQNXTDZ($A$1,$B24,M$1,$B$1)</f>
        <v>73.77</v>
      </c>
      <c r="N24">
        <f>_xll.EQNXTDZ($A$1,$B24,N$1,$B$1)</f>
        <v>76.17</v>
      </c>
      <c r="O24">
        <f>_xll.EQNXTDZ($A$1,$B24,O$1,$B$1)</f>
        <v>89.61</v>
      </c>
      <c r="P24">
        <f>_xll.EQNXTDZ($A$1,$B24,P$1,$B$1)</f>
        <v>90.61</v>
      </c>
      <c r="Q24">
        <f>_xll.EQNXTDZ($A$1,$B24,Q$1,$B$1)</f>
        <v>105.05</v>
      </c>
      <c r="R24">
        <f>_xll.EQNXTDZ($A$1,$B24,R$1,$B$1)</f>
        <v>87.46</v>
      </c>
      <c r="S24">
        <f>_xll.EQNXTDZ($A$1,$B24,S$1,$B$1)</f>
        <v>87.46</v>
      </c>
      <c r="T24">
        <f>_xll.EQNXTDZ($A$1,$B24,T$1,$B$1)</f>
        <v>97.3</v>
      </c>
      <c r="U24">
        <f>_xll.EQNXTDZ($A$1,$B24,U$1,$B$1)</f>
        <v>92.98</v>
      </c>
      <c r="V24">
        <f>_xll.EQNXTDZ($A$1,$B24,V$1,$B$1)</f>
        <v>104.06</v>
      </c>
      <c r="W24">
        <f>_xll.EQNXTDZ($A$1,$B24,W$1,$B$1)</f>
        <v>101.93</v>
      </c>
      <c r="X24">
        <f>_xll.EQNXTDZ($A$1,$B24,X$1,$B$1)</f>
        <v>182.91</v>
      </c>
      <c r="Y24">
        <f>_xll.EQNXTDZ($A$1,$B24,Y$1,$B$1)</f>
        <v>200.58</v>
      </c>
      <c r="Z24">
        <f>_xll.EQNXTDZ($A$1,$B24,Z$1,$B$1)</f>
        <v>206.06</v>
      </c>
      <c r="AA24">
        <f>_xll.EQNXTDZ($A$1,$B24,AA$1,$B$1)</f>
        <v>209.32</v>
      </c>
      <c r="AB24">
        <f>_xll.EQNXTDZ($A$1,$B24,AB$1,$B$1)</f>
        <v>216.7</v>
      </c>
      <c r="AC24">
        <f>_xll.EQNXTDZ($A$1,$B24,AC$1,$B$1)</f>
        <v>198.35</v>
      </c>
      <c r="AD24">
        <f>_xll.EQNXTDZ($A$1,$B24,AD$1,$B$1)</f>
        <v>201.61</v>
      </c>
      <c r="AE24">
        <f>_xll.EQNXTDZ($A$1,$B24,AE$1,$B$1)</f>
        <v>171.8</v>
      </c>
      <c r="AF24">
        <f>_xll.EQNXTDZ($A$1,$B24,AF$1,$B$1)</f>
        <v>155.76</v>
      </c>
      <c r="AG24">
        <f>_xll.EQNXTDZ($A$1,$B24,AG$1,$B$1)</f>
        <v>167.63</v>
      </c>
      <c r="AH24">
        <f>_xll.EQNXTDZ($A$1,$B24,AH$1,$B$1)</f>
        <v>155.43</v>
      </c>
      <c r="AI24">
        <f>_xll.EQNXTDZ($A$1,$B24,AI$1,$B$1)</f>
        <v>-5.8100000000000396</v>
      </c>
      <c r="AJ24">
        <f>_xll.EQNXTDZ($A$1,$B24,AJ$1,$B$1)</f>
        <v>202.22</v>
      </c>
      <c r="AK24">
        <f>_xll.EQNXTDZ($A$1,$B24,AK$1,$B$1)</f>
        <v>244.58</v>
      </c>
      <c r="AL24">
        <f>_xll.EQNXTDZ($A$1,$B24,AL$1,$B$1)</f>
        <v>234.75</v>
      </c>
      <c r="AM24">
        <f>_xll.EQNXTDZ($A$1,$B24,AM$1,$B$1)</f>
        <v>220.02</v>
      </c>
      <c r="AN24">
        <f>_xll.EQNXTDZ($A$1,$B24,AN$1,$B$1)</f>
        <v>280.23</v>
      </c>
      <c r="AO24">
        <f>_xll.EQNXTDZ($A$1,$B24,AO$1,$B$1)</f>
        <v>308.92</v>
      </c>
      <c r="AP24">
        <f>_xll.EQNXTDZ($A$1,$B24,AP$1,$B$1)</f>
        <v>328.52</v>
      </c>
      <c r="AQ24">
        <f>_xll.EQNXTDZ($A$1,$B24,AQ$1,$B$1)</f>
        <v>337.93</v>
      </c>
      <c r="AR24">
        <f>_xll.EQNXTDZ($A$1,$B24,AR$1,$B$1)</f>
        <v>342.13</v>
      </c>
      <c r="AS24">
        <f>_xll.EQNXTDZ($A$1,$B24,AS$1,$B$1)</f>
        <v>363.49</v>
      </c>
      <c r="AT24">
        <f>_xll.EQNXTDZ($A$1,$B24,AT$1,$B$1)</f>
        <v>347.37</v>
      </c>
      <c r="AU24">
        <f>_xll.EQNXTDZ($A$1,$B24,AU$1,$B$1)</f>
        <v>372.81</v>
      </c>
      <c r="AV24">
        <f>_xll.EQNXTDZ($A$1,$B24,AV$1,$B$1)</f>
        <v>371.27</v>
      </c>
      <c r="AW24">
        <f>_xll.EQNXTDZ($A$1,$B24,AW$1,$B$1)</f>
        <v>354.3</v>
      </c>
      <c r="AX24">
        <f>_xll.EQNXTDZ($A$1,$B24,AX$1,$B$1)</f>
        <v>361</v>
      </c>
      <c r="AY24">
        <f>_xll.EQNXTDZ($A$1,$B24,AY$1,$B$1)</f>
        <v>401.09</v>
      </c>
      <c r="AZ24">
        <f>_xll.EQNXTDZ($A$1,$B24,AZ$1,$B$1)</f>
        <v>396.36</v>
      </c>
      <c r="BA24">
        <f>_xll.EQNXTDZ($A$1,$B24,BA$1,$B$1)</f>
        <v>405.21</v>
      </c>
      <c r="BB24">
        <f>_xll.EQNXTDZ($A$1,$B24,BB$1,$B$1)</f>
        <v>426.39</v>
      </c>
      <c r="BC24">
        <f>_xll.EQNXTDZ($A$1,$B24,BC$1,$B$1)</f>
        <v>473.15</v>
      </c>
      <c r="BD24">
        <f>_xll.EQNXTDZ($A$1,$B24,BD$1,$B$1)</f>
        <v>484.33</v>
      </c>
      <c r="BE24">
        <f>_xll.EQNXTDZ($A$1,$B24,BE$1,$B$1)</f>
        <v>527.42999999999995</v>
      </c>
      <c r="BF24">
        <f>_xll.EQNXTDZ($A$1,$B24,BF$1,$B$1)</f>
        <v>520.64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0.35</v>
      </c>
      <c r="D25">
        <f>_xll.EQNXTDZ($A$1,$B25,D$1,$B$1)</f>
        <v>0.37</v>
      </c>
      <c r="E25">
        <f>_xll.EQNXTDZ($A$1,$B25,E$1,$B$1)</f>
        <v>0.22</v>
      </c>
      <c r="F25">
        <f>_xll.EQNXTDZ($A$1,$B25,F$1,$B$1)</f>
        <v>0.21</v>
      </c>
      <c r="G25">
        <f>_xll.EQNXTDZ($A$1,$B25,G$1,$B$1)</f>
        <v>0.22</v>
      </c>
      <c r="H25">
        <f>_xll.EQNXTDZ($A$1,$B25,H$1,$B$1)</f>
        <v>0.16</v>
      </c>
      <c r="I25">
        <f>_xll.EQNXTDZ($A$1,$B25,I$1,$B$1)</f>
        <v>0.17</v>
      </c>
      <c r="J25">
        <f>_xll.EQNXTDZ($A$1,$B25,J$1,$B$1)</f>
        <v>0.17</v>
      </c>
      <c r="K25">
        <f>_xll.EQNXTDZ($A$1,$B25,K$1,$B$1)</f>
        <v>0.23</v>
      </c>
      <c r="L25">
        <f>_xll.EQNXTDZ($A$1,$B25,L$1,$B$1)</f>
        <v>0.28000000000000003</v>
      </c>
      <c r="M25">
        <f>_xll.EQNXTDZ($A$1,$B25,M$1,$B$1)</f>
        <v>0.28999999999999998</v>
      </c>
      <c r="N25">
        <f>_xll.EQNXTDZ($A$1,$B25,N$1,$B$1)</f>
        <v>0.48</v>
      </c>
      <c r="O25">
        <f>_xll.EQNXTDZ($A$1,$B25,O$1,$B$1)</f>
        <v>1.04</v>
      </c>
      <c r="P25">
        <f>_xll.EQNXTDZ($A$1,$B25,P$1,$B$1)</f>
        <v>0.26</v>
      </c>
      <c r="Q25">
        <f>_xll.EQNXTDZ($A$1,$B25,Q$1,$B$1)</f>
        <v>0.34</v>
      </c>
      <c r="R25">
        <f>_xll.EQNXTDZ($A$1,$B25,R$1,$B$1)</f>
        <v>0.42</v>
      </c>
      <c r="S25">
        <f>_xll.EQNXTDZ($A$1,$B25,S$1,$B$1)</f>
        <v>0.33</v>
      </c>
      <c r="T25">
        <f>_xll.EQNXTDZ($A$1,$B25,T$1,$B$1)</f>
        <v>0.52</v>
      </c>
      <c r="U25">
        <f>_xll.EQNXTDZ($A$1,$B25,U$1,$B$1)</f>
        <v>0.49</v>
      </c>
      <c r="V25">
        <f>_xll.EQNXTDZ($A$1,$B25,V$1,$B$1)</f>
        <v>0.35</v>
      </c>
      <c r="W25">
        <f>_xll.EQNXTDZ($A$1,$B25,W$1,$B$1)</f>
        <v>0.45</v>
      </c>
      <c r="X25">
        <f>_xll.EQNXTDZ($A$1,$B25,X$1,$B$1)</f>
        <v>0.64</v>
      </c>
      <c r="Y25">
        <f>_xll.EQNXTDZ($A$1,$B25,Y$1,$B$1)</f>
        <v>4.09</v>
      </c>
      <c r="Z25">
        <f>_xll.EQNXTDZ($A$1,$B25,Z$1,$B$1)</f>
        <v>1.3</v>
      </c>
      <c r="AA25">
        <f>_xll.EQNXTDZ($A$1,$B25,AA$1,$B$1)</f>
        <v>1.7</v>
      </c>
      <c r="AB25">
        <f>_xll.EQNXTDZ($A$1,$B25,AB$1,$B$1)</f>
        <v>1.34</v>
      </c>
      <c r="AC25">
        <f>_xll.EQNXTDZ($A$1,$B25,AC$1,$B$1)</f>
        <v>2.7</v>
      </c>
      <c r="AD25">
        <f>_xll.EQNXTDZ($A$1,$B25,AD$1,$B$1)</f>
        <v>1.2</v>
      </c>
      <c r="AE25">
        <f>_xll.EQNXTDZ($A$1,$B25,AE$1,$B$1)</f>
        <v>0.78</v>
      </c>
      <c r="AF25">
        <f>_xll.EQNXTDZ($A$1,$B25,AF$1,$B$1)</f>
        <v>0.43</v>
      </c>
      <c r="AG25">
        <f>_xll.EQNXTDZ($A$1,$B25,AG$1,$B$1)</f>
        <v>1.06</v>
      </c>
      <c r="AH25">
        <f>_xll.EQNXTDZ($A$1,$B25,AH$1,$B$1)</f>
        <v>0.94</v>
      </c>
      <c r="AI25">
        <f>_xll.EQNXTDZ($A$1,$B25,AI$1,$B$1)</f>
        <v>0.92</v>
      </c>
      <c r="AJ25">
        <f>_xll.EQNXTDZ($A$1,$B25,AJ$1,$B$1)</f>
        <v>0.91</v>
      </c>
      <c r="AK25">
        <f>_xll.EQNXTDZ($A$1,$B25,AK$1,$B$1)</f>
        <v>2.4700000000000002</v>
      </c>
      <c r="AL25">
        <f>_xll.EQNXTDZ($A$1,$B25,AL$1,$B$1)</f>
        <v>0.91</v>
      </c>
      <c r="AM25">
        <f>_xll.EQNXTDZ($A$1,$B25,AM$1,$B$1)</f>
        <v>0.9</v>
      </c>
      <c r="AN25">
        <f>_xll.EQNXTDZ($A$1,$B25,AN$1,$B$1)</f>
        <v>0.99</v>
      </c>
      <c r="AO25">
        <f>_xll.EQNXTDZ($A$1,$B25,AO$1,$B$1)</f>
        <v>0.87</v>
      </c>
      <c r="AP25">
        <f>_xll.EQNXTDZ($A$1,$B25,AP$1,$B$1)</f>
        <v>0.84</v>
      </c>
      <c r="AQ25">
        <f>_xll.EQNXTDZ($A$1,$B25,AQ$1,$B$1)</f>
        <v>0.93</v>
      </c>
      <c r="AR25">
        <f>_xll.EQNXTDZ($A$1,$B25,AR$1,$B$1)</f>
        <v>0.85</v>
      </c>
      <c r="AS25">
        <f>_xll.EQNXTDZ($A$1,$B25,AS$1,$B$1)</f>
        <v>0.93</v>
      </c>
      <c r="AT25">
        <f>_xll.EQNXTDZ($A$1,$B25,AT$1,$B$1)</f>
        <v>0.8</v>
      </c>
      <c r="AU25">
        <f>_xll.EQNXTDZ($A$1,$B25,AU$1,$B$1)</f>
        <v>0.84</v>
      </c>
      <c r="AV25">
        <f>_xll.EQNXTDZ($A$1,$B25,AV$1,$B$1)</f>
        <v>1.6</v>
      </c>
      <c r="AW25">
        <f>_xll.EQNXTDZ($A$1,$B25,AW$1,$B$1)</f>
        <v>1.03</v>
      </c>
      <c r="AX25">
        <f>_xll.EQNXTDZ($A$1,$B25,AX$1,$B$1)</f>
        <v>0.84</v>
      </c>
      <c r="AY25">
        <f>_xll.EQNXTDZ($A$1,$B25,AY$1,$B$1)</f>
        <v>1.59</v>
      </c>
      <c r="AZ25">
        <f>_xll.EQNXTDZ($A$1,$B25,AZ$1,$B$1)</f>
        <v>1.06</v>
      </c>
      <c r="BA25">
        <f>_xll.EQNXTDZ($A$1,$B25,BA$1,$B$1)</f>
        <v>0.87</v>
      </c>
      <c r="BB25">
        <f>_xll.EQNXTDZ($A$1,$B25,BB$1,$B$1)</f>
        <v>1.56</v>
      </c>
      <c r="BC25">
        <f>_xll.EQNXTDZ($A$1,$B25,BC$1,$B$1)</f>
        <v>1.08</v>
      </c>
      <c r="BD25">
        <f>_xll.EQNXTDZ($A$1,$B25,BD$1,$B$1)</f>
        <v>0.97</v>
      </c>
      <c r="BE25">
        <f>_xll.EQNXTDZ($A$1,$B25,BE$1,$B$1)</f>
        <v>1.61</v>
      </c>
      <c r="BF25">
        <f>_xll.EQNXTDZ($A$1,$B25,BF$1,$B$1)</f>
        <v>1.18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-0.4</v>
      </c>
      <c r="Y26">
        <f>_xll.EQNXTDZ($A$1,$B26,Y$1,$B$1)</f>
        <v>-4.13</v>
      </c>
      <c r="Z26">
        <f>_xll.EQNXTDZ($A$1,$B26,Z$1,$B$1)</f>
        <v>-3.47</v>
      </c>
      <c r="AA26">
        <f>_xll.EQNXTDZ($A$1,$B26,AA$1,$B$1)</f>
        <v>-0.59</v>
      </c>
      <c r="AB26">
        <f>_xll.EQNXTDZ($A$1,$B26,AB$1,$B$1)</f>
        <v>-39.14</v>
      </c>
      <c r="AC26">
        <f>_xll.EQNXTDZ($A$1,$B26,AC$1,$B$1)</f>
        <v>0</v>
      </c>
      <c r="AD26">
        <f>_xll.EQNXTDZ($A$1,$B26,AD$1,$B$1)</f>
        <v>-0.34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14.98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-4.7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75.290000000000006</v>
      </c>
      <c r="D27">
        <f>_xll.EQNXTDZ($A$1,$B27,D$1,$B$1)</f>
        <v>63.32</v>
      </c>
      <c r="E27">
        <f>_xll.EQNXTDZ($A$1,$B27,E$1,$B$1)</f>
        <v>50.57</v>
      </c>
      <c r="F27">
        <f>_xll.EQNXTDZ($A$1,$B27,F$1,$B$1)</f>
        <v>48.46</v>
      </c>
      <c r="G27">
        <f>_xll.EQNXTDZ($A$1,$B27,G$1,$B$1)</f>
        <v>49.27</v>
      </c>
      <c r="H27">
        <f>_xll.EQNXTDZ($A$1,$B27,H$1,$B$1)</f>
        <v>65.709999999999994</v>
      </c>
      <c r="I27">
        <f>_xll.EQNXTDZ($A$1,$B27,I$1,$B$1)</f>
        <v>65.25</v>
      </c>
      <c r="J27">
        <f>_xll.EQNXTDZ($A$1,$B27,J$1,$B$1)</f>
        <v>64.63</v>
      </c>
      <c r="K27">
        <f>_xll.EQNXTDZ($A$1,$B27,K$1,$B$1)</f>
        <v>74.13</v>
      </c>
      <c r="L27">
        <f>_xll.EQNXTDZ($A$1,$B27,L$1,$B$1)</f>
        <v>69.48</v>
      </c>
      <c r="M27">
        <f>_xll.EQNXTDZ($A$1,$B27,M$1,$B$1)</f>
        <v>73.48</v>
      </c>
      <c r="N27">
        <f>_xll.EQNXTDZ($A$1,$B27,N$1,$B$1)</f>
        <v>75.69</v>
      </c>
      <c r="O27">
        <f>_xll.EQNXTDZ($A$1,$B27,O$1,$B$1)</f>
        <v>88.57</v>
      </c>
      <c r="P27">
        <f>_xll.EQNXTDZ($A$1,$B27,P$1,$B$1)</f>
        <v>90.35</v>
      </c>
      <c r="Q27">
        <f>_xll.EQNXTDZ($A$1,$B27,Q$1,$B$1)</f>
        <v>104.71</v>
      </c>
      <c r="R27">
        <f>_xll.EQNXTDZ($A$1,$B27,R$1,$B$1)</f>
        <v>87.04</v>
      </c>
      <c r="S27">
        <f>_xll.EQNXTDZ($A$1,$B27,S$1,$B$1)</f>
        <v>87.13</v>
      </c>
      <c r="T27">
        <f>_xll.EQNXTDZ($A$1,$B27,T$1,$B$1)</f>
        <v>96.78</v>
      </c>
      <c r="U27">
        <f>_xll.EQNXTDZ($A$1,$B27,U$1,$B$1)</f>
        <v>92.49</v>
      </c>
      <c r="V27">
        <f>_xll.EQNXTDZ($A$1,$B27,V$1,$B$1)</f>
        <v>103.71</v>
      </c>
      <c r="W27">
        <f>_xll.EQNXTDZ($A$1,$B27,W$1,$B$1)</f>
        <v>101.48</v>
      </c>
      <c r="X27">
        <f>_xll.EQNXTDZ($A$1,$B27,X$1,$B$1)</f>
        <v>181.87</v>
      </c>
      <c r="Y27">
        <f>_xll.EQNXTDZ($A$1,$B27,Y$1,$B$1)</f>
        <v>192.35</v>
      </c>
      <c r="Z27">
        <f>_xll.EQNXTDZ($A$1,$B27,Z$1,$B$1)</f>
        <v>201.29</v>
      </c>
      <c r="AA27">
        <f>_xll.EQNXTDZ($A$1,$B27,AA$1,$B$1)</f>
        <v>207.03</v>
      </c>
      <c r="AB27">
        <f>_xll.EQNXTDZ($A$1,$B27,AB$1,$B$1)</f>
        <v>176.22</v>
      </c>
      <c r="AC27">
        <f>_xll.EQNXTDZ($A$1,$B27,AC$1,$B$1)</f>
        <v>195.65</v>
      </c>
      <c r="AD27">
        <f>_xll.EQNXTDZ($A$1,$B27,AD$1,$B$1)</f>
        <v>200.07</v>
      </c>
      <c r="AE27">
        <f>_xll.EQNXTDZ($A$1,$B27,AE$1,$B$1)</f>
        <v>171.02</v>
      </c>
      <c r="AF27">
        <f>_xll.EQNXTDZ($A$1,$B27,AF$1,$B$1)</f>
        <v>155.33000000000001</v>
      </c>
      <c r="AG27">
        <f>_xll.EQNXTDZ($A$1,$B27,AG$1,$B$1)</f>
        <v>166.57</v>
      </c>
      <c r="AH27">
        <f>_xll.EQNXTDZ($A$1,$B27,AH$1,$B$1)</f>
        <v>154.49</v>
      </c>
      <c r="AI27">
        <f>_xll.EQNXTDZ($A$1,$B27,AI$1,$B$1)</f>
        <v>-6.7300000000000404</v>
      </c>
      <c r="AJ27">
        <f>_xll.EQNXTDZ($A$1,$B27,AJ$1,$B$1)</f>
        <v>201.31</v>
      </c>
      <c r="AK27">
        <f>_xll.EQNXTDZ($A$1,$B27,AK$1,$B$1)</f>
        <v>242.11</v>
      </c>
      <c r="AL27">
        <f>_xll.EQNXTDZ($A$1,$B27,AL$1,$B$1)</f>
        <v>233.84</v>
      </c>
      <c r="AM27">
        <f>_xll.EQNXTDZ($A$1,$B27,AM$1,$B$1)</f>
        <v>219.12</v>
      </c>
      <c r="AN27">
        <f>_xll.EQNXTDZ($A$1,$B27,AN$1,$B$1)</f>
        <v>279.24</v>
      </c>
      <c r="AO27">
        <f>_xll.EQNXTDZ($A$1,$B27,AO$1,$B$1)</f>
        <v>308.05</v>
      </c>
      <c r="AP27">
        <f>_xll.EQNXTDZ($A$1,$B27,AP$1,$B$1)</f>
        <v>327.68</v>
      </c>
      <c r="AQ27">
        <f>_xll.EQNXTDZ($A$1,$B27,AQ$1,$B$1)</f>
        <v>351.98</v>
      </c>
      <c r="AR27">
        <f>_xll.EQNXTDZ($A$1,$B27,AR$1,$B$1)</f>
        <v>341.28</v>
      </c>
      <c r="AS27">
        <f>_xll.EQNXTDZ($A$1,$B27,AS$1,$B$1)</f>
        <v>362.56</v>
      </c>
      <c r="AT27">
        <f>_xll.EQNXTDZ($A$1,$B27,AT$1,$B$1)</f>
        <v>346.57</v>
      </c>
      <c r="AU27">
        <f>_xll.EQNXTDZ($A$1,$B27,AU$1,$B$1)</f>
        <v>371.97</v>
      </c>
      <c r="AV27">
        <f>_xll.EQNXTDZ($A$1,$B27,AV$1,$B$1)</f>
        <v>369.67</v>
      </c>
      <c r="AW27">
        <f>_xll.EQNXTDZ($A$1,$B27,AW$1,$B$1)</f>
        <v>348.57</v>
      </c>
      <c r="AX27">
        <f>_xll.EQNXTDZ($A$1,$B27,AX$1,$B$1)</f>
        <v>360.16</v>
      </c>
      <c r="AY27">
        <f>_xll.EQNXTDZ($A$1,$B27,AY$1,$B$1)</f>
        <v>399.5</v>
      </c>
      <c r="AZ27">
        <f>_xll.EQNXTDZ($A$1,$B27,AZ$1,$B$1)</f>
        <v>395.3</v>
      </c>
      <c r="BA27">
        <f>_xll.EQNXTDZ($A$1,$B27,BA$1,$B$1)</f>
        <v>404.34</v>
      </c>
      <c r="BB27">
        <f>_xll.EQNXTDZ($A$1,$B27,BB$1,$B$1)</f>
        <v>424.83</v>
      </c>
      <c r="BC27">
        <f>_xll.EQNXTDZ($A$1,$B27,BC$1,$B$1)</f>
        <v>472.07</v>
      </c>
      <c r="BD27">
        <f>_xll.EQNXTDZ($A$1,$B27,BD$1,$B$1)</f>
        <v>483.36</v>
      </c>
      <c r="BE27">
        <f>_xll.EQNXTDZ($A$1,$B27,BE$1,$B$1)</f>
        <v>525.82000000000005</v>
      </c>
      <c r="BF27">
        <f>_xll.EQNXTDZ($A$1,$B27,BF$1,$B$1)</f>
        <v>519.46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6.63</v>
      </c>
      <c r="D28">
        <f>_xll.EQNXTDZ($A$1,$B28,D$1,$B$1)</f>
        <v>8.6</v>
      </c>
      <c r="E28">
        <f>_xll.EQNXTDZ($A$1,$B28,E$1,$B$1)</f>
        <v>8.76</v>
      </c>
      <c r="F28">
        <f>_xll.EQNXTDZ($A$1,$B28,F$1,$B$1)</f>
        <v>9.61</v>
      </c>
      <c r="G28">
        <f>_xll.EQNXTDZ($A$1,$B28,G$1,$B$1)</f>
        <v>10.49</v>
      </c>
      <c r="H28">
        <f>_xll.EQNXTDZ($A$1,$B28,H$1,$B$1)</f>
        <v>11.27</v>
      </c>
      <c r="I28">
        <f>_xll.EQNXTDZ($A$1,$B28,I$1,$B$1)</f>
        <v>11.88</v>
      </c>
      <c r="J28">
        <f>_xll.EQNXTDZ($A$1,$B28,J$1,$B$1)</f>
        <v>12.05</v>
      </c>
      <c r="K28">
        <f>_xll.EQNXTDZ($A$1,$B28,K$1,$B$1)</f>
        <v>12.29</v>
      </c>
      <c r="L28">
        <f>_xll.EQNXTDZ($A$1,$B28,L$1,$B$1)</f>
        <v>12.52</v>
      </c>
      <c r="M28">
        <f>_xll.EQNXTDZ($A$1,$B28,M$1,$B$1)</f>
        <v>12.49</v>
      </c>
      <c r="N28">
        <f>_xll.EQNXTDZ($A$1,$B28,N$1,$B$1)</f>
        <v>12.45</v>
      </c>
      <c r="O28">
        <f>_xll.EQNXTDZ($A$1,$B28,O$1,$B$1)</f>
        <v>12.42</v>
      </c>
      <c r="P28">
        <f>_xll.EQNXTDZ($A$1,$B28,P$1,$B$1)</f>
        <v>12.8</v>
      </c>
      <c r="Q28">
        <f>_xll.EQNXTDZ($A$1,$B28,Q$1,$B$1)</f>
        <v>27.84</v>
      </c>
      <c r="R28">
        <f>_xll.EQNXTDZ($A$1,$B28,R$1,$B$1)</f>
        <v>15.2</v>
      </c>
      <c r="S28">
        <f>_xll.EQNXTDZ($A$1,$B28,S$1,$B$1)</f>
        <v>15.66</v>
      </c>
      <c r="T28">
        <f>_xll.EQNXTDZ($A$1,$B28,T$1,$B$1)</f>
        <v>15.74</v>
      </c>
      <c r="U28">
        <f>_xll.EQNXTDZ($A$1,$B28,U$1,$B$1)</f>
        <v>17.5</v>
      </c>
      <c r="V28">
        <f>_xll.EQNXTDZ($A$1,$B28,V$1,$B$1)</f>
        <v>17.559999999999999</v>
      </c>
      <c r="W28">
        <f>_xll.EQNXTDZ($A$1,$B28,W$1,$B$1)</f>
        <v>17.739999999999998</v>
      </c>
      <c r="X28">
        <f>_xll.EQNXTDZ($A$1,$B28,X$1,$B$1)</f>
        <v>34.840000000000003</v>
      </c>
      <c r="Y28">
        <f>_xll.EQNXTDZ($A$1,$B28,Y$1,$B$1)</f>
        <v>35.25</v>
      </c>
      <c r="Z28">
        <f>_xll.EQNXTDZ($A$1,$B28,Z$1,$B$1)</f>
        <v>35.9</v>
      </c>
      <c r="AA28">
        <f>_xll.EQNXTDZ($A$1,$B28,AA$1,$B$1)</f>
        <v>36.61</v>
      </c>
      <c r="AB28">
        <f>_xll.EQNXTDZ($A$1,$B28,AB$1,$B$1)</f>
        <v>37.19</v>
      </c>
      <c r="AC28">
        <f>_xll.EQNXTDZ($A$1,$B28,AC$1,$B$1)</f>
        <v>38.799999999999997</v>
      </c>
      <c r="AD28">
        <f>_xll.EQNXTDZ($A$1,$B28,AD$1,$B$1)</f>
        <v>37.81</v>
      </c>
      <c r="AE28">
        <f>_xll.EQNXTDZ($A$1,$B28,AE$1,$B$1)</f>
        <v>38.47</v>
      </c>
      <c r="AF28">
        <f>_xll.EQNXTDZ($A$1,$B28,AF$1,$B$1)</f>
        <v>39.97</v>
      </c>
      <c r="AG28">
        <f>_xll.EQNXTDZ($A$1,$B28,AG$1,$B$1)</f>
        <v>42.46</v>
      </c>
      <c r="AH28">
        <f>_xll.EQNXTDZ($A$1,$B28,AH$1,$B$1)</f>
        <v>44.42</v>
      </c>
      <c r="AI28">
        <f>_xll.EQNXTDZ($A$1,$B28,AI$1,$B$1)</f>
        <v>49.9</v>
      </c>
      <c r="AJ28">
        <f>_xll.EQNXTDZ($A$1,$B28,AJ$1,$B$1)</f>
        <v>48.57</v>
      </c>
      <c r="AK28">
        <f>_xll.EQNXTDZ($A$1,$B28,AK$1,$B$1)</f>
        <v>51.08</v>
      </c>
      <c r="AL28">
        <f>_xll.EQNXTDZ($A$1,$B28,AL$1,$B$1)</f>
        <v>47.87</v>
      </c>
      <c r="AM28">
        <f>_xll.EQNXTDZ($A$1,$B28,AM$1,$B$1)</f>
        <v>48.46</v>
      </c>
      <c r="AN28">
        <f>_xll.EQNXTDZ($A$1,$B28,AN$1,$B$1)</f>
        <v>49.61</v>
      </c>
      <c r="AO28">
        <f>_xll.EQNXTDZ($A$1,$B28,AO$1,$B$1)</f>
        <v>51.17</v>
      </c>
      <c r="AP28">
        <f>_xll.EQNXTDZ($A$1,$B28,AP$1,$B$1)</f>
        <v>50.49</v>
      </c>
      <c r="AQ28">
        <f>_xll.EQNXTDZ($A$1,$B28,AQ$1,$B$1)</f>
        <v>51.27</v>
      </c>
      <c r="AR28">
        <f>_xll.EQNXTDZ($A$1,$B28,AR$1,$B$1)</f>
        <v>51.71</v>
      </c>
      <c r="AS28">
        <f>_xll.EQNXTDZ($A$1,$B28,AS$1,$B$1)</f>
        <v>52.99</v>
      </c>
      <c r="AT28">
        <f>_xll.EQNXTDZ($A$1,$B28,AT$1,$B$1)</f>
        <v>52.45</v>
      </c>
      <c r="AU28">
        <f>_xll.EQNXTDZ($A$1,$B28,AU$1,$B$1)</f>
        <v>53.93</v>
      </c>
      <c r="AV28">
        <f>_xll.EQNXTDZ($A$1,$B28,AV$1,$B$1)</f>
        <v>56.2</v>
      </c>
      <c r="AW28">
        <f>_xll.EQNXTDZ($A$1,$B28,AW$1,$B$1)</f>
        <v>60.43</v>
      </c>
      <c r="AX28">
        <f>_xll.EQNXTDZ($A$1,$B28,AX$1,$B$1)</f>
        <v>62.46</v>
      </c>
      <c r="AY28">
        <f>_xll.EQNXTDZ($A$1,$B28,AY$1,$B$1)</f>
        <v>67.66</v>
      </c>
      <c r="AZ28">
        <f>_xll.EQNXTDZ($A$1,$B28,AZ$1,$B$1)</f>
        <v>73.31</v>
      </c>
      <c r="BA28">
        <f>_xll.EQNXTDZ($A$1,$B28,BA$1,$B$1)</f>
        <v>78.12</v>
      </c>
      <c r="BB28">
        <f>_xll.EQNXTDZ($A$1,$B28,BB$1,$B$1)</f>
        <v>83.1</v>
      </c>
      <c r="BC28">
        <f>_xll.EQNXTDZ($A$1,$B28,BC$1,$B$1)</f>
        <v>80.72</v>
      </c>
      <c r="BD28">
        <f>_xll.EQNXTDZ($A$1,$B28,BD$1,$B$1)</f>
        <v>87.88</v>
      </c>
      <c r="BE28">
        <f>_xll.EQNXTDZ($A$1,$B28,BE$1,$B$1)</f>
        <v>92.02</v>
      </c>
      <c r="BF28">
        <f>_xll.EQNXTDZ($A$1,$B28,BF$1,$B$1)</f>
        <v>90.46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22.42</v>
      </c>
      <c r="D29">
        <f>_xll.EQNXTDZ($A$1,$B29,D$1,$B$1)</f>
        <v>17.78</v>
      </c>
      <c r="E29">
        <f>_xll.EQNXTDZ($A$1,$B29,E$1,$B$1)</f>
        <v>12.12</v>
      </c>
      <c r="F29">
        <f>_xll.EQNXTDZ($A$1,$B29,F$1,$B$1)</f>
        <v>13.4</v>
      </c>
      <c r="G29">
        <f>_xll.EQNXTDZ($A$1,$B29,G$1,$B$1)</f>
        <v>13.2</v>
      </c>
      <c r="H29">
        <f>_xll.EQNXTDZ($A$1,$B29,H$1,$B$1)</f>
        <v>18.55</v>
      </c>
      <c r="I29">
        <f>_xll.EQNXTDZ($A$1,$B29,I$1,$B$1)</f>
        <v>18.46</v>
      </c>
      <c r="J29">
        <f>_xll.EQNXTDZ($A$1,$B29,J$1,$B$1)</f>
        <v>17.899999999999999</v>
      </c>
      <c r="K29">
        <f>_xll.EQNXTDZ($A$1,$B29,K$1,$B$1)</f>
        <v>21.07</v>
      </c>
      <c r="L29">
        <f>_xll.EQNXTDZ($A$1,$B29,L$1,$B$1)</f>
        <v>19.45</v>
      </c>
      <c r="M29">
        <f>_xll.EQNXTDZ($A$1,$B29,M$1,$B$1)</f>
        <v>21.07</v>
      </c>
      <c r="N29">
        <f>_xll.EQNXTDZ($A$1,$B29,N$1,$B$1)</f>
        <v>21.84</v>
      </c>
      <c r="O29">
        <f>_xll.EQNXTDZ($A$1,$B29,O$1,$B$1)</f>
        <v>26.88</v>
      </c>
      <c r="P29">
        <f>_xll.EQNXTDZ($A$1,$B29,P$1,$B$1)</f>
        <v>26.95</v>
      </c>
      <c r="Q29">
        <f>_xll.EQNXTDZ($A$1,$B29,Q$1,$B$1)</f>
        <v>20.66</v>
      </c>
      <c r="R29">
        <f>_xll.EQNXTDZ($A$1,$B29,R$1,$B$1)</f>
        <v>30.38</v>
      </c>
      <c r="S29">
        <f>_xll.EQNXTDZ($A$1,$B29,S$1,$B$1)</f>
        <v>25.13</v>
      </c>
      <c r="T29">
        <f>_xll.EQNXTDZ($A$1,$B29,T$1,$B$1)</f>
        <v>28.52</v>
      </c>
      <c r="U29">
        <f>_xll.EQNXTDZ($A$1,$B29,U$1,$B$1)</f>
        <v>20.25</v>
      </c>
      <c r="V29">
        <f>_xll.EQNXTDZ($A$1,$B29,V$1,$B$1)</f>
        <v>28.67</v>
      </c>
      <c r="W29">
        <f>_xll.EQNXTDZ($A$1,$B29,W$1,$B$1)</f>
        <v>29.76</v>
      </c>
      <c r="X29">
        <f>_xll.EQNXTDZ($A$1,$B29,X$1,$B$1)</f>
        <v>51.55</v>
      </c>
      <c r="Y29">
        <f>_xll.EQNXTDZ($A$1,$B29,Y$1,$B$1)</f>
        <v>53.16</v>
      </c>
      <c r="Z29">
        <f>_xll.EQNXTDZ($A$1,$B29,Z$1,$B$1)</f>
        <v>54.85</v>
      </c>
      <c r="AA29">
        <f>_xll.EQNXTDZ($A$1,$B29,AA$1,$B$1)</f>
        <v>58.98</v>
      </c>
      <c r="AB29">
        <f>_xll.EQNXTDZ($A$1,$B29,AB$1,$B$1)</f>
        <v>48.37</v>
      </c>
      <c r="AC29">
        <f>_xll.EQNXTDZ($A$1,$B29,AC$1,$B$1)</f>
        <v>49.7</v>
      </c>
      <c r="AD29">
        <f>_xll.EQNXTDZ($A$1,$B29,AD$1,$B$1)</f>
        <v>56.08</v>
      </c>
      <c r="AE29">
        <f>_xll.EQNXTDZ($A$1,$B29,AE$1,$B$1)</f>
        <v>50.07</v>
      </c>
      <c r="AF29">
        <f>_xll.EQNXTDZ($A$1,$B29,AF$1,$B$1)</f>
        <v>20.93</v>
      </c>
      <c r="AG29">
        <f>_xll.EQNXTDZ($A$1,$B29,AG$1,$B$1)</f>
        <v>39.56</v>
      </c>
      <c r="AH29">
        <f>_xll.EQNXTDZ($A$1,$B29,AH$1,$B$1)</f>
        <v>31.72</v>
      </c>
      <c r="AI29">
        <f>_xll.EQNXTDZ($A$1,$B29,AI$1,$B$1)</f>
        <v>-14.16</v>
      </c>
      <c r="AJ29">
        <f>_xll.EQNXTDZ($A$1,$B29,AJ$1,$B$1)</f>
        <v>39.270000000000003</v>
      </c>
      <c r="AK29">
        <f>_xll.EQNXTDZ($A$1,$B29,AK$1,$B$1)</f>
        <v>49.41</v>
      </c>
      <c r="AL29">
        <f>_xll.EQNXTDZ($A$1,$B29,AL$1,$B$1)</f>
        <v>46.43</v>
      </c>
      <c r="AM29">
        <f>_xll.EQNXTDZ($A$1,$B29,AM$1,$B$1)</f>
        <v>42.53</v>
      </c>
      <c r="AN29">
        <f>_xll.EQNXTDZ($A$1,$B29,AN$1,$B$1)</f>
        <v>58.82</v>
      </c>
      <c r="AO29">
        <f>_xll.EQNXTDZ($A$1,$B29,AO$1,$B$1)</f>
        <v>66.239999999999995</v>
      </c>
      <c r="AP29">
        <f>_xll.EQNXTDZ($A$1,$B29,AP$1,$B$1)</f>
        <v>70.069999999999993</v>
      </c>
      <c r="AQ29">
        <f>_xll.EQNXTDZ($A$1,$B29,AQ$1,$B$1)</f>
        <v>74.959999999999994</v>
      </c>
      <c r="AR29">
        <f>_xll.EQNXTDZ($A$1,$B29,AR$1,$B$1)</f>
        <v>74.209999999999994</v>
      </c>
      <c r="AS29">
        <f>_xll.EQNXTDZ($A$1,$B29,AS$1,$B$1)</f>
        <v>78.59</v>
      </c>
      <c r="AT29">
        <f>_xll.EQNXTDZ($A$1,$B29,AT$1,$B$1)</f>
        <v>74.75</v>
      </c>
      <c r="AU29">
        <f>_xll.EQNXTDZ($A$1,$B29,AU$1,$B$1)</f>
        <v>80.760000000000005</v>
      </c>
      <c r="AV29">
        <f>_xll.EQNXTDZ($A$1,$B29,AV$1,$B$1)</f>
        <v>80.709999999999994</v>
      </c>
      <c r="AW29">
        <f>_xll.EQNXTDZ($A$1,$B29,AW$1,$B$1)</f>
        <v>78.53</v>
      </c>
      <c r="AX29">
        <f>_xll.EQNXTDZ($A$1,$B29,AX$1,$B$1)</f>
        <v>77.98</v>
      </c>
      <c r="AY29">
        <f>_xll.EQNXTDZ($A$1,$B29,AY$1,$B$1)</f>
        <v>86.39</v>
      </c>
      <c r="AZ29">
        <f>_xll.EQNXTDZ($A$1,$B29,AZ$1,$B$1)</f>
        <v>85.58</v>
      </c>
      <c r="BA29">
        <f>_xll.EQNXTDZ($A$1,$B29,BA$1,$B$1)</f>
        <v>88.94</v>
      </c>
      <c r="BB29">
        <f>_xll.EQNXTDZ($A$1,$B29,BB$1,$B$1)</f>
        <v>90.11</v>
      </c>
      <c r="BC29">
        <f>_xll.EQNXTDZ($A$1,$B29,BC$1,$B$1)</f>
        <v>104.24</v>
      </c>
      <c r="BD29">
        <f>_xll.EQNXTDZ($A$1,$B29,BD$1,$B$1)</f>
        <v>106.22</v>
      </c>
      <c r="BE29">
        <f>_xll.EQNXTDZ($A$1,$B29,BE$1,$B$1)</f>
        <v>111.44</v>
      </c>
      <c r="BF29">
        <f>_xll.EQNXTDZ($A$1,$B29,BF$1,$B$1)</f>
        <v>112.93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46.24</v>
      </c>
      <c r="D30">
        <f>_xll.EQNXTDZ($A$1,$B30,D$1,$B$1)</f>
        <v>36.94</v>
      </c>
      <c r="E30">
        <f>_xll.EQNXTDZ($A$1,$B30,E$1,$B$1)</f>
        <v>29.69</v>
      </c>
      <c r="F30">
        <f>_xll.EQNXTDZ($A$1,$B30,F$1,$B$1)</f>
        <v>25.45</v>
      </c>
      <c r="G30">
        <f>_xll.EQNXTDZ($A$1,$B30,G$1,$B$1)</f>
        <v>25.58</v>
      </c>
      <c r="H30">
        <f>_xll.EQNXTDZ($A$1,$B30,H$1,$B$1)</f>
        <v>35.89</v>
      </c>
      <c r="I30">
        <f>_xll.EQNXTDZ($A$1,$B30,I$1,$B$1)</f>
        <v>34.909999999999997</v>
      </c>
      <c r="J30">
        <f>_xll.EQNXTDZ($A$1,$B30,J$1,$B$1)</f>
        <v>34.68</v>
      </c>
      <c r="K30">
        <f>_xll.EQNXTDZ($A$1,$B30,K$1,$B$1)</f>
        <v>40.770000000000003</v>
      </c>
      <c r="L30">
        <f>_xll.EQNXTDZ($A$1,$B30,L$1,$B$1)</f>
        <v>37.51</v>
      </c>
      <c r="M30">
        <f>_xll.EQNXTDZ($A$1,$B30,M$1,$B$1)</f>
        <v>39.92</v>
      </c>
      <c r="N30">
        <f>_xll.EQNXTDZ($A$1,$B30,N$1,$B$1)</f>
        <v>41.4</v>
      </c>
      <c r="O30">
        <f>_xll.EQNXTDZ($A$1,$B30,O$1,$B$1)</f>
        <v>49.27</v>
      </c>
      <c r="P30">
        <f>_xll.EQNXTDZ($A$1,$B30,P$1,$B$1)</f>
        <v>50.6</v>
      </c>
      <c r="Q30">
        <f>_xll.EQNXTDZ($A$1,$B30,Q$1,$B$1)</f>
        <v>56.21</v>
      </c>
      <c r="R30">
        <f>_xll.EQNXTDZ($A$1,$B30,R$1,$B$1)</f>
        <v>41.46</v>
      </c>
      <c r="S30">
        <f>_xll.EQNXTDZ($A$1,$B30,S$1,$B$1)</f>
        <v>46.34</v>
      </c>
      <c r="T30">
        <f>_xll.EQNXTDZ($A$1,$B30,T$1,$B$1)</f>
        <v>52.52</v>
      </c>
      <c r="U30">
        <f>_xll.EQNXTDZ($A$1,$B30,U$1,$B$1)</f>
        <v>54.74</v>
      </c>
      <c r="V30">
        <f>_xll.EQNXTDZ($A$1,$B30,V$1,$B$1)</f>
        <v>57.48</v>
      </c>
      <c r="W30">
        <f>_xll.EQNXTDZ($A$1,$B30,W$1,$B$1)</f>
        <v>53.98</v>
      </c>
      <c r="X30">
        <f>_xll.EQNXTDZ($A$1,$B30,X$1,$B$1)</f>
        <v>95.48</v>
      </c>
      <c r="Y30">
        <f>_xll.EQNXTDZ($A$1,$B30,Y$1,$B$1)</f>
        <v>103.94</v>
      </c>
      <c r="Z30">
        <f>_xll.EQNXTDZ($A$1,$B30,Z$1,$B$1)</f>
        <v>110.54</v>
      </c>
      <c r="AA30">
        <f>_xll.EQNXTDZ($A$1,$B30,AA$1,$B$1)</f>
        <v>111.44</v>
      </c>
      <c r="AB30">
        <f>_xll.EQNXTDZ($A$1,$B30,AB$1,$B$1)</f>
        <v>90.66</v>
      </c>
      <c r="AC30">
        <f>_xll.EQNXTDZ($A$1,$B30,AC$1,$B$1)</f>
        <v>107.15</v>
      </c>
      <c r="AD30">
        <f>_xll.EQNXTDZ($A$1,$B30,AD$1,$B$1)</f>
        <v>106.18</v>
      </c>
      <c r="AE30">
        <f>_xll.EQNXTDZ($A$1,$B30,AE$1,$B$1)</f>
        <v>82.48</v>
      </c>
      <c r="AF30">
        <f>_xll.EQNXTDZ($A$1,$B30,AF$1,$B$1)</f>
        <v>94.43</v>
      </c>
      <c r="AG30">
        <f>_xll.EQNXTDZ($A$1,$B30,AG$1,$B$1)</f>
        <v>84.550000000000097</v>
      </c>
      <c r="AH30">
        <f>_xll.EQNXTDZ($A$1,$B30,AH$1,$B$1)</f>
        <v>78.350000000000094</v>
      </c>
      <c r="AI30">
        <f>_xll.EQNXTDZ($A$1,$B30,AI$1,$B$1)</f>
        <v>-42.47</v>
      </c>
      <c r="AJ30">
        <f>_xll.EQNXTDZ($A$1,$B30,AJ$1,$B$1)</f>
        <v>113.47</v>
      </c>
      <c r="AK30">
        <f>_xll.EQNXTDZ($A$1,$B30,AK$1,$B$1)</f>
        <v>141.62</v>
      </c>
      <c r="AL30">
        <f>_xll.EQNXTDZ($A$1,$B30,AL$1,$B$1)</f>
        <v>139.54</v>
      </c>
      <c r="AM30">
        <f>_xll.EQNXTDZ($A$1,$B30,AM$1,$B$1)</f>
        <v>128.13</v>
      </c>
      <c r="AN30">
        <f>_xll.EQNXTDZ($A$1,$B30,AN$1,$B$1)</f>
        <v>170.81</v>
      </c>
      <c r="AO30">
        <f>_xll.EQNXTDZ($A$1,$B30,AO$1,$B$1)</f>
        <v>190.64</v>
      </c>
      <c r="AP30">
        <f>_xll.EQNXTDZ($A$1,$B30,AP$1,$B$1)</f>
        <v>207.12</v>
      </c>
      <c r="AQ30">
        <f>_xll.EQNXTDZ($A$1,$B30,AQ$1,$B$1)</f>
        <v>225.75</v>
      </c>
      <c r="AR30">
        <f>_xll.EQNXTDZ($A$1,$B30,AR$1,$B$1)</f>
        <v>215.36</v>
      </c>
      <c r="AS30">
        <f>_xll.EQNXTDZ($A$1,$B30,AS$1,$B$1)</f>
        <v>230.98</v>
      </c>
      <c r="AT30">
        <f>_xll.EQNXTDZ($A$1,$B30,AT$1,$B$1)</f>
        <v>219.37</v>
      </c>
      <c r="AU30">
        <f>_xll.EQNXTDZ($A$1,$B30,AU$1,$B$1)</f>
        <v>237.28</v>
      </c>
      <c r="AV30">
        <f>_xll.EQNXTDZ($A$1,$B30,AV$1,$B$1)</f>
        <v>232.76</v>
      </c>
      <c r="AW30">
        <f>_xll.EQNXTDZ($A$1,$B30,AW$1,$B$1)</f>
        <v>209.61</v>
      </c>
      <c r="AX30">
        <f>_xll.EQNXTDZ($A$1,$B30,AX$1,$B$1)</f>
        <v>219.72</v>
      </c>
      <c r="AY30">
        <f>_xll.EQNXTDZ($A$1,$B30,AY$1,$B$1)</f>
        <v>245.45</v>
      </c>
      <c r="AZ30">
        <f>_xll.EQNXTDZ($A$1,$B30,AZ$1,$B$1)</f>
        <v>236.41</v>
      </c>
      <c r="BA30">
        <f>_xll.EQNXTDZ($A$1,$B30,BA$1,$B$1)</f>
        <v>237.28</v>
      </c>
      <c r="BB30">
        <f>_xll.EQNXTDZ($A$1,$B30,BB$1,$B$1)</f>
        <v>251.62</v>
      </c>
      <c r="BC30">
        <f>_xll.EQNXTDZ($A$1,$B30,BC$1,$B$1)</f>
        <v>287.11</v>
      </c>
      <c r="BD30">
        <f>_xll.EQNXTDZ($A$1,$B30,BD$1,$B$1)</f>
        <v>289.26</v>
      </c>
      <c r="BE30">
        <f>_xll.EQNXTDZ($A$1,$B30,BE$1,$B$1)</f>
        <v>322.36</v>
      </c>
      <c r="BF30">
        <f>_xll.EQNXTDZ($A$1,$B30,BF$1,$B$1)</f>
        <v>316.07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46.24</v>
      </c>
      <c r="D38">
        <f>_xll.EQNXTDZ($A$1,$B38,D$1,$B$1)</f>
        <v>36.94</v>
      </c>
      <c r="E38">
        <f>_xll.EQNXTDZ($A$1,$B38,E$1,$B$1)</f>
        <v>29.69</v>
      </c>
      <c r="F38">
        <f>_xll.EQNXTDZ($A$1,$B38,F$1,$B$1)</f>
        <v>25.45</v>
      </c>
      <c r="G38">
        <f>_xll.EQNXTDZ($A$1,$B38,G$1,$B$1)</f>
        <v>25.58</v>
      </c>
      <c r="H38">
        <f>_xll.EQNXTDZ($A$1,$B38,H$1,$B$1)</f>
        <v>35.89</v>
      </c>
      <c r="I38">
        <f>_xll.EQNXTDZ($A$1,$B38,I$1,$B$1)</f>
        <v>34.909999999999997</v>
      </c>
      <c r="J38">
        <f>_xll.EQNXTDZ($A$1,$B38,J$1,$B$1)</f>
        <v>34.68</v>
      </c>
      <c r="K38">
        <f>_xll.EQNXTDZ($A$1,$B38,K$1,$B$1)</f>
        <v>40.770000000000003</v>
      </c>
      <c r="L38">
        <f>_xll.EQNXTDZ($A$1,$B38,L$1,$B$1)</f>
        <v>37.51</v>
      </c>
      <c r="M38">
        <f>_xll.EQNXTDZ($A$1,$B38,M$1,$B$1)</f>
        <v>39.92</v>
      </c>
      <c r="N38">
        <f>_xll.EQNXTDZ($A$1,$B38,N$1,$B$1)</f>
        <v>41.4</v>
      </c>
      <c r="O38">
        <f>_xll.EQNXTDZ($A$1,$B38,O$1,$B$1)</f>
        <v>49.27</v>
      </c>
      <c r="P38">
        <f>_xll.EQNXTDZ($A$1,$B38,P$1,$B$1)</f>
        <v>50.6</v>
      </c>
      <c r="Q38">
        <f>_xll.EQNXTDZ($A$1,$B38,Q$1,$B$1)</f>
        <v>56.21</v>
      </c>
      <c r="R38">
        <f>_xll.EQNXTDZ($A$1,$B38,R$1,$B$1)</f>
        <v>41.46</v>
      </c>
      <c r="S38">
        <f>_xll.EQNXTDZ($A$1,$B38,S$1,$B$1)</f>
        <v>46.34</v>
      </c>
      <c r="T38">
        <f>_xll.EQNXTDZ($A$1,$B38,T$1,$B$1)</f>
        <v>52.52</v>
      </c>
      <c r="U38">
        <f>_xll.EQNXTDZ($A$1,$B38,U$1,$B$1)</f>
        <v>54.74</v>
      </c>
      <c r="V38">
        <f>_xll.EQNXTDZ($A$1,$B38,V$1,$B$1)</f>
        <v>57.48</v>
      </c>
      <c r="W38">
        <f>_xll.EQNXTDZ($A$1,$B38,W$1,$B$1)</f>
        <v>53.98</v>
      </c>
      <c r="X38">
        <f>_xll.EQNXTDZ($A$1,$B38,X$1,$B$1)</f>
        <v>95.48</v>
      </c>
      <c r="Y38">
        <f>_xll.EQNXTDZ($A$1,$B38,Y$1,$B$1)</f>
        <v>103.94</v>
      </c>
      <c r="Z38">
        <f>_xll.EQNXTDZ($A$1,$B38,Z$1,$B$1)</f>
        <v>110.54</v>
      </c>
      <c r="AA38">
        <f>_xll.EQNXTDZ($A$1,$B38,AA$1,$B$1)</f>
        <v>111.44</v>
      </c>
      <c r="AB38">
        <f>_xll.EQNXTDZ($A$1,$B38,AB$1,$B$1)</f>
        <v>90.66</v>
      </c>
      <c r="AC38">
        <f>_xll.EQNXTDZ($A$1,$B38,AC$1,$B$1)</f>
        <v>107.15</v>
      </c>
      <c r="AD38">
        <f>_xll.EQNXTDZ($A$1,$B38,AD$1,$B$1)</f>
        <v>106.18</v>
      </c>
      <c r="AE38">
        <f>_xll.EQNXTDZ($A$1,$B38,AE$1,$B$1)</f>
        <v>82.48</v>
      </c>
      <c r="AF38">
        <f>_xll.EQNXTDZ($A$1,$B38,AF$1,$B$1)</f>
        <v>94.43</v>
      </c>
      <c r="AG38">
        <f>_xll.EQNXTDZ($A$1,$B38,AG$1,$B$1)</f>
        <v>84.550000000000097</v>
      </c>
      <c r="AH38">
        <f>_xll.EQNXTDZ($A$1,$B38,AH$1,$B$1)</f>
        <v>78.350000000000094</v>
      </c>
      <c r="AI38">
        <f>_xll.EQNXTDZ($A$1,$B38,AI$1,$B$1)</f>
        <v>-42.47</v>
      </c>
      <c r="AJ38">
        <f>_xll.EQNXTDZ($A$1,$B38,AJ$1,$B$1)</f>
        <v>113.47</v>
      </c>
      <c r="AK38">
        <f>_xll.EQNXTDZ($A$1,$B38,AK$1,$B$1)</f>
        <v>141.62</v>
      </c>
      <c r="AL38">
        <f>_xll.EQNXTDZ($A$1,$B38,AL$1,$B$1)</f>
        <v>139.54</v>
      </c>
      <c r="AM38">
        <f>_xll.EQNXTDZ($A$1,$B38,AM$1,$B$1)</f>
        <v>128.13</v>
      </c>
      <c r="AN38">
        <f>_xll.EQNXTDZ($A$1,$B38,AN$1,$B$1)</f>
        <v>170.81</v>
      </c>
      <c r="AO38">
        <f>_xll.EQNXTDZ($A$1,$B38,AO$1,$B$1)</f>
        <v>190.64</v>
      </c>
      <c r="AP38">
        <f>_xll.EQNXTDZ($A$1,$B38,AP$1,$B$1)</f>
        <v>207.12</v>
      </c>
      <c r="AQ38">
        <f>_xll.EQNXTDZ($A$1,$B38,AQ$1,$B$1)</f>
        <v>225.75</v>
      </c>
      <c r="AR38">
        <f>_xll.EQNXTDZ($A$1,$B38,AR$1,$B$1)</f>
        <v>215.36</v>
      </c>
      <c r="AS38">
        <f>_xll.EQNXTDZ($A$1,$B38,AS$1,$B$1)</f>
        <v>230.98</v>
      </c>
      <c r="AT38">
        <f>_xll.EQNXTDZ($A$1,$B38,AT$1,$B$1)</f>
        <v>219.37</v>
      </c>
      <c r="AU38">
        <f>_xll.EQNXTDZ($A$1,$B38,AU$1,$B$1)</f>
        <v>237.28</v>
      </c>
      <c r="AV38">
        <f>_xll.EQNXTDZ($A$1,$B38,AV$1,$B$1)</f>
        <v>232.76</v>
      </c>
      <c r="AW38">
        <f>_xll.EQNXTDZ($A$1,$B38,AW$1,$B$1)</f>
        <v>209.61</v>
      </c>
      <c r="AX38">
        <f>_xll.EQNXTDZ($A$1,$B38,AX$1,$B$1)</f>
        <v>219.72</v>
      </c>
      <c r="AY38">
        <f>_xll.EQNXTDZ($A$1,$B38,AY$1,$B$1)</f>
        <v>245.45</v>
      </c>
      <c r="AZ38">
        <f>_xll.EQNXTDZ($A$1,$B38,AZ$1,$B$1)</f>
        <v>236.41</v>
      </c>
      <c r="BA38">
        <f>_xll.EQNXTDZ($A$1,$B38,BA$1,$B$1)</f>
        <v>237.28</v>
      </c>
      <c r="BB38">
        <f>_xll.EQNXTDZ($A$1,$B38,BB$1,$B$1)</f>
        <v>251.62</v>
      </c>
      <c r="BC38">
        <f>_xll.EQNXTDZ($A$1,$B38,BC$1,$B$1)</f>
        <v>287.11</v>
      </c>
      <c r="BD38">
        <f>_xll.EQNXTDZ($A$1,$B38,BD$1,$B$1)</f>
        <v>289.26</v>
      </c>
      <c r="BE38">
        <f>_xll.EQNXTDZ($A$1,$B38,BE$1,$B$1)</f>
        <v>322.36</v>
      </c>
      <c r="BF38">
        <f>_xll.EQNXTDZ($A$1,$B38,BF$1,$B$1)</f>
        <v>316.07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1.49</v>
      </c>
      <c r="S40">
        <f>_xll.EQNXTDZ($A$1,$B40,S$1,$B$1)</f>
        <v>-2.0299999999999998</v>
      </c>
      <c r="T40">
        <f>_xll.EQNXTDZ($A$1,$B40,T$1,$B$1)</f>
        <v>-0.95</v>
      </c>
      <c r="U40">
        <f>_xll.EQNXTDZ($A$1,$B40,U$1,$B$1)</f>
        <v>-4.51</v>
      </c>
      <c r="V40">
        <f>_xll.EQNXTDZ($A$1,$B40,V$1,$B$1)</f>
        <v>2.89</v>
      </c>
      <c r="W40">
        <f>_xll.EQNXTDZ($A$1,$B40,W$1,$B$1)</f>
        <v>0.53</v>
      </c>
      <c r="X40">
        <f>_xll.EQNXTDZ($A$1,$B40,X$1,$B$1)</f>
        <v>6.06</v>
      </c>
      <c r="Y40">
        <f>_xll.EQNXTDZ($A$1,$B40,Y$1,$B$1)</f>
        <v>-2.6</v>
      </c>
      <c r="Z40">
        <f>_xll.EQNXTDZ($A$1,$B40,Z$1,$B$1)</f>
        <v>-1.9</v>
      </c>
      <c r="AA40">
        <f>_xll.EQNXTDZ($A$1,$B40,AA$1,$B$1)</f>
        <v>1.31</v>
      </c>
      <c r="AB40">
        <f>_xll.EQNXTDZ($A$1,$B40,AB$1,$B$1)</f>
        <v>5.37</v>
      </c>
      <c r="AC40">
        <f>_xll.EQNXTDZ($A$1,$B40,AC$1,$B$1)</f>
        <v>-10.37</v>
      </c>
      <c r="AD40">
        <f>_xll.EQNXTDZ($A$1,$B40,AD$1,$B$1)</f>
        <v>-2.8</v>
      </c>
      <c r="AE40">
        <f>_xll.EQNXTDZ($A$1,$B40,AE$1,$B$1)</f>
        <v>3.79</v>
      </c>
      <c r="AF40">
        <f>_xll.EQNXTDZ($A$1,$B40,AF$1,$B$1)</f>
        <v>3.68</v>
      </c>
      <c r="AG40">
        <f>_xll.EQNXTDZ($A$1,$B40,AG$1,$B$1)</f>
        <v>-3.21</v>
      </c>
      <c r="AH40">
        <f>_xll.EQNXTDZ($A$1,$B40,AH$1,$B$1)</f>
        <v>-1.1000000000000001</v>
      </c>
      <c r="AI40">
        <f>_xll.EQNXTDZ($A$1,$B40,AI$1,$B$1)</f>
        <v>1.02</v>
      </c>
      <c r="AJ40">
        <f>_xll.EQNXTDZ($A$1,$B40,AJ$1,$B$1)</f>
        <v>-0.77</v>
      </c>
      <c r="AK40">
        <f>_xll.EQNXTDZ($A$1,$B40,AK$1,$B$1)</f>
        <v>-2.58</v>
      </c>
      <c r="AL40">
        <f>_xll.EQNXTDZ($A$1,$B40,AL$1,$B$1)</f>
        <v>1.47</v>
      </c>
      <c r="AM40">
        <f>_xll.EQNXTDZ($A$1,$B40,AM$1,$B$1)</f>
        <v>0.08</v>
      </c>
      <c r="AN40">
        <f>_xll.EQNXTDZ($A$1,$B40,AN$1,$B$1)</f>
        <v>0.22</v>
      </c>
      <c r="AO40">
        <f>_xll.EQNXTDZ($A$1,$B40,AO$1,$B$1)</f>
        <v>-4.16</v>
      </c>
      <c r="AP40">
        <f>_xll.EQNXTDZ($A$1,$B40,AP$1,$B$1)</f>
        <v>3.41</v>
      </c>
      <c r="AQ40">
        <f>_xll.EQNXTDZ($A$1,$B40,AQ$1,$B$1)</f>
        <v>0.57999999999999996</v>
      </c>
      <c r="AR40">
        <f>_xll.EQNXTDZ($A$1,$B40,AR$1,$B$1)</f>
        <v>3.97</v>
      </c>
      <c r="AS40">
        <f>_xll.EQNXTDZ($A$1,$B40,AS$1,$B$1)</f>
        <v>-4.8600000000000003</v>
      </c>
      <c r="AT40">
        <f>_xll.EQNXTDZ($A$1,$B40,AT$1,$B$1)</f>
        <v>-0.7</v>
      </c>
      <c r="AU40">
        <f>_xll.EQNXTDZ($A$1,$B40,AU$1,$B$1)</f>
        <v>0.05</v>
      </c>
      <c r="AV40">
        <f>_xll.EQNXTDZ($A$1,$B40,AV$1,$B$1)</f>
        <v>0.01</v>
      </c>
      <c r="AW40">
        <f>_xll.EQNXTDZ($A$1,$B40,AW$1,$B$1)</f>
        <v>-3.8</v>
      </c>
      <c r="AX40">
        <f>_xll.EQNXTDZ($A$1,$B40,AX$1,$B$1)</f>
        <v>0.91</v>
      </c>
      <c r="AY40">
        <f>_xll.EQNXTDZ($A$1,$B40,AY$1,$B$1)</f>
        <v>0.42</v>
      </c>
      <c r="AZ40">
        <f>_xll.EQNXTDZ($A$1,$B40,AZ$1,$B$1)</f>
        <v>-0.16</v>
      </c>
      <c r="BA40">
        <f>_xll.EQNXTDZ($A$1,$B40,BA$1,$B$1)</f>
        <v>-5.18</v>
      </c>
      <c r="BB40">
        <f>_xll.EQNXTDZ($A$1,$B40,BB$1,$B$1)</f>
        <v>1.1499999999999999</v>
      </c>
      <c r="BC40">
        <f>_xll.EQNXTDZ($A$1,$B40,BC$1,$B$1)</f>
        <v>-1.79</v>
      </c>
      <c r="BD40">
        <f>_xll.EQNXTDZ($A$1,$B40,BD$1,$B$1)</f>
        <v>1.4</v>
      </c>
      <c r="BE40">
        <f>_xll.EQNXTDZ($A$1,$B40,BE$1,$B$1)</f>
        <v>7.0000000000000007E-2</v>
      </c>
      <c r="BF40">
        <f>_xll.EQNXTDZ($A$1,$B40,BF$1,$B$1)</f>
        <v>4.12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49.27</v>
      </c>
      <c r="P41">
        <f>_xll.EQNXTDZ($A$1,$B41,P$1,$B$1)</f>
        <v>50.6</v>
      </c>
      <c r="Q41">
        <f>_xll.EQNXTDZ($A$1,$B41,Q$1,$B$1)</f>
        <v>56.21</v>
      </c>
      <c r="R41">
        <f>_xll.EQNXTDZ($A$1,$B41,R$1,$B$1)</f>
        <v>42.95</v>
      </c>
      <c r="S41">
        <f>_xll.EQNXTDZ($A$1,$B41,S$1,$B$1)</f>
        <v>44.31</v>
      </c>
      <c r="T41">
        <f>_xll.EQNXTDZ($A$1,$B41,T$1,$B$1)</f>
        <v>51.57</v>
      </c>
      <c r="U41">
        <f>_xll.EQNXTDZ($A$1,$B41,U$1,$B$1)</f>
        <v>50.23</v>
      </c>
      <c r="V41">
        <f>_xll.EQNXTDZ($A$1,$B41,V$1,$B$1)</f>
        <v>60.37</v>
      </c>
      <c r="W41">
        <f>_xll.EQNXTDZ($A$1,$B41,W$1,$B$1)</f>
        <v>54.51</v>
      </c>
      <c r="X41">
        <f>_xll.EQNXTDZ($A$1,$B41,X$1,$B$1)</f>
        <v>101.54</v>
      </c>
      <c r="Y41">
        <f>_xll.EQNXTDZ($A$1,$B41,Y$1,$B$1)</f>
        <v>101.34</v>
      </c>
      <c r="Z41">
        <f>_xll.EQNXTDZ($A$1,$B41,Z$1,$B$1)</f>
        <v>108.64</v>
      </c>
      <c r="AA41">
        <f>_xll.EQNXTDZ($A$1,$B41,AA$1,$B$1)</f>
        <v>112.75</v>
      </c>
      <c r="AB41">
        <f>_xll.EQNXTDZ($A$1,$B41,AB$1,$B$1)</f>
        <v>96.03</v>
      </c>
      <c r="AC41">
        <f>_xll.EQNXTDZ($A$1,$B41,AC$1,$B$1)</f>
        <v>96.78</v>
      </c>
      <c r="AD41">
        <f>_xll.EQNXTDZ($A$1,$B41,AD$1,$B$1)</f>
        <v>103.38</v>
      </c>
      <c r="AE41">
        <f>_xll.EQNXTDZ($A$1,$B41,AE$1,$B$1)</f>
        <v>86.27</v>
      </c>
      <c r="AF41">
        <f>_xll.EQNXTDZ($A$1,$B41,AF$1,$B$1)</f>
        <v>98.11</v>
      </c>
      <c r="AG41">
        <f>_xll.EQNXTDZ($A$1,$B41,AG$1,$B$1)</f>
        <v>81.34</v>
      </c>
      <c r="AH41">
        <f>_xll.EQNXTDZ($A$1,$B41,AH$1,$B$1)</f>
        <v>77.25</v>
      </c>
      <c r="AI41">
        <f>_xll.EQNXTDZ($A$1,$B41,AI$1,$B$1)</f>
        <v>-41.45</v>
      </c>
      <c r="AJ41">
        <f>_xll.EQNXTDZ($A$1,$B41,AJ$1,$B$1)</f>
        <v>112.7</v>
      </c>
      <c r="AK41">
        <f>_xll.EQNXTDZ($A$1,$B41,AK$1,$B$1)</f>
        <v>139.04</v>
      </c>
      <c r="AL41">
        <f>_xll.EQNXTDZ($A$1,$B41,AL$1,$B$1)</f>
        <v>141.01</v>
      </c>
      <c r="AM41">
        <f>_xll.EQNXTDZ($A$1,$B41,AM$1,$B$1)</f>
        <v>128.21</v>
      </c>
      <c r="AN41">
        <f>_xll.EQNXTDZ($A$1,$B41,AN$1,$B$1)</f>
        <v>171.03</v>
      </c>
      <c r="AO41">
        <f>_xll.EQNXTDZ($A$1,$B41,AO$1,$B$1)</f>
        <v>186.48</v>
      </c>
      <c r="AP41">
        <f>_xll.EQNXTDZ($A$1,$B41,AP$1,$B$1)</f>
        <v>210.53</v>
      </c>
      <c r="AQ41">
        <f>_xll.EQNXTDZ($A$1,$B41,AQ$1,$B$1)</f>
        <v>226.33</v>
      </c>
      <c r="AR41">
        <f>_xll.EQNXTDZ($A$1,$B41,AR$1,$B$1)</f>
        <v>219.33</v>
      </c>
      <c r="AS41">
        <f>_xll.EQNXTDZ($A$1,$B41,AS$1,$B$1)</f>
        <v>226.12</v>
      </c>
      <c r="AT41">
        <f>_xll.EQNXTDZ($A$1,$B41,AT$1,$B$1)</f>
        <v>218.67</v>
      </c>
      <c r="AU41">
        <f>_xll.EQNXTDZ($A$1,$B41,AU$1,$B$1)</f>
        <v>237.33</v>
      </c>
      <c r="AV41">
        <f>_xll.EQNXTDZ($A$1,$B41,AV$1,$B$1)</f>
        <v>232.77</v>
      </c>
      <c r="AW41">
        <f>_xll.EQNXTDZ($A$1,$B41,AW$1,$B$1)</f>
        <v>205.81</v>
      </c>
      <c r="AX41">
        <f>_xll.EQNXTDZ($A$1,$B41,AX$1,$B$1)</f>
        <v>220.63</v>
      </c>
      <c r="AY41">
        <f>_xll.EQNXTDZ($A$1,$B41,AY$1,$B$1)</f>
        <v>245.87</v>
      </c>
      <c r="AZ41">
        <f>_xll.EQNXTDZ($A$1,$B41,AZ$1,$B$1)</f>
        <v>236.25</v>
      </c>
      <c r="BA41">
        <f>_xll.EQNXTDZ($A$1,$B41,BA$1,$B$1)</f>
        <v>232.1</v>
      </c>
      <c r="BB41">
        <f>_xll.EQNXTDZ($A$1,$B41,BB$1,$B$1)</f>
        <v>252.77</v>
      </c>
      <c r="BC41">
        <f>_xll.EQNXTDZ($A$1,$B41,BC$1,$B$1)</f>
        <v>285.32</v>
      </c>
      <c r="BD41">
        <f>_xll.EQNXTDZ($A$1,$B41,BD$1,$B$1)</f>
        <v>290.66000000000003</v>
      </c>
      <c r="BE41">
        <f>_xll.EQNXTDZ($A$1,$B41,BE$1,$B$1)</f>
        <v>322.43</v>
      </c>
      <c r="BF41">
        <f>_xll.EQNXTDZ($A$1,$B41,BF$1,$B$1)</f>
        <v>320.19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46.24</v>
      </c>
      <c r="D42">
        <f>_xll.EQNXTDZ($A$1,$B42,D$1,$B$1)</f>
        <v>36.94</v>
      </c>
      <c r="E42">
        <f>_xll.EQNXTDZ($A$1,$B42,E$1,$B$1)</f>
        <v>29.69</v>
      </c>
      <c r="F42">
        <f>_xll.EQNXTDZ($A$1,$B42,F$1,$B$1)</f>
        <v>25.45</v>
      </c>
      <c r="G42">
        <f>_xll.EQNXTDZ($A$1,$B42,G$1,$B$1)</f>
        <v>25.58</v>
      </c>
      <c r="H42">
        <f>_xll.EQNXTDZ($A$1,$B42,H$1,$B$1)</f>
        <v>35.89</v>
      </c>
      <c r="I42">
        <f>_xll.EQNXTDZ($A$1,$B42,I$1,$B$1)</f>
        <v>34.909999999999997</v>
      </c>
      <c r="J42">
        <f>_xll.EQNXTDZ($A$1,$B42,J$1,$B$1)</f>
        <v>34.68</v>
      </c>
      <c r="K42">
        <f>_xll.EQNXTDZ($A$1,$B42,K$1,$B$1)</f>
        <v>40.770000000000003</v>
      </c>
      <c r="L42">
        <f>_xll.EQNXTDZ($A$1,$B42,L$1,$B$1)</f>
        <v>37.51</v>
      </c>
      <c r="M42">
        <f>_xll.EQNXTDZ($A$1,$B42,M$1,$B$1)</f>
        <v>39.92</v>
      </c>
      <c r="N42">
        <f>_xll.EQNXTDZ($A$1,$B42,N$1,$B$1)</f>
        <v>41.4</v>
      </c>
      <c r="O42">
        <f>_xll.EQNXTDZ($A$1,$B42,O$1,$B$1)</f>
        <v>49.27</v>
      </c>
      <c r="P42">
        <f>_xll.EQNXTDZ($A$1,$B42,P$1,$B$1)</f>
        <v>50.6</v>
      </c>
      <c r="Q42">
        <f>_xll.EQNXTDZ($A$1,$B42,Q$1,$B$1)</f>
        <v>56.21</v>
      </c>
      <c r="R42">
        <f>_xll.EQNXTDZ($A$1,$B42,R$1,$B$1)</f>
        <v>41.46</v>
      </c>
      <c r="S42">
        <f>_xll.EQNXTDZ($A$1,$B42,S$1,$B$1)</f>
        <v>46.34</v>
      </c>
      <c r="T42">
        <f>_xll.EQNXTDZ($A$1,$B42,T$1,$B$1)</f>
        <v>52.52</v>
      </c>
      <c r="U42">
        <f>_xll.EQNXTDZ($A$1,$B42,U$1,$B$1)</f>
        <v>54.74</v>
      </c>
      <c r="V42">
        <f>_xll.EQNXTDZ($A$1,$B42,V$1,$B$1)</f>
        <v>57.48</v>
      </c>
      <c r="W42">
        <f>_xll.EQNXTDZ($A$1,$B42,W$1,$B$1)</f>
        <v>53.98</v>
      </c>
      <c r="X42">
        <f>_xll.EQNXTDZ($A$1,$B42,X$1,$B$1)</f>
        <v>95.48</v>
      </c>
      <c r="Y42">
        <f>_xll.EQNXTDZ($A$1,$B42,Y$1,$B$1)</f>
        <v>103.94</v>
      </c>
      <c r="Z42">
        <f>_xll.EQNXTDZ($A$1,$B42,Z$1,$B$1)</f>
        <v>110.54</v>
      </c>
      <c r="AA42">
        <f>_xll.EQNXTDZ($A$1,$B42,AA$1,$B$1)</f>
        <v>111.44</v>
      </c>
      <c r="AB42">
        <f>_xll.EQNXTDZ($A$1,$B42,AB$1,$B$1)</f>
        <v>90.66</v>
      </c>
      <c r="AC42">
        <f>_xll.EQNXTDZ($A$1,$B42,AC$1,$B$1)</f>
        <v>107.15</v>
      </c>
      <c r="AD42">
        <f>_xll.EQNXTDZ($A$1,$B42,AD$1,$B$1)</f>
        <v>106.18</v>
      </c>
      <c r="AE42">
        <f>_xll.EQNXTDZ($A$1,$B42,AE$1,$B$1)</f>
        <v>82.48</v>
      </c>
      <c r="AF42">
        <f>_xll.EQNXTDZ($A$1,$B42,AF$1,$B$1)</f>
        <v>94.43</v>
      </c>
      <c r="AG42">
        <f>_xll.EQNXTDZ($A$1,$B42,AG$1,$B$1)</f>
        <v>84.550000000000097</v>
      </c>
      <c r="AH42">
        <f>_xll.EQNXTDZ($A$1,$B42,AH$1,$B$1)</f>
        <v>78.350000000000094</v>
      </c>
      <c r="AI42">
        <f>_xll.EQNXTDZ($A$1,$B42,AI$1,$B$1)</f>
        <v>-42.47</v>
      </c>
      <c r="AJ42">
        <f>_xll.EQNXTDZ($A$1,$B42,AJ$1,$B$1)</f>
        <v>113.47</v>
      </c>
      <c r="AK42">
        <f>_xll.EQNXTDZ($A$1,$B42,AK$1,$B$1)</f>
        <v>141.62</v>
      </c>
      <c r="AL42">
        <f>_xll.EQNXTDZ($A$1,$B42,AL$1,$B$1)</f>
        <v>139.54</v>
      </c>
      <c r="AM42">
        <f>_xll.EQNXTDZ($A$1,$B42,AM$1,$B$1)</f>
        <v>128.13</v>
      </c>
      <c r="AN42">
        <f>_xll.EQNXTDZ($A$1,$B42,AN$1,$B$1)</f>
        <v>170.81</v>
      </c>
      <c r="AO42">
        <f>_xll.EQNXTDZ($A$1,$B42,AO$1,$B$1)</f>
        <v>190.64</v>
      </c>
      <c r="AP42">
        <f>_xll.EQNXTDZ($A$1,$B42,AP$1,$B$1)</f>
        <v>207.12</v>
      </c>
      <c r="AQ42">
        <f>_xll.EQNXTDZ($A$1,$B42,AQ$1,$B$1)</f>
        <v>225.75</v>
      </c>
      <c r="AR42">
        <f>_xll.EQNXTDZ($A$1,$B42,AR$1,$B$1)</f>
        <v>215.36</v>
      </c>
      <c r="AS42">
        <f>_xll.EQNXTDZ($A$1,$B42,AS$1,$B$1)</f>
        <v>230.98</v>
      </c>
      <c r="AT42">
        <f>_xll.EQNXTDZ($A$1,$B42,AT$1,$B$1)</f>
        <v>219.37</v>
      </c>
      <c r="AU42">
        <f>_xll.EQNXTDZ($A$1,$B42,AU$1,$B$1)</f>
        <v>237.28</v>
      </c>
      <c r="AV42">
        <f>_xll.EQNXTDZ($A$1,$B42,AV$1,$B$1)</f>
        <v>232.76</v>
      </c>
      <c r="AW42">
        <f>_xll.EQNXTDZ($A$1,$B42,AW$1,$B$1)</f>
        <v>209.61</v>
      </c>
      <c r="AX42">
        <f>_xll.EQNXTDZ($A$1,$B42,AX$1,$B$1)</f>
        <v>219.72</v>
      </c>
      <c r="AY42">
        <f>_xll.EQNXTDZ($A$1,$B42,AY$1,$B$1)</f>
        <v>245.45</v>
      </c>
      <c r="AZ42">
        <f>_xll.EQNXTDZ($A$1,$B42,AZ$1,$B$1)</f>
        <v>236.41</v>
      </c>
      <c r="BA42">
        <f>_xll.EQNXTDZ($A$1,$B42,BA$1,$B$1)</f>
        <v>237.28</v>
      </c>
      <c r="BB42">
        <f>_xll.EQNXTDZ($A$1,$B42,BB$1,$B$1)</f>
        <v>251.62</v>
      </c>
      <c r="BC42">
        <f>_xll.EQNXTDZ($A$1,$B42,BC$1,$B$1)</f>
        <v>287.11</v>
      </c>
      <c r="BD42">
        <f>_xll.EQNXTDZ($A$1,$B42,BD$1,$B$1)</f>
        <v>289.26</v>
      </c>
      <c r="BE42">
        <f>_xll.EQNXTDZ($A$1,$B42,BE$1,$B$1)</f>
        <v>322.36</v>
      </c>
      <c r="BF42">
        <f>_xll.EQNXTDZ($A$1,$B42,BF$1,$B$1)</f>
        <v>316.07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16.62</v>
      </c>
      <c r="D45">
        <f>_xll.EQNXTDZ($A$1,$B45,D$1,$B$1)</f>
        <v>16.62</v>
      </c>
      <c r="E45">
        <f>_xll.EQNXTDZ($A$1,$B45,E$1,$B$1)</f>
        <v>16.62</v>
      </c>
      <c r="F45">
        <f>_xll.EQNXTDZ($A$1,$B45,F$1,$B$1)</f>
        <v>16.62</v>
      </c>
      <c r="G45">
        <f>_xll.EQNXTDZ($A$1,$B45,G$1,$B$1)</f>
        <v>16.62</v>
      </c>
      <c r="H45">
        <f>_xll.EQNXTDZ($A$1,$B45,H$1,$B$1)</f>
        <v>16.62</v>
      </c>
      <c r="I45">
        <f>_xll.EQNXTDZ($A$1,$B45,I$1,$B$1)</f>
        <v>16.62</v>
      </c>
      <c r="J45">
        <f>_xll.EQNXTDZ($A$1,$B45,J$1,$B$1)</f>
        <v>16.62</v>
      </c>
      <c r="K45">
        <f>_xll.EQNXTDZ($A$1,$B45,K$1,$B$1)</f>
        <v>16.62</v>
      </c>
      <c r="L45">
        <f>_xll.EQNXTDZ($A$1,$B45,L$1,$B$1)</f>
        <v>16.62</v>
      </c>
      <c r="M45">
        <f>_xll.EQNXTDZ($A$1,$B45,M$1,$B$1)</f>
        <v>16.62</v>
      </c>
      <c r="N45">
        <f>_xll.EQNXTDZ($A$1,$B45,N$1,$B$1)</f>
        <v>16.62</v>
      </c>
      <c r="O45">
        <f>_xll.EQNXTDZ($A$1,$B45,O$1,$B$1)</f>
        <v>16.62</v>
      </c>
      <c r="P45">
        <f>_xll.EQNXTDZ($A$1,$B45,P$1,$B$1)</f>
        <v>16.62</v>
      </c>
      <c r="Q45">
        <f>_xll.EQNXTDZ($A$1,$B45,Q$1,$B$1)</f>
        <v>16.62</v>
      </c>
      <c r="R45">
        <f>_xll.EQNXTDZ($A$1,$B45,R$1,$B$1)</f>
        <v>16.62</v>
      </c>
      <c r="S45">
        <f>_xll.EQNXTDZ($A$1,$B45,S$1,$B$1)</f>
        <v>16.62</v>
      </c>
      <c r="T45">
        <f>_xll.EQNXTDZ($A$1,$B45,T$1,$B$1)</f>
        <v>16.62</v>
      </c>
      <c r="U45">
        <f>_xll.EQNXTDZ($A$1,$B45,U$1,$B$1)</f>
        <v>16.62</v>
      </c>
      <c r="V45">
        <f>_xll.EQNXTDZ($A$1,$B45,V$1,$B$1)</f>
        <v>16.62</v>
      </c>
      <c r="W45">
        <f>_xll.EQNXTDZ($A$1,$B45,W$1,$B$1)</f>
        <v>16.62</v>
      </c>
      <c r="X45">
        <f>_xll.EQNXTDZ($A$1,$B45,X$1,$B$1)</f>
        <v>16.62</v>
      </c>
      <c r="Y45">
        <f>_xll.EQNXTDZ($A$1,$B45,Y$1,$B$1)</f>
        <v>16.62</v>
      </c>
      <c r="Z45">
        <f>_xll.EQNXTDZ($A$1,$B45,Z$1,$B$1)</f>
        <v>16.62</v>
      </c>
      <c r="AA45">
        <f>_xll.EQNXTDZ($A$1,$B45,AA$1,$B$1)</f>
        <v>16.62</v>
      </c>
      <c r="AB45">
        <f>_xll.EQNXTDZ($A$1,$B45,AB$1,$B$1)</f>
        <v>16.62</v>
      </c>
      <c r="AC45">
        <f>_xll.EQNXTDZ($A$1,$B45,AC$1,$B$1)</f>
        <v>31.26</v>
      </c>
      <c r="AD45">
        <f>_xll.EQNXTDZ($A$1,$B45,AD$1,$B$1)</f>
        <v>31.26</v>
      </c>
      <c r="AE45">
        <f>_xll.EQNXTDZ($A$1,$B45,AE$1,$B$1)</f>
        <v>31.26</v>
      </c>
      <c r="AF45">
        <f>_xll.EQNXTDZ($A$1,$B45,AF$1,$B$1)</f>
        <v>31.26</v>
      </c>
      <c r="AG45">
        <f>_xll.EQNXTDZ($A$1,$B45,AG$1,$B$1)</f>
        <v>31.26</v>
      </c>
      <c r="AH45">
        <f>_xll.EQNXTDZ($A$1,$B45,AH$1,$B$1)</f>
        <v>31.26</v>
      </c>
      <c r="AI45">
        <f>_xll.EQNXTDZ($A$1,$B45,AI$1,$B$1)</f>
        <v>31.26</v>
      </c>
      <c r="AJ45">
        <f>_xll.EQNXTDZ($A$1,$B45,AJ$1,$B$1)</f>
        <v>31.26</v>
      </c>
      <c r="AK45">
        <f>_xll.EQNXTDZ($A$1,$B45,AK$1,$B$1)</f>
        <v>31.26</v>
      </c>
      <c r="AL45">
        <f>_xll.EQNXTDZ($A$1,$B45,AL$1,$B$1)</f>
        <v>31.26</v>
      </c>
      <c r="AM45">
        <f>_xll.EQNXTDZ($A$1,$B45,AM$1,$B$1)</f>
        <v>31.26</v>
      </c>
      <c r="AN45">
        <f>_xll.EQNXTDZ($A$1,$B45,AN$1,$B$1)</f>
        <v>31.26</v>
      </c>
      <c r="AO45">
        <f>_xll.EQNXTDZ($A$1,$B45,AO$1,$B$1)</f>
        <v>31.26</v>
      </c>
      <c r="AP45">
        <f>_xll.EQNXTDZ($A$1,$B45,AP$1,$B$1)</f>
        <v>31.26</v>
      </c>
      <c r="AQ45">
        <f>_xll.EQNXTDZ($A$1,$B45,AQ$1,$B$1)</f>
        <v>31.26</v>
      </c>
      <c r="AR45">
        <f>_xll.EQNXTDZ($A$1,$B45,AR$1,$B$1)</f>
        <v>31.26</v>
      </c>
      <c r="AS45">
        <f>_xll.EQNXTDZ($A$1,$B45,AS$1,$B$1)</f>
        <v>31.26</v>
      </c>
      <c r="AT45">
        <f>_xll.EQNXTDZ($A$1,$B45,AT$1,$B$1)</f>
        <v>31.26</v>
      </c>
      <c r="AU45">
        <f>_xll.EQNXTDZ($A$1,$B45,AU$1,$B$1)</f>
        <v>31.26</v>
      </c>
      <c r="AV45">
        <f>_xll.EQNXTDZ($A$1,$B45,AV$1,$B$1)</f>
        <v>31.26</v>
      </c>
      <c r="AW45">
        <f>_xll.EQNXTDZ($A$1,$B45,AW$1,$B$1)</f>
        <v>31.26</v>
      </c>
      <c r="AX45">
        <f>_xll.EQNXTDZ($A$1,$B45,AX$1,$B$1)</f>
        <v>31.26</v>
      </c>
      <c r="AY45">
        <f>_xll.EQNXTDZ($A$1,$B45,AY$1,$B$1)</f>
        <v>31.26</v>
      </c>
      <c r="AZ45">
        <f>_xll.EQNXTDZ($A$1,$B45,AZ$1,$B$1)</f>
        <v>31.26</v>
      </c>
      <c r="BA45">
        <f>_xll.EQNXTDZ($A$1,$B45,BA$1,$B$1)</f>
        <v>31.26</v>
      </c>
      <c r="BB45">
        <f>_xll.EQNXTDZ($A$1,$B45,BB$1,$B$1)</f>
        <v>31.26</v>
      </c>
      <c r="BC45">
        <f>_xll.EQNXTDZ($A$1,$B45,BC$1,$B$1)</f>
        <v>31.26</v>
      </c>
      <c r="BD45">
        <f>_xll.EQNXTDZ($A$1,$B45,BD$1,$B$1)</f>
        <v>31.26</v>
      </c>
      <c r="BE45">
        <f>_xll.EQNXTDZ($A$1,$B45,BE$1,$B$1)</f>
        <v>31.26</v>
      </c>
      <c r="BF45">
        <f>_xll.EQNXTDZ($A$1,$B45,BF$1,$B$1)</f>
        <v>31.26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287.61</v>
      </c>
      <c r="D48" s="54">
        <f>_xll.EQNXTDZ($A$1,$B48,D$5)</f>
        <v>352.06</v>
      </c>
      <c r="E48" s="54">
        <f>_xll.EQNXTDZ($A$1,$B48,E$5)</f>
        <v>339.94</v>
      </c>
      <c r="F48" s="54">
        <f>_xll.EQNXTDZ($A$1,$B48,F$5)</f>
        <v>293.93</v>
      </c>
      <c r="G48" s="54">
        <f>_xll.EQNXTDZ($A$1,$B48,G$5)</f>
        <v>284</v>
      </c>
      <c r="H48" s="54">
        <f>_xll.EQNXTDZ($A$1,$B48,H$5)</f>
        <v>249.7</v>
      </c>
      <c r="I48" s="54">
        <f>_xll.EQNXTDZ($A$1,$B48,I$5)</f>
        <v>322.79000000000002</v>
      </c>
      <c r="J48" s="54">
        <f>_xll.EQNXTDZ($A$1,$B48,J$5)</f>
        <v>375.5</v>
      </c>
      <c r="K48" s="54">
        <f>_xll.EQNXTDZ($A$1,$B48,K$5)</f>
        <v>497.28</v>
      </c>
      <c r="L48" s="54">
        <f>_xll.EQNXTDZ($A$1,$B48,L$5)</f>
        <v>575.97</v>
      </c>
      <c r="M48" s="54">
        <f>_xll.EQNXTDZ($A$1,$B48,M$5)</f>
        <v>714.02</v>
      </c>
      <c r="N48" s="54">
        <f>_xll.EQNXTDZ($A$1,$B48,N$5)</f>
        <v>828.63</v>
      </c>
      <c r="O48" s="54">
        <f>_xll.EQNXTDZ($A$1,$B48,O$5)</f>
        <v>824.52</v>
      </c>
      <c r="P48" s="54">
        <f>_xll.EQNXTDZ($A$1,$B48,P$5)</f>
        <v>806.75</v>
      </c>
      <c r="Q48" s="54">
        <f>_xll.EQNXTDZ($A$1,$B48,Q$5)</f>
        <v>877.42</v>
      </c>
      <c r="R48" s="54">
        <f>_xll.EQNXTDZ($A$1,$B48,R$5)</f>
        <v>764.09</v>
      </c>
      <c r="S48" s="54">
        <f>_xll.EQNXTDZ($A$1,$B48,S$5)</f>
        <v>822.08</v>
      </c>
      <c r="T48" s="54">
        <f>_xll.EQNXTDZ($A$1,$B48,T$5)</f>
        <v>816.76</v>
      </c>
      <c r="U48" s="54">
        <f>_xll.EQNXTDZ($A$1,$B48,U$5)</f>
        <v>773.14</v>
      </c>
      <c r="V48" s="54">
        <f>_xll.EQNXTDZ($A$1,$B48,V$5)</f>
        <v>911.96</v>
      </c>
      <c r="W48" s="54">
        <f>_xll.EQNXTDZ($A$1,$B48,W$5)</f>
        <v>892.68</v>
      </c>
      <c r="X48" s="54">
        <f>_xll.EQNXTDZ($A$1,$B48,X$5)</f>
        <v>979.1</v>
      </c>
      <c r="Y48" s="54">
        <f>_xll.EQNXTDZ($A$1,$B48,Y$5)</f>
        <v>1168.83</v>
      </c>
      <c r="Z48" s="54">
        <f>_xll.EQNXTDZ($A$1,$B48,Z$5)</f>
        <v>1033.03</v>
      </c>
      <c r="AA48" s="54">
        <f>_xll.EQNXTDZ($A$1,$B48,AA$5)</f>
        <v>1106.28</v>
      </c>
      <c r="AB48" s="54">
        <f>_xll.EQNXTDZ($A$1,$B48,AB$5)</f>
        <v>1079.03</v>
      </c>
      <c r="AC48" s="54">
        <f>_xll.EQNXTDZ($A$1,$B48,AC$5)</f>
        <v>1138.25</v>
      </c>
      <c r="AD48" s="54">
        <f>_xll.EQNXTDZ($A$1,$B48,AD$5)</f>
        <v>1101.3399999999999</v>
      </c>
      <c r="AE48" s="54">
        <f>_xll.EQNXTDZ($A$1,$B48,AE$5)</f>
        <v>975.34</v>
      </c>
      <c r="AF48" s="54">
        <f>_xll.EQNXTDZ($A$1,$B48,AF$5)</f>
        <v>877.07</v>
      </c>
      <c r="AG48" s="54">
        <f>_xll.EQNXTDZ($A$1,$B48,AG$5)</f>
        <v>939.69</v>
      </c>
      <c r="AH48" s="54">
        <f>_xll.EQNXTDZ($A$1,$B48,AH$5)</f>
        <v>739.82</v>
      </c>
      <c r="AI48" s="54">
        <f>_xll.EQNXTDZ($A$1,$B48,AI$5)</f>
        <v>715.26</v>
      </c>
      <c r="AJ48" s="54">
        <f>_xll.EQNXTDZ($A$1,$B48,AJ$5)</f>
        <v>710.68</v>
      </c>
      <c r="AK48" s="54">
        <f>_xll.EQNXTDZ($A$1,$B48,AK$5)</f>
        <v>907.71</v>
      </c>
      <c r="AL48" s="54">
        <f>_xll.EQNXTDZ($A$1,$B48,AL$5)</f>
        <v>1082.1400000000001</v>
      </c>
      <c r="AM48" s="54">
        <f>_xll.EQNXTDZ($A$1,$B48,AM$5)</f>
        <v>1128.25</v>
      </c>
      <c r="AN48" s="54">
        <f>_xll.EQNXTDZ($A$1,$B48,AN$5)</f>
        <v>1522.08</v>
      </c>
      <c r="AO48" s="54">
        <f>_xll.EQNXTDZ($A$1,$B48,AO$5)</f>
        <v>1758.09</v>
      </c>
      <c r="AP48" s="54">
        <f>_xll.EQNXTDZ($A$1,$B48,AP$5)</f>
        <v>1950.6</v>
      </c>
      <c r="AQ48" s="54">
        <f>_xll.EQNXTDZ($A$1,$B48,AQ$5)</f>
        <v>2290.8000000000002</v>
      </c>
      <c r="AR48" s="54">
        <f>_xll.EQNXTDZ($A$1,$B48,AR$5)</f>
        <v>3213.3</v>
      </c>
      <c r="AS48" s="54">
        <f>_xll.EQNXTDZ($A$1,$B48,AS$5)</f>
        <v>2744.5</v>
      </c>
      <c r="AT48" s="54">
        <f>_xll.EQNXTDZ($A$1,$B48,AT$5)</f>
        <v>2873.9</v>
      </c>
      <c r="AU48" s="54">
        <f>_xll.EQNXTDZ($A$1,$B48,AU$5)</f>
        <v>3099.6</v>
      </c>
      <c r="AV48" s="54">
        <f>_xll.EQNXTDZ($A$1,$B48,AV$5)</f>
        <v>3313.95</v>
      </c>
      <c r="AW48" s="54">
        <f>_xll.EQNXTDZ($A$1,$B48,AW$5)</f>
        <v>3202.2</v>
      </c>
      <c r="AX48" s="54">
        <f>_xll.EQNXTDZ($A$1,$B48,AX$5)</f>
        <v>2812.3</v>
      </c>
      <c r="AY48" s="54">
        <f>_xll.EQNXTDZ($A$1,$B48,AY$5)</f>
        <v>4738.8999999999996</v>
      </c>
      <c r="AZ48" s="54">
        <f>_xll.EQNXTDZ($A$1,$B48,AZ$5)</f>
        <v>3908.55</v>
      </c>
      <c r="BA48" s="54">
        <f>_xll.EQNXTDZ($A$1,$B48,BA$5)</f>
        <v>3405.45</v>
      </c>
      <c r="BB48" s="54">
        <f>_xll.EQNXTDZ($A$1,$B48,BB$5)</f>
        <v>3370.3</v>
      </c>
      <c r="BC48" s="54">
        <f>_xll.EQNXTDZ($A$1,$B48,BC$5)</f>
        <v>4048.15</v>
      </c>
      <c r="BD48" s="54">
        <f>_xll.EQNXTDZ($A$1,$B48,BD$5)</f>
        <v>4210.25</v>
      </c>
      <c r="BE48" s="54">
        <f>_xll.EQNXTDZ($A$1,$B48,BE$5)</f>
        <v>3885.25</v>
      </c>
      <c r="BF48" s="54">
        <f>_xll.EQNXTDZ($A$1,$B48,BF$5)</f>
        <v>3844.7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51.33</v>
      </c>
      <c r="D49" s="54">
        <f>_xll.EQNXTDZ($A$1,$B49,D$5)</f>
        <v>51.33</v>
      </c>
      <c r="E49" s="54">
        <f>_xll.EQNXTDZ($A$1,$B49,E$5)</f>
        <v>51.33</v>
      </c>
      <c r="F49" s="54">
        <f>_xll.EQNXTDZ($A$1,$B49,F$5)</f>
        <v>51.33</v>
      </c>
      <c r="G49" s="54">
        <f>_xll.EQNXTDZ($A$1,$B49,G$5)</f>
        <v>51.33</v>
      </c>
      <c r="H49" s="54">
        <f>_xll.EQNXTDZ($A$1,$B49,H$5)</f>
        <v>51.33</v>
      </c>
      <c r="I49" s="54">
        <f>_xll.EQNXTDZ($A$1,$B49,I$5)</f>
        <v>51.33</v>
      </c>
      <c r="J49" s="54">
        <f>_xll.EQNXTDZ($A$1,$B49,J$5)</f>
        <v>51.33</v>
      </c>
      <c r="K49" s="54">
        <f>_xll.EQNXTDZ($A$1,$B49,K$5)</f>
        <v>51.33</v>
      </c>
      <c r="L49" s="54">
        <f>_xll.EQNXTDZ($A$1,$B49,L$5)</f>
        <v>51.33</v>
      </c>
      <c r="M49" s="54">
        <f>_xll.EQNXTDZ($A$1,$B49,M$5)</f>
        <v>51.33</v>
      </c>
      <c r="N49" s="54">
        <f>_xll.EQNXTDZ($A$1,$B49,N$5)</f>
        <v>51.33</v>
      </c>
      <c r="O49" s="54">
        <f>_xll.EQNXTDZ($A$1,$B49,O$5)</f>
        <v>51.33</v>
      </c>
      <c r="P49" s="54">
        <f>_xll.EQNXTDZ($A$1,$B49,P$5)</f>
        <v>51.33</v>
      </c>
      <c r="Q49" s="54">
        <f>_xll.EQNXTDZ($A$1,$B49,Q$5)</f>
        <v>51.33</v>
      </c>
      <c r="R49" s="54">
        <f>_xll.EQNXTDZ($A$1,$B49,R$5)</f>
        <v>51.33</v>
      </c>
      <c r="S49" s="54">
        <f>_xll.EQNXTDZ($A$1,$B49,S$5)</f>
        <v>51.33</v>
      </c>
      <c r="T49" s="54">
        <f>_xll.EQNXTDZ($A$1,$B49,T$5)</f>
        <v>51.33</v>
      </c>
      <c r="U49" s="54">
        <f>_xll.EQNXTDZ($A$1,$B49,U$5)</f>
        <v>51.33</v>
      </c>
      <c r="V49" s="54">
        <f>_xll.EQNXTDZ($A$1,$B49,V$5)</f>
        <v>51.33</v>
      </c>
      <c r="W49" s="54">
        <f>_xll.EQNXTDZ($A$1,$B49,W$5)</f>
        <v>51.33</v>
      </c>
      <c r="X49" s="54">
        <f>_xll.EQNXTDZ($A$1,$B49,X$5)</f>
        <v>51.33</v>
      </c>
      <c r="Y49" s="54">
        <f>_xll.EQNXTDZ($A$1,$B49,Y$5)</f>
        <v>51.33</v>
      </c>
      <c r="Z49" s="54">
        <f>_xll.EQNXTDZ($A$1,$B49,Z$5)</f>
        <v>51.33</v>
      </c>
      <c r="AA49" s="54">
        <f>_xll.EQNXTDZ($A$1,$B49,AA$5)</f>
        <v>51.33</v>
      </c>
      <c r="AB49" s="54">
        <f>_xll.EQNXTDZ($A$1,$B49,AB$5)</f>
        <v>51.33</v>
      </c>
      <c r="AC49" s="54">
        <f>_xll.EQNXTDZ($A$1,$B49,AC$5)</f>
        <v>74.13</v>
      </c>
      <c r="AD49" s="54">
        <f>_xll.EQNXTDZ($A$1,$B49,AD$5)</f>
        <v>74.13</v>
      </c>
      <c r="AE49" s="54">
        <f>_xll.EQNXTDZ($A$1,$B49,AE$5)</f>
        <v>74.13</v>
      </c>
      <c r="AF49" s="54">
        <f>_xll.EQNXTDZ($A$1,$B49,AF$5)</f>
        <v>74.13</v>
      </c>
      <c r="AG49" s="54">
        <f>_xll.EQNXTDZ($A$1,$B49,AG$5)</f>
        <v>74.13</v>
      </c>
      <c r="AH49" s="54">
        <f>_xll.EQNXTDZ($A$1,$B49,AH$5)</f>
        <v>74.13</v>
      </c>
      <c r="AI49" s="54">
        <f>_xll.EQNXTDZ($A$1,$B49,AI$5)</f>
        <v>74.13</v>
      </c>
      <c r="AJ49" s="54">
        <f>_xll.EQNXTDZ($A$1,$B49,AJ$5)</f>
        <v>74.13</v>
      </c>
      <c r="AK49" s="54">
        <f>_xll.EQNXTDZ($A$1,$B49,AK$5)</f>
        <v>74.13</v>
      </c>
      <c r="AL49" s="54">
        <f>_xll.EQNXTDZ($A$1,$B49,AL$5)</f>
        <v>74.13</v>
      </c>
      <c r="AM49" s="54">
        <f>_xll.EQNXTDZ($A$1,$B49,AM$5)</f>
        <v>74.13</v>
      </c>
      <c r="AN49" s="54">
        <f>_xll.EQNXTDZ($A$1,$B49,AN$5)</f>
        <v>74.13</v>
      </c>
      <c r="AO49" s="54">
        <f>_xll.EQNXTDZ($A$1,$B49,AO$5)</f>
        <v>74.13</v>
      </c>
      <c r="AP49" s="54">
        <f>_xll.EQNXTDZ($A$1,$B49,AP$5)</f>
        <v>74.13</v>
      </c>
      <c r="AQ49" s="54">
        <f>_xll.EQNXTDZ($A$1,$B49,AQ$5)</f>
        <v>74.13</v>
      </c>
      <c r="AR49" s="54">
        <f>_xll.EQNXTDZ($A$1,$B49,AR$5)</f>
        <v>74.13</v>
      </c>
      <c r="AS49" s="54">
        <f>_xll.EQNXTDZ($A$1,$B49,AS$5)</f>
        <v>74.13</v>
      </c>
      <c r="AT49" s="54">
        <f>_xll.EQNXTDZ($A$1,$B49,AT$5)</f>
        <v>74.13</v>
      </c>
      <c r="AU49" s="54">
        <f>_xll.EQNXTDZ($A$1,$B49,AU$5)</f>
        <v>74.13</v>
      </c>
      <c r="AV49" s="54">
        <f>_xll.EQNXTDZ($A$1,$B49,AV$5)</f>
        <v>74.13</v>
      </c>
      <c r="AW49" s="54">
        <f>_xll.EQNXTDZ($A$1,$B49,AW$5)</f>
        <v>74.13</v>
      </c>
      <c r="AX49" s="54">
        <f>_xll.EQNXTDZ($A$1,$B49,AX$5)</f>
        <v>74.13</v>
      </c>
      <c r="AY49" s="54">
        <f>_xll.EQNXTDZ($A$1,$B49,AY$5)</f>
        <v>74.13</v>
      </c>
      <c r="AZ49" s="54">
        <f>_xll.EQNXTDZ($A$1,$B49,AZ$5)</f>
        <v>74.13</v>
      </c>
      <c r="BA49" s="54">
        <f>_xll.EQNXTDZ($A$1,$B49,BA$5)</f>
        <v>74.13</v>
      </c>
      <c r="BB49" s="54">
        <f>_xll.EQNXTDZ($A$1,$B49,BB$5)</f>
        <v>74.13</v>
      </c>
      <c r="BC49" s="54">
        <f>_xll.EQNXTDZ($A$1,$B49,BC$5)</f>
        <v>74.13</v>
      </c>
      <c r="BD49" s="54">
        <f>_xll.EQNXTDZ($A$1,$B49,BD$5)</f>
        <v>74.13</v>
      </c>
      <c r="BE49" s="54">
        <f>_xll.EQNXTDZ($A$1,$B49,BE$5)</f>
        <v>74.13</v>
      </c>
      <c r="BF49" s="54">
        <f>_xll.EQNXTDZ($A$1,$B49,BF$5)</f>
        <v>74.13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16.62</v>
      </c>
      <c r="D56" s="54">
        <f>_xll.EQNXTDZ($A$1,$B56,D$5,$B$1)</f>
        <v>0</v>
      </c>
      <c r="E56" s="54">
        <f>_xll.EQNXTDZ($A$1,$B56,E$5,$B$1)</f>
        <v>16.62</v>
      </c>
      <c r="F56" s="54">
        <f>_xll.EQNXTDZ($A$1,$B56,F$5,$B$1)</f>
        <v>0</v>
      </c>
      <c r="G56" s="54">
        <f>_xll.EQNXTDZ($A$1,$B56,G$5,$B$1)</f>
        <v>16.62</v>
      </c>
      <c r="H56" s="54">
        <f>_xll.EQNXTDZ($A$1,$B56,H$5,$B$1)</f>
        <v>0</v>
      </c>
      <c r="I56" s="54">
        <f>_xll.EQNXTDZ($A$1,$B56,I$5,$B$1)</f>
        <v>16.62</v>
      </c>
      <c r="J56" s="54">
        <f>_xll.EQNXTDZ($A$1,$B56,J$5,$B$1)</f>
        <v>0</v>
      </c>
      <c r="K56" s="54">
        <f>_xll.EQNXTDZ($A$1,$B56,K$5,$B$1)</f>
        <v>16.62</v>
      </c>
      <c r="L56" s="54">
        <f>_xll.EQNXTDZ($A$1,$B56,L$5,$B$1)</f>
        <v>0</v>
      </c>
      <c r="M56" s="54">
        <f>_xll.EQNXTDZ($A$1,$B56,M$5,$B$1)</f>
        <v>16.62</v>
      </c>
      <c r="N56" s="54">
        <f>_xll.EQNXTDZ($A$1,$B56,N$5,$B$1)</f>
        <v>0</v>
      </c>
      <c r="O56" s="54">
        <f>_xll.EQNXTDZ($A$1,$B56,O$5,$B$1)</f>
        <v>16.62</v>
      </c>
      <c r="P56" s="54">
        <f>_xll.EQNXTDZ($A$1,$B56,P$5,$B$1)</f>
        <v>0</v>
      </c>
      <c r="Q56" s="54">
        <f>_xll.EQNXTDZ($A$1,$B56,Q$5,$B$1)</f>
        <v>16.62</v>
      </c>
      <c r="R56" s="54">
        <f>_xll.EQNXTDZ($A$1,$B56,R$5,$B$1)</f>
        <v>0</v>
      </c>
      <c r="S56" s="54">
        <f>_xll.EQNXTDZ($A$1,$B56,S$5,$B$1)</f>
        <v>16.62</v>
      </c>
      <c r="T56" s="54">
        <f>_xll.EQNXTDZ($A$1,$B56,T$5,$B$1)</f>
        <v>0</v>
      </c>
      <c r="U56" s="54">
        <f>_xll.EQNXTDZ($A$1,$B56,U$5,$B$1)</f>
        <v>16.62</v>
      </c>
      <c r="V56" s="54">
        <f>_xll.EQNXTDZ($A$1,$B56,V$5,$B$1)</f>
        <v>0</v>
      </c>
      <c r="W56" s="54">
        <f>_xll.EQNXTDZ($A$1,$B56,W$5,$B$1)</f>
        <v>16.62</v>
      </c>
      <c r="X56" s="54">
        <f>_xll.EQNXTDZ($A$1,$B56,X$5,$B$1)</f>
        <v>0</v>
      </c>
      <c r="Y56" s="54">
        <f>_xll.EQNXTDZ($A$1,$B56,Y$5,$B$1)</f>
        <v>16.62</v>
      </c>
      <c r="Z56" s="54">
        <f>_xll.EQNXTDZ($A$1,$B56,Z$5,$B$1)</f>
        <v>0</v>
      </c>
      <c r="AA56" s="54">
        <f>_xll.EQNXTDZ($A$1,$B56,AA$5,$B$1)</f>
        <v>16.62</v>
      </c>
      <c r="AB56" s="54">
        <f>_xll.EQNXTDZ($A$1,$B56,AB$5,$B$1)</f>
        <v>0</v>
      </c>
      <c r="AC56" s="54">
        <f>_xll.EQNXTDZ($A$1,$B56,AC$5,$B$1)</f>
        <v>31.26</v>
      </c>
      <c r="AD56" s="54">
        <f>_xll.EQNXTDZ($A$1,$B56,AD$5,$B$1)</f>
        <v>0</v>
      </c>
      <c r="AE56" s="54">
        <f>_xll.EQNXTDZ($A$1,$B56,AE$5,$B$1)</f>
        <v>31.26</v>
      </c>
      <c r="AF56" s="54">
        <f>_xll.EQNXTDZ($A$1,$B56,AF$5,$B$1)</f>
        <v>0</v>
      </c>
      <c r="AG56" s="54">
        <f>_xll.EQNXTDZ($A$1,$B56,AG$5,$B$1)</f>
        <v>31.26</v>
      </c>
      <c r="AH56" s="54">
        <f>_xll.EQNXTDZ($A$1,$B56,AH$5,$B$1)</f>
        <v>0</v>
      </c>
      <c r="AI56" s="54">
        <f>_xll.EQNXTDZ($A$1,$B56,AI$5,$B$1)</f>
        <v>31.26</v>
      </c>
      <c r="AJ56" s="54">
        <f>_xll.EQNXTDZ($A$1,$B56,AJ$5,$B$1)</f>
        <v>0</v>
      </c>
      <c r="AK56" s="54">
        <f>_xll.EQNXTDZ($A$1,$B56,AK$5,$B$1)</f>
        <v>31.26</v>
      </c>
      <c r="AL56" s="54">
        <f>_xll.EQNXTDZ($A$1,$B56,AL$5,$B$1)</f>
        <v>0</v>
      </c>
      <c r="AM56" s="54">
        <f>_xll.EQNXTDZ($A$1,$B56,AM$5,$B$1)</f>
        <v>31.26</v>
      </c>
      <c r="AN56" s="54">
        <f>_xll.EQNXTDZ($A$1,$B56,AN$5,$B$1)</f>
        <v>0</v>
      </c>
      <c r="AO56" s="54">
        <f>_xll.EQNXTDZ($A$1,$B56,AO$5,$B$1)</f>
        <v>31.26</v>
      </c>
      <c r="AP56" s="54">
        <f>_xll.EQNXTDZ($A$1,$B56,AP$5,$B$1)</f>
        <v>0</v>
      </c>
      <c r="AQ56" s="54">
        <f>_xll.EQNXTDZ($A$1,$B56,AQ$5,$B$1)</f>
        <v>31.26</v>
      </c>
      <c r="AR56" s="54">
        <f>_xll.EQNXTDZ($A$1,$B56,AR$5,$B$1)</f>
        <v>0</v>
      </c>
      <c r="AS56" s="54">
        <f>_xll.EQNXTDZ($A$1,$B56,AS$5,$B$1)</f>
        <v>31.26</v>
      </c>
      <c r="AT56" s="54">
        <f>_xll.EQNXTDZ($A$1,$B56,AT$5,$B$1)</f>
        <v>0</v>
      </c>
      <c r="AU56" s="54">
        <f>_xll.EQNXTDZ($A$1,$B56,AU$5,$B$1)</f>
        <v>31.26</v>
      </c>
      <c r="AV56" s="54">
        <f>_xll.EQNXTDZ($A$1,$B56,AV$5,$B$1)</f>
        <v>0</v>
      </c>
      <c r="AW56" s="54">
        <f>_xll.EQNXTDZ($A$1,$B56,AW$5,$B$1)</f>
        <v>31.26</v>
      </c>
      <c r="AX56" s="54">
        <f>_xll.EQNXTDZ($A$1,$B56,AX$5,$B$1)</f>
        <v>0</v>
      </c>
      <c r="AY56" s="54">
        <f>_xll.EQNXTDZ($A$1,$B56,AY$5,$B$1)</f>
        <v>31.26</v>
      </c>
      <c r="AZ56" s="54">
        <f>_xll.EQNXTDZ($A$1,$B56,AZ$5,$B$1)</f>
        <v>0</v>
      </c>
      <c r="BA56" s="54">
        <f>_xll.EQNXTDZ($A$1,$B56,BA$5,$B$1)</f>
        <v>31.26</v>
      </c>
      <c r="BB56" s="54">
        <f>_xll.EQNXTDZ($A$1,$B56,BB$5,$B$1)</f>
        <v>0</v>
      </c>
      <c r="BC56" s="54">
        <f>_xll.EQNXTDZ($A$1,$B56,BC$5,$B$1)</f>
        <v>31.26</v>
      </c>
      <c r="BD56" s="54">
        <f>_xll.EQNXTDZ($A$1,$B56,BD$5,$B$1)</f>
        <v>0</v>
      </c>
      <c r="BE56" s="54">
        <f>_xll.EQNXTDZ($A$1,$B56,BE$5,$B$1)</f>
        <v>31.26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786.63</v>
      </c>
      <c r="D58" s="54">
        <f>_xll.EQNXTDZ($A$1,$B58,D$5,$B$1)</f>
        <v>0</v>
      </c>
      <c r="E58" s="54">
        <f>_xll.EQNXTDZ($A$1,$B58,E$5,$B$1)</f>
        <v>862.88</v>
      </c>
      <c r="F58" s="54">
        <f>_xll.EQNXTDZ($A$1,$B58,F$5,$B$1)</f>
        <v>0</v>
      </c>
      <c r="G58" s="54">
        <f>_xll.EQNXTDZ($A$1,$B58,G$5,$B$1)</f>
        <v>913.82</v>
      </c>
      <c r="H58" s="54">
        <f>_xll.EQNXTDZ($A$1,$B58,H$5,$B$1)</f>
        <v>0</v>
      </c>
      <c r="I58" s="54">
        <f>_xll.EQNXTDZ($A$1,$B58,I$5,$B$1)</f>
        <v>972.93</v>
      </c>
      <c r="J58" s="54">
        <f>_xll.EQNXTDZ($A$1,$B58,J$5,$B$1)</f>
        <v>0</v>
      </c>
      <c r="K58" s="54">
        <f>_xll.EQNXTDZ($A$1,$B58,K$5,$B$1)</f>
        <v>1048.3499999999999</v>
      </c>
      <c r="L58" s="54">
        <f>_xll.EQNXTDZ($A$1,$B58,L$5,$B$1)</f>
        <v>0</v>
      </c>
      <c r="M58" s="54">
        <f>_xll.EQNXTDZ($A$1,$B58,M$5,$B$1)</f>
        <v>1090.8699999999999</v>
      </c>
      <c r="N58" s="54">
        <f>_xll.EQNXTDZ($A$1,$B58,N$5,$B$1)</f>
        <v>0</v>
      </c>
      <c r="O58" s="54">
        <f>_xll.EQNXTDZ($A$1,$B58,O$5,$B$1)</f>
        <v>1191.79</v>
      </c>
      <c r="P58" s="54">
        <f>_xll.EQNXTDZ($A$1,$B58,P$5,$B$1)</f>
        <v>0</v>
      </c>
      <c r="Q58" s="54">
        <f>_xll.EQNXTDZ($A$1,$B58,Q$5,$B$1)</f>
        <v>1272.6199999999999</v>
      </c>
      <c r="R58" s="54">
        <f>_xll.EQNXTDZ($A$1,$B58,R$5,$B$1)</f>
        <v>0</v>
      </c>
      <c r="S58" s="54">
        <f>_xll.EQNXTDZ($A$1,$B58,S$5,$B$1)</f>
        <v>1359.97</v>
      </c>
      <c r="T58" s="54">
        <f>_xll.EQNXTDZ($A$1,$B58,T$5,$B$1)</f>
        <v>0</v>
      </c>
      <c r="U58" s="54">
        <f>_xll.EQNXTDZ($A$1,$B58,U$5,$B$1)</f>
        <v>1458.54</v>
      </c>
      <c r="V58" s="54">
        <f>_xll.EQNXTDZ($A$1,$B58,V$5,$B$1)</f>
        <v>0</v>
      </c>
      <c r="W58" s="54">
        <f>_xll.EQNXTDZ($A$1,$B58,W$5,$B$1)</f>
        <v>1550.4</v>
      </c>
      <c r="X58" s="54">
        <f>_xll.EQNXTDZ($A$1,$B58,X$5,$B$1)</f>
        <v>0</v>
      </c>
      <c r="Y58" s="54">
        <f>_xll.EQNXTDZ($A$1,$B58,Y$5,$B$1)</f>
        <v>1678.7</v>
      </c>
      <c r="Z58" s="54">
        <f>_xll.EQNXTDZ($A$1,$B58,Z$5,$B$1)</f>
        <v>0</v>
      </c>
      <c r="AA58" s="54">
        <f>_xll.EQNXTDZ($A$1,$B58,AA$5,$B$1)</f>
        <v>1770.13</v>
      </c>
      <c r="AB58" s="54">
        <f>_xll.EQNXTDZ($A$1,$B58,AB$5,$B$1)</f>
        <v>0</v>
      </c>
      <c r="AC58" s="54">
        <f>_xll.EQNXTDZ($A$1,$B58,AC$5,$B$1)</f>
        <v>2674.86</v>
      </c>
      <c r="AD58" s="54">
        <f>_xll.EQNXTDZ($A$1,$B58,AD$5,$B$1)</f>
        <v>0</v>
      </c>
      <c r="AE58" s="54">
        <f>_xll.EQNXTDZ($A$1,$B58,AE$5,$B$1)</f>
        <v>2751.46</v>
      </c>
      <c r="AF58" s="54">
        <f>_xll.EQNXTDZ($A$1,$B58,AF$5,$B$1)</f>
        <v>0</v>
      </c>
      <c r="AG58" s="54">
        <f>_xll.EQNXTDZ($A$1,$B58,AG$5,$B$1)</f>
        <v>2930.9</v>
      </c>
      <c r="AH58" s="54">
        <f>_xll.EQNXTDZ($A$1,$B58,AH$5,$B$1)</f>
        <v>0</v>
      </c>
      <c r="AI58" s="54">
        <f>_xll.EQNXTDZ($A$1,$B58,AI$5,$B$1)</f>
        <v>2855.95</v>
      </c>
      <c r="AJ58" s="54">
        <f>_xll.EQNXTDZ($A$1,$B58,AJ$5,$B$1)</f>
        <v>0</v>
      </c>
      <c r="AK58" s="54">
        <f>_xll.EQNXTDZ($A$1,$B58,AK$5,$B$1)</f>
        <v>3109.03</v>
      </c>
      <c r="AL58" s="54">
        <f>_xll.EQNXTDZ($A$1,$B58,AL$5,$B$1)</f>
        <v>0</v>
      </c>
      <c r="AM58" s="54">
        <f>_xll.EQNXTDZ($A$1,$B58,AM$5,$B$1)</f>
        <v>3265.01</v>
      </c>
      <c r="AN58" s="54">
        <f>_xll.EQNXTDZ($A$1,$B58,AN$5,$B$1)</f>
        <v>0</v>
      </c>
      <c r="AO58" s="54">
        <f>_xll.EQNXTDZ($A$1,$B58,AO$5,$B$1)</f>
        <v>3622.41</v>
      </c>
      <c r="AP58" s="54">
        <f>_xll.EQNXTDZ($A$1,$B58,AP$5,$B$1)</f>
        <v>0</v>
      </c>
      <c r="AQ58" s="54">
        <f>_xll.EQNXTDZ($A$1,$B58,AQ$5,$B$1)</f>
        <v>3809.27</v>
      </c>
      <c r="AR58" s="54">
        <f>_xll.EQNXTDZ($A$1,$B58,AR$5,$B$1)</f>
        <v>0</v>
      </c>
      <c r="AS58" s="54">
        <f>_xll.EQNXTDZ($A$1,$B58,AS$5,$B$1)</f>
        <v>4254.6400000000003</v>
      </c>
      <c r="AT58" s="54">
        <f>_xll.EQNXTDZ($A$1,$B58,AT$5,$B$1)</f>
        <v>0</v>
      </c>
      <c r="AU58" s="54">
        <f>_xll.EQNXTDZ($A$1,$B58,AU$5,$B$1)</f>
        <v>4335.51</v>
      </c>
      <c r="AV58" s="54">
        <f>_xll.EQNXTDZ($A$1,$B58,AV$5,$B$1)</f>
        <v>0</v>
      </c>
      <c r="AW58" s="54">
        <f>_xll.EQNXTDZ($A$1,$B58,AW$5,$B$1)</f>
        <v>4774.09</v>
      </c>
      <c r="AX58" s="54">
        <f>_xll.EQNXTDZ($A$1,$B58,AX$5,$B$1)</f>
        <v>0</v>
      </c>
      <c r="AY58" s="54">
        <f>_xll.EQNXTDZ($A$1,$B58,AY$5,$B$1)</f>
        <v>4834.8900000000003</v>
      </c>
      <c r="AZ58" s="54">
        <f>_xll.EQNXTDZ($A$1,$B58,AZ$5,$B$1)</f>
        <v>0</v>
      </c>
      <c r="BA58" s="54">
        <f>_xll.EQNXTDZ($A$1,$B58,BA$5,$B$1)</f>
        <v>5303.17</v>
      </c>
      <c r="BB58" s="54">
        <f>_xll.EQNXTDZ($A$1,$B58,BB$5,$B$1)</f>
        <v>0</v>
      </c>
      <c r="BC58" s="54">
        <f>_xll.EQNXTDZ($A$1,$B58,BC$5,$B$1)</f>
        <v>5403.61</v>
      </c>
      <c r="BD58" s="54">
        <f>_xll.EQNXTDZ($A$1,$B58,BD$5,$B$1)</f>
        <v>0</v>
      </c>
      <c r="BE58" s="54">
        <f>_xll.EQNXTDZ($A$1,$B58,BE$5,$B$1)</f>
        <v>6016.7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803.25</v>
      </c>
      <c r="D59" s="54">
        <f>_xll.EQNXTDZ($A$1,$B59,D$5,$B$1)</f>
        <v>0</v>
      </c>
      <c r="E59" s="54">
        <f>_xll.EQNXTDZ($A$1,$B59,E$5,$B$1)</f>
        <v>879.5</v>
      </c>
      <c r="F59" s="54">
        <f>_xll.EQNXTDZ($A$1,$B59,F$5,$B$1)</f>
        <v>0</v>
      </c>
      <c r="G59" s="54">
        <f>_xll.EQNXTDZ($A$1,$B59,G$5,$B$1)</f>
        <v>930.44</v>
      </c>
      <c r="H59" s="54">
        <f>_xll.EQNXTDZ($A$1,$B59,H$5,$B$1)</f>
        <v>0</v>
      </c>
      <c r="I59" s="54">
        <f>_xll.EQNXTDZ($A$1,$B59,I$5,$B$1)</f>
        <v>989.55</v>
      </c>
      <c r="J59" s="54">
        <f>_xll.EQNXTDZ($A$1,$B59,J$5,$B$1)</f>
        <v>0</v>
      </c>
      <c r="K59" s="54">
        <f>_xll.EQNXTDZ($A$1,$B59,K$5,$B$1)</f>
        <v>1064.97</v>
      </c>
      <c r="L59" s="54">
        <f>_xll.EQNXTDZ($A$1,$B59,L$5,$B$1)</f>
        <v>0</v>
      </c>
      <c r="M59" s="54">
        <f>_xll.EQNXTDZ($A$1,$B59,M$5,$B$1)</f>
        <v>1107.49</v>
      </c>
      <c r="N59" s="54">
        <f>_xll.EQNXTDZ($A$1,$B59,N$5,$B$1)</f>
        <v>0</v>
      </c>
      <c r="O59" s="54">
        <f>_xll.EQNXTDZ($A$1,$B59,O$5,$B$1)</f>
        <v>1208.4100000000001</v>
      </c>
      <c r="P59" s="54">
        <f>_xll.EQNXTDZ($A$1,$B59,P$5,$B$1)</f>
        <v>0</v>
      </c>
      <c r="Q59" s="54">
        <f>_xll.EQNXTDZ($A$1,$B59,Q$5,$B$1)</f>
        <v>1289.24</v>
      </c>
      <c r="R59" s="54">
        <f>_xll.EQNXTDZ($A$1,$B59,R$5,$B$1)</f>
        <v>0</v>
      </c>
      <c r="S59" s="54">
        <f>_xll.EQNXTDZ($A$1,$B59,S$5,$B$1)</f>
        <v>1376.59</v>
      </c>
      <c r="T59" s="54">
        <f>_xll.EQNXTDZ($A$1,$B59,T$5,$B$1)</f>
        <v>0</v>
      </c>
      <c r="U59" s="54">
        <f>_xll.EQNXTDZ($A$1,$B59,U$5,$B$1)</f>
        <v>1475.16</v>
      </c>
      <c r="V59" s="54">
        <f>_xll.EQNXTDZ($A$1,$B59,V$5,$B$1)</f>
        <v>0</v>
      </c>
      <c r="W59" s="54">
        <f>_xll.EQNXTDZ($A$1,$B59,W$5,$B$1)</f>
        <v>1567.02</v>
      </c>
      <c r="X59" s="54">
        <f>_xll.EQNXTDZ($A$1,$B59,X$5,$B$1)</f>
        <v>0</v>
      </c>
      <c r="Y59" s="54">
        <f>_xll.EQNXTDZ($A$1,$B59,Y$5,$B$1)</f>
        <v>1695.32</v>
      </c>
      <c r="Z59" s="54">
        <f>_xll.EQNXTDZ($A$1,$B59,Z$5,$B$1)</f>
        <v>0</v>
      </c>
      <c r="AA59" s="54">
        <f>_xll.EQNXTDZ($A$1,$B59,AA$5,$B$1)</f>
        <v>1786.75</v>
      </c>
      <c r="AB59" s="54">
        <f>_xll.EQNXTDZ($A$1,$B59,AB$5,$B$1)</f>
        <v>0</v>
      </c>
      <c r="AC59" s="54">
        <f>_xll.EQNXTDZ($A$1,$B59,AC$5,$B$1)</f>
        <v>2706.12</v>
      </c>
      <c r="AD59" s="54">
        <f>_xll.EQNXTDZ($A$1,$B59,AD$5,$B$1)</f>
        <v>0</v>
      </c>
      <c r="AE59" s="54">
        <f>_xll.EQNXTDZ($A$1,$B59,AE$5,$B$1)</f>
        <v>2782.72</v>
      </c>
      <c r="AF59" s="54">
        <f>_xll.EQNXTDZ($A$1,$B59,AF$5,$B$1)</f>
        <v>0</v>
      </c>
      <c r="AG59" s="54">
        <f>_xll.EQNXTDZ($A$1,$B59,AG$5,$B$1)</f>
        <v>2962.16</v>
      </c>
      <c r="AH59" s="54">
        <f>_xll.EQNXTDZ($A$1,$B59,AH$5,$B$1)</f>
        <v>0</v>
      </c>
      <c r="AI59" s="54">
        <f>_xll.EQNXTDZ($A$1,$B59,AI$5,$B$1)</f>
        <v>2887.21</v>
      </c>
      <c r="AJ59" s="54">
        <f>_xll.EQNXTDZ($A$1,$B59,AJ$5,$B$1)</f>
        <v>0</v>
      </c>
      <c r="AK59" s="54">
        <f>_xll.EQNXTDZ($A$1,$B59,AK$5,$B$1)</f>
        <v>3140.29</v>
      </c>
      <c r="AL59" s="54">
        <f>_xll.EQNXTDZ($A$1,$B59,AL$5,$B$1)</f>
        <v>0</v>
      </c>
      <c r="AM59" s="54">
        <f>_xll.EQNXTDZ($A$1,$B59,AM$5,$B$1)</f>
        <v>3296.27</v>
      </c>
      <c r="AN59" s="54">
        <f>_xll.EQNXTDZ($A$1,$B59,AN$5,$B$1)</f>
        <v>0</v>
      </c>
      <c r="AO59" s="54">
        <f>_xll.EQNXTDZ($A$1,$B59,AO$5,$B$1)</f>
        <v>3653.67</v>
      </c>
      <c r="AP59" s="54">
        <f>_xll.EQNXTDZ($A$1,$B59,AP$5,$B$1)</f>
        <v>0</v>
      </c>
      <c r="AQ59" s="54">
        <f>_xll.EQNXTDZ($A$1,$B59,AQ$5,$B$1)</f>
        <v>3840.53</v>
      </c>
      <c r="AR59" s="54">
        <f>_xll.EQNXTDZ($A$1,$B59,AR$5,$B$1)</f>
        <v>0</v>
      </c>
      <c r="AS59" s="54">
        <f>_xll.EQNXTDZ($A$1,$B59,AS$5,$B$1)</f>
        <v>4285.8999999999996</v>
      </c>
      <c r="AT59" s="54">
        <f>_xll.EQNXTDZ($A$1,$B59,AT$5,$B$1)</f>
        <v>0</v>
      </c>
      <c r="AU59" s="54">
        <f>_xll.EQNXTDZ($A$1,$B59,AU$5,$B$1)</f>
        <v>4366.7700000000004</v>
      </c>
      <c r="AV59" s="54">
        <f>_xll.EQNXTDZ($A$1,$B59,AV$5,$B$1)</f>
        <v>0</v>
      </c>
      <c r="AW59" s="54">
        <f>_xll.EQNXTDZ($A$1,$B59,AW$5,$B$1)</f>
        <v>4805.3500000000004</v>
      </c>
      <c r="AX59" s="54">
        <f>_xll.EQNXTDZ($A$1,$B59,AX$5,$B$1)</f>
        <v>0</v>
      </c>
      <c r="AY59" s="54">
        <f>_xll.EQNXTDZ($A$1,$B59,AY$5,$B$1)</f>
        <v>4866.1499999999996</v>
      </c>
      <c r="AZ59" s="54">
        <f>_xll.EQNXTDZ($A$1,$B59,AZ$5,$B$1)</f>
        <v>0</v>
      </c>
      <c r="BA59" s="54">
        <f>_xll.EQNXTDZ($A$1,$B59,BA$5,$B$1)</f>
        <v>5334.43</v>
      </c>
      <c r="BB59" s="54">
        <f>_xll.EQNXTDZ($A$1,$B59,BB$5,$B$1)</f>
        <v>0</v>
      </c>
      <c r="BC59" s="54">
        <f>_xll.EQNXTDZ($A$1,$B59,BC$5,$B$1)</f>
        <v>5434.87</v>
      </c>
      <c r="BD59" s="54">
        <f>_xll.EQNXTDZ($A$1,$B59,BD$5,$B$1)</f>
        <v>0</v>
      </c>
      <c r="BE59" s="54">
        <f>_xll.EQNXTDZ($A$1,$B59,BE$5,$B$1)</f>
        <v>6047.96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4.87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4.87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1.51</v>
      </c>
      <c r="D64" s="54">
        <f>_xll.EQNXTDZ($A$1,$B64,D$5,$B$1)</f>
        <v>0</v>
      </c>
      <c r="E64" s="54">
        <f>_xll.EQNXTDZ($A$1,$B64,E$5,$B$1)</f>
        <v>1.52</v>
      </c>
      <c r="F64" s="54">
        <f>_xll.EQNXTDZ($A$1,$B64,F$5,$B$1)</f>
        <v>0</v>
      </c>
      <c r="G64" s="54">
        <f>_xll.EQNXTDZ($A$1,$B64,G$5,$B$1)</f>
        <v>1.6</v>
      </c>
      <c r="H64" s="54">
        <f>_xll.EQNXTDZ($A$1,$B64,H$5,$B$1)</f>
        <v>0</v>
      </c>
      <c r="I64" s="54">
        <f>_xll.EQNXTDZ($A$1,$B64,I$5,$B$1)</f>
        <v>1.61</v>
      </c>
      <c r="J64" s="54">
        <f>_xll.EQNXTDZ($A$1,$B64,J$5,$B$1)</f>
        <v>0</v>
      </c>
      <c r="K64" s="54">
        <f>_xll.EQNXTDZ($A$1,$B64,K$5,$B$1)</f>
        <v>1.72</v>
      </c>
      <c r="L64" s="54">
        <f>_xll.EQNXTDZ($A$1,$B64,L$5,$B$1)</f>
        <v>0</v>
      </c>
      <c r="M64" s="54">
        <f>_xll.EQNXTDZ($A$1,$B64,M$5,$B$1)</f>
        <v>1.52</v>
      </c>
      <c r="N64" s="54">
        <f>_xll.EQNXTDZ($A$1,$B64,N$5,$B$1)</f>
        <v>0</v>
      </c>
      <c r="O64" s="54">
        <f>_xll.EQNXTDZ($A$1,$B64,O$5,$B$1)</f>
        <v>1.49</v>
      </c>
      <c r="P64" s="54">
        <f>_xll.EQNXTDZ($A$1,$B64,P$5,$B$1)</f>
        <v>0</v>
      </c>
      <c r="Q64" s="54">
        <f>_xll.EQNXTDZ($A$1,$B64,Q$5,$B$1)</f>
        <v>1.45</v>
      </c>
      <c r="R64" s="54">
        <f>_xll.EQNXTDZ($A$1,$B64,R$5,$B$1)</f>
        <v>0</v>
      </c>
      <c r="S64" s="54">
        <f>_xll.EQNXTDZ($A$1,$B64,S$5,$B$1)</f>
        <v>1.46</v>
      </c>
      <c r="T64" s="54">
        <f>_xll.EQNXTDZ($A$1,$B64,T$5,$B$1)</f>
        <v>0</v>
      </c>
      <c r="U64" s="54">
        <f>_xll.EQNXTDZ($A$1,$B64,U$5,$B$1)</f>
        <v>1.27</v>
      </c>
      <c r="V64" s="54">
        <f>_xll.EQNXTDZ($A$1,$B64,V$5,$B$1)</f>
        <v>0</v>
      </c>
      <c r="W64" s="54">
        <f>_xll.EQNXTDZ($A$1,$B64,W$5,$B$1)</f>
        <v>1.19</v>
      </c>
      <c r="X64" s="54">
        <f>_xll.EQNXTDZ($A$1,$B64,X$5,$B$1)</f>
        <v>0</v>
      </c>
      <c r="Y64" s="54">
        <f>_xll.EQNXTDZ($A$1,$B64,Y$5,$B$1)</f>
        <v>1.01</v>
      </c>
      <c r="Z64" s="54">
        <f>_xll.EQNXTDZ($A$1,$B64,Z$5,$B$1)</f>
        <v>0</v>
      </c>
      <c r="AA64" s="54">
        <f>_xll.EQNXTDZ($A$1,$B64,AA$5,$B$1)</f>
        <v>0.81</v>
      </c>
      <c r="AB64" s="54">
        <f>_xll.EQNXTDZ($A$1,$B64,AB$5,$B$1)</f>
        <v>0</v>
      </c>
      <c r="AC64" s="54">
        <f>_xll.EQNXTDZ($A$1,$B64,AC$5,$B$1)</f>
        <v>0.99</v>
      </c>
      <c r="AD64" s="54">
        <f>_xll.EQNXTDZ($A$1,$B64,AD$5,$B$1)</f>
        <v>0</v>
      </c>
      <c r="AE64" s="54">
        <f>_xll.EQNXTDZ($A$1,$B64,AE$5,$B$1)</f>
        <v>2.63</v>
      </c>
      <c r="AF64" s="54">
        <f>_xll.EQNXTDZ($A$1,$B64,AF$5,$B$1)</f>
        <v>0</v>
      </c>
      <c r="AG64" s="54">
        <f>_xll.EQNXTDZ($A$1,$B64,AG$5,$B$1)</f>
        <v>3.35</v>
      </c>
      <c r="AH64" s="54">
        <f>_xll.EQNXTDZ($A$1,$B64,AH$5,$B$1)</f>
        <v>0</v>
      </c>
      <c r="AI64" s="54">
        <f>_xll.EQNXTDZ($A$1,$B64,AI$5,$B$1)</f>
        <v>60.4</v>
      </c>
      <c r="AJ64" s="54">
        <f>_xll.EQNXTDZ($A$1,$B64,AJ$5,$B$1)</f>
        <v>0</v>
      </c>
      <c r="AK64" s="54">
        <f>_xll.EQNXTDZ($A$1,$B64,AK$5,$B$1)</f>
        <v>58.97</v>
      </c>
      <c r="AL64" s="54">
        <f>_xll.EQNXTDZ($A$1,$B64,AL$5,$B$1)</f>
        <v>0</v>
      </c>
      <c r="AM64" s="54">
        <f>_xll.EQNXTDZ($A$1,$B64,AM$5,$B$1)</f>
        <v>57.26</v>
      </c>
      <c r="AN64" s="54">
        <f>_xll.EQNXTDZ($A$1,$B64,AN$5,$B$1)</f>
        <v>0</v>
      </c>
      <c r="AO64" s="54">
        <f>_xll.EQNXTDZ($A$1,$B64,AO$5,$B$1)</f>
        <v>54.21</v>
      </c>
      <c r="AP64" s="54">
        <f>_xll.EQNXTDZ($A$1,$B64,AP$5,$B$1)</f>
        <v>0</v>
      </c>
      <c r="AQ64" s="54">
        <f>_xll.EQNXTDZ($A$1,$B64,AQ$5,$B$1)</f>
        <v>50.43</v>
      </c>
      <c r="AR64" s="54">
        <f>_xll.EQNXTDZ($A$1,$B64,AR$5,$B$1)</f>
        <v>0</v>
      </c>
      <c r="AS64" s="54">
        <f>_xll.EQNXTDZ($A$1,$B64,AS$5,$B$1)</f>
        <v>56.85</v>
      </c>
      <c r="AT64" s="54">
        <f>_xll.EQNXTDZ($A$1,$B64,AT$5,$B$1)</f>
        <v>0</v>
      </c>
      <c r="AU64" s="54">
        <f>_xll.EQNXTDZ($A$1,$B64,AU$5,$B$1)</f>
        <v>46.91</v>
      </c>
      <c r="AV64" s="54">
        <f>_xll.EQNXTDZ($A$1,$B64,AV$5,$B$1)</f>
        <v>0</v>
      </c>
      <c r="AW64" s="54">
        <f>_xll.EQNXTDZ($A$1,$B64,AW$5,$B$1)</f>
        <v>51.53</v>
      </c>
      <c r="AX64" s="54">
        <f>_xll.EQNXTDZ($A$1,$B64,AX$5,$B$1)</f>
        <v>0</v>
      </c>
      <c r="AY64" s="54">
        <f>_xll.EQNXTDZ($A$1,$B64,AY$5,$B$1)</f>
        <v>60.05</v>
      </c>
      <c r="AZ64" s="54">
        <f>_xll.EQNXTDZ($A$1,$B64,AZ$5,$B$1)</f>
        <v>0</v>
      </c>
      <c r="BA64" s="54">
        <f>_xll.EQNXTDZ($A$1,$B64,BA$5,$B$1)</f>
        <v>57.8</v>
      </c>
      <c r="BB64" s="54">
        <f>_xll.EQNXTDZ($A$1,$B64,BB$5,$B$1)</f>
        <v>0</v>
      </c>
      <c r="BC64" s="54">
        <f>_xll.EQNXTDZ($A$1,$B64,BC$5,$B$1)</f>
        <v>54.03</v>
      </c>
      <c r="BD64" s="54">
        <f>_xll.EQNXTDZ($A$1,$B64,BD$5,$B$1)</f>
        <v>0</v>
      </c>
      <c r="BE64" s="54">
        <f>_xll.EQNXTDZ($A$1,$B64,BE$5,$B$1)</f>
        <v>54.99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196.46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13.18</v>
      </c>
      <c r="D66" s="54">
        <f>_xll.EQNXTDZ($A$1,$B66,D$5,$B$1)</f>
        <v>0</v>
      </c>
      <c r="E66" s="54">
        <f>_xll.EQNXTDZ($A$1,$B66,E$5,$B$1)</f>
        <v>22.94</v>
      </c>
      <c r="F66" s="54">
        <f>_xll.EQNXTDZ($A$1,$B66,F$5,$B$1)</f>
        <v>0</v>
      </c>
      <c r="G66" s="54">
        <f>_xll.EQNXTDZ($A$1,$B66,G$5,$B$1)</f>
        <v>22.04</v>
      </c>
      <c r="H66" s="54">
        <f>_xll.EQNXTDZ($A$1,$B66,H$5,$B$1)</f>
        <v>0</v>
      </c>
      <c r="I66" s="54">
        <f>_xll.EQNXTDZ($A$1,$B66,I$5,$B$1)</f>
        <v>20.5</v>
      </c>
      <c r="J66" s="54">
        <f>_xll.EQNXTDZ($A$1,$B66,J$5,$B$1)</f>
        <v>0</v>
      </c>
      <c r="K66" s="54">
        <f>_xll.EQNXTDZ($A$1,$B66,K$5,$B$1)</f>
        <v>21.46</v>
      </c>
      <c r="L66" s="54">
        <f>_xll.EQNXTDZ($A$1,$B66,L$5,$B$1)</f>
        <v>0</v>
      </c>
      <c r="M66" s="54">
        <f>_xll.EQNXTDZ($A$1,$B66,M$5,$B$1)</f>
        <v>32.9</v>
      </c>
      <c r="N66" s="54">
        <f>_xll.EQNXTDZ($A$1,$B66,N$5,$B$1)</f>
        <v>0</v>
      </c>
      <c r="O66" s="54">
        <f>_xll.EQNXTDZ($A$1,$B66,O$5,$B$1)</f>
        <v>26.69</v>
      </c>
      <c r="P66" s="54">
        <f>_xll.EQNXTDZ($A$1,$B66,P$5,$B$1)</f>
        <v>0</v>
      </c>
      <c r="Q66" s="54">
        <f>_xll.EQNXTDZ($A$1,$B66,Q$5,$B$1)</f>
        <v>22.08</v>
      </c>
      <c r="R66" s="54">
        <f>_xll.EQNXTDZ($A$1,$B66,R$5,$B$1)</f>
        <v>0</v>
      </c>
      <c r="S66" s="54">
        <f>_xll.EQNXTDZ($A$1,$B66,S$5,$B$1)</f>
        <v>20.72</v>
      </c>
      <c r="T66" s="54">
        <f>_xll.EQNXTDZ($A$1,$B66,T$5,$B$1)</f>
        <v>0</v>
      </c>
      <c r="U66" s="54">
        <f>_xll.EQNXTDZ($A$1,$B66,U$5,$B$1)</f>
        <v>25.79</v>
      </c>
      <c r="V66" s="54">
        <f>_xll.EQNXTDZ($A$1,$B66,V$5,$B$1)</f>
        <v>0</v>
      </c>
      <c r="W66" s="54">
        <f>_xll.EQNXTDZ($A$1,$B66,W$5,$B$1)</f>
        <v>28.24</v>
      </c>
      <c r="X66" s="54">
        <f>_xll.EQNXTDZ($A$1,$B66,X$5,$B$1)</f>
        <v>0</v>
      </c>
      <c r="Y66" s="54">
        <f>_xll.EQNXTDZ($A$1,$B66,Y$5,$B$1)</f>
        <v>28.56</v>
      </c>
      <c r="Z66" s="54">
        <f>_xll.EQNXTDZ($A$1,$B66,Z$5,$B$1)</f>
        <v>0</v>
      </c>
      <c r="AA66" s="54">
        <f>_xll.EQNXTDZ($A$1,$B66,AA$5,$B$1)</f>
        <v>27.8</v>
      </c>
      <c r="AB66" s="54">
        <f>_xll.EQNXTDZ($A$1,$B66,AB$5,$B$1)</f>
        <v>0</v>
      </c>
      <c r="AC66" s="54">
        <f>_xll.EQNXTDZ($A$1,$B66,AC$5,$B$1)</f>
        <v>38.36</v>
      </c>
      <c r="AD66" s="54">
        <f>_xll.EQNXTDZ($A$1,$B66,AD$5,$B$1)</f>
        <v>0</v>
      </c>
      <c r="AE66" s="54">
        <f>_xll.EQNXTDZ($A$1,$B66,AE$5,$B$1)</f>
        <v>35.11</v>
      </c>
      <c r="AF66" s="54">
        <f>_xll.EQNXTDZ($A$1,$B66,AF$5,$B$1)</f>
        <v>0</v>
      </c>
      <c r="AG66" s="54">
        <f>_xll.EQNXTDZ($A$1,$B66,AG$5,$B$1)</f>
        <v>42.14</v>
      </c>
      <c r="AH66" s="54">
        <f>_xll.EQNXTDZ($A$1,$B66,AH$5,$B$1)</f>
        <v>0</v>
      </c>
      <c r="AI66" s="54">
        <f>_xll.EQNXTDZ($A$1,$B66,AI$5,$B$1)</f>
        <v>42.27</v>
      </c>
      <c r="AJ66" s="54">
        <f>_xll.EQNXTDZ($A$1,$B66,AJ$5,$B$1)</f>
        <v>0</v>
      </c>
      <c r="AK66" s="54">
        <f>_xll.EQNXTDZ($A$1,$B66,AK$5,$B$1)</f>
        <v>6.13</v>
      </c>
      <c r="AL66" s="54">
        <f>_xll.EQNXTDZ($A$1,$B66,AL$5,$B$1)</f>
        <v>0</v>
      </c>
      <c r="AM66" s="54">
        <f>_xll.EQNXTDZ($A$1,$B66,AM$5,$B$1)</f>
        <v>2.5499999999999998</v>
      </c>
      <c r="AN66" s="54">
        <f>_xll.EQNXTDZ($A$1,$B66,AN$5,$B$1)</f>
        <v>0</v>
      </c>
      <c r="AO66" s="54">
        <f>_xll.EQNXTDZ($A$1,$B66,AO$5,$B$1)</f>
        <v>1.17</v>
      </c>
      <c r="AP66" s="54">
        <f>_xll.EQNXTDZ($A$1,$B66,AP$5,$B$1)</f>
        <v>0</v>
      </c>
      <c r="AQ66" s="54">
        <f>_xll.EQNXTDZ($A$1,$B66,AQ$5,$B$1)</f>
        <v>1.41</v>
      </c>
      <c r="AR66" s="54">
        <f>_xll.EQNXTDZ($A$1,$B66,AR$5,$B$1)</f>
        <v>0</v>
      </c>
      <c r="AS66" s="54">
        <f>_xll.EQNXTDZ($A$1,$B66,AS$5,$B$1)</f>
        <v>6.08</v>
      </c>
      <c r="AT66" s="54">
        <f>_xll.EQNXTDZ($A$1,$B66,AT$5,$B$1)</f>
        <v>0</v>
      </c>
      <c r="AU66" s="54">
        <f>_xll.EQNXTDZ($A$1,$B66,AU$5,$B$1)</f>
        <v>1.2</v>
      </c>
      <c r="AV66" s="54">
        <f>_xll.EQNXTDZ($A$1,$B66,AV$5,$B$1)</f>
        <v>0</v>
      </c>
      <c r="AW66" s="54">
        <f>_xll.EQNXTDZ($A$1,$B66,AW$5,$B$1)</f>
        <v>4.4800000000000004</v>
      </c>
      <c r="AX66" s="54">
        <f>_xll.EQNXTDZ($A$1,$B66,AX$5,$B$1)</f>
        <v>0</v>
      </c>
      <c r="AY66" s="54">
        <f>_xll.EQNXTDZ($A$1,$B66,AY$5,$B$1)</f>
        <v>4.1900000000000004</v>
      </c>
      <c r="AZ66" s="54">
        <f>_xll.EQNXTDZ($A$1,$B66,AZ$5,$B$1)</f>
        <v>0</v>
      </c>
      <c r="BA66" s="54">
        <f>_xll.EQNXTDZ($A$1,$B66,BA$5,$B$1)</f>
        <v>2.65</v>
      </c>
      <c r="BB66" s="54">
        <f>_xll.EQNXTDZ($A$1,$B66,BB$5,$B$1)</f>
        <v>0</v>
      </c>
      <c r="BC66" s="54">
        <f>_xll.EQNXTDZ($A$1,$B66,BC$5,$B$1)</f>
        <v>4.0999999999999996</v>
      </c>
      <c r="BD66" s="54">
        <f>_xll.EQNXTDZ($A$1,$B66,BD$5,$B$1)</f>
        <v>0</v>
      </c>
      <c r="BE66" s="54">
        <f>_xll.EQNXTDZ($A$1,$B66,BE$5,$B$1)</f>
        <v>1.36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1014.4</v>
      </c>
      <c r="D67" s="54">
        <f>_xll.EQNXTDZ($A$1,$B67,D$5,$B$1)</f>
        <v>0</v>
      </c>
      <c r="E67" s="54">
        <f>_xll.EQNXTDZ($A$1,$B67,E$5,$B$1)</f>
        <v>903.96</v>
      </c>
      <c r="F67" s="54">
        <f>_xll.EQNXTDZ($A$1,$B67,F$5,$B$1)</f>
        <v>0</v>
      </c>
      <c r="G67" s="54">
        <f>_xll.EQNXTDZ($A$1,$B67,G$5,$B$1)</f>
        <v>954.08</v>
      </c>
      <c r="H67" s="54">
        <f>_xll.EQNXTDZ($A$1,$B67,H$5,$B$1)</f>
        <v>0</v>
      </c>
      <c r="I67" s="54">
        <f>_xll.EQNXTDZ($A$1,$B67,I$5,$B$1)</f>
        <v>1011.66</v>
      </c>
      <c r="J67" s="54">
        <f>_xll.EQNXTDZ($A$1,$B67,J$5,$B$1)</f>
        <v>0</v>
      </c>
      <c r="K67" s="54">
        <f>_xll.EQNXTDZ($A$1,$B67,K$5,$B$1)</f>
        <v>1088.1500000000001</v>
      </c>
      <c r="L67" s="54">
        <f>_xll.EQNXTDZ($A$1,$B67,L$5,$B$1)</f>
        <v>0</v>
      </c>
      <c r="M67" s="54">
        <f>_xll.EQNXTDZ($A$1,$B67,M$5,$B$1)</f>
        <v>1141.9100000000001</v>
      </c>
      <c r="N67" s="54">
        <f>_xll.EQNXTDZ($A$1,$B67,N$5,$B$1)</f>
        <v>0</v>
      </c>
      <c r="O67" s="54">
        <f>_xll.EQNXTDZ($A$1,$B67,O$5,$B$1)</f>
        <v>1236.5899999999999</v>
      </c>
      <c r="P67" s="54">
        <f>_xll.EQNXTDZ($A$1,$B67,P$5,$B$1)</f>
        <v>0</v>
      </c>
      <c r="Q67" s="54">
        <f>_xll.EQNXTDZ($A$1,$B67,Q$5,$B$1)</f>
        <v>1312.77</v>
      </c>
      <c r="R67" s="54">
        <f>_xll.EQNXTDZ($A$1,$B67,R$5,$B$1)</f>
        <v>0</v>
      </c>
      <c r="S67" s="54">
        <f>_xll.EQNXTDZ($A$1,$B67,S$5,$B$1)</f>
        <v>1398.77</v>
      </c>
      <c r="T67" s="54">
        <f>_xll.EQNXTDZ($A$1,$B67,T$5,$B$1)</f>
        <v>0</v>
      </c>
      <c r="U67" s="54">
        <f>_xll.EQNXTDZ($A$1,$B67,U$5,$B$1)</f>
        <v>1502.22</v>
      </c>
      <c r="V67" s="54">
        <f>_xll.EQNXTDZ($A$1,$B67,V$5,$B$1)</f>
        <v>0</v>
      </c>
      <c r="W67" s="54">
        <f>_xll.EQNXTDZ($A$1,$B67,W$5,$B$1)</f>
        <v>1596.45</v>
      </c>
      <c r="X67" s="54">
        <f>_xll.EQNXTDZ($A$1,$B67,X$5,$B$1)</f>
        <v>0</v>
      </c>
      <c r="Y67" s="54">
        <f>_xll.EQNXTDZ($A$1,$B67,Y$5,$B$1)</f>
        <v>1724.89</v>
      </c>
      <c r="Z67" s="54">
        <f>_xll.EQNXTDZ($A$1,$B67,Z$5,$B$1)</f>
        <v>0</v>
      </c>
      <c r="AA67" s="54">
        <f>_xll.EQNXTDZ($A$1,$B67,AA$5,$B$1)</f>
        <v>1815.36</v>
      </c>
      <c r="AB67" s="54">
        <f>_xll.EQNXTDZ($A$1,$B67,AB$5,$B$1)</f>
        <v>0</v>
      </c>
      <c r="AC67" s="54">
        <f>_xll.EQNXTDZ($A$1,$B67,AC$5,$B$1)</f>
        <v>2750.34</v>
      </c>
      <c r="AD67" s="54">
        <f>_xll.EQNXTDZ($A$1,$B67,AD$5,$B$1)</f>
        <v>0</v>
      </c>
      <c r="AE67" s="54">
        <f>_xll.EQNXTDZ($A$1,$B67,AE$5,$B$1)</f>
        <v>2820.46</v>
      </c>
      <c r="AF67" s="54">
        <f>_xll.EQNXTDZ($A$1,$B67,AF$5,$B$1)</f>
        <v>0</v>
      </c>
      <c r="AG67" s="54">
        <f>_xll.EQNXTDZ($A$1,$B67,AG$5,$B$1)</f>
        <v>3007.65</v>
      </c>
      <c r="AH67" s="54">
        <f>_xll.EQNXTDZ($A$1,$B67,AH$5,$B$1)</f>
        <v>0</v>
      </c>
      <c r="AI67" s="54">
        <f>_xll.EQNXTDZ($A$1,$B67,AI$5,$B$1)</f>
        <v>2989.88</v>
      </c>
      <c r="AJ67" s="54">
        <f>_xll.EQNXTDZ($A$1,$B67,AJ$5,$B$1)</f>
        <v>0</v>
      </c>
      <c r="AK67" s="54">
        <f>_xll.EQNXTDZ($A$1,$B67,AK$5,$B$1)</f>
        <v>3205.39</v>
      </c>
      <c r="AL67" s="54">
        <f>_xll.EQNXTDZ($A$1,$B67,AL$5,$B$1)</f>
        <v>0</v>
      </c>
      <c r="AM67" s="54">
        <f>_xll.EQNXTDZ($A$1,$B67,AM$5,$B$1)</f>
        <v>3356.08</v>
      </c>
      <c r="AN67" s="54">
        <f>_xll.EQNXTDZ($A$1,$B67,AN$5,$B$1)</f>
        <v>0</v>
      </c>
      <c r="AO67" s="54">
        <f>_xll.EQNXTDZ($A$1,$B67,AO$5,$B$1)</f>
        <v>3709.05</v>
      </c>
      <c r="AP67" s="54">
        <f>_xll.EQNXTDZ($A$1,$B67,AP$5,$B$1)</f>
        <v>0</v>
      </c>
      <c r="AQ67" s="54">
        <f>_xll.EQNXTDZ($A$1,$B67,AQ$5,$B$1)</f>
        <v>3892.37</v>
      </c>
      <c r="AR67" s="54">
        <f>_xll.EQNXTDZ($A$1,$B67,AR$5,$B$1)</f>
        <v>0</v>
      </c>
      <c r="AS67" s="54">
        <f>_xll.EQNXTDZ($A$1,$B67,AS$5,$B$1)</f>
        <v>4348.83</v>
      </c>
      <c r="AT67" s="54">
        <f>_xll.EQNXTDZ($A$1,$B67,AT$5,$B$1)</f>
        <v>0</v>
      </c>
      <c r="AU67" s="54">
        <f>_xll.EQNXTDZ($A$1,$B67,AU$5,$B$1)</f>
        <v>4414.88</v>
      </c>
      <c r="AV67" s="54">
        <f>_xll.EQNXTDZ($A$1,$B67,AV$5,$B$1)</f>
        <v>0</v>
      </c>
      <c r="AW67" s="54">
        <f>_xll.EQNXTDZ($A$1,$B67,AW$5,$B$1)</f>
        <v>4861.3599999999997</v>
      </c>
      <c r="AX67" s="54">
        <f>_xll.EQNXTDZ($A$1,$B67,AX$5,$B$1)</f>
        <v>0</v>
      </c>
      <c r="AY67" s="54">
        <f>_xll.EQNXTDZ($A$1,$B67,AY$5,$B$1)</f>
        <v>4930.3900000000003</v>
      </c>
      <c r="AZ67" s="54">
        <f>_xll.EQNXTDZ($A$1,$B67,AZ$5,$B$1)</f>
        <v>0</v>
      </c>
      <c r="BA67" s="54">
        <f>_xll.EQNXTDZ($A$1,$B67,BA$5,$B$1)</f>
        <v>5394.88</v>
      </c>
      <c r="BB67" s="54">
        <f>_xll.EQNXTDZ($A$1,$B67,BB$5,$B$1)</f>
        <v>0</v>
      </c>
      <c r="BC67" s="54">
        <f>_xll.EQNXTDZ($A$1,$B67,BC$5,$B$1)</f>
        <v>5493</v>
      </c>
      <c r="BD67" s="54">
        <f>_xll.EQNXTDZ($A$1,$B67,BD$5,$B$1)</f>
        <v>0</v>
      </c>
      <c r="BE67" s="54">
        <f>_xll.EQNXTDZ($A$1,$B67,BE$5,$B$1)</f>
        <v>6104.31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334.52</v>
      </c>
      <c r="D68" s="54">
        <f>_xll.EQNXTDZ($A$1,$B68,D$5,$B$1)</f>
        <v>0</v>
      </c>
      <c r="E68" s="54">
        <f>_xll.EQNXTDZ($A$1,$B68,E$5,$B$1)</f>
        <v>392.71</v>
      </c>
      <c r="F68" s="54">
        <f>_xll.EQNXTDZ($A$1,$B68,F$5,$B$1)</f>
        <v>0</v>
      </c>
      <c r="G68" s="54">
        <f>_xll.EQNXTDZ($A$1,$B68,G$5,$B$1)</f>
        <v>397.63</v>
      </c>
      <c r="H68" s="54">
        <f>_xll.EQNXTDZ($A$1,$B68,H$5,$B$1)</f>
        <v>0</v>
      </c>
      <c r="I68" s="54">
        <f>_xll.EQNXTDZ($A$1,$B68,I$5,$B$1)</f>
        <v>412.32</v>
      </c>
      <c r="J68" s="54">
        <f>_xll.EQNXTDZ($A$1,$B68,J$5,$B$1)</f>
        <v>0</v>
      </c>
      <c r="K68" s="54">
        <f>_xll.EQNXTDZ($A$1,$B68,K$5,$B$1)</f>
        <v>398.67</v>
      </c>
      <c r="L68" s="54">
        <f>_xll.EQNXTDZ($A$1,$B68,L$5,$B$1)</f>
        <v>0</v>
      </c>
      <c r="M68" s="54">
        <f>_xll.EQNXTDZ($A$1,$B68,M$5,$B$1)</f>
        <v>390.36</v>
      </c>
      <c r="N68" s="54">
        <f>_xll.EQNXTDZ($A$1,$B68,N$5,$B$1)</f>
        <v>0</v>
      </c>
      <c r="O68" s="54">
        <f>_xll.EQNXTDZ($A$1,$B68,O$5,$B$1)</f>
        <v>390.22</v>
      </c>
      <c r="P68" s="54">
        <f>_xll.EQNXTDZ($A$1,$B68,P$5,$B$1)</f>
        <v>0</v>
      </c>
      <c r="Q68" s="54">
        <f>_xll.EQNXTDZ($A$1,$B68,Q$5,$B$1)</f>
        <v>397.6</v>
      </c>
      <c r="R68" s="54">
        <f>_xll.EQNXTDZ($A$1,$B68,R$5,$B$1)</f>
        <v>0</v>
      </c>
      <c r="S68" s="54">
        <f>_xll.EQNXTDZ($A$1,$B68,S$5,$B$1)</f>
        <v>402.89</v>
      </c>
      <c r="T68" s="54">
        <f>_xll.EQNXTDZ($A$1,$B68,T$5,$B$1)</f>
        <v>0</v>
      </c>
      <c r="U68" s="54">
        <f>_xll.EQNXTDZ($A$1,$B68,U$5,$B$1)</f>
        <v>386.16</v>
      </c>
      <c r="V68" s="54">
        <f>_xll.EQNXTDZ($A$1,$B68,V$5,$B$1)</f>
        <v>0</v>
      </c>
      <c r="W68" s="54">
        <f>_xll.EQNXTDZ($A$1,$B68,W$5,$B$1)</f>
        <v>367.8</v>
      </c>
      <c r="X68" s="54">
        <f>_xll.EQNXTDZ($A$1,$B68,X$5,$B$1)</f>
        <v>0</v>
      </c>
      <c r="Y68" s="54">
        <f>_xll.EQNXTDZ($A$1,$B68,Y$5,$B$1)</f>
        <v>379.92</v>
      </c>
      <c r="Z68" s="54">
        <f>_xll.EQNXTDZ($A$1,$B68,Z$5,$B$1)</f>
        <v>0</v>
      </c>
      <c r="AA68" s="54">
        <f>_xll.EQNXTDZ($A$1,$B68,AA$5,$B$1)</f>
        <v>357.33</v>
      </c>
      <c r="AB68" s="54">
        <f>_xll.EQNXTDZ($A$1,$B68,AB$5,$B$1)</f>
        <v>0</v>
      </c>
      <c r="AC68" s="54">
        <f>_xll.EQNXTDZ($A$1,$B68,AC$5,$B$1)</f>
        <v>730.7</v>
      </c>
      <c r="AD68" s="54">
        <f>_xll.EQNXTDZ($A$1,$B68,AD$5,$B$1)</f>
        <v>0</v>
      </c>
      <c r="AE68" s="54">
        <f>_xll.EQNXTDZ($A$1,$B68,AE$5,$B$1)</f>
        <v>731.43</v>
      </c>
      <c r="AF68" s="54">
        <f>_xll.EQNXTDZ($A$1,$B68,AF$5,$B$1)</f>
        <v>0</v>
      </c>
      <c r="AG68" s="54">
        <f>_xll.EQNXTDZ($A$1,$B68,AG$5,$B$1)</f>
        <v>894.59</v>
      </c>
      <c r="AH68" s="54">
        <f>_xll.EQNXTDZ($A$1,$B68,AH$5,$B$1)</f>
        <v>0</v>
      </c>
      <c r="AI68" s="54">
        <f>_xll.EQNXTDZ($A$1,$B68,AI$5,$B$1)</f>
        <v>856.65</v>
      </c>
      <c r="AJ68" s="54">
        <f>_xll.EQNXTDZ($A$1,$B68,AJ$5,$B$1)</f>
        <v>0</v>
      </c>
      <c r="AK68" s="54">
        <f>_xll.EQNXTDZ($A$1,$B68,AK$5,$B$1)</f>
        <v>926.01</v>
      </c>
      <c r="AL68" s="54">
        <f>_xll.EQNXTDZ($A$1,$B68,AL$5,$B$1)</f>
        <v>0</v>
      </c>
      <c r="AM68" s="54">
        <f>_xll.EQNXTDZ($A$1,$B68,AM$5,$B$1)</f>
        <v>926.77</v>
      </c>
      <c r="AN68" s="54">
        <f>_xll.EQNXTDZ($A$1,$B68,AN$5,$B$1)</f>
        <v>0</v>
      </c>
      <c r="AO68" s="54">
        <f>_xll.EQNXTDZ($A$1,$B68,AO$5,$B$1)</f>
        <v>997.22</v>
      </c>
      <c r="AP68" s="54">
        <f>_xll.EQNXTDZ($A$1,$B68,AP$5,$B$1)</f>
        <v>0</v>
      </c>
      <c r="AQ68" s="54">
        <f>_xll.EQNXTDZ($A$1,$B68,AQ$5,$B$1)</f>
        <v>984.19</v>
      </c>
      <c r="AR68" s="54">
        <f>_xll.EQNXTDZ($A$1,$B68,AR$5,$B$1)</f>
        <v>0</v>
      </c>
      <c r="AS68" s="54">
        <f>_xll.EQNXTDZ($A$1,$B68,AS$5,$B$1)</f>
        <v>1019.64</v>
      </c>
      <c r="AT68" s="54">
        <f>_xll.EQNXTDZ($A$1,$B68,AT$5,$B$1)</f>
        <v>0</v>
      </c>
      <c r="AU68" s="54">
        <f>_xll.EQNXTDZ($A$1,$B68,AU$5,$B$1)</f>
        <v>1124.23</v>
      </c>
      <c r="AV68" s="54">
        <f>_xll.EQNXTDZ($A$1,$B68,AV$5,$B$1)</f>
        <v>0</v>
      </c>
      <c r="AW68" s="54">
        <f>_xll.EQNXTDZ($A$1,$B68,AW$5,$B$1)</f>
        <v>1263.8</v>
      </c>
      <c r="AX68" s="54">
        <f>_xll.EQNXTDZ($A$1,$B68,AX$5,$B$1)</f>
        <v>0</v>
      </c>
      <c r="AY68" s="54">
        <f>_xll.EQNXTDZ($A$1,$B68,AY$5,$B$1)</f>
        <v>1431.61</v>
      </c>
      <c r="AZ68" s="54">
        <f>_xll.EQNXTDZ($A$1,$B68,AZ$5,$B$1)</f>
        <v>0</v>
      </c>
      <c r="BA68" s="54">
        <f>_xll.EQNXTDZ($A$1,$B68,BA$5,$B$1)</f>
        <v>1789.41</v>
      </c>
      <c r="BB68" s="54">
        <f>_xll.EQNXTDZ($A$1,$B68,BB$5,$B$1)</f>
        <v>0</v>
      </c>
      <c r="BC68" s="54">
        <f>_xll.EQNXTDZ($A$1,$B68,BC$5,$B$1)</f>
        <v>1701.19</v>
      </c>
      <c r="BD68" s="54">
        <f>_xll.EQNXTDZ($A$1,$B68,BD$5,$B$1)</f>
        <v>0</v>
      </c>
      <c r="BE68" s="54">
        <f>_xll.EQNXTDZ($A$1,$B68,BE$5,$B$1)</f>
        <v>2016.43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334.52</v>
      </c>
      <c r="D71" s="54">
        <f>_xll.EQNXTDZ($A$1,$B71,D$5,$B$1)</f>
        <v>0</v>
      </c>
      <c r="E71" s="54">
        <f>_xll.EQNXTDZ($A$1,$B71,E$5,$B$1)</f>
        <v>392.71</v>
      </c>
      <c r="F71" s="54">
        <f>_xll.EQNXTDZ($A$1,$B71,F$5,$B$1)</f>
        <v>0</v>
      </c>
      <c r="G71" s="54">
        <f>_xll.EQNXTDZ($A$1,$B71,G$5,$B$1)</f>
        <v>397.63</v>
      </c>
      <c r="H71" s="54">
        <f>_xll.EQNXTDZ($A$1,$B71,H$5,$B$1)</f>
        <v>0</v>
      </c>
      <c r="I71" s="54">
        <f>_xll.EQNXTDZ($A$1,$B71,I$5,$B$1)</f>
        <v>412.32</v>
      </c>
      <c r="J71" s="54">
        <f>_xll.EQNXTDZ($A$1,$B71,J$5,$B$1)</f>
        <v>0</v>
      </c>
      <c r="K71" s="54">
        <f>_xll.EQNXTDZ($A$1,$B71,K$5,$B$1)</f>
        <v>398.67</v>
      </c>
      <c r="L71" s="54">
        <f>_xll.EQNXTDZ($A$1,$B71,L$5,$B$1)</f>
        <v>0</v>
      </c>
      <c r="M71" s="54">
        <f>_xll.EQNXTDZ($A$1,$B71,M$5,$B$1)</f>
        <v>390.36</v>
      </c>
      <c r="N71" s="54">
        <f>_xll.EQNXTDZ($A$1,$B71,N$5,$B$1)</f>
        <v>0</v>
      </c>
      <c r="O71" s="54">
        <f>_xll.EQNXTDZ($A$1,$B71,O$5,$B$1)</f>
        <v>390.22</v>
      </c>
      <c r="P71" s="54">
        <f>_xll.EQNXTDZ($A$1,$B71,P$5,$B$1)</f>
        <v>0</v>
      </c>
      <c r="Q71" s="54">
        <f>_xll.EQNXTDZ($A$1,$B71,Q$5,$B$1)</f>
        <v>397.6</v>
      </c>
      <c r="R71" s="54">
        <f>_xll.EQNXTDZ($A$1,$B71,R$5,$B$1)</f>
        <v>0</v>
      </c>
      <c r="S71" s="54">
        <f>_xll.EQNXTDZ($A$1,$B71,S$5,$B$1)</f>
        <v>402.89</v>
      </c>
      <c r="T71" s="54">
        <f>_xll.EQNXTDZ($A$1,$B71,T$5,$B$1)</f>
        <v>0</v>
      </c>
      <c r="U71" s="54">
        <f>_xll.EQNXTDZ($A$1,$B71,U$5,$B$1)</f>
        <v>386.16</v>
      </c>
      <c r="V71" s="54">
        <f>_xll.EQNXTDZ($A$1,$B71,V$5,$B$1)</f>
        <v>0</v>
      </c>
      <c r="W71" s="54">
        <f>_xll.EQNXTDZ($A$1,$B71,W$5,$B$1)</f>
        <v>367.8</v>
      </c>
      <c r="X71" s="54">
        <f>_xll.EQNXTDZ($A$1,$B71,X$5,$B$1)</f>
        <v>0</v>
      </c>
      <c r="Y71" s="54">
        <f>_xll.EQNXTDZ($A$1,$B71,Y$5,$B$1)</f>
        <v>379.92</v>
      </c>
      <c r="Z71" s="54">
        <f>_xll.EQNXTDZ($A$1,$B71,Z$5,$B$1)</f>
        <v>0</v>
      </c>
      <c r="AA71" s="54">
        <f>_xll.EQNXTDZ($A$1,$B71,AA$5,$B$1)</f>
        <v>357.33</v>
      </c>
      <c r="AB71" s="54">
        <f>_xll.EQNXTDZ($A$1,$B71,AB$5,$B$1)</f>
        <v>0</v>
      </c>
      <c r="AC71" s="54">
        <f>_xll.EQNXTDZ($A$1,$B71,AC$5,$B$1)</f>
        <v>730.7</v>
      </c>
      <c r="AD71" s="54">
        <f>_xll.EQNXTDZ($A$1,$B71,AD$5,$B$1)</f>
        <v>0</v>
      </c>
      <c r="AE71" s="54">
        <f>_xll.EQNXTDZ($A$1,$B71,AE$5,$B$1)</f>
        <v>731.43</v>
      </c>
      <c r="AF71" s="54">
        <f>_xll.EQNXTDZ($A$1,$B71,AF$5,$B$1)</f>
        <v>0</v>
      </c>
      <c r="AG71" s="54">
        <f>_xll.EQNXTDZ($A$1,$B71,AG$5,$B$1)</f>
        <v>894.59</v>
      </c>
      <c r="AH71" s="54">
        <f>_xll.EQNXTDZ($A$1,$B71,AH$5,$B$1)</f>
        <v>0</v>
      </c>
      <c r="AI71" s="54">
        <f>_xll.EQNXTDZ($A$1,$B71,AI$5,$B$1)</f>
        <v>856.65</v>
      </c>
      <c r="AJ71" s="54">
        <f>_xll.EQNXTDZ($A$1,$B71,AJ$5,$B$1)</f>
        <v>0</v>
      </c>
      <c r="AK71" s="54">
        <f>_xll.EQNXTDZ($A$1,$B71,AK$5,$B$1)</f>
        <v>926.01</v>
      </c>
      <c r="AL71" s="54">
        <f>_xll.EQNXTDZ($A$1,$B71,AL$5,$B$1)</f>
        <v>0</v>
      </c>
      <c r="AM71" s="54">
        <f>_xll.EQNXTDZ($A$1,$B71,AM$5,$B$1)</f>
        <v>926.77</v>
      </c>
      <c r="AN71" s="54">
        <f>_xll.EQNXTDZ($A$1,$B71,AN$5,$B$1)</f>
        <v>0</v>
      </c>
      <c r="AO71" s="54">
        <f>_xll.EQNXTDZ($A$1,$B71,AO$5,$B$1)</f>
        <v>997.22</v>
      </c>
      <c r="AP71" s="54">
        <f>_xll.EQNXTDZ($A$1,$B71,AP$5,$B$1)</f>
        <v>0</v>
      </c>
      <c r="AQ71" s="54">
        <f>_xll.EQNXTDZ($A$1,$B71,AQ$5,$B$1)</f>
        <v>984.19</v>
      </c>
      <c r="AR71" s="54">
        <f>_xll.EQNXTDZ($A$1,$B71,AR$5,$B$1)</f>
        <v>0</v>
      </c>
      <c r="AS71" s="54">
        <f>_xll.EQNXTDZ($A$1,$B71,AS$5,$B$1)</f>
        <v>1019.64</v>
      </c>
      <c r="AT71" s="54">
        <f>_xll.EQNXTDZ($A$1,$B71,AT$5,$B$1)</f>
        <v>0</v>
      </c>
      <c r="AU71" s="54">
        <f>_xll.EQNXTDZ($A$1,$B71,AU$5,$B$1)</f>
        <v>1124.23</v>
      </c>
      <c r="AV71" s="54">
        <f>_xll.EQNXTDZ($A$1,$B71,AV$5,$B$1)</f>
        <v>0</v>
      </c>
      <c r="AW71" s="54">
        <f>_xll.EQNXTDZ($A$1,$B71,AW$5,$B$1)</f>
        <v>1263.8</v>
      </c>
      <c r="AX71" s="54">
        <f>_xll.EQNXTDZ($A$1,$B71,AX$5,$B$1)</f>
        <v>0</v>
      </c>
      <c r="AY71" s="54">
        <f>_xll.EQNXTDZ($A$1,$B71,AY$5,$B$1)</f>
        <v>1431.61</v>
      </c>
      <c r="AZ71" s="54">
        <f>_xll.EQNXTDZ($A$1,$B71,AZ$5,$B$1)</f>
        <v>0</v>
      </c>
      <c r="BA71" s="54">
        <f>_xll.EQNXTDZ($A$1,$B71,BA$5,$B$1)</f>
        <v>1789.41</v>
      </c>
      <c r="BB71" s="54">
        <f>_xll.EQNXTDZ($A$1,$B71,BB$5,$B$1)</f>
        <v>0</v>
      </c>
      <c r="BC71" s="54">
        <f>_xll.EQNXTDZ($A$1,$B71,BC$5,$B$1)</f>
        <v>1701.19</v>
      </c>
      <c r="BD71" s="54">
        <f>_xll.EQNXTDZ($A$1,$B71,BD$5,$B$1)</f>
        <v>0</v>
      </c>
      <c r="BE71" s="54">
        <f>_xll.EQNXTDZ($A$1,$B71,BE$5,$B$1)</f>
        <v>2016.43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82.23</v>
      </c>
      <c r="AX72" s="54">
        <f>_xll.EQNXTDZ($A$1,$B72,AX$5,$B$1)</f>
        <v>0</v>
      </c>
      <c r="AY72" s="54">
        <f>_xll.EQNXTDZ($A$1,$B72,AY$5,$B$1)</f>
        <v>82.23</v>
      </c>
      <c r="AZ72" s="54">
        <f>_xll.EQNXTDZ($A$1,$B72,AZ$5,$B$1)</f>
        <v>0</v>
      </c>
      <c r="BA72" s="54">
        <f>_xll.EQNXTDZ($A$1,$B72,BA$5,$B$1)</f>
        <v>82.23</v>
      </c>
      <c r="BB72" s="54">
        <f>_xll.EQNXTDZ($A$1,$B72,BB$5,$B$1)</f>
        <v>0</v>
      </c>
      <c r="BC72" s="54">
        <f>_xll.EQNXTDZ($A$1,$B72,BC$5,$B$1)</f>
        <v>82.23</v>
      </c>
      <c r="BD72" s="54">
        <f>_xll.EQNXTDZ($A$1,$B72,BD$5,$B$1)</f>
        <v>0</v>
      </c>
      <c r="BE72" s="54">
        <f>_xll.EQNXTDZ($A$1,$B72,BE$5,$B$1)</f>
        <v>82.23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24.13</v>
      </c>
      <c r="V74" s="54">
        <f>_xll.EQNXTDZ($A$1,$B74,V$5,$B$1)</f>
        <v>0</v>
      </c>
      <c r="W74" s="54">
        <f>_xll.EQNXTDZ($A$1,$B74,W$5,$B$1)</f>
        <v>27.76</v>
      </c>
      <c r="X74" s="54">
        <f>_xll.EQNXTDZ($A$1,$B74,X$5,$B$1)</f>
        <v>0</v>
      </c>
      <c r="Y74" s="54">
        <f>_xll.EQNXTDZ($A$1,$B74,Y$5,$B$1)</f>
        <v>32.659999999999997</v>
      </c>
      <c r="Z74" s="54">
        <f>_xll.EQNXTDZ($A$1,$B74,Z$5,$B$1)</f>
        <v>0</v>
      </c>
      <c r="AA74" s="54">
        <f>_xll.EQNXTDZ($A$1,$B74,AA$5,$B$1)</f>
        <v>54.15</v>
      </c>
      <c r="AB74" s="54">
        <f>_xll.EQNXTDZ($A$1,$B74,AB$5,$B$1)</f>
        <v>0</v>
      </c>
      <c r="AC74" s="54">
        <f>_xll.EQNXTDZ($A$1,$B74,AC$5,$B$1)</f>
        <v>161.72</v>
      </c>
      <c r="AD74" s="54">
        <f>_xll.EQNXTDZ($A$1,$B74,AD$5,$B$1)</f>
        <v>0</v>
      </c>
      <c r="AE74" s="54">
        <f>_xll.EQNXTDZ($A$1,$B74,AE$5,$B$1)</f>
        <v>238.82</v>
      </c>
      <c r="AF74" s="54">
        <f>_xll.EQNXTDZ($A$1,$B74,AF$5,$B$1)</f>
        <v>0</v>
      </c>
      <c r="AG74" s="54">
        <f>_xll.EQNXTDZ($A$1,$B74,AG$5,$B$1)</f>
        <v>166.25</v>
      </c>
      <c r="AH74" s="54">
        <f>_xll.EQNXTDZ($A$1,$B74,AH$5,$B$1)</f>
        <v>0</v>
      </c>
      <c r="AI74" s="54">
        <f>_xll.EQNXTDZ($A$1,$B74,AI$5,$B$1)</f>
        <v>242.15</v>
      </c>
      <c r="AJ74" s="54">
        <f>_xll.EQNXTDZ($A$1,$B74,AJ$5,$B$1)</f>
        <v>0</v>
      </c>
      <c r="AK74" s="54">
        <f>_xll.EQNXTDZ($A$1,$B74,AK$5,$B$1)</f>
        <v>160.41</v>
      </c>
      <c r="AL74" s="54">
        <f>_xll.EQNXTDZ($A$1,$B74,AL$5,$B$1)</f>
        <v>0</v>
      </c>
      <c r="AM74" s="54">
        <f>_xll.EQNXTDZ($A$1,$B74,AM$5,$B$1)</f>
        <v>150.65</v>
      </c>
      <c r="AN74" s="54">
        <f>_xll.EQNXTDZ($A$1,$B74,AN$5,$B$1)</f>
        <v>0</v>
      </c>
      <c r="AO74" s="54">
        <f>_xll.EQNXTDZ($A$1,$B74,AO$5,$B$1)</f>
        <v>89.23</v>
      </c>
      <c r="AP74" s="54">
        <f>_xll.EQNXTDZ($A$1,$B74,AP$5,$B$1)</f>
        <v>0</v>
      </c>
      <c r="AQ74" s="54">
        <f>_xll.EQNXTDZ($A$1,$B74,AQ$5,$B$1)</f>
        <v>147.18</v>
      </c>
      <c r="AR74" s="54">
        <f>_xll.EQNXTDZ($A$1,$B74,AR$5,$B$1)</f>
        <v>0</v>
      </c>
      <c r="AS74" s="54">
        <f>_xll.EQNXTDZ($A$1,$B74,AS$5,$B$1)</f>
        <v>249.34</v>
      </c>
      <c r="AT74" s="54">
        <f>_xll.EQNXTDZ($A$1,$B74,AT$5,$B$1)</f>
        <v>0</v>
      </c>
      <c r="AU74" s="54">
        <f>_xll.EQNXTDZ($A$1,$B74,AU$5,$B$1)</f>
        <v>285.04000000000002</v>
      </c>
      <c r="AV74" s="54">
        <f>_xll.EQNXTDZ($A$1,$B74,AV$5,$B$1)</f>
        <v>0</v>
      </c>
      <c r="AW74" s="54">
        <f>_xll.EQNXTDZ($A$1,$B74,AW$5,$B$1)</f>
        <v>490.77</v>
      </c>
      <c r="AX74" s="54">
        <f>_xll.EQNXTDZ($A$1,$B74,AX$5,$B$1)</f>
        <v>0</v>
      </c>
      <c r="AY74" s="54">
        <f>_xll.EQNXTDZ($A$1,$B74,AY$5,$B$1)</f>
        <v>544.87</v>
      </c>
      <c r="AZ74" s="54">
        <f>_xll.EQNXTDZ($A$1,$B74,AZ$5,$B$1)</f>
        <v>0</v>
      </c>
      <c r="BA74" s="54">
        <f>_xll.EQNXTDZ($A$1,$B74,BA$5,$B$1)</f>
        <v>449.11</v>
      </c>
      <c r="BB74" s="54">
        <f>_xll.EQNXTDZ($A$1,$B74,BB$5,$B$1)</f>
        <v>0</v>
      </c>
      <c r="BC74" s="54">
        <f>_xll.EQNXTDZ($A$1,$B74,BC$5,$B$1)</f>
        <v>599.79</v>
      </c>
      <c r="BD74" s="54">
        <f>_xll.EQNXTDZ($A$1,$B74,BD$5,$B$1)</f>
        <v>0</v>
      </c>
      <c r="BE74" s="54">
        <f>_xll.EQNXTDZ($A$1,$B74,BE$5,$B$1)</f>
        <v>334.46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4.3499999999999996</v>
      </c>
      <c r="F77" s="54">
        <f>_xll.EQNXTDZ($A$1,$B77,F$5,$B$1)</f>
        <v>0</v>
      </c>
      <c r="G77" s="54">
        <f>_xll.EQNXTDZ($A$1,$B77,G$5,$B$1)</f>
        <v>4.3499999999999996</v>
      </c>
      <c r="H77" s="54">
        <f>_xll.EQNXTDZ($A$1,$B77,H$5,$B$1)</f>
        <v>0</v>
      </c>
      <c r="I77" s="54">
        <f>_xll.EQNXTDZ($A$1,$B77,I$5,$B$1)</f>
        <v>4.3499999999999996</v>
      </c>
      <c r="J77" s="54">
        <f>_xll.EQNXTDZ($A$1,$B77,J$5,$B$1)</f>
        <v>0</v>
      </c>
      <c r="K77" s="54">
        <f>_xll.EQNXTDZ($A$1,$B77,K$5,$B$1)</f>
        <v>4.3499999999999996</v>
      </c>
      <c r="L77" s="54">
        <f>_xll.EQNXTDZ($A$1,$B77,L$5,$B$1)</f>
        <v>0</v>
      </c>
      <c r="M77" s="54">
        <f>_xll.EQNXTDZ($A$1,$B77,M$5,$B$1)</f>
        <v>4.3499999999999996</v>
      </c>
      <c r="N77" s="54">
        <f>_xll.EQNXTDZ($A$1,$B77,N$5,$B$1)</f>
        <v>0</v>
      </c>
      <c r="O77" s="54">
        <f>_xll.EQNXTDZ($A$1,$B77,O$5,$B$1)</f>
        <v>16.88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47.28</v>
      </c>
      <c r="D78" s="54">
        <f>_xll.EQNXTDZ($A$1,$B78,D$5,$B$1)</f>
        <v>0</v>
      </c>
      <c r="E78" s="54">
        <f>_xll.EQNXTDZ($A$1,$B78,E$5,$B$1)</f>
        <v>75.430000000000007</v>
      </c>
      <c r="F78" s="54">
        <f>_xll.EQNXTDZ($A$1,$B78,F$5,$B$1)</f>
        <v>0</v>
      </c>
      <c r="G78" s="54">
        <f>_xll.EQNXTDZ($A$1,$B78,G$5,$B$1)</f>
        <v>132.19999999999999</v>
      </c>
      <c r="H78" s="54">
        <f>_xll.EQNXTDZ($A$1,$B78,H$5,$B$1)</f>
        <v>0</v>
      </c>
      <c r="I78" s="54">
        <f>_xll.EQNXTDZ($A$1,$B78,I$5,$B$1)</f>
        <v>176.51</v>
      </c>
      <c r="J78" s="54">
        <f>_xll.EQNXTDZ($A$1,$B78,J$5,$B$1)</f>
        <v>0</v>
      </c>
      <c r="K78" s="54">
        <f>_xll.EQNXTDZ($A$1,$B78,K$5,$B$1)</f>
        <v>84.8</v>
      </c>
      <c r="L78" s="54">
        <f>_xll.EQNXTDZ($A$1,$B78,L$5,$B$1)</f>
        <v>0</v>
      </c>
      <c r="M78" s="54">
        <f>_xll.EQNXTDZ($A$1,$B78,M$5,$B$1)</f>
        <v>99.94</v>
      </c>
      <c r="N78" s="54">
        <f>_xll.EQNXTDZ($A$1,$B78,N$5,$B$1)</f>
        <v>0</v>
      </c>
      <c r="O78" s="54">
        <f>_xll.EQNXTDZ($A$1,$B78,O$5,$B$1)</f>
        <v>134.97999999999999</v>
      </c>
      <c r="P78" s="54">
        <f>_xll.EQNXTDZ($A$1,$B78,P$5,$B$1)</f>
        <v>0</v>
      </c>
      <c r="Q78" s="54">
        <f>_xll.EQNXTDZ($A$1,$B78,Q$5,$B$1)</f>
        <v>128.32</v>
      </c>
      <c r="R78" s="54">
        <f>_xll.EQNXTDZ($A$1,$B78,R$5,$B$1)</f>
        <v>0</v>
      </c>
      <c r="S78" s="54">
        <f>_xll.EQNXTDZ($A$1,$B78,S$5,$B$1)</f>
        <v>163.35</v>
      </c>
      <c r="T78" s="54">
        <f>_xll.EQNXTDZ($A$1,$B78,T$5,$B$1)</f>
        <v>0</v>
      </c>
      <c r="U78" s="54">
        <f>_xll.EQNXTDZ($A$1,$B78,U$5,$B$1)</f>
        <v>99</v>
      </c>
      <c r="V78" s="54">
        <f>_xll.EQNXTDZ($A$1,$B78,V$5,$B$1)</f>
        <v>0</v>
      </c>
      <c r="W78" s="54">
        <f>_xll.EQNXTDZ($A$1,$B78,W$5,$B$1)</f>
        <v>112.67</v>
      </c>
      <c r="X78" s="54">
        <f>_xll.EQNXTDZ($A$1,$B78,X$5,$B$1)</f>
        <v>0</v>
      </c>
      <c r="Y78" s="54">
        <f>_xll.EQNXTDZ($A$1,$B78,Y$5,$B$1)</f>
        <v>66</v>
      </c>
      <c r="Z78" s="54">
        <f>_xll.EQNXTDZ($A$1,$B78,Z$5,$B$1)</f>
        <v>0</v>
      </c>
      <c r="AA78" s="54">
        <f>_xll.EQNXTDZ($A$1,$B78,AA$5,$B$1)</f>
        <v>30</v>
      </c>
      <c r="AB78" s="54">
        <f>_xll.EQNXTDZ($A$1,$B78,AB$5,$B$1)</f>
        <v>0</v>
      </c>
      <c r="AC78" s="54">
        <f>_xll.EQNXTDZ($A$1,$B78,AC$5,$B$1)</f>
        <v>8.68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9.5299999999999994</v>
      </c>
      <c r="AH78" s="54">
        <f>_xll.EQNXTDZ($A$1,$B78,AH$5,$B$1)</f>
        <v>0</v>
      </c>
      <c r="AI78" s="54">
        <f>_xll.EQNXTDZ($A$1,$B78,AI$5,$B$1)</f>
        <v>8.94</v>
      </c>
      <c r="AJ78" s="54">
        <f>_xll.EQNXTDZ($A$1,$B78,AJ$5,$B$1)</f>
        <v>0</v>
      </c>
      <c r="AK78" s="54">
        <f>_xll.EQNXTDZ($A$1,$B78,AK$5,$B$1)</f>
        <v>9.6300000000000008</v>
      </c>
      <c r="AL78" s="54">
        <f>_xll.EQNXTDZ($A$1,$B78,AL$5,$B$1)</f>
        <v>0</v>
      </c>
      <c r="AM78" s="54">
        <f>_xll.EQNXTDZ($A$1,$B78,AM$5,$B$1)</f>
        <v>9.66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0.46</v>
      </c>
      <c r="F79" s="54">
        <f>_xll.EQNXTDZ($A$1,$B79,F$5,$B$1)</f>
        <v>0</v>
      </c>
      <c r="G79" s="54">
        <f>_xll.EQNXTDZ($A$1,$B79,G$5,$B$1)</f>
        <v>0.46</v>
      </c>
      <c r="H79" s="54">
        <f>_xll.EQNXTDZ($A$1,$B79,H$5,$B$1)</f>
        <v>0</v>
      </c>
      <c r="I79" s="54">
        <f>_xll.EQNXTDZ($A$1,$B79,I$5,$B$1)</f>
        <v>0.46</v>
      </c>
      <c r="J79" s="54">
        <f>_xll.EQNXTDZ($A$1,$B79,J$5,$B$1)</f>
        <v>0</v>
      </c>
      <c r="K79" s="54">
        <f>_xll.EQNXTDZ($A$1,$B79,K$5,$B$1)</f>
        <v>0.46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42.67</v>
      </c>
      <c r="V79" s="54">
        <f>_xll.EQNXTDZ($A$1,$B79,V$5,$B$1)</f>
        <v>0</v>
      </c>
      <c r="W79" s="54">
        <f>_xll.EQNXTDZ($A$1,$B79,W$5,$B$1)</f>
        <v>45.68</v>
      </c>
      <c r="X79" s="54">
        <f>_xll.EQNXTDZ($A$1,$B79,X$5,$B$1)</f>
        <v>0</v>
      </c>
      <c r="Y79" s="54">
        <f>_xll.EQNXTDZ($A$1,$B79,Y$5,$B$1)</f>
        <v>48.89</v>
      </c>
      <c r="Z79" s="54">
        <f>_xll.EQNXTDZ($A$1,$B79,Z$5,$B$1)</f>
        <v>0</v>
      </c>
      <c r="AA79" s="54">
        <f>_xll.EQNXTDZ($A$1,$B79,AA$5,$B$1)</f>
        <v>48.63</v>
      </c>
      <c r="AB79" s="54">
        <f>_xll.EQNXTDZ($A$1,$B79,AB$5,$B$1)</f>
        <v>0</v>
      </c>
      <c r="AC79" s="54">
        <f>_xll.EQNXTDZ($A$1,$B79,AC$5,$B$1)</f>
        <v>170.05</v>
      </c>
      <c r="AD79" s="54">
        <f>_xll.EQNXTDZ($A$1,$B79,AD$5,$B$1)</f>
        <v>0</v>
      </c>
      <c r="AE79" s="54">
        <f>_xll.EQNXTDZ($A$1,$B79,AE$5,$B$1)</f>
        <v>161.91999999999999</v>
      </c>
      <c r="AF79" s="54">
        <f>_xll.EQNXTDZ($A$1,$B79,AF$5,$B$1)</f>
        <v>0</v>
      </c>
      <c r="AG79" s="54">
        <f>_xll.EQNXTDZ($A$1,$B79,AG$5,$B$1)</f>
        <v>286.67</v>
      </c>
      <c r="AH79" s="54">
        <f>_xll.EQNXTDZ($A$1,$B79,AH$5,$B$1)</f>
        <v>0</v>
      </c>
      <c r="AI79" s="54">
        <f>_xll.EQNXTDZ($A$1,$B79,AI$5,$B$1)</f>
        <v>227.83</v>
      </c>
      <c r="AJ79" s="54">
        <f>_xll.EQNXTDZ($A$1,$B79,AJ$5,$B$1)</f>
        <v>0</v>
      </c>
      <c r="AK79" s="54">
        <f>_xll.EQNXTDZ($A$1,$B79,AK$5,$B$1)</f>
        <v>304.61</v>
      </c>
      <c r="AL79" s="54">
        <f>_xll.EQNXTDZ($A$1,$B79,AL$5,$B$1)</f>
        <v>0</v>
      </c>
      <c r="AM79" s="54">
        <f>_xll.EQNXTDZ($A$1,$B79,AM$5,$B$1)</f>
        <v>216.65</v>
      </c>
      <c r="AN79" s="54">
        <f>_xll.EQNXTDZ($A$1,$B79,AN$5,$B$1)</f>
        <v>0</v>
      </c>
      <c r="AO79" s="54">
        <f>_xll.EQNXTDZ($A$1,$B79,AO$5,$B$1)</f>
        <v>354.02</v>
      </c>
      <c r="AP79" s="54">
        <f>_xll.EQNXTDZ($A$1,$B79,AP$5,$B$1)</f>
        <v>0</v>
      </c>
      <c r="AQ79" s="54">
        <f>_xll.EQNXTDZ($A$1,$B79,AQ$5,$B$1)</f>
        <v>325.48</v>
      </c>
      <c r="AR79" s="54">
        <f>_xll.EQNXTDZ($A$1,$B79,AR$5,$B$1)</f>
        <v>0</v>
      </c>
      <c r="AS79" s="54">
        <f>_xll.EQNXTDZ($A$1,$B79,AS$5,$B$1)</f>
        <v>466.01</v>
      </c>
      <c r="AT79" s="54">
        <f>_xll.EQNXTDZ($A$1,$B79,AT$5,$B$1)</f>
        <v>0</v>
      </c>
      <c r="AU79" s="54">
        <f>_xll.EQNXTDZ($A$1,$B79,AU$5,$B$1)</f>
        <v>334.82</v>
      </c>
      <c r="AV79" s="54">
        <f>_xll.EQNXTDZ($A$1,$B79,AV$5,$B$1)</f>
        <v>0</v>
      </c>
      <c r="AW79" s="54">
        <f>_xll.EQNXTDZ($A$1,$B79,AW$5,$B$1)</f>
        <v>298.63</v>
      </c>
      <c r="AX79" s="54">
        <f>_xll.EQNXTDZ($A$1,$B79,AX$5,$B$1)</f>
        <v>0</v>
      </c>
      <c r="AY79" s="54">
        <f>_xll.EQNXTDZ($A$1,$B79,AY$5,$B$1)</f>
        <v>307.66000000000003</v>
      </c>
      <c r="AZ79" s="54">
        <f>_xll.EQNXTDZ($A$1,$B79,AZ$5,$B$1)</f>
        <v>0</v>
      </c>
      <c r="BA79" s="54">
        <f>_xll.EQNXTDZ($A$1,$B79,BA$5,$B$1)</f>
        <v>287.31</v>
      </c>
      <c r="BB79" s="54">
        <f>_xll.EQNXTDZ($A$1,$B79,BB$5,$B$1)</f>
        <v>0</v>
      </c>
      <c r="BC79" s="54">
        <f>_xll.EQNXTDZ($A$1,$B79,BC$5,$B$1)</f>
        <v>266</v>
      </c>
      <c r="BD79" s="54">
        <f>_xll.EQNXTDZ($A$1,$B79,BD$5,$B$1)</f>
        <v>0</v>
      </c>
      <c r="BE79" s="54">
        <f>_xll.EQNXTDZ($A$1,$B79,BE$5,$B$1)</f>
        <v>282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158.85</v>
      </c>
      <c r="D81" s="54">
        <f>_xll.EQNXTDZ($A$1,$B81,D$5,$B$1)</f>
        <v>0</v>
      </c>
      <c r="E81" s="54">
        <f>_xll.EQNXTDZ($A$1,$B81,E$5,$B$1)</f>
        <v>142.21</v>
      </c>
      <c r="F81" s="54">
        <f>_xll.EQNXTDZ($A$1,$B81,F$5,$B$1)</f>
        <v>0</v>
      </c>
      <c r="G81" s="54">
        <f>_xll.EQNXTDZ($A$1,$B81,G$5,$B$1)</f>
        <v>176.99</v>
      </c>
      <c r="H81" s="54">
        <f>_xll.EQNXTDZ($A$1,$B81,H$5,$B$1)</f>
        <v>0</v>
      </c>
      <c r="I81" s="54">
        <f>_xll.EQNXTDZ($A$1,$B81,I$5,$B$1)</f>
        <v>170.58</v>
      </c>
      <c r="J81" s="54">
        <f>_xll.EQNXTDZ($A$1,$B81,J$5,$B$1)</f>
        <v>0</v>
      </c>
      <c r="K81" s="54">
        <f>_xll.EQNXTDZ($A$1,$B81,K$5,$B$1)</f>
        <v>185.8</v>
      </c>
      <c r="L81" s="54">
        <f>_xll.EQNXTDZ($A$1,$B81,L$5,$B$1)</f>
        <v>0</v>
      </c>
      <c r="M81" s="54">
        <f>_xll.EQNXTDZ($A$1,$B81,M$5,$B$1)</f>
        <v>190.89</v>
      </c>
      <c r="N81" s="54">
        <f>_xll.EQNXTDZ($A$1,$B81,N$5,$B$1)</f>
        <v>0</v>
      </c>
      <c r="O81" s="54">
        <f>_xll.EQNXTDZ($A$1,$B81,O$5,$B$1)</f>
        <v>192.97</v>
      </c>
      <c r="P81" s="54">
        <f>_xll.EQNXTDZ($A$1,$B81,P$5,$B$1)</f>
        <v>0</v>
      </c>
      <c r="Q81" s="54">
        <f>_xll.EQNXTDZ($A$1,$B81,Q$5,$B$1)</f>
        <v>220.25</v>
      </c>
      <c r="R81" s="54">
        <f>_xll.EQNXTDZ($A$1,$B81,R$5,$B$1)</f>
        <v>0</v>
      </c>
      <c r="S81" s="54">
        <f>_xll.EQNXTDZ($A$1,$B81,S$5,$B$1)</f>
        <v>249.42</v>
      </c>
      <c r="T81" s="54">
        <f>_xll.EQNXTDZ($A$1,$B81,T$5,$B$1)</f>
        <v>0</v>
      </c>
      <c r="U81" s="54">
        <f>_xll.EQNXTDZ($A$1,$B81,U$5,$B$1)</f>
        <v>273.99</v>
      </c>
      <c r="V81" s="54">
        <f>_xll.EQNXTDZ($A$1,$B81,V$5,$B$1)</f>
        <v>0</v>
      </c>
      <c r="W81" s="54">
        <f>_xll.EQNXTDZ($A$1,$B81,W$5,$B$1)</f>
        <v>286.23</v>
      </c>
      <c r="X81" s="54">
        <f>_xll.EQNXTDZ($A$1,$B81,X$5,$B$1)</f>
        <v>0</v>
      </c>
      <c r="Y81" s="54">
        <f>_xll.EQNXTDZ($A$1,$B81,Y$5,$B$1)</f>
        <v>273.62</v>
      </c>
      <c r="Z81" s="54">
        <f>_xll.EQNXTDZ($A$1,$B81,Z$5,$B$1)</f>
        <v>0</v>
      </c>
      <c r="AA81" s="54">
        <f>_xll.EQNXTDZ($A$1,$B81,AA$5,$B$1)</f>
        <v>411.91</v>
      </c>
      <c r="AB81" s="54">
        <f>_xll.EQNXTDZ($A$1,$B81,AB$5,$B$1)</f>
        <v>0</v>
      </c>
      <c r="AC81" s="54">
        <f>_xll.EQNXTDZ($A$1,$B81,AC$5,$B$1)</f>
        <v>910.07</v>
      </c>
      <c r="AD81" s="54">
        <f>_xll.EQNXTDZ($A$1,$B81,AD$5,$B$1)</f>
        <v>0</v>
      </c>
      <c r="AE81" s="54">
        <f>_xll.EQNXTDZ($A$1,$B81,AE$5,$B$1)</f>
        <v>962.46</v>
      </c>
      <c r="AF81" s="54">
        <f>_xll.EQNXTDZ($A$1,$B81,AF$5,$B$1)</f>
        <v>0</v>
      </c>
      <c r="AG81" s="54">
        <f>_xll.EQNXTDZ($A$1,$B81,AG$5,$B$1)</f>
        <v>720.49</v>
      </c>
      <c r="AH81" s="54">
        <f>_xll.EQNXTDZ($A$1,$B81,AH$5,$B$1)</f>
        <v>0</v>
      </c>
      <c r="AI81" s="54">
        <f>_xll.EQNXTDZ($A$1,$B81,AI$5,$B$1)</f>
        <v>881.22</v>
      </c>
      <c r="AJ81" s="54">
        <f>_xll.EQNXTDZ($A$1,$B81,AJ$5,$B$1)</f>
        <v>0</v>
      </c>
      <c r="AK81" s="54">
        <f>_xll.EQNXTDZ($A$1,$B81,AK$5,$B$1)</f>
        <v>713.63</v>
      </c>
      <c r="AL81" s="54">
        <f>_xll.EQNXTDZ($A$1,$B81,AL$5,$B$1)</f>
        <v>0</v>
      </c>
      <c r="AM81" s="54">
        <f>_xll.EQNXTDZ($A$1,$B81,AM$5,$B$1)</f>
        <v>1023.23</v>
      </c>
      <c r="AN81" s="54">
        <f>_xll.EQNXTDZ($A$1,$B81,AN$5,$B$1)</f>
        <v>0</v>
      </c>
      <c r="AO81" s="54">
        <f>_xll.EQNXTDZ($A$1,$B81,AO$5,$B$1)</f>
        <v>1086.49</v>
      </c>
      <c r="AP81" s="54">
        <f>_xll.EQNXTDZ($A$1,$B81,AP$5,$B$1)</f>
        <v>0</v>
      </c>
      <c r="AQ81" s="54">
        <f>_xll.EQNXTDZ($A$1,$B81,AQ$5,$B$1)</f>
        <v>1260.7</v>
      </c>
      <c r="AR81" s="54">
        <f>_xll.EQNXTDZ($A$1,$B81,AR$5,$B$1)</f>
        <v>0</v>
      </c>
      <c r="AS81" s="54">
        <f>_xll.EQNXTDZ($A$1,$B81,AS$5,$B$1)</f>
        <v>1243.3699999999999</v>
      </c>
      <c r="AT81" s="54">
        <f>_xll.EQNXTDZ($A$1,$B81,AT$5,$B$1)</f>
        <v>0</v>
      </c>
      <c r="AU81" s="54">
        <f>_xll.EQNXTDZ($A$1,$B81,AU$5,$B$1)</f>
        <v>1413.99</v>
      </c>
      <c r="AV81" s="54">
        <f>_xll.EQNXTDZ($A$1,$B81,AV$5,$B$1)</f>
        <v>0</v>
      </c>
      <c r="AW81" s="54">
        <f>_xll.EQNXTDZ($A$1,$B81,AW$5,$B$1)</f>
        <v>1315.61</v>
      </c>
      <c r="AX81" s="54">
        <f>_xll.EQNXTDZ($A$1,$B81,AX$5,$B$1)</f>
        <v>0</v>
      </c>
      <c r="AY81" s="54">
        <f>_xll.EQNXTDZ($A$1,$B81,AY$5,$B$1)</f>
        <v>1643.75</v>
      </c>
      <c r="AZ81" s="54">
        <f>_xll.EQNXTDZ($A$1,$B81,AZ$5,$B$1)</f>
        <v>0</v>
      </c>
      <c r="BA81" s="54">
        <f>_xll.EQNXTDZ($A$1,$B81,BA$5,$B$1)</f>
        <v>1469.62</v>
      </c>
      <c r="BB81" s="54">
        <f>_xll.EQNXTDZ($A$1,$B81,BB$5,$B$1)</f>
        <v>0</v>
      </c>
      <c r="BC81" s="54">
        <f>_xll.EQNXTDZ($A$1,$B81,BC$5,$B$1)</f>
        <v>1603.43</v>
      </c>
      <c r="BD81" s="54">
        <f>_xll.EQNXTDZ($A$1,$B81,BD$5,$B$1)</f>
        <v>0</v>
      </c>
      <c r="BE81" s="54">
        <f>_xll.EQNXTDZ($A$1,$B81,BE$5,$B$1)</f>
        <v>1771.75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271.08999999999997</v>
      </c>
      <c r="D82" s="54">
        <f>_xll.EQNXTDZ($A$1,$B82,D$5,$B$1)</f>
        <v>0</v>
      </c>
      <c r="E82" s="54">
        <f>_xll.EQNXTDZ($A$1,$B82,E$5,$B$1)</f>
        <v>254.71</v>
      </c>
      <c r="F82" s="54">
        <f>_xll.EQNXTDZ($A$1,$B82,F$5,$B$1)</f>
        <v>0</v>
      </c>
      <c r="G82" s="54">
        <f>_xll.EQNXTDZ($A$1,$B82,G$5,$B$1)</f>
        <v>239.52</v>
      </c>
      <c r="H82" s="54">
        <f>_xll.EQNXTDZ($A$1,$B82,H$5,$B$1)</f>
        <v>0</v>
      </c>
      <c r="I82" s="54">
        <f>_xll.EQNXTDZ($A$1,$B82,I$5,$B$1)</f>
        <v>290.60000000000002</v>
      </c>
      <c r="J82" s="54">
        <f>_xll.EQNXTDZ($A$1,$B82,J$5,$B$1)</f>
        <v>0</v>
      </c>
      <c r="K82" s="54">
        <f>_xll.EQNXTDZ($A$1,$B82,K$5,$B$1)</f>
        <v>293.2</v>
      </c>
      <c r="L82" s="54">
        <f>_xll.EQNXTDZ($A$1,$B82,L$5,$B$1)</f>
        <v>0</v>
      </c>
      <c r="M82" s="54">
        <f>_xll.EQNXTDZ($A$1,$B82,M$5,$B$1)</f>
        <v>290.05</v>
      </c>
      <c r="N82" s="54">
        <f>_xll.EQNXTDZ($A$1,$B82,N$5,$B$1)</f>
        <v>0</v>
      </c>
      <c r="O82" s="54">
        <f>_xll.EQNXTDZ($A$1,$B82,O$5,$B$1)</f>
        <v>331.63</v>
      </c>
      <c r="P82" s="54">
        <f>_xll.EQNXTDZ($A$1,$B82,P$5,$B$1)</f>
        <v>0</v>
      </c>
      <c r="Q82" s="54">
        <f>_xll.EQNXTDZ($A$1,$B82,Q$5,$B$1)</f>
        <v>336.44</v>
      </c>
      <c r="R82" s="54">
        <f>_xll.EQNXTDZ($A$1,$B82,R$5,$B$1)</f>
        <v>0</v>
      </c>
      <c r="S82" s="54">
        <f>_xll.EQNXTDZ($A$1,$B82,S$5,$B$1)</f>
        <v>347</v>
      </c>
      <c r="T82" s="54">
        <f>_xll.EQNXTDZ($A$1,$B82,T$5,$B$1)</f>
        <v>0</v>
      </c>
      <c r="U82" s="54">
        <f>_xll.EQNXTDZ($A$1,$B82,U$5,$B$1)</f>
        <v>326.27999999999997</v>
      </c>
      <c r="V82" s="54">
        <f>_xll.EQNXTDZ($A$1,$B82,V$5,$B$1)</f>
        <v>0</v>
      </c>
      <c r="W82" s="54">
        <f>_xll.EQNXTDZ($A$1,$B82,W$5,$B$1)</f>
        <v>303.76</v>
      </c>
      <c r="X82" s="54">
        <f>_xll.EQNXTDZ($A$1,$B82,X$5,$B$1)</f>
        <v>0</v>
      </c>
      <c r="Y82" s="54">
        <f>_xll.EQNXTDZ($A$1,$B82,Y$5,$B$1)</f>
        <v>319.89</v>
      </c>
      <c r="Z82" s="54">
        <f>_xll.EQNXTDZ($A$1,$B82,Z$5,$B$1)</f>
        <v>0</v>
      </c>
      <c r="AA82" s="54">
        <f>_xll.EQNXTDZ($A$1,$B82,AA$5,$B$1)</f>
        <v>340.81</v>
      </c>
      <c r="AB82" s="54">
        <f>_xll.EQNXTDZ($A$1,$B82,AB$5,$B$1)</f>
        <v>0</v>
      </c>
      <c r="AC82" s="54">
        <f>_xll.EQNXTDZ($A$1,$B82,AC$5,$B$1)</f>
        <v>751.33</v>
      </c>
      <c r="AD82" s="54">
        <f>_xll.EQNXTDZ($A$1,$B82,AD$5,$B$1)</f>
        <v>0</v>
      </c>
      <c r="AE82" s="54">
        <f>_xll.EQNXTDZ($A$1,$B82,AE$5,$B$1)</f>
        <v>782.2</v>
      </c>
      <c r="AF82" s="54">
        <f>_xll.EQNXTDZ($A$1,$B82,AF$5,$B$1)</f>
        <v>0</v>
      </c>
      <c r="AG82" s="54">
        <f>_xll.EQNXTDZ($A$1,$B82,AG$5,$B$1)</f>
        <v>631.94000000000005</v>
      </c>
      <c r="AH82" s="54">
        <f>_xll.EQNXTDZ($A$1,$B82,AH$5,$B$1)</f>
        <v>0</v>
      </c>
      <c r="AI82" s="54">
        <f>_xll.EQNXTDZ($A$1,$B82,AI$5,$B$1)</f>
        <v>483.16</v>
      </c>
      <c r="AJ82" s="54">
        <f>_xll.EQNXTDZ($A$1,$B82,AJ$5,$B$1)</f>
        <v>0</v>
      </c>
      <c r="AK82" s="54">
        <f>_xll.EQNXTDZ($A$1,$B82,AK$5,$B$1)</f>
        <v>691.72</v>
      </c>
      <c r="AL82" s="54">
        <f>_xll.EQNXTDZ($A$1,$B82,AL$5,$B$1)</f>
        <v>0</v>
      </c>
      <c r="AM82" s="54">
        <f>_xll.EQNXTDZ($A$1,$B82,AM$5,$B$1)</f>
        <v>772.67</v>
      </c>
      <c r="AN82" s="54">
        <f>_xll.EQNXTDZ($A$1,$B82,AN$5,$B$1)</f>
        <v>0</v>
      </c>
      <c r="AO82" s="54">
        <f>_xll.EQNXTDZ($A$1,$B82,AO$5,$B$1)</f>
        <v>846.27</v>
      </c>
      <c r="AP82" s="54">
        <f>_xll.EQNXTDZ($A$1,$B82,AP$5,$B$1)</f>
        <v>0</v>
      </c>
      <c r="AQ82" s="54">
        <f>_xll.EQNXTDZ($A$1,$B82,AQ$5,$B$1)</f>
        <v>1104.79</v>
      </c>
      <c r="AR82" s="54">
        <f>_xll.EQNXTDZ($A$1,$B82,AR$5,$B$1)</f>
        <v>0</v>
      </c>
      <c r="AS82" s="54">
        <f>_xll.EQNXTDZ($A$1,$B82,AS$5,$B$1)</f>
        <v>1032.4100000000001</v>
      </c>
      <c r="AT82" s="54">
        <f>_xll.EQNXTDZ($A$1,$B82,AT$5,$B$1)</f>
        <v>0</v>
      </c>
      <c r="AU82" s="54">
        <f>_xll.EQNXTDZ($A$1,$B82,AU$5,$B$1)</f>
        <v>1066.2</v>
      </c>
      <c r="AV82" s="54">
        <f>_xll.EQNXTDZ($A$1,$B82,AV$5,$B$1)</f>
        <v>0</v>
      </c>
      <c r="AW82" s="54">
        <f>_xll.EQNXTDZ($A$1,$B82,AW$5,$B$1)</f>
        <v>1055.5899999999999</v>
      </c>
      <c r="AX82" s="54">
        <f>_xll.EQNXTDZ($A$1,$B82,AX$5,$B$1)</f>
        <v>0</v>
      </c>
      <c r="AY82" s="54">
        <f>_xll.EQNXTDZ($A$1,$B82,AY$5,$B$1)</f>
        <v>1352.25</v>
      </c>
      <c r="AZ82" s="54">
        <f>_xll.EQNXTDZ($A$1,$B82,AZ$5,$B$1)</f>
        <v>0</v>
      </c>
      <c r="BA82" s="54">
        <f>_xll.EQNXTDZ($A$1,$B82,BA$5,$B$1)</f>
        <v>1292.92</v>
      </c>
      <c r="BB82" s="54">
        <f>_xll.EQNXTDZ($A$1,$B82,BB$5,$B$1)</f>
        <v>0</v>
      </c>
      <c r="BC82" s="54">
        <f>_xll.EQNXTDZ($A$1,$B82,BC$5,$B$1)</f>
        <v>1497.24</v>
      </c>
      <c r="BD82" s="54">
        <f>_xll.EQNXTDZ($A$1,$B82,BD$5,$B$1)</f>
        <v>0</v>
      </c>
      <c r="BE82" s="54">
        <f>_xll.EQNXTDZ($A$1,$B82,BE$5,$B$1)</f>
        <v>1657.27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184.62</v>
      </c>
      <c r="D83" s="54">
        <f>_xll.EQNXTDZ($A$1,$B83,D$5,$B$1)</f>
        <v>0</v>
      </c>
      <c r="E83" s="54">
        <f>_xll.EQNXTDZ($A$1,$B83,E$5,$B$1)</f>
        <v>194.82</v>
      </c>
      <c r="F83" s="54">
        <f>_xll.EQNXTDZ($A$1,$B83,F$5,$B$1)</f>
        <v>0</v>
      </c>
      <c r="G83" s="54">
        <f>_xll.EQNXTDZ($A$1,$B83,G$5,$B$1)</f>
        <v>227.76</v>
      </c>
      <c r="H83" s="54">
        <f>_xll.EQNXTDZ($A$1,$B83,H$5,$B$1)</f>
        <v>0</v>
      </c>
      <c r="I83" s="54">
        <f>_xll.EQNXTDZ($A$1,$B83,I$5,$B$1)</f>
        <v>237.66</v>
      </c>
      <c r="J83" s="54">
        <f>_xll.EQNXTDZ($A$1,$B83,J$5,$B$1)</f>
        <v>0</v>
      </c>
      <c r="K83" s="54">
        <f>_xll.EQNXTDZ($A$1,$B83,K$5,$B$1)</f>
        <v>268.75</v>
      </c>
      <c r="L83" s="54">
        <f>_xll.EQNXTDZ($A$1,$B83,L$5,$B$1)</f>
        <v>0</v>
      </c>
      <c r="M83" s="54">
        <f>_xll.EQNXTDZ($A$1,$B83,M$5,$B$1)</f>
        <v>329.45</v>
      </c>
      <c r="N83" s="54">
        <f>_xll.EQNXTDZ($A$1,$B83,N$5,$B$1)</f>
        <v>0</v>
      </c>
      <c r="O83" s="54">
        <f>_xll.EQNXTDZ($A$1,$B83,O$5,$B$1)</f>
        <v>408.19</v>
      </c>
      <c r="P83" s="54">
        <f>_xll.EQNXTDZ($A$1,$B83,P$5,$B$1)</f>
        <v>0</v>
      </c>
      <c r="Q83" s="54">
        <f>_xll.EQNXTDZ($A$1,$B83,Q$5,$B$1)</f>
        <v>470.41</v>
      </c>
      <c r="R83" s="54">
        <f>_xll.EQNXTDZ($A$1,$B83,R$5,$B$1)</f>
        <v>0</v>
      </c>
      <c r="S83" s="54">
        <f>_xll.EQNXTDZ($A$1,$B83,S$5,$B$1)</f>
        <v>529.16</v>
      </c>
      <c r="T83" s="54">
        <f>_xll.EQNXTDZ($A$1,$B83,T$5,$B$1)</f>
        <v>0</v>
      </c>
      <c r="U83" s="54">
        <f>_xll.EQNXTDZ($A$1,$B83,U$5,$B$1)</f>
        <v>640.54999999999995</v>
      </c>
      <c r="V83" s="54">
        <f>_xll.EQNXTDZ($A$1,$B83,V$5,$B$1)</f>
        <v>0</v>
      </c>
      <c r="W83" s="54">
        <f>_xll.EQNXTDZ($A$1,$B83,W$5,$B$1)</f>
        <v>720.99</v>
      </c>
      <c r="X83" s="54">
        <f>_xll.EQNXTDZ($A$1,$B83,X$5,$B$1)</f>
        <v>0</v>
      </c>
      <c r="Y83" s="54">
        <f>_xll.EQNXTDZ($A$1,$B83,Y$5,$B$1)</f>
        <v>830.64</v>
      </c>
      <c r="Z83" s="54">
        <f>_xll.EQNXTDZ($A$1,$B83,Z$5,$B$1)</f>
        <v>0</v>
      </c>
      <c r="AA83" s="54">
        <f>_xll.EQNXTDZ($A$1,$B83,AA$5,$B$1)</f>
        <v>883.51</v>
      </c>
      <c r="AB83" s="54">
        <f>_xll.EQNXTDZ($A$1,$B83,AB$5,$B$1)</f>
        <v>0</v>
      </c>
      <c r="AC83" s="54">
        <f>_xll.EQNXTDZ($A$1,$B83,AC$5,$B$1)</f>
        <v>847.6</v>
      </c>
      <c r="AD83" s="54">
        <f>_xll.EQNXTDZ($A$1,$B83,AD$5,$B$1)</f>
        <v>0</v>
      </c>
      <c r="AE83" s="54">
        <f>_xll.EQNXTDZ($A$1,$B83,AE$5,$B$1)</f>
        <v>596.28</v>
      </c>
      <c r="AF83" s="54">
        <f>_xll.EQNXTDZ($A$1,$B83,AF$5,$B$1)</f>
        <v>0</v>
      </c>
      <c r="AG83" s="54">
        <f>_xll.EQNXTDZ($A$1,$B83,AG$5,$B$1)</f>
        <v>835.36</v>
      </c>
      <c r="AH83" s="54">
        <f>_xll.EQNXTDZ($A$1,$B83,AH$5,$B$1)</f>
        <v>0</v>
      </c>
      <c r="AI83" s="54">
        <f>_xll.EQNXTDZ($A$1,$B83,AI$5,$B$1)</f>
        <v>873.49</v>
      </c>
      <c r="AJ83" s="54">
        <f>_xll.EQNXTDZ($A$1,$B83,AJ$5,$B$1)</f>
        <v>0</v>
      </c>
      <c r="AK83" s="54">
        <f>_xll.EQNXTDZ($A$1,$B83,AK$5,$B$1)</f>
        <v>1245.9000000000001</v>
      </c>
      <c r="AL83" s="54">
        <f>_xll.EQNXTDZ($A$1,$B83,AL$5,$B$1)</f>
        <v>0</v>
      </c>
      <c r="AM83" s="54">
        <f>_xll.EQNXTDZ($A$1,$B83,AM$5,$B$1)</f>
        <v>1236.9000000000001</v>
      </c>
      <c r="AN83" s="54">
        <f>_xll.EQNXTDZ($A$1,$B83,AN$5,$B$1)</f>
        <v>0</v>
      </c>
      <c r="AO83" s="54">
        <f>_xll.EQNXTDZ($A$1,$B83,AO$5,$B$1)</f>
        <v>1415.67</v>
      </c>
      <c r="AP83" s="54">
        <f>_xll.EQNXTDZ($A$1,$B83,AP$5,$B$1)</f>
        <v>0</v>
      </c>
      <c r="AQ83" s="54">
        <f>_xll.EQNXTDZ($A$1,$B83,AQ$5,$B$1)</f>
        <v>1339.61</v>
      </c>
      <c r="AR83" s="54">
        <f>_xll.EQNXTDZ($A$1,$B83,AR$5,$B$1)</f>
        <v>0</v>
      </c>
      <c r="AS83" s="54">
        <f>_xll.EQNXTDZ($A$1,$B83,AS$5,$B$1)</f>
        <v>1554.53</v>
      </c>
      <c r="AT83" s="54">
        <f>_xll.EQNXTDZ($A$1,$B83,AT$5,$B$1)</f>
        <v>0</v>
      </c>
      <c r="AU83" s="54">
        <f>_xll.EQNXTDZ($A$1,$B83,AU$5,$B$1)</f>
        <v>1394.86</v>
      </c>
      <c r="AV83" s="54">
        <f>_xll.EQNXTDZ($A$1,$B83,AV$5,$B$1)</f>
        <v>0</v>
      </c>
      <c r="AW83" s="54">
        <f>_xll.EQNXTDZ($A$1,$B83,AW$5,$B$1)</f>
        <v>1585.66</v>
      </c>
      <c r="AX83" s="54">
        <f>_xll.EQNXTDZ($A$1,$B83,AX$5,$B$1)</f>
        <v>0</v>
      </c>
      <c r="AY83" s="54">
        <f>_xll.EQNXTDZ($A$1,$B83,AY$5,$B$1)</f>
        <v>1115.94</v>
      </c>
      <c r="AZ83" s="54">
        <f>_xll.EQNXTDZ($A$1,$B83,AZ$5,$B$1)</f>
        <v>0</v>
      </c>
      <c r="BA83" s="54">
        <f>_xll.EQNXTDZ($A$1,$B83,BA$5,$B$1)</f>
        <v>1350.03</v>
      </c>
      <c r="BB83" s="54">
        <f>_xll.EQNXTDZ($A$1,$B83,BB$5,$B$1)</f>
        <v>0</v>
      </c>
      <c r="BC83" s="54">
        <f>_xll.EQNXTDZ($A$1,$B83,BC$5,$B$1)</f>
        <v>1402.77</v>
      </c>
      <c r="BD83" s="54">
        <f>_xll.EQNXTDZ($A$1,$B83,BD$5,$B$1)</f>
        <v>0</v>
      </c>
      <c r="BE83" s="54">
        <f>_xll.EQNXTDZ($A$1,$B83,BE$5,$B$1)</f>
        <v>1845.64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3.79</v>
      </c>
      <c r="D84" s="54">
        <f>_xll.EQNXTDZ($A$1,$B84,D$5,$B$1)</f>
        <v>0</v>
      </c>
      <c r="E84" s="54">
        <f>_xll.EQNXTDZ($A$1,$B84,E$5,$B$1)</f>
        <v>3.43</v>
      </c>
      <c r="F84" s="54">
        <f>_xll.EQNXTDZ($A$1,$B84,F$5,$B$1)</f>
        <v>0</v>
      </c>
      <c r="G84" s="54">
        <f>_xll.EQNXTDZ($A$1,$B84,G$5,$B$1)</f>
        <v>6.36</v>
      </c>
      <c r="H84" s="54">
        <f>_xll.EQNXTDZ($A$1,$B84,H$5,$B$1)</f>
        <v>0</v>
      </c>
      <c r="I84" s="54">
        <f>_xll.EQNXTDZ($A$1,$B84,I$5,$B$1)</f>
        <v>6.08</v>
      </c>
      <c r="J84" s="54">
        <f>_xll.EQNXTDZ($A$1,$B84,J$5,$B$1)</f>
        <v>0</v>
      </c>
      <c r="K84" s="54">
        <f>_xll.EQNXTDZ($A$1,$B84,K$5,$B$1)</f>
        <v>5.75</v>
      </c>
      <c r="L84" s="54">
        <f>_xll.EQNXTDZ($A$1,$B84,L$5,$B$1)</f>
        <v>0</v>
      </c>
      <c r="M84" s="54">
        <f>_xll.EQNXTDZ($A$1,$B84,M$5,$B$1)</f>
        <v>8.9600000000000009</v>
      </c>
      <c r="N84" s="54">
        <f>_xll.EQNXTDZ($A$1,$B84,N$5,$B$1)</f>
        <v>0</v>
      </c>
      <c r="O84" s="54">
        <f>_xll.EQNXTDZ($A$1,$B84,O$5,$B$1)</f>
        <v>15.64</v>
      </c>
      <c r="P84" s="54">
        <f>_xll.EQNXTDZ($A$1,$B84,P$5,$B$1)</f>
        <v>0</v>
      </c>
      <c r="Q84" s="54">
        <f>_xll.EQNXTDZ($A$1,$B84,Q$5,$B$1)</f>
        <v>17.05</v>
      </c>
      <c r="R84" s="54">
        <f>_xll.EQNXTDZ($A$1,$B84,R$5,$B$1)</f>
        <v>0</v>
      </c>
      <c r="S84" s="54">
        <f>_xll.EQNXTDZ($A$1,$B84,S$5,$B$1)</f>
        <v>27.07</v>
      </c>
      <c r="T84" s="54">
        <f>_xll.EQNXTDZ($A$1,$B84,T$5,$B$1)</f>
        <v>0</v>
      </c>
      <c r="U84" s="54">
        <f>_xll.EQNXTDZ($A$1,$B84,U$5,$B$1)</f>
        <v>58.56</v>
      </c>
      <c r="V84" s="54">
        <f>_xll.EQNXTDZ($A$1,$B84,V$5,$B$1)</f>
        <v>0</v>
      </c>
      <c r="W84" s="54">
        <f>_xll.EQNXTDZ($A$1,$B84,W$5,$B$1)</f>
        <v>67.36</v>
      </c>
      <c r="X84" s="54">
        <f>_xll.EQNXTDZ($A$1,$B84,X$5,$B$1)</f>
        <v>0</v>
      </c>
      <c r="Y84" s="54">
        <f>_xll.EQNXTDZ($A$1,$B84,Y$5,$B$1)</f>
        <v>85.75</v>
      </c>
      <c r="Z84" s="54">
        <f>_xll.EQNXTDZ($A$1,$B84,Z$5,$B$1)</f>
        <v>0</v>
      </c>
      <c r="AA84" s="54">
        <f>_xll.EQNXTDZ($A$1,$B84,AA$5,$B$1)</f>
        <v>100.48</v>
      </c>
      <c r="AB84" s="54">
        <f>_xll.EQNXTDZ($A$1,$B84,AB$5,$B$1)</f>
        <v>0</v>
      </c>
      <c r="AC84" s="54">
        <f>_xll.EQNXTDZ($A$1,$B84,AC$5,$B$1)</f>
        <v>150.41999999999999</v>
      </c>
      <c r="AD84" s="54">
        <f>_xll.EQNXTDZ($A$1,$B84,AD$5,$B$1)</f>
        <v>0</v>
      </c>
      <c r="AE84" s="54">
        <f>_xll.EQNXTDZ($A$1,$B84,AE$5,$B$1)</f>
        <v>135.21</v>
      </c>
      <c r="AF84" s="54">
        <f>_xll.EQNXTDZ($A$1,$B84,AF$5,$B$1)</f>
        <v>0</v>
      </c>
      <c r="AG84" s="54">
        <f>_xll.EQNXTDZ($A$1,$B84,AG$5,$B$1)</f>
        <v>69.06</v>
      </c>
      <c r="AH84" s="54">
        <f>_xll.EQNXTDZ($A$1,$B84,AH$5,$B$1)</f>
        <v>0</v>
      </c>
      <c r="AI84" s="54">
        <f>_xll.EQNXTDZ($A$1,$B84,AI$5,$B$1)</f>
        <v>120.51</v>
      </c>
      <c r="AJ84" s="54">
        <f>_xll.EQNXTDZ($A$1,$B84,AJ$5,$B$1)</f>
        <v>0</v>
      </c>
      <c r="AK84" s="54">
        <f>_xll.EQNXTDZ($A$1,$B84,AK$5,$B$1)</f>
        <v>69.81</v>
      </c>
      <c r="AL84" s="54">
        <f>_xll.EQNXTDZ($A$1,$B84,AL$5,$B$1)</f>
        <v>0</v>
      </c>
      <c r="AM84" s="54">
        <f>_xll.EQNXTDZ($A$1,$B84,AM$5,$B$1)</f>
        <v>97.9</v>
      </c>
      <c r="AN84" s="54">
        <f>_xll.EQNXTDZ($A$1,$B84,AN$5,$B$1)</f>
        <v>0</v>
      </c>
      <c r="AO84" s="54">
        <f>_xll.EQNXTDZ($A$1,$B84,AO$5,$B$1)</f>
        <v>63.77</v>
      </c>
      <c r="AP84" s="54">
        <f>_xll.EQNXTDZ($A$1,$B84,AP$5,$B$1)</f>
        <v>0</v>
      </c>
      <c r="AQ84" s="54">
        <f>_xll.EQNXTDZ($A$1,$B84,AQ$5,$B$1)</f>
        <v>86.04</v>
      </c>
      <c r="AR84" s="54">
        <f>_xll.EQNXTDZ($A$1,$B84,AR$5,$B$1)</f>
        <v>0</v>
      </c>
      <c r="AS84" s="54">
        <f>_xll.EQNXTDZ($A$1,$B84,AS$5,$B$1)</f>
        <v>122.97</v>
      </c>
      <c r="AT84" s="54">
        <f>_xll.EQNXTDZ($A$1,$B84,AT$5,$B$1)</f>
        <v>0</v>
      </c>
      <c r="AU84" s="54">
        <f>_xll.EQNXTDZ($A$1,$B84,AU$5,$B$1)</f>
        <v>176.94</v>
      </c>
      <c r="AV84" s="54">
        <f>_xll.EQNXTDZ($A$1,$B84,AV$5,$B$1)</f>
        <v>0</v>
      </c>
      <c r="AW84" s="54">
        <f>_xll.EQNXTDZ($A$1,$B84,AW$5,$B$1)</f>
        <v>149.30000000000001</v>
      </c>
      <c r="AX84" s="54">
        <f>_xll.EQNXTDZ($A$1,$B84,AX$5,$B$1)</f>
        <v>0</v>
      </c>
      <c r="AY84" s="54">
        <f>_xll.EQNXTDZ($A$1,$B84,AY$5,$B$1)</f>
        <v>128.21</v>
      </c>
      <c r="AZ84" s="54">
        <f>_xll.EQNXTDZ($A$1,$B84,AZ$5,$B$1)</f>
        <v>0</v>
      </c>
      <c r="BA84" s="54">
        <f>_xll.EQNXTDZ($A$1,$B84,BA$5,$B$1)</f>
        <v>141.13999999999999</v>
      </c>
      <c r="BB84" s="54">
        <f>_xll.EQNXTDZ($A$1,$B84,BB$5,$B$1)</f>
        <v>0</v>
      </c>
      <c r="BC84" s="54">
        <f>_xll.EQNXTDZ($A$1,$B84,BC$5,$B$1)</f>
        <v>130.74</v>
      </c>
      <c r="BD84" s="54">
        <f>_xll.EQNXTDZ($A$1,$B84,BD$5,$B$1)</f>
        <v>0</v>
      </c>
      <c r="BE84" s="54">
        <f>_xll.EQNXTDZ($A$1,$B84,BE$5,$B$1)</f>
        <v>190.37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98.44</v>
      </c>
      <c r="D85" s="54">
        <f>_xll.EQNXTDZ($A$1,$B85,D$5,$B$1)</f>
        <v>0</v>
      </c>
      <c r="E85" s="54">
        <f>_xll.EQNXTDZ($A$1,$B85,E$5,$B$1)</f>
        <v>75.540000000000006</v>
      </c>
      <c r="F85" s="54">
        <f>_xll.EQNXTDZ($A$1,$B85,F$5,$B$1)</f>
        <v>0</v>
      </c>
      <c r="G85" s="54">
        <f>_xll.EQNXTDZ($A$1,$B85,G$5,$B$1)</f>
        <v>30.13</v>
      </c>
      <c r="H85" s="54">
        <f>_xll.EQNXTDZ($A$1,$B85,H$5,$B$1)</f>
        <v>0</v>
      </c>
      <c r="I85" s="54">
        <f>_xll.EQNXTDZ($A$1,$B85,I$5,$B$1)</f>
        <v>34.71</v>
      </c>
      <c r="J85" s="54">
        <f>_xll.EQNXTDZ($A$1,$B85,J$5,$B$1)</f>
        <v>0</v>
      </c>
      <c r="K85" s="54">
        <f>_xll.EQNXTDZ($A$1,$B85,K$5,$B$1)</f>
        <v>137.22</v>
      </c>
      <c r="L85" s="54">
        <f>_xll.EQNXTDZ($A$1,$B85,L$5,$B$1)</f>
        <v>0</v>
      </c>
      <c r="M85" s="54">
        <f>_xll.EQNXTDZ($A$1,$B85,M$5,$B$1)</f>
        <v>120.19</v>
      </c>
      <c r="N85" s="54">
        <f>_xll.EQNXTDZ($A$1,$B85,N$5,$B$1)</f>
        <v>0</v>
      </c>
      <c r="O85" s="54">
        <f>_xll.EQNXTDZ($A$1,$B85,O$5,$B$1)</f>
        <v>84.87</v>
      </c>
      <c r="P85" s="54">
        <f>_xll.EQNXTDZ($A$1,$B85,P$5,$B$1)</f>
        <v>0</v>
      </c>
      <c r="Q85" s="54">
        <f>_xll.EQNXTDZ($A$1,$B85,Q$5,$B$1)</f>
        <v>85.31</v>
      </c>
      <c r="R85" s="54">
        <f>_xll.EQNXTDZ($A$1,$B85,R$5,$B$1)</f>
        <v>0</v>
      </c>
      <c r="S85" s="54">
        <f>_xll.EQNXTDZ($A$1,$B85,S$5,$B$1)</f>
        <v>17.89</v>
      </c>
      <c r="T85" s="54">
        <f>_xll.EQNXTDZ($A$1,$B85,T$5,$B$1)</f>
        <v>0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6.33</v>
      </c>
      <c r="X85" s="54">
        <f>_xll.EQNXTDZ($A$1,$B85,X$5,$B$1)</f>
        <v>0</v>
      </c>
      <c r="Y85" s="54">
        <f>_xll.EQNXTDZ($A$1,$B85,Y$5,$B$1)</f>
        <v>53</v>
      </c>
      <c r="Z85" s="54">
        <f>_xll.EQNXTDZ($A$1,$B85,Z$5,$B$1)</f>
        <v>0</v>
      </c>
      <c r="AA85" s="54">
        <f>_xll.EQNXTDZ($A$1,$B85,AA$5,$B$1)</f>
        <v>39</v>
      </c>
      <c r="AB85" s="54">
        <f>_xll.EQNXTDZ($A$1,$B85,AB$5,$B$1)</f>
        <v>0</v>
      </c>
      <c r="AC85" s="54">
        <f>_xll.EQNXTDZ($A$1,$B85,AC$5,$B$1)</f>
        <v>4.3099999999999996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7.84</v>
      </c>
      <c r="AH85" s="54">
        <f>_xll.EQNXTDZ($A$1,$B85,AH$5,$B$1)</f>
        <v>0</v>
      </c>
      <c r="AI85" s="54">
        <f>_xll.EQNXTDZ($A$1,$B85,AI$5,$B$1)</f>
        <v>6.5</v>
      </c>
      <c r="AJ85" s="54">
        <f>_xll.EQNXTDZ($A$1,$B85,AJ$5,$B$1)</f>
        <v>0</v>
      </c>
      <c r="AK85" s="54">
        <f>_xll.EQNXTDZ($A$1,$B85,AK$5,$B$1)</f>
        <v>4.99</v>
      </c>
      <c r="AL85" s="54">
        <f>_xll.EQNXTDZ($A$1,$B85,AL$5,$B$1)</f>
        <v>0</v>
      </c>
      <c r="AM85" s="54">
        <f>_xll.EQNXTDZ($A$1,$B85,AM$5,$B$1)</f>
        <v>3.12</v>
      </c>
      <c r="AN85" s="54">
        <f>_xll.EQNXTDZ($A$1,$B85,AN$5,$B$1)</f>
        <v>0</v>
      </c>
      <c r="AO85" s="54">
        <f>_xll.EQNXTDZ($A$1,$B85,AO$5,$B$1)</f>
        <v>3.62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716.79</v>
      </c>
      <c r="D86" s="54">
        <f>_xll.EQNXTDZ($A$1,$B86,D$5,$B$1)</f>
        <v>0</v>
      </c>
      <c r="E86" s="54">
        <f>_xll.EQNXTDZ($A$1,$B86,E$5,$B$1)</f>
        <v>670.71</v>
      </c>
      <c r="F86" s="54">
        <f>_xll.EQNXTDZ($A$1,$B86,F$5,$B$1)</f>
        <v>0</v>
      </c>
      <c r="G86" s="54">
        <f>_xll.EQNXTDZ($A$1,$B86,G$5,$B$1)</f>
        <v>680.76</v>
      </c>
      <c r="H86" s="54">
        <f>_xll.EQNXTDZ($A$1,$B86,H$5,$B$1)</f>
        <v>0</v>
      </c>
      <c r="I86" s="54">
        <f>_xll.EQNXTDZ($A$1,$B86,I$5,$B$1)</f>
        <v>739.63</v>
      </c>
      <c r="J86" s="54">
        <f>_xll.EQNXTDZ($A$1,$B86,J$5,$B$1)</f>
        <v>0</v>
      </c>
      <c r="K86" s="54">
        <f>_xll.EQNXTDZ($A$1,$B86,K$5,$B$1)</f>
        <v>890.72</v>
      </c>
      <c r="L86" s="54">
        <f>_xll.EQNXTDZ($A$1,$B86,L$5,$B$1)</f>
        <v>0</v>
      </c>
      <c r="M86" s="54">
        <f>_xll.EQNXTDZ($A$1,$B86,M$5,$B$1)</f>
        <v>939.54</v>
      </c>
      <c r="N86" s="54">
        <f>_xll.EQNXTDZ($A$1,$B86,N$5,$B$1)</f>
        <v>0</v>
      </c>
      <c r="O86" s="54">
        <f>_xll.EQNXTDZ($A$1,$B86,O$5,$B$1)</f>
        <v>1033.3</v>
      </c>
      <c r="P86" s="54">
        <f>_xll.EQNXTDZ($A$1,$B86,P$5,$B$1)</f>
        <v>0</v>
      </c>
      <c r="Q86" s="54">
        <f>_xll.EQNXTDZ($A$1,$B86,Q$5,$B$1)</f>
        <v>1129.46</v>
      </c>
      <c r="R86" s="54">
        <f>_xll.EQNXTDZ($A$1,$B86,R$5,$B$1)</f>
        <v>0</v>
      </c>
      <c r="S86" s="54">
        <f>_xll.EQNXTDZ($A$1,$B86,S$5,$B$1)</f>
        <v>1170.54</v>
      </c>
      <c r="T86" s="54">
        <f>_xll.EQNXTDZ($A$1,$B86,T$5,$B$1)</f>
        <v>0</v>
      </c>
      <c r="U86" s="54">
        <f>_xll.EQNXTDZ($A$1,$B86,U$5,$B$1)</f>
        <v>1299.3800000000001</v>
      </c>
      <c r="V86" s="54">
        <f>_xll.EQNXTDZ($A$1,$B86,V$5,$B$1)</f>
        <v>0</v>
      </c>
      <c r="W86" s="54">
        <f>_xll.EQNXTDZ($A$1,$B86,W$5,$B$1)</f>
        <v>1384.67</v>
      </c>
      <c r="X86" s="54">
        <f>_xll.EQNXTDZ($A$1,$B86,X$5,$B$1)</f>
        <v>0</v>
      </c>
      <c r="Y86" s="54">
        <f>_xll.EQNXTDZ($A$1,$B86,Y$5,$B$1)</f>
        <v>1562.9</v>
      </c>
      <c r="Z86" s="54">
        <f>_xll.EQNXTDZ($A$1,$B86,Z$5,$B$1)</f>
        <v>0</v>
      </c>
      <c r="AA86" s="54">
        <f>_xll.EQNXTDZ($A$1,$B86,AA$5,$B$1)</f>
        <v>1775.71</v>
      </c>
      <c r="AB86" s="54">
        <f>_xll.EQNXTDZ($A$1,$B86,AB$5,$B$1)</f>
        <v>0</v>
      </c>
      <c r="AC86" s="54">
        <f>_xll.EQNXTDZ($A$1,$B86,AC$5,$B$1)</f>
        <v>2663.73</v>
      </c>
      <c r="AD86" s="54">
        <f>_xll.EQNXTDZ($A$1,$B86,AD$5,$B$1)</f>
        <v>0</v>
      </c>
      <c r="AE86" s="54">
        <f>_xll.EQNXTDZ($A$1,$B86,AE$5,$B$1)</f>
        <v>2476.15</v>
      </c>
      <c r="AF86" s="54">
        <f>_xll.EQNXTDZ($A$1,$B86,AF$5,$B$1)</f>
        <v>0</v>
      </c>
      <c r="AG86" s="54">
        <f>_xll.EQNXTDZ($A$1,$B86,AG$5,$B$1)</f>
        <v>2264.69</v>
      </c>
      <c r="AH86" s="54">
        <f>_xll.EQNXTDZ($A$1,$B86,AH$5,$B$1)</f>
        <v>0</v>
      </c>
      <c r="AI86" s="54">
        <f>_xll.EQNXTDZ($A$1,$B86,AI$5,$B$1)</f>
        <v>2364.88</v>
      </c>
      <c r="AJ86" s="54">
        <f>_xll.EQNXTDZ($A$1,$B86,AJ$5,$B$1)</f>
        <v>0</v>
      </c>
      <c r="AK86" s="54">
        <f>_xll.EQNXTDZ($A$1,$B86,AK$5,$B$1)</f>
        <v>2726.05</v>
      </c>
      <c r="AL86" s="54">
        <f>_xll.EQNXTDZ($A$1,$B86,AL$5,$B$1)</f>
        <v>0</v>
      </c>
      <c r="AM86" s="54">
        <f>_xll.EQNXTDZ($A$1,$B86,AM$5,$B$1)</f>
        <v>3133.82</v>
      </c>
      <c r="AN86" s="54">
        <f>_xll.EQNXTDZ($A$1,$B86,AN$5,$B$1)</f>
        <v>0</v>
      </c>
      <c r="AO86" s="54">
        <f>_xll.EQNXTDZ($A$1,$B86,AO$5,$B$1)</f>
        <v>3415.82</v>
      </c>
      <c r="AP86" s="54">
        <f>_xll.EQNXTDZ($A$1,$B86,AP$5,$B$1)</f>
        <v>0</v>
      </c>
      <c r="AQ86" s="54">
        <f>_xll.EQNXTDZ($A$1,$B86,AQ$5,$B$1)</f>
        <v>3791.14</v>
      </c>
      <c r="AR86" s="54">
        <f>_xll.EQNXTDZ($A$1,$B86,AR$5,$B$1)</f>
        <v>0</v>
      </c>
      <c r="AS86" s="54">
        <f>_xll.EQNXTDZ($A$1,$B86,AS$5,$B$1)</f>
        <v>3953.28</v>
      </c>
      <c r="AT86" s="54">
        <f>_xll.EQNXTDZ($A$1,$B86,AT$5,$B$1)</f>
        <v>0</v>
      </c>
      <c r="AU86" s="54">
        <f>_xll.EQNXTDZ($A$1,$B86,AU$5,$B$1)</f>
        <v>4051.99</v>
      </c>
      <c r="AV86" s="54">
        <f>_xll.EQNXTDZ($A$1,$B86,AV$5,$B$1)</f>
        <v>0</v>
      </c>
      <c r="AW86" s="54">
        <f>_xll.EQNXTDZ($A$1,$B86,AW$5,$B$1)</f>
        <v>4106.16</v>
      </c>
      <c r="AX86" s="54">
        <f>_xll.EQNXTDZ($A$1,$B86,AX$5,$B$1)</f>
        <v>0</v>
      </c>
      <c r="AY86" s="54">
        <f>_xll.EQNXTDZ($A$1,$B86,AY$5,$B$1)</f>
        <v>4240.1499999999996</v>
      </c>
      <c r="AZ86" s="54">
        <f>_xll.EQNXTDZ($A$1,$B86,AZ$5,$B$1)</f>
        <v>0</v>
      </c>
      <c r="BA86" s="54">
        <f>_xll.EQNXTDZ($A$1,$B86,BA$5,$B$1)</f>
        <v>4253.71</v>
      </c>
      <c r="BB86" s="54">
        <f>_xll.EQNXTDZ($A$1,$B86,BB$5,$B$1)</f>
        <v>0</v>
      </c>
      <c r="BC86" s="54">
        <f>_xll.EQNXTDZ($A$1,$B86,BC$5,$B$1)</f>
        <v>4634.18</v>
      </c>
      <c r="BD86" s="54">
        <f>_xll.EQNXTDZ($A$1,$B86,BD$5,$B$1)</f>
        <v>0</v>
      </c>
      <c r="BE86" s="54">
        <f>_xll.EQNXTDZ($A$1,$B86,BE$5,$B$1)</f>
        <v>5465.03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36.909999999999997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239.32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52.87</v>
      </c>
      <c r="AD88" s="54">
        <f>_xll.EQNXTDZ($A$1,$B88,AD$5,$B$1)</f>
        <v>0</v>
      </c>
      <c r="AE88" s="54">
        <f>_xll.EQNXTDZ($A$1,$B88,AE$5,$B$1)</f>
        <v>10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178.61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240.47</v>
      </c>
      <c r="J89" s="54">
        <f>_xll.EQNXTDZ($A$1,$B89,J$5,$B$1)</f>
        <v>0</v>
      </c>
      <c r="K89" s="54">
        <f>_xll.EQNXTDZ($A$1,$B89,K$5,$B$1)</f>
        <v>209.09</v>
      </c>
      <c r="L89" s="54">
        <f>_xll.EQNXTDZ($A$1,$B89,L$5,$B$1)</f>
        <v>0</v>
      </c>
      <c r="M89" s="54">
        <f>_xll.EQNXTDZ($A$1,$B89,M$5,$B$1)</f>
        <v>216.06</v>
      </c>
      <c r="N89" s="54">
        <f>_xll.EQNXTDZ($A$1,$B89,N$5,$B$1)</f>
        <v>0</v>
      </c>
      <c r="O89" s="54">
        <f>_xll.EQNXTDZ($A$1,$B89,O$5,$B$1)</f>
        <v>236.97</v>
      </c>
      <c r="P89" s="54">
        <f>_xll.EQNXTDZ($A$1,$B89,P$5,$B$1)</f>
        <v>0</v>
      </c>
      <c r="Q89" s="54">
        <f>_xll.EQNXTDZ($A$1,$B89,Q$5,$B$1)</f>
        <v>240.48</v>
      </c>
      <c r="R89" s="54">
        <f>_xll.EQNXTDZ($A$1,$B89,R$5,$B$1)</f>
        <v>0</v>
      </c>
      <c r="S89" s="54">
        <f>_xll.EQNXTDZ($A$1,$B89,S$5,$B$1)</f>
        <v>260.08999999999997</v>
      </c>
      <c r="T89" s="54">
        <f>_xll.EQNXTDZ($A$1,$B89,T$5,$B$1)</f>
        <v>0</v>
      </c>
      <c r="U89" s="54">
        <f>_xll.EQNXTDZ($A$1,$B89,U$5,$B$1)</f>
        <v>271</v>
      </c>
      <c r="V89" s="54">
        <f>_xll.EQNXTDZ($A$1,$B89,V$5,$B$1)</f>
        <v>0</v>
      </c>
      <c r="W89" s="54">
        <f>_xll.EQNXTDZ($A$1,$B89,W$5,$B$1)</f>
        <v>253.24</v>
      </c>
      <c r="X89" s="54">
        <f>_xll.EQNXTDZ($A$1,$B89,X$5,$B$1)</f>
        <v>0</v>
      </c>
      <c r="Y89" s="54">
        <f>_xll.EQNXTDZ($A$1,$B89,Y$5,$B$1)</f>
        <v>286.79000000000002</v>
      </c>
      <c r="Z89" s="54">
        <f>_xll.EQNXTDZ($A$1,$B89,Z$5,$B$1)</f>
        <v>0</v>
      </c>
      <c r="AA89" s="54">
        <f>_xll.EQNXTDZ($A$1,$B89,AA$5,$B$1)</f>
        <v>378.04</v>
      </c>
      <c r="AB89" s="54">
        <f>_xll.EQNXTDZ($A$1,$B89,AB$5,$B$1)</f>
        <v>0</v>
      </c>
      <c r="AC89" s="54">
        <f>_xll.EQNXTDZ($A$1,$B89,AC$5,$B$1)</f>
        <v>787.8</v>
      </c>
      <c r="AD89" s="54">
        <f>_xll.EQNXTDZ($A$1,$B89,AD$5,$B$1)</f>
        <v>0</v>
      </c>
      <c r="AE89" s="54">
        <f>_xll.EQNXTDZ($A$1,$B89,AE$5,$B$1)</f>
        <v>664.32</v>
      </c>
      <c r="AF89" s="54">
        <f>_xll.EQNXTDZ($A$1,$B89,AF$5,$B$1)</f>
        <v>0</v>
      </c>
      <c r="AG89" s="54">
        <f>_xll.EQNXTDZ($A$1,$B89,AG$5,$B$1)</f>
        <v>499.15</v>
      </c>
      <c r="AH89" s="54">
        <f>_xll.EQNXTDZ($A$1,$B89,AH$5,$B$1)</f>
        <v>0</v>
      </c>
      <c r="AI89" s="54">
        <f>_xll.EQNXTDZ($A$1,$B89,AI$5,$B$1)</f>
        <v>484.09</v>
      </c>
      <c r="AJ89" s="54">
        <f>_xll.EQNXTDZ($A$1,$B89,AJ$5,$B$1)</f>
        <v>0</v>
      </c>
      <c r="AK89" s="54">
        <f>_xll.EQNXTDZ($A$1,$B89,AK$5,$B$1)</f>
        <v>768.66</v>
      </c>
      <c r="AL89" s="54">
        <f>_xll.EQNXTDZ($A$1,$B89,AL$5,$B$1)</f>
        <v>0</v>
      </c>
      <c r="AM89" s="54">
        <f>_xll.EQNXTDZ($A$1,$B89,AM$5,$B$1)</f>
        <v>932.78</v>
      </c>
      <c r="AN89" s="54">
        <f>_xll.EQNXTDZ($A$1,$B89,AN$5,$B$1)</f>
        <v>0</v>
      </c>
      <c r="AO89" s="54">
        <f>_xll.EQNXTDZ($A$1,$B89,AO$5,$B$1)</f>
        <v>932.89</v>
      </c>
      <c r="AP89" s="54">
        <f>_xll.EQNXTDZ($A$1,$B89,AP$5,$B$1)</f>
        <v>0</v>
      </c>
      <c r="AQ89" s="54">
        <f>_xll.EQNXTDZ($A$1,$B89,AQ$5,$B$1)</f>
        <v>1161.7</v>
      </c>
      <c r="AR89" s="54">
        <f>_xll.EQNXTDZ($A$1,$B89,AR$5,$B$1)</f>
        <v>0</v>
      </c>
      <c r="AS89" s="54">
        <f>_xll.EQNXTDZ($A$1,$B89,AS$5,$B$1)</f>
        <v>1111.73</v>
      </c>
      <c r="AT89" s="54">
        <f>_xll.EQNXTDZ($A$1,$B89,AT$5,$B$1)</f>
        <v>0</v>
      </c>
      <c r="AU89" s="54">
        <f>_xll.EQNXTDZ($A$1,$B89,AU$5,$B$1)</f>
        <v>1146.31</v>
      </c>
      <c r="AV89" s="54">
        <f>_xll.EQNXTDZ($A$1,$B89,AV$5,$B$1)</f>
        <v>0</v>
      </c>
      <c r="AW89" s="54">
        <f>_xll.EQNXTDZ($A$1,$B89,AW$5,$B$1)</f>
        <v>1055.1400000000001</v>
      </c>
      <c r="AX89" s="54">
        <f>_xll.EQNXTDZ($A$1,$B89,AX$5,$B$1)</f>
        <v>0</v>
      </c>
      <c r="AY89" s="54">
        <f>_xll.EQNXTDZ($A$1,$B89,AY$5,$B$1)</f>
        <v>1350.7</v>
      </c>
      <c r="AZ89" s="54">
        <f>_xll.EQNXTDZ($A$1,$B89,AZ$5,$B$1)</f>
        <v>0</v>
      </c>
      <c r="BA89" s="54">
        <f>_xll.EQNXTDZ($A$1,$B89,BA$5,$B$1)</f>
        <v>1128.08</v>
      </c>
      <c r="BB89" s="54">
        <f>_xll.EQNXTDZ($A$1,$B89,BB$5,$B$1)</f>
        <v>0</v>
      </c>
      <c r="BC89" s="54">
        <f>_xll.EQNXTDZ($A$1,$B89,BC$5,$B$1)</f>
        <v>1459.92</v>
      </c>
      <c r="BD89" s="54">
        <f>_xll.EQNXTDZ($A$1,$B89,BD$5,$B$1)</f>
        <v>0</v>
      </c>
      <c r="BE89" s="54">
        <f>_xll.EQNXTDZ($A$1,$B89,BE$5,$B$1)</f>
        <v>1682.58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41.77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48.85</v>
      </c>
      <c r="J91" s="54">
        <f>_xll.EQNXTDZ($A$1,$B91,J$5,$B$1)</f>
        <v>0</v>
      </c>
      <c r="K91" s="54">
        <f>_xll.EQNXTDZ($A$1,$B91,K$5,$B$1)</f>
        <v>48.01</v>
      </c>
      <c r="L91" s="54">
        <f>_xll.EQNXTDZ($A$1,$B91,L$5,$B$1)</f>
        <v>0</v>
      </c>
      <c r="M91" s="54">
        <f>_xll.EQNXTDZ($A$1,$B91,M$5,$B$1)</f>
        <v>42</v>
      </c>
      <c r="N91" s="54">
        <f>_xll.EQNXTDZ($A$1,$B91,N$5,$B$1)</f>
        <v>0</v>
      </c>
      <c r="O91" s="54">
        <f>_xll.EQNXTDZ($A$1,$B91,O$5,$B$1)</f>
        <v>69.25</v>
      </c>
      <c r="P91" s="54">
        <f>_xll.EQNXTDZ($A$1,$B91,P$5,$B$1)</f>
        <v>0</v>
      </c>
      <c r="Q91" s="54">
        <f>_xll.EQNXTDZ($A$1,$B91,Q$5,$B$1)</f>
        <v>69.040000000000006</v>
      </c>
      <c r="R91" s="54">
        <f>_xll.EQNXTDZ($A$1,$B91,R$5,$B$1)</f>
        <v>0</v>
      </c>
      <c r="S91" s="54">
        <f>_xll.EQNXTDZ($A$1,$B91,S$5,$B$1)</f>
        <v>57.4</v>
      </c>
      <c r="T91" s="54">
        <f>_xll.EQNXTDZ($A$1,$B91,T$5,$B$1)</f>
        <v>0</v>
      </c>
      <c r="U91" s="54">
        <f>_xll.EQNXTDZ($A$1,$B91,U$5,$B$1)</f>
        <v>75.489999999999995</v>
      </c>
      <c r="V91" s="54">
        <f>_xll.EQNXTDZ($A$1,$B91,V$5,$B$1)</f>
        <v>0</v>
      </c>
      <c r="W91" s="54">
        <f>_xll.EQNXTDZ($A$1,$B91,W$5,$B$1)</f>
        <v>71.92</v>
      </c>
      <c r="X91" s="54">
        <f>_xll.EQNXTDZ($A$1,$B91,X$5,$B$1)</f>
        <v>0</v>
      </c>
      <c r="Y91" s="54">
        <f>_xll.EQNXTDZ($A$1,$B91,Y$5,$B$1)</f>
        <v>74.11</v>
      </c>
      <c r="Z91" s="54">
        <f>_xll.EQNXTDZ($A$1,$B91,Z$5,$B$1)</f>
        <v>0</v>
      </c>
      <c r="AA91" s="54">
        <f>_xll.EQNXTDZ($A$1,$B91,AA$5,$B$1)</f>
        <v>77.8</v>
      </c>
      <c r="AB91" s="54">
        <f>_xll.EQNXTDZ($A$1,$B91,AB$5,$B$1)</f>
        <v>0</v>
      </c>
      <c r="AC91" s="54">
        <f>_xll.EQNXTDZ($A$1,$B91,AC$5,$B$1)</f>
        <v>161.30000000000001</v>
      </c>
      <c r="AD91" s="54">
        <f>_xll.EQNXTDZ($A$1,$B91,AD$5,$B$1)</f>
        <v>0</v>
      </c>
      <c r="AE91" s="54">
        <f>_xll.EQNXTDZ($A$1,$B91,AE$5,$B$1)</f>
        <v>111.25</v>
      </c>
      <c r="AF91" s="54">
        <f>_xll.EQNXTDZ($A$1,$B91,AF$5,$B$1)</f>
        <v>0</v>
      </c>
      <c r="AG91" s="54">
        <f>_xll.EQNXTDZ($A$1,$B91,AG$5,$B$1)</f>
        <v>119.81</v>
      </c>
      <c r="AH91" s="54">
        <f>_xll.EQNXTDZ($A$1,$B91,AH$5,$B$1)</f>
        <v>0</v>
      </c>
      <c r="AI91" s="54">
        <f>_xll.EQNXTDZ($A$1,$B91,AI$5,$B$1)</f>
        <v>237.71</v>
      </c>
      <c r="AJ91" s="54">
        <f>_xll.EQNXTDZ($A$1,$B91,AJ$5,$B$1)</f>
        <v>0</v>
      </c>
      <c r="AK91" s="54">
        <f>_xll.EQNXTDZ($A$1,$B91,AK$5,$B$1)</f>
        <v>129.19</v>
      </c>
      <c r="AL91" s="54">
        <f>_xll.EQNXTDZ($A$1,$B91,AL$5,$B$1)</f>
        <v>0</v>
      </c>
      <c r="AM91" s="54">
        <f>_xll.EQNXTDZ($A$1,$B91,AM$5,$B$1)</f>
        <v>126.91</v>
      </c>
      <c r="AN91" s="54">
        <f>_xll.EQNXTDZ($A$1,$B91,AN$5,$B$1)</f>
        <v>0</v>
      </c>
      <c r="AO91" s="54">
        <f>_xll.EQNXTDZ($A$1,$B91,AO$5,$B$1)</f>
        <v>187.74</v>
      </c>
      <c r="AP91" s="54">
        <f>_xll.EQNXTDZ($A$1,$B91,AP$5,$B$1)</f>
        <v>0</v>
      </c>
      <c r="AQ91" s="54">
        <f>_xll.EQNXTDZ($A$1,$B91,AQ$5,$B$1)</f>
        <v>174.03</v>
      </c>
      <c r="AR91" s="54">
        <f>_xll.EQNXTDZ($A$1,$B91,AR$5,$B$1)</f>
        <v>0</v>
      </c>
      <c r="AS91" s="54">
        <f>_xll.EQNXTDZ($A$1,$B91,AS$5,$B$1)</f>
        <v>208.34</v>
      </c>
      <c r="AT91" s="54">
        <f>_xll.EQNXTDZ($A$1,$B91,AT$5,$B$1)</f>
        <v>0</v>
      </c>
      <c r="AU91" s="54">
        <f>_xll.EQNXTDZ($A$1,$B91,AU$5,$B$1)</f>
        <v>212.1</v>
      </c>
      <c r="AV91" s="54">
        <f>_xll.EQNXTDZ($A$1,$B91,AV$5,$B$1)</f>
        <v>0</v>
      </c>
      <c r="AW91" s="54">
        <f>_xll.EQNXTDZ($A$1,$B91,AW$5,$B$1)</f>
        <v>281.44</v>
      </c>
      <c r="AX91" s="54">
        <f>_xll.EQNXTDZ($A$1,$B91,AX$5,$B$1)</f>
        <v>0</v>
      </c>
      <c r="AY91" s="54">
        <f>_xll.EQNXTDZ($A$1,$B91,AY$5,$B$1)</f>
        <v>288.68</v>
      </c>
      <c r="AZ91" s="54">
        <f>_xll.EQNXTDZ($A$1,$B91,AZ$5,$B$1)</f>
        <v>0</v>
      </c>
      <c r="BA91" s="54">
        <f>_xll.EQNXTDZ($A$1,$B91,BA$5,$B$1)</f>
        <v>280.89999999999998</v>
      </c>
      <c r="BB91" s="54">
        <f>_xll.EQNXTDZ($A$1,$B91,BB$5,$B$1)</f>
        <v>0</v>
      </c>
      <c r="BC91" s="54">
        <f>_xll.EQNXTDZ($A$1,$B91,BC$5,$B$1)</f>
        <v>279.39999999999998</v>
      </c>
      <c r="BD91" s="54">
        <f>_xll.EQNXTDZ($A$1,$B91,BD$5,$B$1)</f>
        <v>0</v>
      </c>
      <c r="BE91" s="54">
        <f>_xll.EQNXTDZ($A$1,$B91,BE$5,$B$1)</f>
        <v>320.07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43.91</v>
      </c>
      <c r="D92" s="54">
        <f>_xll.EQNXTDZ($A$1,$B92,D$5,$B$1)</f>
        <v>0</v>
      </c>
      <c r="E92" s="54">
        <f>_xll.EQNXTDZ($A$1,$B92,E$5,$B$1)</f>
        <v>12.88</v>
      </c>
      <c r="F92" s="54">
        <f>_xll.EQNXTDZ($A$1,$B92,F$5,$B$1)</f>
        <v>0</v>
      </c>
      <c r="G92" s="54">
        <f>_xll.EQNXTDZ($A$1,$B92,G$5,$B$1)</f>
        <v>9.1999999999999993</v>
      </c>
      <c r="H92" s="54">
        <f>_xll.EQNXTDZ($A$1,$B92,H$5,$B$1)</f>
        <v>0</v>
      </c>
      <c r="I92" s="54">
        <f>_xll.EQNXTDZ($A$1,$B92,I$5,$B$1)</f>
        <v>14.88</v>
      </c>
      <c r="J92" s="54">
        <f>_xll.EQNXTDZ($A$1,$B92,J$5,$B$1)</f>
        <v>0</v>
      </c>
      <c r="K92" s="54">
        <f>_xll.EQNXTDZ($A$1,$B92,K$5,$B$1)</f>
        <v>16.920000000000002</v>
      </c>
      <c r="L92" s="54">
        <f>_xll.EQNXTDZ($A$1,$B92,L$5,$B$1)</f>
        <v>0</v>
      </c>
      <c r="M92" s="54">
        <f>_xll.EQNXTDZ($A$1,$B92,M$5,$B$1)</f>
        <v>18.82</v>
      </c>
      <c r="N92" s="54">
        <f>_xll.EQNXTDZ($A$1,$B92,N$5,$B$1)</f>
        <v>0</v>
      </c>
      <c r="O92" s="54">
        <f>_xll.EQNXTDZ($A$1,$B92,O$5,$B$1)</f>
        <v>21.95</v>
      </c>
      <c r="P92" s="54">
        <f>_xll.EQNXTDZ($A$1,$B92,P$5,$B$1)</f>
        <v>0</v>
      </c>
      <c r="Q92" s="54">
        <f>_xll.EQNXTDZ($A$1,$B92,Q$5,$B$1)</f>
        <v>24.41</v>
      </c>
      <c r="R92" s="54">
        <f>_xll.EQNXTDZ($A$1,$B92,R$5,$B$1)</f>
        <v>0</v>
      </c>
      <c r="S92" s="54">
        <f>_xll.EQNXTDZ($A$1,$B92,S$5,$B$1)</f>
        <v>15.56</v>
      </c>
      <c r="T92" s="54">
        <f>_xll.EQNXTDZ($A$1,$B92,T$5,$B$1)</f>
        <v>0</v>
      </c>
      <c r="U92" s="54">
        <f>_xll.EQNXTDZ($A$1,$B92,U$5,$B$1)</f>
        <v>5</v>
      </c>
      <c r="V92" s="54">
        <f>_xll.EQNXTDZ($A$1,$B92,V$5,$B$1)</f>
        <v>0</v>
      </c>
      <c r="W92" s="54">
        <f>_xll.EQNXTDZ($A$1,$B92,W$5,$B$1)</f>
        <v>18.68</v>
      </c>
      <c r="X92" s="54">
        <f>_xll.EQNXTDZ($A$1,$B92,X$5,$B$1)</f>
        <v>0</v>
      </c>
      <c r="Y92" s="54">
        <f>_xll.EQNXTDZ($A$1,$B92,Y$5,$B$1)</f>
        <v>7.18</v>
      </c>
      <c r="Z92" s="54">
        <f>_xll.EQNXTDZ($A$1,$B92,Z$5,$B$1)</f>
        <v>0</v>
      </c>
      <c r="AA92" s="54">
        <f>_xll.EQNXTDZ($A$1,$B92,AA$5,$B$1)</f>
        <v>0.2</v>
      </c>
      <c r="AB92" s="54">
        <f>_xll.EQNXTDZ($A$1,$B92,AB$5,$B$1)</f>
        <v>0</v>
      </c>
      <c r="AC92" s="54">
        <f>_xll.EQNXTDZ($A$1,$B92,AC$5,$B$1)</f>
        <v>15.06</v>
      </c>
      <c r="AD92" s="54">
        <f>_xll.EQNXTDZ($A$1,$B92,AD$5,$B$1)</f>
        <v>0</v>
      </c>
      <c r="AE92" s="54">
        <f>_xll.EQNXTDZ($A$1,$B92,AE$5,$B$1)</f>
        <v>33.979999999999997</v>
      </c>
      <c r="AF92" s="54">
        <f>_xll.EQNXTDZ($A$1,$B92,AF$5,$B$1)</f>
        <v>0</v>
      </c>
      <c r="AG92" s="54">
        <f>_xll.EQNXTDZ($A$1,$B92,AG$5,$B$1)</f>
        <v>18.62</v>
      </c>
      <c r="AH92" s="54">
        <f>_xll.EQNXTDZ($A$1,$B92,AH$5,$B$1)</f>
        <v>0</v>
      </c>
      <c r="AI92" s="54">
        <f>_xll.EQNXTDZ($A$1,$B92,AI$5,$B$1)</f>
        <v>17.78</v>
      </c>
      <c r="AJ92" s="54">
        <f>_xll.EQNXTDZ($A$1,$B92,AJ$5,$B$1)</f>
        <v>0</v>
      </c>
      <c r="AK92" s="54">
        <f>_xll.EQNXTDZ($A$1,$B92,AK$5,$B$1)</f>
        <v>59.79</v>
      </c>
      <c r="AL92" s="54">
        <f>_xll.EQNXTDZ($A$1,$B92,AL$5,$B$1)</f>
        <v>0</v>
      </c>
      <c r="AM92" s="54">
        <f>_xll.EQNXTDZ($A$1,$B92,AM$5,$B$1)</f>
        <v>59.06</v>
      </c>
      <c r="AN92" s="54">
        <f>_xll.EQNXTDZ($A$1,$B92,AN$5,$B$1)</f>
        <v>0</v>
      </c>
      <c r="AO92" s="54">
        <f>_xll.EQNXTDZ($A$1,$B92,AO$5,$B$1)</f>
        <v>66.59</v>
      </c>
      <c r="AP92" s="54">
        <f>_xll.EQNXTDZ($A$1,$B92,AP$5,$B$1)</f>
        <v>0</v>
      </c>
      <c r="AQ92" s="54">
        <f>_xll.EQNXTDZ($A$1,$B92,AQ$5,$B$1)</f>
        <v>59.34</v>
      </c>
      <c r="AR92" s="54">
        <f>_xll.EQNXTDZ($A$1,$B92,AR$5,$B$1)</f>
        <v>0</v>
      </c>
      <c r="AS92" s="54">
        <f>_xll.EQNXTDZ($A$1,$B92,AS$5,$B$1)</f>
        <v>57.82</v>
      </c>
      <c r="AT92" s="54">
        <f>_xll.EQNXTDZ($A$1,$B92,AT$5,$B$1)</f>
        <v>0</v>
      </c>
      <c r="AU92" s="54">
        <f>_xll.EQNXTDZ($A$1,$B92,AU$5,$B$1)</f>
        <v>64.239999999999995</v>
      </c>
      <c r="AV92" s="54">
        <f>_xll.EQNXTDZ($A$1,$B92,AV$5,$B$1)</f>
        <v>0</v>
      </c>
      <c r="AW92" s="54">
        <f>_xll.EQNXTDZ($A$1,$B92,AW$5,$B$1)</f>
        <v>68.569999999999993</v>
      </c>
      <c r="AX92" s="54">
        <f>_xll.EQNXTDZ($A$1,$B92,AX$5,$B$1)</f>
        <v>0</v>
      </c>
      <c r="AY92" s="54">
        <f>_xll.EQNXTDZ($A$1,$B92,AY$5,$B$1)</f>
        <v>59.23</v>
      </c>
      <c r="AZ92" s="54">
        <f>_xll.EQNXTDZ($A$1,$B92,AZ$5,$B$1)</f>
        <v>0</v>
      </c>
      <c r="BA92" s="54">
        <f>_xll.EQNXTDZ($A$1,$B92,BA$5,$B$1)</f>
        <v>79.06</v>
      </c>
      <c r="BB92" s="54">
        <f>_xll.EQNXTDZ($A$1,$B92,BB$5,$B$1)</f>
        <v>0</v>
      </c>
      <c r="BC92" s="54">
        <f>_xll.EQNXTDZ($A$1,$B92,BC$5,$B$1)</f>
        <v>76.77</v>
      </c>
      <c r="BD92" s="54">
        <f>_xll.EQNXTDZ($A$1,$B92,BD$5,$B$1)</f>
        <v>0</v>
      </c>
      <c r="BE92" s="54">
        <f>_xll.EQNXTDZ($A$1,$B92,BE$5,$B$1)</f>
        <v>105.72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80.819999999999993</v>
      </c>
      <c r="D93" s="54">
        <f>_xll.EQNXTDZ($A$1,$B93,D$5,$B$1)</f>
        <v>0</v>
      </c>
      <c r="E93" s="54">
        <f>_xll.EQNXTDZ($A$1,$B93,E$5,$B$1)</f>
        <v>233.26</v>
      </c>
      <c r="F93" s="54">
        <f>_xll.EQNXTDZ($A$1,$B93,F$5,$B$1)</f>
        <v>0</v>
      </c>
      <c r="G93" s="54">
        <f>_xll.EQNXTDZ($A$1,$B93,G$5,$B$1)</f>
        <v>248.52</v>
      </c>
      <c r="H93" s="54">
        <f>_xll.EQNXTDZ($A$1,$B93,H$5,$B$1)</f>
        <v>0</v>
      </c>
      <c r="I93" s="54">
        <f>_xll.EQNXTDZ($A$1,$B93,I$5,$B$1)</f>
        <v>304.2</v>
      </c>
      <c r="J93" s="54">
        <f>_xll.EQNXTDZ($A$1,$B93,J$5,$B$1)</f>
        <v>0</v>
      </c>
      <c r="K93" s="54">
        <f>_xll.EQNXTDZ($A$1,$B93,K$5,$B$1)</f>
        <v>274.02</v>
      </c>
      <c r="L93" s="54">
        <f>_xll.EQNXTDZ($A$1,$B93,L$5,$B$1)</f>
        <v>0</v>
      </c>
      <c r="M93" s="54">
        <f>_xll.EQNXTDZ($A$1,$B93,M$5,$B$1)</f>
        <v>276.88</v>
      </c>
      <c r="N93" s="54">
        <f>_xll.EQNXTDZ($A$1,$B93,N$5,$B$1)</f>
        <v>0</v>
      </c>
      <c r="O93" s="54">
        <f>_xll.EQNXTDZ($A$1,$B93,O$5,$B$1)</f>
        <v>328.17</v>
      </c>
      <c r="P93" s="54">
        <f>_xll.EQNXTDZ($A$1,$B93,P$5,$B$1)</f>
        <v>0</v>
      </c>
      <c r="Q93" s="54">
        <f>_xll.EQNXTDZ($A$1,$B93,Q$5,$B$1)</f>
        <v>333.93</v>
      </c>
      <c r="R93" s="54">
        <f>_xll.EQNXTDZ($A$1,$B93,R$5,$B$1)</f>
        <v>0</v>
      </c>
      <c r="S93" s="54">
        <f>_xll.EQNXTDZ($A$1,$B93,S$5,$B$1)</f>
        <v>333.05</v>
      </c>
      <c r="T93" s="54">
        <f>_xll.EQNXTDZ($A$1,$B93,T$5,$B$1)</f>
        <v>0</v>
      </c>
      <c r="U93" s="54">
        <f>_xll.EQNXTDZ($A$1,$B93,U$5,$B$1)</f>
        <v>351.49</v>
      </c>
      <c r="V93" s="54">
        <f>_xll.EQNXTDZ($A$1,$B93,V$5,$B$1)</f>
        <v>0</v>
      </c>
      <c r="W93" s="54">
        <f>_xll.EQNXTDZ($A$1,$B93,W$5,$B$1)</f>
        <v>343.84</v>
      </c>
      <c r="X93" s="54">
        <f>_xll.EQNXTDZ($A$1,$B93,X$5,$B$1)</f>
        <v>0</v>
      </c>
      <c r="Y93" s="54">
        <f>_xll.EQNXTDZ($A$1,$B93,Y$5,$B$1)</f>
        <v>368.08</v>
      </c>
      <c r="Z93" s="54">
        <f>_xll.EQNXTDZ($A$1,$B93,Z$5,$B$1)</f>
        <v>0</v>
      </c>
      <c r="AA93" s="54">
        <f>_xll.EQNXTDZ($A$1,$B93,AA$5,$B$1)</f>
        <v>456.04</v>
      </c>
      <c r="AB93" s="54">
        <f>_xll.EQNXTDZ($A$1,$B93,AB$5,$B$1)</f>
        <v>0</v>
      </c>
      <c r="AC93" s="54">
        <f>_xll.EQNXTDZ($A$1,$B93,AC$5,$B$1)</f>
        <v>1017.03</v>
      </c>
      <c r="AD93" s="54">
        <f>_xll.EQNXTDZ($A$1,$B93,AD$5,$B$1)</f>
        <v>0</v>
      </c>
      <c r="AE93" s="54">
        <f>_xll.EQNXTDZ($A$1,$B93,AE$5,$B$1)</f>
        <v>819.55</v>
      </c>
      <c r="AF93" s="54">
        <f>_xll.EQNXTDZ($A$1,$B93,AF$5,$B$1)</f>
        <v>0</v>
      </c>
      <c r="AG93" s="54">
        <f>_xll.EQNXTDZ($A$1,$B93,AG$5,$B$1)</f>
        <v>637.58000000000004</v>
      </c>
      <c r="AH93" s="54">
        <f>_xll.EQNXTDZ($A$1,$B93,AH$5,$B$1)</f>
        <v>0</v>
      </c>
      <c r="AI93" s="54">
        <f>_xll.EQNXTDZ($A$1,$B93,AI$5,$B$1)</f>
        <v>739.58</v>
      </c>
      <c r="AJ93" s="54">
        <f>_xll.EQNXTDZ($A$1,$B93,AJ$5,$B$1)</f>
        <v>0</v>
      </c>
      <c r="AK93" s="54">
        <f>_xll.EQNXTDZ($A$1,$B93,AK$5,$B$1)</f>
        <v>957.64</v>
      </c>
      <c r="AL93" s="54">
        <f>_xll.EQNXTDZ($A$1,$B93,AL$5,$B$1)</f>
        <v>0</v>
      </c>
      <c r="AM93" s="54">
        <f>_xll.EQNXTDZ($A$1,$B93,AM$5,$B$1)</f>
        <v>1118.75</v>
      </c>
      <c r="AN93" s="54">
        <f>_xll.EQNXTDZ($A$1,$B93,AN$5,$B$1)</f>
        <v>0</v>
      </c>
      <c r="AO93" s="54">
        <f>_xll.EQNXTDZ($A$1,$B93,AO$5,$B$1)</f>
        <v>1187.22</v>
      </c>
      <c r="AP93" s="54">
        <f>_xll.EQNXTDZ($A$1,$B93,AP$5,$B$1)</f>
        <v>0</v>
      </c>
      <c r="AQ93" s="54">
        <f>_xll.EQNXTDZ($A$1,$B93,AQ$5,$B$1)</f>
        <v>1395.07</v>
      </c>
      <c r="AR93" s="54">
        <f>_xll.EQNXTDZ($A$1,$B93,AR$5,$B$1)</f>
        <v>0</v>
      </c>
      <c r="AS93" s="54">
        <f>_xll.EQNXTDZ($A$1,$B93,AS$5,$B$1)</f>
        <v>1377.89</v>
      </c>
      <c r="AT93" s="54">
        <f>_xll.EQNXTDZ($A$1,$B93,AT$5,$B$1)</f>
        <v>0</v>
      </c>
      <c r="AU93" s="54">
        <f>_xll.EQNXTDZ($A$1,$B93,AU$5,$B$1)</f>
        <v>1422.65</v>
      </c>
      <c r="AV93" s="54">
        <f>_xll.EQNXTDZ($A$1,$B93,AV$5,$B$1)</f>
        <v>0</v>
      </c>
      <c r="AW93" s="54">
        <f>_xll.EQNXTDZ($A$1,$B93,AW$5,$B$1)</f>
        <v>1405.15</v>
      </c>
      <c r="AX93" s="54">
        <f>_xll.EQNXTDZ($A$1,$B93,AX$5,$B$1)</f>
        <v>0</v>
      </c>
      <c r="AY93" s="54">
        <f>_xll.EQNXTDZ($A$1,$B93,AY$5,$B$1)</f>
        <v>1698.61</v>
      </c>
      <c r="AZ93" s="54">
        <f>_xll.EQNXTDZ($A$1,$B93,AZ$5,$B$1)</f>
        <v>0</v>
      </c>
      <c r="BA93" s="54">
        <f>_xll.EQNXTDZ($A$1,$B93,BA$5,$B$1)</f>
        <v>1488.04</v>
      </c>
      <c r="BB93" s="54">
        <f>_xll.EQNXTDZ($A$1,$B93,BB$5,$B$1)</f>
        <v>0</v>
      </c>
      <c r="BC93" s="54">
        <f>_xll.EQNXTDZ($A$1,$B93,BC$5,$B$1)</f>
        <v>1816.09</v>
      </c>
      <c r="BD93" s="54">
        <f>_xll.EQNXTDZ($A$1,$B93,BD$5,$B$1)</f>
        <v>0</v>
      </c>
      <c r="BE93" s="54">
        <f>_xll.EQNXTDZ($A$1,$B93,BE$5,$B$1)</f>
        <v>2108.37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635.97</v>
      </c>
      <c r="D94" s="54">
        <f>_xll.EQNXTDZ($A$1,$B94,D$5,$B$1)</f>
        <v>0</v>
      </c>
      <c r="E94" s="54">
        <f>_xll.EQNXTDZ($A$1,$B94,E$5,$B$1)</f>
        <v>437.45</v>
      </c>
      <c r="F94" s="54">
        <f>_xll.EQNXTDZ($A$1,$B94,F$5,$B$1)</f>
        <v>0</v>
      </c>
      <c r="G94" s="54">
        <f>_xll.EQNXTDZ($A$1,$B94,G$5,$B$1)</f>
        <v>432.24</v>
      </c>
      <c r="H94" s="54">
        <f>_xll.EQNXTDZ($A$1,$B94,H$5,$B$1)</f>
        <v>0</v>
      </c>
      <c r="I94" s="54">
        <f>_xll.EQNXTDZ($A$1,$B94,I$5,$B$1)</f>
        <v>435.43</v>
      </c>
      <c r="J94" s="54">
        <f>_xll.EQNXTDZ($A$1,$B94,J$5,$B$1)</f>
        <v>0</v>
      </c>
      <c r="K94" s="54">
        <f>_xll.EQNXTDZ($A$1,$B94,K$5,$B$1)</f>
        <v>616.70000000000005</v>
      </c>
      <c r="L94" s="54">
        <f>_xll.EQNXTDZ($A$1,$B94,L$5,$B$1)</f>
        <v>0</v>
      </c>
      <c r="M94" s="54">
        <f>_xll.EQNXTDZ($A$1,$B94,M$5,$B$1)</f>
        <v>662.66</v>
      </c>
      <c r="N94" s="54">
        <f>_xll.EQNXTDZ($A$1,$B94,N$5,$B$1)</f>
        <v>0</v>
      </c>
      <c r="O94" s="54">
        <f>_xll.EQNXTDZ($A$1,$B94,O$5,$B$1)</f>
        <v>705.13</v>
      </c>
      <c r="P94" s="54">
        <f>_xll.EQNXTDZ($A$1,$B94,P$5,$B$1)</f>
        <v>0</v>
      </c>
      <c r="Q94" s="54">
        <f>_xll.EQNXTDZ($A$1,$B94,Q$5,$B$1)</f>
        <v>795.53</v>
      </c>
      <c r="R94" s="54">
        <f>_xll.EQNXTDZ($A$1,$B94,R$5,$B$1)</f>
        <v>0</v>
      </c>
      <c r="S94" s="54">
        <f>_xll.EQNXTDZ($A$1,$B94,S$5,$B$1)</f>
        <v>837.49</v>
      </c>
      <c r="T94" s="54">
        <f>_xll.EQNXTDZ($A$1,$B94,T$5,$B$1)</f>
        <v>0</v>
      </c>
      <c r="U94" s="54">
        <f>_xll.EQNXTDZ($A$1,$B94,U$5,$B$1)</f>
        <v>947.89</v>
      </c>
      <c r="V94" s="54">
        <f>_xll.EQNXTDZ($A$1,$B94,V$5,$B$1)</f>
        <v>0</v>
      </c>
      <c r="W94" s="54">
        <f>_xll.EQNXTDZ($A$1,$B94,W$5,$B$1)</f>
        <v>1040.83</v>
      </c>
      <c r="X94" s="54">
        <f>_xll.EQNXTDZ($A$1,$B94,X$5,$B$1)</f>
        <v>0</v>
      </c>
      <c r="Y94" s="54">
        <f>_xll.EQNXTDZ($A$1,$B94,Y$5,$B$1)</f>
        <v>1194.82</v>
      </c>
      <c r="Z94" s="54">
        <f>_xll.EQNXTDZ($A$1,$B94,Z$5,$B$1)</f>
        <v>0</v>
      </c>
      <c r="AA94" s="54">
        <f>_xll.EQNXTDZ($A$1,$B94,AA$5,$B$1)</f>
        <v>1319.67</v>
      </c>
      <c r="AB94" s="54">
        <f>_xll.EQNXTDZ($A$1,$B94,AB$5,$B$1)</f>
        <v>0</v>
      </c>
      <c r="AC94" s="54">
        <f>_xll.EQNXTDZ($A$1,$B94,AC$5,$B$1)</f>
        <v>1646.7</v>
      </c>
      <c r="AD94" s="54">
        <f>_xll.EQNXTDZ($A$1,$B94,AD$5,$B$1)</f>
        <v>0</v>
      </c>
      <c r="AE94" s="54">
        <f>_xll.EQNXTDZ($A$1,$B94,AE$5,$B$1)</f>
        <v>1656.6</v>
      </c>
      <c r="AF94" s="54">
        <f>_xll.EQNXTDZ($A$1,$B94,AF$5,$B$1)</f>
        <v>0</v>
      </c>
      <c r="AG94" s="54">
        <f>_xll.EQNXTDZ($A$1,$B94,AG$5,$B$1)</f>
        <v>1627.11</v>
      </c>
      <c r="AH94" s="54">
        <f>_xll.EQNXTDZ($A$1,$B94,AH$5,$B$1)</f>
        <v>0</v>
      </c>
      <c r="AI94" s="54">
        <f>_xll.EQNXTDZ($A$1,$B94,AI$5,$B$1)</f>
        <v>1625.3</v>
      </c>
      <c r="AJ94" s="54">
        <f>_xll.EQNXTDZ($A$1,$B94,AJ$5,$B$1)</f>
        <v>0</v>
      </c>
      <c r="AK94" s="54">
        <f>_xll.EQNXTDZ($A$1,$B94,AK$5,$B$1)</f>
        <v>1768.41</v>
      </c>
      <c r="AL94" s="54">
        <f>_xll.EQNXTDZ($A$1,$B94,AL$5,$B$1)</f>
        <v>0</v>
      </c>
      <c r="AM94" s="54">
        <f>_xll.EQNXTDZ($A$1,$B94,AM$5,$B$1)</f>
        <v>2015.07</v>
      </c>
      <c r="AN94" s="54">
        <f>_xll.EQNXTDZ($A$1,$B94,AN$5,$B$1)</f>
        <v>0</v>
      </c>
      <c r="AO94" s="54">
        <f>_xll.EQNXTDZ($A$1,$B94,AO$5,$B$1)</f>
        <v>2228.6</v>
      </c>
      <c r="AP94" s="54">
        <f>_xll.EQNXTDZ($A$1,$B94,AP$5,$B$1)</f>
        <v>0</v>
      </c>
      <c r="AQ94" s="54">
        <f>_xll.EQNXTDZ($A$1,$B94,AQ$5,$B$1)</f>
        <v>2396.0700000000002</v>
      </c>
      <c r="AR94" s="54">
        <f>_xll.EQNXTDZ($A$1,$B94,AR$5,$B$1)</f>
        <v>0</v>
      </c>
      <c r="AS94" s="54">
        <f>_xll.EQNXTDZ($A$1,$B94,AS$5,$B$1)</f>
        <v>2575.39</v>
      </c>
      <c r="AT94" s="54">
        <f>_xll.EQNXTDZ($A$1,$B94,AT$5,$B$1)</f>
        <v>0</v>
      </c>
      <c r="AU94" s="54">
        <f>_xll.EQNXTDZ($A$1,$B94,AU$5,$B$1)</f>
        <v>2629.34</v>
      </c>
      <c r="AV94" s="54">
        <f>_xll.EQNXTDZ($A$1,$B94,AV$5,$B$1)</f>
        <v>0</v>
      </c>
      <c r="AW94" s="54">
        <f>_xll.EQNXTDZ($A$1,$B94,AW$5,$B$1)</f>
        <v>2701.01</v>
      </c>
      <c r="AX94" s="54">
        <f>_xll.EQNXTDZ($A$1,$B94,AX$5,$B$1)</f>
        <v>0</v>
      </c>
      <c r="AY94" s="54">
        <f>_xll.EQNXTDZ($A$1,$B94,AY$5,$B$1)</f>
        <v>2541.54</v>
      </c>
      <c r="AZ94" s="54">
        <f>_xll.EQNXTDZ($A$1,$B94,AZ$5,$B$1)</f>
        <v>0</v>
      </c>
      <c r="BA94" s="54">
        <f>_xll.EQNXTDZ($A$1,$B94,BA$5,$B$1)</f>
        <v>2765.67</v>
      </c>
      <c r="BB94" s="54">
        <f>_xll.EQNXTDZ($A$1,$B94,BB$5,$B$1)</f>
        <v>0</v>
      </c>
      <c r="BC94" s="54">
        <f>_xll.EQNXTDZ($A$1,$B94,BC$5,$B$1)</f>
        <v>2818.09</v>
      </c>
      <c r="BD94" s="54">
        <f>_xll.EQNXTDZ($A$1,$B94,BD$5,$B$1)</f>
        <v>0</v>
      </c>
      <c r="BE94" s="54">
        <f>_xll.EQNXTDZ($A$1,$B94,BE$5,$B$1)</f>
        <v>3356.66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-3.37</v>
      </c>
      <c r="D96" s="54">
        <f>_xll.EQNXTDZ($A$1,$B96,D$5,$B$1)</f>
        <v>0</v>
      </c>
      <c r="E96" s="54">
        <f>_xll.EQNXTDZ($A$1,$B96,E$5,$B$1)</f>
        <v>-6.44</v>
      </c>
      <c r="F96" s="54">
        <f>_xll.EQNXTDZ($A$1,$B96,F$5,$B$1)</f>
        <v>0</v>
      </c>
      <c r="G96" s="54">
        <f>_xll.EQNXTDZ($A$1,$B96,G$5,$B$1)</f>
        <v>-12.8</v>
      </c>
      <c r="H96" s="54">
        <f>_xll.EQNXTDZ($A$1,$B96,H$5,$B$1)</f>
        <v>0</v>
      </c>
      <c r="I96" s="54">
        <f>_xll.EQNXTDZ($A$1,$B96,I$5,$B$1)</f>
        <v>-17.41</v>
      </c>
      <c r="J96" s="54">
        <f>_xll.EQNXTDZ($A$1,$B96,J$5,$B$1)</f>
        <v>0</v>
      </c>
      <c r="K96" s="54">
        <f>_xll.EQNXTDZ($A$1,$B96,K$5,$B$1)</f>
        <v>-16.829999999999998</v>
      </c>
      <c r="L96" s="54">
        <f>_xll.EQNXTDZ($A$1,$B96,L$5,$B$1)</f>
        <v>0</v>
      </c>
      <c r="M96" s="54">
        <f>_xll.EQNXTDZ($A$1,$B96,M$5,$B$1)</f>
        <v>-15.4</v>
      </c>
      <c r="N96" s="54">
        <f>_xll.EQNXTDZ($A$1,$B96,N$5,$B$1)</f>
        <v>0</v>
      </c>
      <c r="O96" s="54">
        <f>_xll.EQNXTDZ($A$1,$B96,O$5,$B$1)</f>
        <v>-10.62</v>
      </c>
      <c r="P96" s="54">
        <f>_xll.EQNXTDZ($A$1,$B96,P$5,$B$1)</f>
        <v>0</v>
      </c>
      <c r="Q96" s="54">
        <f>_xll.EQNXTDZ($A$1,$B96,Q$5,$B$1)</f>
        <v>-8.68</v>
      </c>
      <c r="R96" s="54">
        <f>_xll.EQNXTDZ($A$1,$B96,R$5,$B$1)</f>
        <v>0</v>
      </c>
      <c r="S96" s="54">
        <f>_xll.EQNXTDZ($A$1,$B96,S$5,$B$1)</f>
        <v>-4.96</v>
      </c>
      <c r="T96" s="54">
        <f>_xll.EQNXTDZ($A$1,$B96,T$5,$B$1)</f>
        <v>0</v>
      </c>
      <c r="U96" s="54">
        <f>_xll.EQNXTDZ($A$1,$B96,U$5,$B$1)</f>
        <v>2.37</v>
      </c>
      <c r="V96" s="54">
        <f>_xll.EQNXTDZ($A$1,$B96,V$5,$B$1)</f>
        <v>0</v>
      </c>
      <c r="W96" s="54">
        <f>_xll.EQNXTDZ($A$1,$B96,W$5,$B$1)</f>
        <v>1.71</v>
      </c>
      <c r="X96" s="54">
        <f>_xll.EQNXTDZ($A$1,$B96,X$5,$B$1)</f>
        <v>0</v>
      </c>
      <c r="Y96" s="54">
        <f>_xll.EQNXTDZ($A$1,$B96,Y$5,$B$1)</f>
        <v>2.6</v>
      </c>
      <c r="Z96" s="54">
        <f>_xll.EQNXTDZ($A$1,$B96,Z$5,$B$1)</f>
        <v>0</v>
      </c>
      <c r="AA96" s="54">
        <f>_xll.EQNXTDZ($A$1,$B96,AA$5,$B$1)</f>
        <v>5.57</v>
      </c>
      <c r="AB96" s="54">
        <f>_xll.EQNXTDZ($A$1,$B96,AB$5,$B$1)</f>
        <v>0</v>
      </c>
      <c r="AC96" s="54">
        <f>_xll.EQNXTDZ($A$1,$B96,AC$5,$B$1)</f>
        <v>32.49</v>
      </c>
      <c r="AD96" s="54">
        <f>_xll.EQNXTDZ($A$1,$B96,AD$5,$B$1)</f>
        <v>0</v>
      </c>
      <c r="AE96" s="54">
        <f>_xll.EQNXTDZ($A$1,$B96,AE$5,$B$1)</f>
        <v>31.69</v>
      </c>
      <c r="AF96" s="54">
        <f>_xll.EQNXTDZ($A$1,$B96,AF$5,$B$1)</f>
        <v>0</v>
      </c>
      <c r="AG96" s="54">
        <f>_xll.EQNXTDZ($A$1,$B96,AG$5,$B$1)</f>
        <v>23.5</v>
      </c>
      <c r="AH96" s="54">
        <f>_xll.EQNXTDZ($A$1,$B96,AH$5,$B$1)</f>
        <v>0</v>
      </c>
      <c r="AI96" s="54">
        <f>_xll.EQNXTDZ($A$1,$B96,AI$5,$B$1)</f>
        <v>29.01</v>
      </c>
      <c r="AJ96" s="54">
        <f>_xll.EQNXTDZ($A$1,$B96,AJ$5,$B$1)</f>
        <v>0</v>
      </c>
      <c r="AK96" s="54">
        <f>_xll.EQNXTDZ($A$1,$B96,AK$5,$B$1)</f>
        <v>36.32</v>
      </c>
      <c r="AL96" s="54">
        <f>_xll.EQNXTDZ($A$1,$B96,AL$5,$B$1)</f>
        <v>0</v>
      </c>
      <c r="AM96" s="54">
        <f>_xll.EQNXTDZ($A$1,$B96,AM$5,$B$1)</f>
        <v>37.28</v>
      </c>
      <c r="AN96" s="54">
        <f>_xll.EQNXTDZ($A$1,$B96,AN$5,$B$1)</f>
        <v>0</v>
      </c>
      <c r="AO96" s="54">
        <f>_xll.EQNXTDZ($A$1,$B96,AO$5,$B$1)</f>
        <v>39.979999999999997</v>
      </c>
      <c r="AP96" s="54">
        <f>_xll.EQNXTDZ($A$1,$B96,AP$5,$B$1)</f>
        <v>0</v>
      </c>
      <c r="AQ96" s="54">
        <f>_xll.EQNXTDZ($A$1,$B96,AQ$5,$B$1)</f>
        <v>39.450000000000003</v>
      </c>
      <c r="AR96" s="54">
        <f>_xll.EQNXTDZ($A$1,$B96,AR$5,$B$1)</f>
        <v>0</v>
      </c>
      <c r="AS96" s="54">
        <f>_xll.EQNXTDZ($A$1,$B96,AS$5,$B$1)</f>
        <v>38.450000000000003</v>
      </c>
      <c r="AT96" s="54">
        <f>_xll.EQNXTDZ($A$1,$B96,AT$5,$B$1)</f>
        <v>0</v>
      </c>
      <c r="AU96" s="54">
        <f>_xll.EQNXTDZ($A$1,$B96,AU$5,$B$1)</f>
        <v>41.45</v>
      </c>
      <c r="AV96" s="54">
        <f>_xll.EQNXTDZ($A$1,$B96,AV$5,$B$1)</f>
        <v>0</v>
      </c>
      <c r="AW96" s="54">
        <f>_xll.EQNXTDZ($A$1,$B96,AW$5,$B$1)</f>
        <v>24.92</v>
      </c>
      <c r="AX96" s="54">
        <f>_xll.EQNXTDZ($A$1,$B96,AX$5,$B$1)</f>
        <v>0</v>
      </c>
      <c r="AY96" s="54">
        <f>_xll.EQNXTDZ($A$1,$B96,AY$5,$B$1)</f>
        <v>22.48</v>
      </c>
      <c r="AZ96" s="54">
        <f>_xll.EQNXTDZ($A$1,$B96,AZ$5,$B$1)</f>
        <v>0</v>
      </c>
      <c r="BA96" s="54">
        <f>_xll.EQNXTDZ($A$1,$B96,BA$5,$B$1)</f>
        <v>21.15</v>
      </c>
      <c r="BB96" s="54">
        <f>_xll.EQNXTDZ($A$1,$B96,BB$5,$B$1)</f>
        <v>0</v>
      </c>
      <c r="BC96" s="54">
        <f>_xll.EQNXTDZ($A$1,$B96,BC$5,$B$1)</f>
        <v>25.7</v>
      </c>
      <c r="BD96" s="54">
        <f>_xll.EQNXTDZ($A$1,$B96,BD$5,$B$1)</f>
        <v>0</v>
      </c>
      <c r="BE96" s="54">
        <f>_xll.EQNXTDZ($A$1,$B96,BE$5,$B$1)</f>
        <v>32.53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1014.4</v>
      </c>
      <c r="D97" s="54">
        <f>_xll.EQNXTDZ($A$1,$B97,D$5,$B$1)</f>
        <v>0</v>
      </c>
      <c r="E97" s="54">
        <f>_xll.EQNXTDZ($A$1,$B97,E$5,$B$1)</f>
        <v>903.96</v>
      </c>
      <c r="F97" s="54">
        <f>_xll.EQNXTDZ($A$1,$B97,F$5,$B$1)</f>
        <v>0</v>
      </c>
      <c r="G97" s="54">
        <f>_xll.EQNXTDZ($A$1,$B97,G$5,$B$1)</f>
        <v>954.08</v>
      </c>
      <c r="H97" s="54">
        <f>_xll.EQNXTDZ($A$1,$B97,H$5,$B$1)</f>
        <v>0</v>
      </c>
      <c r="I97" s="54">
        <f>_xll.EQNXTDZ($A$1,$B97,I$5,$B$1)</f>
        <v>1011.66</v>
      </c>
      <c r="J97" s="54">
        <f>_xll.EQNXTDZ($A$1,$B97,J$5,$B$1)</f>
        <v>0</v>
      </c>
      <c r="K97" s="54">
        <f>_xll.EQNXTDZ($A$1,$B97,K$5,$B$1)</f>
        <v>1088.1500000000001</v>
      </c>
      <c r="L97" s="54">
        <f>_xll.EQNXTDZ($A$1,$B97,L$5,$B$1)</f>
        <v>0</v>
      </c>
      <c r="M97" s="54">
        <f>_xll.EQNXTDZ($A$1,$B97,M$5,$B$1)</f>
        <v>1141.9100000000001</v>
      </c>
      <c r="N97" s="54">
        <f>_xll.EQNXTDZ($A$1,$B97,N$5,$B$1)</f>
        <v>0</v>
      </c>
      <c r="O97" s="54">
        <f>_xll.EQNXTDZ($A$1,$B97,O$5,$B$1)</f>
        <v>1236.5899999999999</v>
      </c>
      <c r="P97" s="54">
        <f>_xll.EQNXTDZ($A$1,$B97,P$5,$B$1)</f>
        <v>0</v>
      </c>
      <c r="Q97" s="54">
        <f>_xll.EQNXTDZ($A$1,$B97,Q$5,$B$1)</f>
        <v>1312.77</v>
      </c>
      <c r="R97" s="54">
        <f>_xll.EQNXTDZ($A$1,$B97,R$5,$B$1)</f>
        <v>0</v>
      </c>
      <c r="S97" s="54">
        <f>_xll.EQNXTDZ($A$1,$B97,S$5,$B$1)</f>
        <v>1398.77</v>
      </c>
      <c r="T97" s="54">
        <f>_xll.EQNXTDZ($A$1,$B97,T$5,$B$1)</f>
        <v>0</v>
      </c>
      <c r="U97" s="54">
        <f>_xll.EQNXTDZ($A$1,$B97,U$5,$B$1)</f>
        <v>1502.22</v>
      </c>
      <c r="V97" s="54">
        <f>_xll.EQNXTDZ($A$1,$B97,V$5,$B$1)</f>
        <v>0</v>
      </c>
      <c r="W97" s="54">
        <f>_xll.EQNXTDZ($A$1,$B97,W$5,$B$1)</f>
        <v>1596.45</v>
      </c>
      <c r="X97" s="54">
        <f>_xll.EQNXTDZ($A$1,$B97,X$5,$B$1)</f>
        <v>0</v>
      </c>
      <c r="Y97" s="54">
        <f>_xll.EQNXTDZ($A$1,$B97,Y$5,$B$1)</f>
        <v>1724.89</v>
      </c>
      <c r="Z97" s="54">
        <f>_xll.EQNXTDZ($A$1,$B97,Z$5,$B$1)</f>
        <v>0</v>
      </c>
      <c r="AA97" s="54">
        <f>_xll.EQNXTDZ($A$1,$B97,AA$5,$B$1)</f>
        <v>1815.35</v>
      </c>
      <c r="AB97" s="54">
        <f>_xll.EQNXTDZ($A$1,$B97,AB$5,$B$1)</f>
        <v>0</v>
      </c>
      <c r="AC97" s="54">
        <f>_xll.EQNXTDZ($A$1,$B97,AC$5,$B$1)</f>
        <v>2750.34</v>
      </c>
      <c r="AD97" s="54">
        <f>_xll.EQNXTDZ($A$1,$B97,AD$5,$B$1)</f>
        <v>0</v>
      </c>
      <c r="AE97" s="54">
        <f>_xll.EQNXTDZ($A$1,$B97,AE$5,$B$1)</f>
        <v>2820.46</v>
      </c>
      <c r="AF97" s="54">
        <f>_xll.EQNXTDZ($A$1,$B97,AF$5,$B$1)</f>
        <v>0</v>
      </c>
      <c r="AG97" s="54">
        <f>_xll.EQNXTDZ($A$1,$B97,AG$5,$B$1)</f>
        <v>3007.65</v>
      </c>
      <c r="AH97" s="54">
        <f>_xll.EQNXTDZ($A$1,$B97,AH$5,$B$1)</f>
        <v>0</v>
      </c>
      <c r="AI97" s="54">
        <f>_xll.EQNXTDZ($A$1,$B97,AI$5,$B$1)</f>
        <v>2989.88</v>
      </c>
      <c r="AJ97" s="54">
        <f>_xll.EQNXTDZ($A$1,$B97,AJ$5,$B$1)</f>
        <v>0</v>
      </c>
      <c r="AK97" s="54">
        <f>_xll.EQNXTDZ($A$1,$B97,AK$5,$B$1)</f>
        <v>3205.39</v>
      </c>
      <c r="AL97" s="54">
        <f>_xll.EQNXTDZ($A$1,$B97,AL$5,$B$1)</f>
        <v>0</v>
      </c>
      <c r="AM97" s="54">
        <f>_xll.EQNXTDZ($A$1,$B97,AM$5,$B$1)</f>
        <v>3356.08</v>
      </c>
      <c r="AN97" s="54">
        <f>_xll.EQNXTDZ($A$1,$B97,AN$5,$B$1)</f>
        <v>0</v>
      </c>
      <c r="AO97" s="54">
        <f>_xll.EQNXTDZ($A$1,$B97,AO$5,$B$1)</f>
        <v>3709.05</v>
      </c>
      <c r="AP97" s="54">
        <f>_xll.EQNXTDZ($A$1,$B97,AP$5,$B$1)</f>
        <v>0</v>
      </c>
      <c r="AQ97" s="54">
        <f>_xll.EQNXTDZ($A$1,$B97,AQ$5,$B$1)</f>
        <v>3892.37</v>
      </c>
      <c r="AR97" s="54">
        <f>_xll.EQNXTDZ($A$1,$B97,AR$5,$B$1)</f>
        <v>0</v>
      </c>
      <c r="AS97" s="54">
        <f>_xll.EQNXTDZ($A$1,$B97,AS$5,$B$1)</f>
        <v>4348.83</v>
      </c>
      <c r="AT97" s="54">
        <f>_xll.EQNXTDZ($A$1,$B97,AT$5,$B$1)</f>
        <v>0</v>
      </c>
      <c r="AU97" s="54">
        <f>_xll.EQNXTDZ($A$1,$B97,AU$5,$B$1)</f>
        <v>4414.88</v>
      </c>
      <c r="AV97" s="54">
        <f>_xll.EQNXTDZ($A$1,$B97,AV$5,$B$1)</f>
        <v>0</v>
      </c>
      <c r="AW97" s="54">
        <f>_xll.EQNXTDZ($A$1,$B97,AW$5,$B$1)</f>
        <v>4861.3599999999997</v>
      </c>
      <c r="AX97" s="54">
        <f>_xll.EQNXTDZ($A$1,$B97,AX$5,$B$1)</f>
        <v>0</v>
      </c>
      <c r="AY97" s="54">
        <f>_xll.EQNXTDZ($A$1,$B97,AY$5,$B$1)</f>
        <v>4930.3900000000003</v>
      </c>
      <c r="AZ97" s="54">
        <f>_xll.EQNXTDZ($A$1,$B97,AZ$5,$B$1)</f>
        <v>0</v>
      </c>
      <c r="BA97" s="54">
        <f>_xll.EQNXTDZ($A$1,$B97,BA$5,$B$1)</f>
        <v>5394.88</v>
      </c>
      <c r="BB97" s="54">
        <f>_xll.EQNXTDZ($A$1,$B97,BB$5,$B$1)</f>
        <v>0</v>
      </c>
      <c r="BC97" s="54">
        <f>_xll.EQNXTDZ($A$1,$B97,BC$5,$B$1)</f>
        <v>5493</v>
      </c>
      <c r="BD97" s="54">
        <f>_xll.EQNXTDZ($A$1,$B97,BD$5,$B$1)</f>
        <v>0</v>
      </c>
      <c r="BE97" s="54">
        <f>_xll.EQNXTDZ($A$1,$B97,BE$5,$B$1)</f>
        <v>6104.31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105790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Schaeffler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278.58999999999997</v>
      </c>
      <c r="F6">
        <f>_xll.EQNXTDZ($A$1,$B6,F$1,$B$1)</f>
        <v>305.77999999999997</v>
      </c>
      <c r="G6">
        <f>_xll.EQNXTDZ($A$1,$B6,G$1,$B$1)</f>
        <v>368.75</v>
      </c>
      <c r="H6">
        <f>_xll.EQNXTDZ($A$1,$B6,H$1,$B$1)</f>
        <v>462.65</v>
      </c>
      <c r="I6">
        <f>_xll.EQNXTDZ($A$1,$B6,I$1,$B$1)</f>
        <v>612.25</v>
      </c>
      <c r="J6">
        <f>_xll.EQNXTDZ($A$1,$B6,J$1,$B$1)</f>
        <v>715.97</v>
      </c>
      <c r="K6">
        <f>_xll.EQNXTDZ($A$1,$B6,K$1,$B$1)</f>
        <v>815.53</v>
      </c>
      <c r="L6">
        <f>_xll.EQNXTDZ($A$1,$B6,L$1,$B$1)</f>
        <v>845.45</v>
      </c>
      <c r="M6">
        <f>_xll.EQNXTDZ($A$1,$B6,M$1,$B$1)</f>
        <v>1112.72</v>
      </c>
      <c r="N6">
        <f>_xll.EQNXTDZ($A$1,$B6,N$1,$B$1)</f>
        <v>1398.74</v>
      </c>
      <c r="O6">
        <f>_xll.EQNXTDZ($A$1,$B6,O$1,$B$1)</f>
        <v>1560.74</v>
      </c>
      <c r="P6">
        <f>_xll.EQNXTDZ($A$1,$B6,P$1,$B$1)</f>
        <v>1520.77</v>
      </c>
      <c r="Q6">
        <f>_xll.EQNXTDZ($A$1,$B6,Q$1,$B$1)</f>
        <v>1746.6</v>
      </c>
      <c r="R6">
        <f>_xll.EQNXTDZ($A$1,$B6,R$1,$B$1)</f>
        <v>1867.44</v>
      </c>
      <c r="S6">
        <f>_xll.EQNXTDZ($A$1,$B6,S$1,$B$1)</f>
        <v>1945.16</v>
      </c>
      <c r="T6">
        <f>_xll.EQNXTDZ($A$1,$B6,T$1,$B$1)</f>
        <v>4099.6499999999996</v>
      </c>
      <c r="U6">
        <f>_xll.EQNXTDZ($A$1,$B6,U$1,$B$1)</f>
        <v>4614.13</v>
      </c>
      <c r="V6">
        <f>_xll.EQNXTDZ($A$1,$B6,V$1,$B$1)</f>
        <v>4409.1499999999996</v>
      </c>
      <c r="W6">
        <f>_xll.EQNXTDZ($A$1,$B6,W$1,$B$1)</f>
        <v>3814.9</v>
      </c>
      <c r="X6">
        <f>_xll.EQNXTDZ($A$1,$B6,X$1,$B$1)</f>
        <v>5623.09</v>
      </c>
      <c r="Y6">
        <f>_xll.EQNXTDZ($A$1,$B6,Y$1,$B$1)</f>
        <v>6940.75</v>
      </c>
      <c r="Z6">
        <f>_xll.EQNXTDZ($A$1,$B6,Z$1,$B$1)</f>
        <v>7332.78</v>
      </c>
      <c r="AA6">
        <f>_xll.EQNXTDZ($A$1,$B6,AA$1,$B$1)</f>
        <v>8339.32</v>
      </c>
      <c r="AB6">
        <f>_xll.EQNXTDZ($A$1,$B6,AB$1,$B$1)</f>
        <v>9823.91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52.62</v>
      </c>
      <c r="V8">
        <f>_xll.EQNXTDZ($A$1,$B8,V$1,$B$1)</f>
        <v>48.52</v>
      </c>
      <c r="W8">
        <f>_xll.EQNXTDZ($A$1,$B8,W$1,$B$1)</f>
        <v>53.06</v>
      </c>
      <c r="X8">
        <f>_xll.EQNXTDZ($A$1,$B8,X$1,$B$1)</f>
        <v>62.58</v>
      </c>
      <c r="Y8">
        <f>_xll.EQNXTDZ($A$1,$B8,Y$1,$B$1)</f>
        <v>73.33</v>
      </c>
      <c r="Z8">
        <f>_xll.EQNXTDZ($A$1,$B8,Z$1,$B$1)</f>
        <v>81.87</v>
      </c>
      <c r="AA8">
        <f>_xll.EQNXTDZ($A$1,$B8,AA$1,$B$1)</f>
        <v>106.94</v>
      </c>
      <c r="AB8">
        <f>_xll.EQNXTDZ($A$1,$B8,AB$1,$B$1)</f>
        <v>138.06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34.28</v>
      </c>
      <c r="F9">
        <f>_xll.EQNXTDZ($A$1,$B9,F$1,$B$1)</f>
        <v>38.869999999999997</v>
      </c>
      <c r="G9">
        <f>_xll.EQNXTDZ($A$1,$B9,G$1,$B$1)</f>
        <v>45.63</v>
      </c>
      <c r="H9">
        <f>_xll.EQNXTDZ($A$1,$B9,H$1,$B$1)</f>
        <v>54.33</v>
      </c>
      <c r="I9">
        <f>_xll.EQNXTDZ($A$1,$B9,I$1,$B$1)</f>
        <v>70.209999999999994</v>
      </c>
      <c r="J9">
        <f>_xll.EQNXTDZ($A$1,$B9,J$1,$B$1)</f>
        <v>74.67</v>
      </c>
      <c r="K9">
        <f>_xll.EQNXTDZ($A$1,$B9,K$1,$B$1)</f>
        <v>71.12</v>
      </c>
      <c r="L9">
        <f>_xll.EQNXTDZ($A$1,$B9,L$1,$B$1)</f>
        <v>47.76</v>
      </c>
      <c r="M9">
        <f>_xll.EQNXTDZ($A$1,$B9,M$1,$B$1)</f>
        <v>72.64</v>
      </c>
      <c r="N9">
        <f>_xll.EQNXTDZ($A$1,$B9,N$1,$B$1)</f>
        <v>90.19</v>
      </c>
      <c r="O9">
        <f>_xll.EQNXTDZ($A$1,$B9,O$1,$B$1)</f>
        <v>114.09</v>
      </c>
      <c r="P9">
        <f>_xll.EQNXTDZ($A$1,$B9,P$1,$B$1)</f>
        <v>118.35</v>
      </c>
      <c r="Q9">
        <f>_xll.EQNXTDZ($A$1,$B9,Q$1,$B$1)</f>
        <v>114.45</v>
      </c>
      <c r="R9">
        <f>_xll.EQNXTDZ($A$1,$B9,R$1,$B$1)</f>
        <v>143.01</v>
      </c>
      <c r="S9">
        <f>_xll.EQNXTDZ($A$1,$B9,S$1,$B$1)</f>
        <v>148.84</v>
      </c>
      <c r="T9">
        <f>_xll.EQNXTDZ($A$1,$B9,T$1,$B$1)</f>
        <v>166.51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244.31</v>
      </c>
      <c r="F10">
        <f>_xll.EQNXTDZ($A$1,$B10,F$1,$B$1)</f>
        <v>266.91000000000003</v>
      </c>
      <c r="G10">
        <f>_xll.EQNXTDZ($A$1,$B10,G$1,$B$1)</f>
        <v>323.12</v>
      </c>
      <c r="H10">
        <f>_xll.EQNXTDZ($A$1,$B10,H$1,$B$1)</f>
        <v>408.32</v>
      </c>
      <c r="I10">
        <f>_xll.EQNXTDZ($A$1,$B10,I$1,$B$1)</f>
        <v>542.04</v>
      </c>
      <c r="J10">
        <f>_xll.EQNXTDZ($A$1,$B10,J$1,$B$1)</f>
        <v>641.29999999999995</v>
      </c>
      <c r="K10">
        <f>_xll.EQNXTDZ($A$1,$B10,K$1,$B$1)</f>
        <v>744.41</v>
      </c>
      <c r="L10">
        <f>_xll.EQNXTDZ($A$1,$B10,L$1,$B$1)</f>
        <v>797.69</v>
      </c>
      <c r="M10">
        <f>_xll.EQNXTDZ($A$1,$B10,M$1,$B$1)</f>
        <v>1040.08</v>
      </c>
      <c r="N10">
        <f>_xll.EQNXTDZ($A$1,$B10,N$1,$B$1)</f>
        <v>1308.55</v>
      </c>
      <c r="O10">
        <f>_xll.EQNXTDZ($A$1,$B10,O$1,$B$1)</f>
        <v>1446.65</v>
      </c>
      <c r="P10">
        <f>_xll.EQNXTDZ($A$1,$B10,P$1,$B$1)</f>
        <v>1402.42</v>
      </c>
      <c r="Q10">
        <f>_xll.EQNXTDZ($A$1,$B10,Q$1,$B$1)</f>
        <v>1632.15</v>
      </c>
      <c r="R10">
        <f>_xll.EQNXTDZ($A$1,$B10,R$1,$B$1)</f>
        <v>1724.43</v>
      </c>
      <c r="S10">
        <f>_xll.EQNXTDZ($A$1,$B10,S$1,$B$1)</f>
        <v>1796.32</v>
      </c>
      <c r="T10">
        <f>_xll.EQNXTDZ($A$1,$B10,T$1,$B$1)</f>
        <v>3933.14</v>
      </c>
      <c r="U10">
        <f>_xll.EQNXTDZ($A$1,$B10,U$1,$B$1)</f>
        <v>4561.51</v>
      </c>
      <c r="V10">
        <f>_xll.EQNXTDZ($A$1,$B10,V$1,$B$1)</f>
        <v>4360.63</v>
      </c>
      <c r="W10">
        <f>_xll.EQNXTDZ($A$1,$B10,W$1,$B$1)</f>
        <v>3761.84</v>
      </c>
      <c r="X10">
        <f>_xll.EQNXTDZ($A$1,$B10,X$1,$B$1)</f>
        <v>5560.51</v>
      </c>
      <c r="Y10">
        <f>_xll.EQNXTDZ($A$1,$B10,Y$1,$B$1)</f>
        <v>6867.42</v>
      </c>
      <c r="Z10">
        <f>_xll.EQNXTDZ($A$1,$B10,Z$1,$B$1)</f>
        <v>7250.91</v>
      </c>
      <c r="AA10">
        <f>_xll.EQNXTDZ($A$1,$B10,AA$1,$B$1)</f>
        <v>8232.3799999999992</v>
      </c>
      <c r="AB10">
        <f>_xll.EQNXTDZ($A$1,$B10,AB$1,$B$1)</f>
        <v>9685.85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-3.371</v>
      </c>
      <c r="F11">
        <f>_xll.EQNXTDZ($A$1,$B11,F$1,$B$1)</f>
        <v>4.7</v>
      </c>
      <c r="G11">
        <f>_xll.EQNXTDZ($A$1,$B11,G$1,$B$1)</f>
        <v>0.57999999999999996</v>
      </c>
      <c r="H11">
        <f>_xll.EQNXTDZ($A$1,$B11,H$1,$B$1)</f>
        <v>-4.68</v>
      </c>
      <c r="I11">
        <f>_xll.EQNXTDZ($A$1,$B11,I$1,$B$1)</f>
        <v>-17.98</v>
      </c>
      <c r="J11">
        <f>_xll.EQNXTDZ($A$1,$B11,J$1,$B$1)</f>
        <v>-6.41</v>
      </c>
      <c r="K11">
        <f>_xll.EQNXTDZ($A$1,$B11,K$1,$B$1)</f>
        <v>-55.48</v>
      </c>
      <c r="L11">
        <f>_xll.EQNXTDZ($A$1,$B11,L$1,$B$1)</f>
        <v>40.61</v>
      </c>
      <c r="M11">
        <f>_xll.EQNXTDZ($A$1,$B11,M$1,$B$1)</f>
        <v>-10.84</v>
      </c>
      <c r="N11">
        <f>_xll.EQNXTDZ($A$1,$B11,N$1,$B$1)</f>
        <v>-12.54</v>
      </c>
      <c r="O11">
        <f>_xll.EQNXTDZ($A$1,$B11,O$1,$B$1)</f>
        <v>24.7</v>
      </c>
      <c r="P11">
        <f>_xll.EQNXTDZ($A$1,$B11,P$1,$B$1)</f>
        <v>-31.03</v>
      </c>
      <c r="Q11">
        <f>_xll.EQNXTDZ($A$1,$B11,Q$1,$B$1)</f>
        <v>-2.0099999999999998</v>
      </c>
      <c r="R11">
        <f>_xll.EQNXTDZ($A$1,$B11,R$1,$B$1)</f>
        <v>-11.6</v>
      </c>
      <c r="S11">
        <f>_xll.EQNXTDZ($A$1,$B11,S$1,$B$1)</f>
        <v>-57.35</v>
      </c>
      <c r="T11">
        <f>_xll.EQNXTDZ($A$1,$B11,T$1,$B$1)</f>
        <v>8.8699999999999992</v>
      </c>
      <c r="U11">
        <f>_xll.EQNXTDZ($A$1,$B11,U$1,$B$1)</f>
        <v>-229.92</v>
      </c>
      <c r="V11">
        <f>_xll.EQNXTDZ($A$1,$B11,V$1,$B$1)</f>
        <v>15.83</v>
      </c>
      <c r="W11">
        <f>_xll.EQNXTDZ($A$1,$B11,W$1,$B$1)</f>
        <v>52.27</v>
      </c>
      <c r="X11">
        <f>_xll.EQNXTDZ($A$1,$B11,X$1,$B$1)</f>
        <v>-233.17</v>
      </c>
      <c r="Y11">
        <f>_xll.EQNXTDZ($A$1,$B11,Y$1,$B$1)</f>
        <v>-55.95</v>
      </c>
      <c r="Z11">
        <f>_xll.EQNXTDZ($A$1,$B11,Z$1,$B$1)</f>
        <v>-74.900000000000006</v>
      </c>
      <c r="AA11">
        <f>_xll.EQNXTDZ($A$1,$B11,AA$1,$B$1)</f>
        <v>-156.44</v>
      </c>
      <c r="AB11">
        <f>_xll.EQNXTDZ($A$1,$B11,AB$1,$B$1)</f>
        <v>-94.1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96.38</v>
      </c>
      <c r="F12">
        <f>_xll.EQNXTDZ($A$1,$B12,F$1,$B$1)</f>
        <v>109.2</v>
      </c>
      <c r="G12">
        <f>_xll.EQNXTDZ($A$1,$B12,G$1,$B$1)</f>
        <v>146.91</v>
      </c>
      <c r="H12">
        <f>_xll.EQNXTDZ($A$1,$B12,H$1,$B$1)</f>
        <v>195.24</v>
      </c>
      <c r="I12">
        <f>_xll.EQNXTDZ($A$1,$B12,I$1,$B$1)</f>
        <v>278.23</v>
      </c>
      <c r="J12">
        <f>_xll.EQNXTDZ($A$1,$B12,J$1,$B$1)</f>
        <v>321.7</v>
      </c>
      <c r="K12">
        <f>_xll.EQNXTDZ($A$1,$B12,K$1,$B$1)</f>
        <v>432.75</v>
      </c>
      <c r="L12">
        <f>_xll.EQNXTDZ($A$1,$B12,L$1,$B$1)</f>
        <v>438.92</v>
      </c>
      <c r="M12">
        <f>_xll.EQNXTDZ($A$1,$B12,M$1,$B$1)</f>
        <v>624.63</v>
      </c>
      <c r="N12">
        <f>_xll.EQNXTDZ($A$1,$B12,N$1,$B$1)</f>
        <v>771.56</v>
      </c>
      <c r="O12">
        <f>_xll.EQNXTDZ($A$1,$B12,O$1,$B$1)</f>
        <v>882.82</v>
      </c>
      <c r="P12">
        <f>_xll.EQNXTDZ($A$1,$B12,P$1,$B$1)</f>
        <v>929.29</v>
      </c>
      <c r="Q12">
        <f>_xll.EQNXTDZ($A$1,$B12,Q$1,$B$1)</f>
        <v>999.43</v>
      </c>
      <c r="R12">
        <f>_xll.EQNXTDZ($A$1,$B12,R$1,$B$1)</f>
        <v>1004.17</v>
      </c>
      <c r="S12">
        <f>_xll.EQNXTDZ($A$1,$B12,S$1,$B$1)</f>
        <v>1141.71</v>
      </c>
      <c r="T12">
        <f>_xll.EQNXTDZ($A$1,$B12,T$1,$B$1)</f>
        <v>2365.38</v>
      </c>
      <c r="U12">
        <f>_xll.EQNXTDZ($A$1,$B12,U$1,$B$1)</f>
        <v>3103.47</v>
      </c>
      <c r="V12">
        <f>_xll.EQNXTDZ($A$1,$B12,V$1,$B$1)</f>
        <v>2733.76</v>
      </c>
      <c r="W12">
        <f>_xll.EQNXTDZ($A$1,$B12,W$1,$B$1)</f>
        <v>2280.87</v>
      </c>
      <c r="X12">
        <f>_xll.EQNXTDZ($A$1,$B12,X$1,$B$1)</f>
        <v>3695.56</v>
      </c>
      <c r="Y12">
        <f>_xll.EQNXTDZ($A$1,$B12,Y$1,$B$1)</f>
        <v>4308.28</v>
      </c>
      <c r="Z12">
        <f>_xll.EQNXTDZ($A$1,$B12,Z$1,$B$1)</f>
        <v>4577.72</v>
      </c>
      <c r="AA12">
        <f>_xll.EQNXTDZ($A$1,$B12,AA$1,$B$1)</f>
        <v>5313.37</v>
      </c>
      <c r="AB12">
        <f>_xll.EQNXTDZ($A$1,$B12,AB$1,$B$1)</f>
        <v>6026.64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9.8000000000000007</v>
      </c>
      <c r="F13">
        <f>_xll.EQNXTDZ($A$1,$B13,F$1,$B$1)</f>
        <v>9.7200000000000006</v>
      </c>
      <c r="G13">
        <f>_xll.EQNXTDZ($A$1,$B13,G$1,$B$1)</f>
        <v>10.4</v>
      </c>
      <c r="H13">
        <f>_xll.EQNXTDZ($A$1,$B13,H$1,$B$1)</f>
        <v>10.95</v>
      </c>
      <c r="I13">
        <f>_xll.EQNXTDZ($A$1,$B13,I$1,$B$1)</f>
        <v>13.32</v>
      </c>
      <c r="J13">
        <f>_xll.EQNXTDZ($A$1,$B13,J$1,$B$1)</f>
        <v>14.94</v>
      </c>
      <c r="K13">
        <f>_xll.EQNXTDZ($A$1,$B13,K$1,$B$1)</f>
        <v>17.489999999999998</v>
      </c>
      <c r="L13">
        <f>_xll.EQNXTDZ($A$1,$B13,L$1,$B$1)</f>
        <v>25.21</v>
      </c>
      <c r="M13">
        <f>_xll.EQNXTDZ($A$1,$B13,M$1,$B$1)</f>
        <v>18.77</v>
      </c>
      <c r="N13">
        <f>_xll.EQNXTDZ($A$1,$B13,N$1,$B$1)</f>
        <v>19.440000000000001</v>
      </c>
      <c r="O13">
        <f>_xll.EQNXTDZ($A$1,$B13,O$1,$B$1)</f>
        <v>22.07</v>
      </c>
      <c r="P13">
        <f>_xll.EQNXTDZ($A$1,$B13,P$1,$B$1)</f>
        <v>24.25</v>
      </c>
      <c r="Q13">
        <f>_xll.EQNXTDZ($A$1,$B13,Q$1,$B$1)</f>
        <v>33</v>
      </c>
      <c r="R13">
        <f>_xll.EQNXTDZ($A$1,$B13,R$1,$B$1)</f>
        <v>36.22</v>
      </c>
      <c r="S13">
        <f>_xll.EQNXTDZ($A$1,$B13,S$1,$B$1)</f>
        <v>35.619999999999997</v>
      </c>
      <c r="T13">
        <f>_xll.EQNXTDZ($A$1,$B13,T$1,$B$1)</f>
        <v>62.01</v>
      </c>
      <c r="U13">
        <f>_xll.EQNXTDZ($A$1,$B13,U$1,$B$1)</f>
        <v>65.73</v>
      </c>
      <c r="V13">
        <f>_xll.EQNXTDZ($A$1,$B13,V$1,$B$1)</f>
        <v>64.89</v>
      </c>
      <c r="W13">
        <f>_xll.EQNXTDZ($A$1,$B13,W$1,$B$1)</f>
        <v>56.79</v>
      </c>
      <c r="X13">
        <f>_xll.EQNXTDZ($A$1,$B13,X$1,$B$1)</f>
        <v>74.88</v>
      </c>
      <c r="Y13">
        <f>_xll.EQNXTDZ($A$1,$B13,Y$1,$B$1)</f>
        <v>87.46</v>
      </c>
      <c r="Z13">
        <f>_xll.EQNXTDZ($A$1,$B13,Z$1,$B$1)</f>
        <v>98.09</v>
      </c>
      <c r="AA13">
        <f>_xll.EQNXTDZ($A$1,$B13,AA$1,$B$1)</f>
        <v>106.73</v>
      </c>
      <c r="AB13">
        <f>_xll.EQNXTDZ($A$1,$B13,AB$1,$B$1)</f>
        <v>121.56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27.84</v>
      </c>
      <c r="F14">
        <f>_xll.EQNXTDZ($A$1,$B14,F$1,$B$1)</f>
        <v>28.02</v>
      </c>
      <c r="G14">
        <f>_xll.EQNXTDZ($A$1,$B14,G$1,$B$1)</f>
        <v>32.32</v>
      </c>
      <c r="H14">
        <f>_xll.EQNXTDZ($A$1,$B14,H$1,$B$1)</f>
        <v>35.32</v>
      </c>
      <c r="I14">
        <f>_xll.EQNXTDZ($A$1,$B14,I$1,$B$1)</f>
        <v>41.34</v>
      </c>
      <c r="J14">
        <f>_xll.EQNXTDZ($A$1,$B14,J$1,$B$1)</f>
        <v>51.56</v>
      </c>
      <c r="K14">
        <f>_xll.EQNXTDZ($A$1,$B14,K$1,$B$1)</f>
        <v>65.88</v>
      </c>
      <c r="L14">
        <f>_xll.EQNXTDZ($A$1,$B14,L$1,$B$1)</f>
        <v>63.01</v>
      </c>
      <c r="M14">
        <f>_xll.EQNXTDZ($A$1,$B14,M$1,$B$1)</f>
        <v>79.22</v>
      </c>
      <c r="N14">
        <f>_xll.EQNXTDZ($A$1,$B14,N$1,$B$1)</f>
        <v>101.18</v>
      </c>
      <c r="O14">
        <f>_xll.EQNXTDZ($A$1,$B14,O$1,$B$1)</f>
        <v>112.89</v>
      </c>
      <c r="P14">
        <f>_xll.EQNXTDZ($A$1,$B14,P$1,$B$1)</f>
        <v>119.13</v>
      </c>
      <c r="Q14">
        <f>_xll.EQNXTDZ($A$1,$B14,Q$1,$B$1)</f>
        <v>137.94</v>
      </c>
      <c r="R14">
        <f>_xll.EQNXTDZ($A$1,$B14,R$1,$B$1)</f>
        <v>132.1</v>
      </c>
      <c r="S14">
        <f>_xll.EQNXTDZ($A$1,$B14,S$1,$B$1)</f>
        <v>149.22999999999999</v>
      </c>
      <c r="T14">
        <f>_xll.EQNXTDZ($A$1,$B14,T$1,$B$1)</f>
        <v>298.64999999999998</v>
      </c>
      <c r="U14">
        <f>_xll.EQNXTDZ($A$1,$B14,U$1,$B$1)</f>
        <v>317.86</v>
      </c>
      <c r="V14">
        <f>_xll.EQNXTDZ($A$1,$B14,V$1,$B$1)</f>
        <v>345.17</v>
      </c>
      <c r="W14">
        <f>_xll.EQNXTDZ($A$1,$B14,W$1,$B$1)</f>
        <v>353.55</v>
      </c>
      <c r="X14">
        <f>_xll.EQNXTDZ($A$1,$B14,X$1,$B$1)</f>
        <v>395.22</v>
      </c>
      <c r="Y14">
        <f>_xll.EQNXTDZ($A$1,$B14,Y$1,$B$1)</f>
        <v>430.59</v>
      </c>
      <c r="Z14">
        <f>_xll.EQNXTDZ($A$1,$B14,Z$1,$B$1)</f>
        <v>461.94</v>
      </c>
      <c r="AA14">
        <f>_xll.EQNXTDZ($A$1,$B14,AA$1,$B$1)</f>
        <v>542.17999999999995</v>
      </c>
      <c r="AB14">
        <f>_xll.EQNXTDZ($A$1,$B14,AB$1,$B$1)</f>
        <v>608.64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34.35</v>
      </c>
      <c r="F15">
        <f>_xll.EQNXTDZ($A$1,$B15,F$1,$B$1)</f>
        <v>36.17</v>
      </c>
      <c r="G15">
        <f>_xll.EQNXTDZ($A$1,$B15,G$1,$B$1)</f>
        <v>47.84</v>
      </c>
      <c r="H15">
        <f>_xll.EQNXTDZ($A$1,$B15,H$1,$B$1)</f>
        <v>55.7</v>
      </c>
      <c r="I15">
        <f>_xll.EQNXTDZ($A$1,$B15,I$1,$B$1)</f>
        <v>65.14</v>
      </c>
      <c r="J15">
        <f>_xll.EQNXTDZ($A$1,$B15,J$1,$B$1)</f>
        <v>68.680000000000007</v>
      </c>
      <c r="K15">
        <f>_xll.EQNXTDZ($A$1,$B15,K$1,$B$1)</f>
        <v>70.11</v>
      </c>
      <c r="L15">
        <f>_xll.EQNXTDZ($A$1,$B15,L$1,$B$1)</f>
        <v>71.45</v>
      </c>
      <c r="M15">
        <f>_xll.EQNXTDZ($A$1,$B15,M$1,$B$1)</f>
        <v>53.91</v>
      </c>
      <c r="N15">
        <f>_xll.EQNXTDZ($A$1,$B15,N$1,$B$1)</f>
        <v>65.569999999999993</v>
      </c>
      <c r="O15">
        <f>_xll.EQNXTDZ($A$1,$B15,O$1,$B$1)</f>
        <v>71.52</v>
      </c>
      <c r="P15">
        <f>_xll.EQNXTDZ($A$1,$B15,P$1,$B$1)</f>
        <v>85.01</v>
      </c>
      <c r="Q15">
        <f>_xll.EQNXTDZ($A$1,$B15,Q$1,$B$1)</f>
        <v>95.96</v>
      </c>
      <c r="R15">
        <f>_xll.EQNXTDZ($A$1,$B15,R$1,$B$1)</f>
        <v>105.48</v>
      </c>
      <c r="S15">
        <f>_xll.EQNXTDZ($A$1,$B15,S$1,$B$1)</f>
        <v>132.38</v>
      </c>
      <c r="T15">
        <f>_xll.EQNXTDZ($A$1,$B15,T$1,$B$1)</f>
        <v>292.62</v>
      </c>
      <c r="U15">
        <f>_xll.EQNXTDZ($A$1,$B15,U$1,$B$1)</f>
        <v>348.6</v>
      </c>
      <c r="V15">
        <f>_xll.EQNXTDZ($A$1,$B15,V$1,$B$1)</f>
        <v>332.56</v>
      </c>
      <c r="W15">
        <f>_xll.EQNXTDZ($A$1,$B15,W$1,$B$1)</f>
        <v>295.99</v>
      </c>
      <c r="X15">
        <f>_xll.EQNXTDZ($A$1,$B15,X$1,$B$1)</f>
        <v>430.04</v>
      </c>
      <c r="Y15">
        <f>_xll.EQNXTDZ($A$1,$B15,Y$1,$B$1)</f>
        <v>523.07000000000005</v>
      </c>
      <c r="Z15">
        <f>_xll.EQNXTDZ($A$1,$B15,Z$1,$B$1)</f>
        <v>544.25</v>
      </c>
      <c r="AA15">
        <f>_xll.EQNXTDZ($A$1,$B15,AA$1,$B$1)</f>
        <v>559.11</v>
      </c>
      <c r="AB15">
        <f>_xll.EQNXTDZ($A$1,$B15,AB$1,$B$1)</f>
        <v>708.8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19.260000000000002</v>
      </c>
      <c r="F17">
        <f>_xll.EQNXTDZ($A$1,$B17,F$1,$B$1)</f>
        <v>19.14</v>
      </c>
      <c r="G17">
        <f>_xll.EQNXTDZ($A$1,$B17,G$1,$B$1)</f>
        <v>13.69</v>
      </c>
      <c r="H17">
        <f>_xll.EQNXTDZ($A$1,$B17,H$1,$B$1)</f>
        <v>17.670000000000002</v>
      </c>
      <c r="I17">
        <f>_xll.EQNXTDZ($A$1,$B17,I$1,$B$1)</f>
        <v>20.63</v>
      </c>
      <c r="J17">
        <f>_xll.EQNXTDZ($A$1,$B17,J$1,$B$1)</f>
        <v>24.51</v>
      </c>
      <c r="K17">
        <f>_xll.EQNXTDZ($A$1,$B17,K$1,$B$1)</f>
        <v>27.03</v>
      </c>
      <c r="L17">
        <f>_xll.EQNXTDZ($A$1,$B17,L$1,$B$1)</f>
        <v>23.98</v>
      </c>
      <c r="M17">
        <f>_xll.EQNXTDZ($A$1,$B17,M$1,$B$1)</f>
        <v>33.380000000000003</v>
      </c>
      <c r="N17">
        <f>_xll.EQNXTDZ($A$1,$B17,N$1,$B$1)</f>
        <v>41.47</v>
      </c>
      <c r="O17">
        <f>_xll.EQNXTDZ($A$1,$B17,O$1,$B$1)</f>
        <v>48.02</v>
      </c>
      <c r="P17">
        <f>_xll.EQNXTDZ($A$1,$B17,P$1,$B$1)</f>
        <v>44.64</v>
      </c>
      <c r="Q17">
        <f>_xll.EQNXTDZ($A$1,$B17,Q$1,$B$1)</f>
        <v>47.16</v>
      </c>
      <c r="R17">
        <f>_xll.EQNXTDZ($A$1,$B17,R$1,$B$1)</f>
        <v>50.14</v>
      </c>
      <c r="S17">
        <f>_xll.EQNXTDZ($A$1,$B17,S$1,$B$1)</f>
        <v>53.63</v>
      </c>
      <c r="T17">
        <f>_xll.EQNXTDZ($A$1,$B17,T$1,$B$1)</f>
        <v>134.57</v>
      </c>
      <c r="U17">
        <f>_xll.EQNXTDZ($A$1,$B17,U$1,$B$1)</f>
        <v>140.81</v>
      </c>
      <c r="V17">
        <f>_xll.EQNXTDZ($A$1,$B17,V$1,$B$1)</f>
        <v>131.1</v>
      </c>
      <c r="W17">
        <f>_xll.EQNXTDZ($A$1,$B17,W$1,$B$1)</f>
        <v>96.57</v>
      </c>
      <c r="X17">
        <f>_xll.EQNXTDZ($A$1,$B17,X$1,$B$1)</f>
        <v>132.58000000000001</v>
      </c>
      <c r="Y17">
        <f>_xll.EQNXTDZ($A$1,$B17,Y$1,$B$1)</f>
        <v>174.89</v>
      </c>
      <c r="Z17">
        <f>_xll.EQNXTDZ($A$1,$B17,Z$1,$B$1)</f>
        <v>207.39</v>
      </c>
      <c r="AA17">
        <f>_xll.EQNXTDZ($A$1,$B17,AA$1,$B$1)</f>
        <v>294.7</v>
      </c>
      <c r="AB17">
        <f>_xll.EQNXTDZ($A$1,$B17,AB$1,$B$1)</f>
        <v>369.01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10.31</v>
      </c>
      <c r="F18">
        <f>_xll.EQNXTDZ($A$1,$B18,F$1,$B$1)</f>
        <v>13.57</v>
      </c>
      <c r="G18">
        <f>_xll.EQNXTDZ($A$1,$B18,G$1,$B$1)</f>
        <v>15.67</v>
      </c>
      <c r="H18">
        <f>_xll.EQNXTDZ($A$1,$B18,H$1,$B$1)</f>
        <v>15.75</v>
      </c>
      <c r="I18">
        <f>_xll.EQNXTDZ($A$1,$B18,I$1,$B$1)</f>
        <v>19.309999999999999</v>
      </c>
      <c r="J18">
        <f>_xll.EQNXTDZ($A$1,$B18,J$1,$B$1)</f>
        <v>25.71</v>
      </c>
      <c r="K18">
        <f>_xll.EQNXTDZ($A$1,$B18,K$1,$B$1)</f>
        <v>29.54</v>
      </c>
      <c r="L18">
        <f>_xll.EQNXTDZ($A$1,$B18,L$1,$B$1)</f>
        <v>29.22</v>
      </c>
      <c r="M18">
        <f>_xll.EQNXTDZ($A$1,$B18,M$1,$B$1)</f>
        <v>45.61</v>
      </c>
      <c r="N18">
        <f>_xll.EQNXTDZ($A$1,$B18,N$1,$B$1)</f>
        <v>65.45</v>
      </c>
      <c r="O18">
        <f>_xll.EQNXTDZ($A$1,$B18,O$1,$B$1)</f>
        <v>61.25</v>
      </c>
      <c r="P18">
        <f>_xll.EQNXTDZ($A$1,$B18,P$1,$B$1)</f>
        <v>44.39</v>
      </c>
      <c r="Q18">
        <f>_xll.EQNXTDZ($A$1,$B18,Q$1,$B$1)</f>
        <v>56.58</v>
      </c>
      <c r="R18">
        <f>_xll.EQNXTDZ($A$1,$B18,R$1,$B$1)</f>
        <v>56.54</v>
      </c>
      <c r="S18">
        <f>_xll.EQNXTDZ($A$1,$B18,S$1,$B$1)</f>
        <v>31.52</v>
      </c>
      <c r="T18">
        <f>_xll.EQNXTDZ($A$1,$B18,T$1,$B$1)</f>
        <v>65.83</v>
      </c>
      <c r="U18">
        <f>_xll.EQNXTDZ($A$1,$B18,U$1,$B$1)</f>
        <v>67.64</v>
      </c>
      <c r="V18">
        <f>_xll.EQNXTDZ($A$1,$B18,V$1,$B$1)</f>
        <v>71.900000000000006</v>
      </c>
      <c r="W18">
        <f>_xll.EQNXTDZ($A$1,$B18,W$1,$B$1)</f>
        <v>62.83</v>
      </c>
      <c r="X18">
        <f>_xll.EQNXTDZ($A$1,$B18,X$1,$B$1)</f>
        <v>76.25</v>
      </c>
      <c r="Y18">
        <f>_xll.EQNXTDZ($A$1,$B18,Y$1,$B$1)</f>
        <v>90.59</v>
      </c>
      <c r="Z18">
        <f>_xll.EQNXTDZ($A$1,$B18,Z$1,$B$1)</f>
        <v>95.04</v>
      </c>
      <c r="AA18">
        <f>_xll.EQNXTDZ($A$1,$B18,AA$1,$B$1)</f>
        <v>108.03</v>
      </c>
      <c r="AB18">
        <f>_xll.EQNXTDZ($A$1,$B18,AB$1,$B$1)</f>
        <v>136.94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5.6109999999999998</v>
      </c>
      <c r="F19">
        <f>_xll.EQNXTDZ($A$1,$B19,F$1,$B$1)</f>
        <v>4.0999999999999996</v>
      </c>
      <c r="G19">
        <f>_xll.EQNXTDZ($A$1,$B19,G$1,$B$1)</f>
        <v>2.92</v>
      </c>
      <c r="H19">
        <f>_xll.EQNXTDZ($A$1,$B19,H$1,$B$1)</f>
        <v>3.79</v>
      </c>
      <c r="I19">
        <f>_xll.EQNXTDZ($A$1,$B19,I$1,$B$1)</f>
        <v>3.91</v>
      </c>
      <c r="J19">
        <f>_xll.EQNXTDZ($A$1,$B19,J$1,$B$1)</f>
        <v>9.68</v>
      </c>
      <c r="K19">
        <f>_xll.EQNXTDZ($A$1,$B19,K$1,$B$1)</f>
        <v>10.34</v>
      </c>
      <c r="L19">
        <f>_xll.EQNXTDZ($A$1,$B19,L$1,$B$1)</f>
        <v>14.78</v>
      </c>
      <c r="M19">
        <f>_xll.EQNXTDZ($A$1,$B19,M$1,$B$1)</f>
        <v>17.79</v>
      </c>
      <c r="N19">
        <f>_xll.EQNXTDZ($A$1,$B19,N$1,$B$1)</f>
        <v>1.93</v>
      </c>
      <c r="O19">
        <f>_xll.EQNXTDZ($A$1,$B19,O$1,$B$1)</f>
        <v>2.46</v>
      </c>
      <c r="P19">
        <f>_xll.EQNXTDZ($A$1,$B19,P$1,$B$1)</f>
        <v>2.72</v>
      </c>
      <c r="Q19">
        <f>_xll.EQNXTDZ($A$1,$B19,Q$1,$B$1)</f>
        <v>21.82</v>
      </c>
      <c r="R19">
        <f>_xll.EQNXTDZ($A$1,$B19,R$1,$B$1)</f>
        <v>45.58</v>
      </c>
      <c r="S19">
        <f>_xll.EQNXTDZ($A$1,$B19,S$1,$B$1)</f>
        <v>12.28</v>
      </c>
      <c r="T19">
        <f>_xll.EQNXTDZ($A$1,$B19,T$1,$B$1)</f>
        <v>26.29</v>
      </c>
      <c r="U19">
        <f>_xll.EQNXTDZ($A$1,$B19,U$1,$B$1)</f>
        <v>50.32</v>
      </c>
      <c r="V19">
        <f>_xll.EQNXTDZ($A$1,$B19,V$1,$B$1)</f>
        <v>31.16</v>
      </c>
      <c r="W19">
        <f>_xll.EQNXTDZ($A$1,$B19,W$1,$B$1)</f>
        <v>26.15</v>
      </c>
      <c r="X19">
        <f>_xll.EQNXTDZ($A$1,$B19,X$1,$B$1)</f>
        <v>16.38</v>
      </c>
      <c r="Y19">
        <f>_xll.EQNXTDZ($A$1,$B19,Y$1,$B$1)</f>
        <v>12.64</v>
      </c>
      <c r="Z19">
        <f>_xll.EQNXTDZ($A$1,$B19,Z$1,$B$1)</f>
        <v>19.59</v>
      </c>
      <c r="AA19">
        <f>_xll.EQNXTDZ($A$1,$B19,AA$1,$B$1)</f>
        <v>18.829999999999998</v>
      </c>
      <c r="AB19">
        <f>_xll.EQNXTDZ($A$1,$B19,AB$1,$B$1)</f>
        <v>45.18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200.18</v>
      </c>
      <c r="F21">
        <f>_xll.EQNXTDZ($A$1,$B21,F$1,$B$1)</f>
        <v>224.62</v>
      </c>
      <c r="G21">
        <f>_xll.EQNXTDZ($A$1,$B21,G$1,$B$1)</f>
        <v>270.33</v>
      </c>
      <c r="H21">
        <f>_xll.EQNXTDZ($A$1,$B21,H$1,$B$1)</f>
        <v>329.74</v>
      </c>
      <c r="I21">
        <f>_xll.EQNXTDZ($A$1,$B21,I$1,$B$1)</f>
        <v>423.9</v>
      </c>
      <c r="J21">
        <f>_xll.EQNXTDZ($A$1,$B21,J$1,$B$1)</f>
        <v>510.37</v>
      </c>
      <c r="K21">
        <f>_xll.EQNXTDZ($A$1,$B21,K$1,$B$1)</f>
        <v>597.66</v>
      </c>
      <c r="L21">
        <f>_xll.EQNXTDZ($A$1,$B21,L$1,$B$1)</f>
        <v>707.18</v>
      </c>
      <c r="M21">
        <f>_xll.EQNXTDZ($A$1,$B21,M$1,$B$1)</f>
        <v>862.47</v>
      </c>
      <c r="N21">
        <f>_xll.EQNXTDZ($A$1,$B21,N$1,$B$1)</f>
        <v>1054.06</v>
      </c>
      <c r="O21">
        <f>_xll.EQNXTDZ($A$1,$B21,O$1,$B$1)</f>
        <v>1225.73</v>
      </c>
      <c r="P21">
        <f>_xll.EQNXTDZ($A$1,$B21,P$1,$B$1)</f>
        <v>1218.4000000000001</v>
      </c>
      <c r="Q21">
        <f>_xll.EQNXTDZ($A$1,$B21,Q$1,$B$1)</f>
        <v>1389.88</v>
      </c>
      <c r="R21">
        <f>_xll.EQNXTDZ($A$1,$B21,R$1,$B$1)</f>
        <v>1418.63</v>
      </c>
      <c r="S21">
        <f>_xll.EQNXTDZ($A$1,$B21,S$1,$B$1)</f>
        <v>1499.02</v>
      </c>
      <c r="T21">
        <f>_xll.EQNXTDZ($A$1,$B21,T$1,$B$1)</f>
        <v>3254.22</v>
      </c>
      <c r="U21">
        <f>_xll.EQNXTDZ($A$1,$B21,U$1,$B$1)</f>
        <v>3864.51</v>
      </c>
      <c r="V21">
        <f>_xll.EQNXTDZ($A$1,$B21,V$1,$B$1)</f>
        <v>3726.37</v>
      </c>
      <c r="W21">
        <f>_xll.EQNXTDZ($A$1,$B21,W$1,$B$1)</f>
        <v>3225.02</v>
      </c>
      <c r="X21">
        <f>_xll.EQNXTDZ($A$1,$B21,X$1,$B$1)</f>
        <v>4587.74</v>
      </c>
      <c r="Y21">
        <f>_xll.EQNXTDZ($A$1,$B21,Y$1,$B$1)</f>
        <v>5571.57</v>
      </c>
      <c r="Z21">
        <f>_xll.EQNXTDZ($A$1,$B21,Z$1,$B$1)</f>
        <v>5929.12</v>
      </c>
      <c r="AA21">
        <f>_xll.EQNXTDZ($A$1,$B21,AA$1,$B$1)</f>
        <v>6786.51</v>
      </c>
      <c r="AB21">
        <f>_xll.EQNXTDZ($A$1,$B21,AB$1,$B$1)</f>
        <v>7922.67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44.13</v>
      </c>
      <c r="F22">
        <f>_xll.EQNXTDZ($A$1,$B22,F$1,$B$1)</f>
        <v>42.29</v>
      </c>
      <c r="G22">
        <f>_xll.EQNXTDZ($A$1,$B22,G$1,$B$1)</f>
        <v>52.79</v>
      </c>
      <c r="H22">
        <f>_xll.EQNXTDZ($A$1,$B22,H$1,$B$1)</f>
        <v>78.58</v>
      </c>
      <c r="I22">
        <f>_xll.EQNXTDZ($A$1,$B22,I$1,$B$1)</f>
        <v>118.14</v>
      </c>
      <c r="J22">
        <f>_xll.EQNXTDZ($A$1,$B22,J$1,$B$1)</f>
        <v>130.93</v>
      </c>
      <c r="K22">
        <f>_xll.EQNXTDZ($A$1,$B22,K$1,$B$1)</f>
        <v>146.75</v>
      </c>
      <c r="L22">
        <f>_xll.EQNXTDZ($A$1,$B22,L$1,$B$1)</f>
        <v>90.509999999999906</v>
      </c>
      <c r="M22">
        <f>_xll.EQNXTDZ($A$1,$B22,M$1,$B$1)</f>
        <v>177.61</v>
      </c>
      <c r="N22">
        <f>_xll.EQNXTDZ($A$1,$B22,N$1,$B$1)</f>
        <v>254.49</v>
      </c>
      <c r="O22">
        <f>_xll.EQNXTDZ($A$1,$B22,O$1,$B$1)</f>
        <v>220.92</v>
      </c>
      <c r="P22">
        <f>_xll.EQNXTDZ($A$1,$B22,P$1,$B$1)</f>
        <v>184.02</v>
      </c>
      <c r="Q22">
        <f>_xll.EQNXTDZ($A$1,$B22,Q$1,$B$1)</f>
        <v>242.27</v>
      </c>
      <c r="R22">
        <f>_xll.EQNXTDZ($A$1,$B22,R$1,$B$1)</f>
        <v>305.8</v>
      </c>
      <c r="S22">
        <f>_xll.EQNXTDZ($A$1,$B22,S$1,$B$1)</f>
        <v>297.3</v>
      </c>
      <c r="T22">
        <f>_xll.EQNXTDZ($A$1,$B22,T$1,$B$1)</f>
        <v>678.92</v>
      </c>
      <c r="U22">
        <f>_xll.EQNXTDZ($A$1,$B22,U$1,$B$1)</f>
        <v>697</v>
      </c>
      <c r="V22">
        <f>_xll.EQNXTDZ($A$1,$B22,V$1,$B$1)</f>
        <v>634.26000000000101</v>
      </c>
      <c r="W22">
        <f>_xll.EQNXTDZ($A$1,$B22,W$1,$B$1)</f>
        <v>536.82000000000005</v>
      </c>
      <c r="X22">
        <f>_xll.EQNXTDZ($A$1,$B22,X$1,$B$1)</f>
        <v>972.77</v>
      </c>
      <c r="Y22">
        <f>_xll.EQNXTDZ($A$1,$B22,Y$1,$B$1)</f>
        <v>1295.8499999999999</v>
      </c>
      <c r="Z22">
        <f>_xll.EQNXTDZ($A$1,$B22,Z$1,$B$1)</f>
        <v>1321.79</v>
      </c>
      <c r="AA22">
        <f>_xll.EQNXTDZ($A$1,$B22,AA$1,$B$1)</f>
        <v>1445.87</v>
      </c>
      <c r="AB22">
        <f>_xll.EQNXTDZ($A$1,$B22,AB$1,$B$1)</f>
        <v>1763.18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5.2</v>
      </c>
      <c r="F23">
        <f>_xll.EQNXTDZ($A$1,$B23,F$1,$B$1)</f>
        <v>9.9700000000000006</v>
      </c>
      <c r="G23">
        <f>_xll.EQNXTDZ($A$1,$B23,G$1,$B$1)</f>
        <v>9.4499999999999993</v>
      </c>
      <c r="H23">
        <f>_xll.EQNXTDZ($A$1,$B23,H$1,$B$1)</f>
        <v>8.0399999999999991</v>
      </c>
      <c r="I23">
        <f>_xll.EQNXTDZ($A$1,$B23,I$1,$B$1)</f>
        <v>12.27</v>
      </c>
      <c r="J23">
        <f>_xll.EQNXTDZ($A$1,$B23,J$1,$B$1)</f>
        <v>13.31</v>
      </c>
      <c r="K23">
        <f>_xll.EQNXTDZ($A$1,$B23,K$1,$B$1)</f>
        <v>21.67</v>
      </c>
      <c r="L23">
        <f>_xll.EQNXTDZ($A$1,$B23,L$1,$B$1)</f>
        <v>29.85</v>
      </c>
      <c r="M23">
        <f>_xll.EQNXTDZ($A$1,$B23,M$1,$B$1)</f>
        <v>25.27</v>
      </c>
      <c r="N23">
        <f>_xll.EQNXTDZ($A$1,$B23,N$1,$B$1)</f>
        <v>30.85</v>
      </c>
      <c r="O23">
        <f>_xll.EQNXTDZ($A$1,$B23,O$1,$B$1)</f>
        <v>44.63</v>
      </c>
      <c r="P23">
        <f>_xll.EQNXTDZ($A$1,$B23,P$1,$B$1)</f>
        <v>45.86</v>
      </c>
      <c r="Q23">
        <f>_xll.EQNXTDZ($A$1,$B23,Q$1,$B$1)</f>
        <v>40.950000000000003</v>
      </c>
      <c r="R23">
        <f>_xll.EQNXTDZ($A$1,$B23,R$1,$B$1)</f>
        <v>56.16</v>
      </c>
      <c r="S23">
        <f>_xll.EQNXTDZ($A$1,$B23,S$1,$B$1)</f>
        <v>68.260000000000005</v>
      </c>
      <c r="T23">
        <f>_xll.EQNXTDZ($A$1,$B23,T$1,$B$1)</f>
        <v>64.08</v>
      </c>
      <c r="U23">
        <f>_xll.EQNXTDZ($A$1,$B23,U$1,$B$1)</f>
        <v>134</v>
      </c>
      <c r="V23">
        <f>_xll.EQNXTDZ($A$1,$B23,V$1,$B$1)</f>
        <v>63.55</v>
      </c>
      <c r="W23">
        <f>_xll.EQNXTDZ($A$1,$B23,W$1,$B$1)</f>
        <v>60.3</v>
      </c>
      <c r="X23">
        <f>_xll.EQNXTDZ($A$1,$B23,X$1,$B$1)</f>
        <v>72.38</v>
      </c>
      <c r="Y23">
        <f>_xll.EQNXTDZ($A$1,$B23,Y$1,$B$1)</f>
        <v>77.680000000000007</v>
      </c>
      <c r="Z23">
        <f>_xll.EQNXTDZ($A$1,$B23,Z$1,$B$1)</f>
        <v>124.55</v>
      </c>
      <c r="AA23">
        <f>_xll.EQNXTDZ($A$1,$B23,AA$1,$B$1)</f>
        <v>118.3</v>
      </c>
      <c r="AB23">
        <f>_xll.EQNXTDZ($A$1,$B23,AB$1,$B$1)</f>
        <v>148.28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49.33</v>
      </c>
      <c r="F24">
        <f>_xll.EQNXTDZ($A$1,$B24,F$1,$B$1)</f>
        <v>52.26</v>
      </c>
      <c r="G24">
        <f>_xll.EQNXTDZ($A$1,$B24,G$1,$B$1)</f>
        <v>62.24</v>
      </c>
      <c r="H24">
        <f>_xll.EQNXTDZ($A$1,$B24,H$1,$B$1)</f>
        <v>86.62</v>
      </c>
      <c r="I24">
        <f>_xll.EQNXTDZ($A$1,$B24,I$1,$B$1)</f>
        <v>130.41</v>
      </c>
      <c r="J24">
        <f>_xll.EQNXTDZ($A$1,$B24,J$1,$B$1)</f>
        <v>144.24</v>
      </c>
      <c r="K24">
        <f>_xll.EQNXTDZ($A$1,$B24,K$1,$B$1)</f>
        <v>168.42</v>
      </c>
      <c r="L24">
        <f>_xll.EQNXTDZ($A$1,$B24,L$1,$B$1)</f>
        <v>120.36</v>
      </c>
      <c r="M24">
        <f>_xll.EQNXTDZ($A$1,$B24,M$1,$B$1)</f>
        <v>202.88</v>
      </c>
      <c r="N24">
        <f>_xll.EQNXTDZ($A$1,$B24,N$1,$B$1)</f>
        <v>285.33999999999997</v>
      </c>
      <c r="O24">
        <f>_xll.EQNXTDZ($A$1,$B24,O$1,$B$1)</f>
        <v>265.55</v>
      </c>
      <c r="P24">
        <f>_xll.EQNXTDZ($A$1,$B24,P$1,$B$1)</f>
        <v>229.88</v>
      </c>
      <c r="Q24">
        <f>_xll.EQNXTDZ($A$1,$B24,Q$1,$B$1)</f>
        <v>283.22000000000003</v>
      </c>
      <c r="R24">
        <f>_xll.EQNXTDZ($A$1,$B24,R$1,$B$1)</f>
        <v>361.96</v>
      </c>
      <c r="S24">
        <f>_xll.EQNXTDZ($A$1,$B24,S$1,$B$1)</f>
        <v>365.56</v>
      </c>
      <c r="T24">
        <f>_xll.EQNXTDZ($A$1,$B24,T$1,$B$1)</f>
        <v>743</v>
      </c>
      <c r="U24">
        <f>_xll.EQNXTDZ($A$1,$B24,U$1,$B$1)</f>
        <v>831</v>
      </c>
      <c r="V24">
        <f>_xll.EQNXTDZ($A$1,$B24,V$1,$B$1)</f>
        <v>697.81</v>
      </c>
      <c r="W24">
        <f>_xll.EQNXTDZ($A$1,$B24,W$1,$B$1)</f>
        <v>597.12</v>
      </c>
      <c r="X24">
        <f>_xll.EQNXTDZ($A$1,$B24,X$1,$B$1)</f>
        <v>1045.1500000000001</v>
      </c>
      <c r="Y24">
        <f>_xll.EQNXTDZ($A$1,$B24,Y$1,$B$1)</f>
        <v>1373.53</v>
      </c>
      <c r="Z24">
        <f>_xll.EQNXTDZ($A$1,$B24,Z$1,$B$1)</f>
        <v>1446.34</v>
      </c>
      <c r="AA24">
        <f>_xll.EQNXTDZ($A$1,$B24,AA$1,$B$1)</f>
        <v>1564.17</v>
      </c>
      <c r="AB24">
        <f>_xll.EQNXTDZ($A$1,$B24,AB$1,$B$1)</f>
        <v>1911.46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6.96</v>
      </c>
      <c r="F25">
        <f>_xll.EQNXTDZ($A$1,$B25,F$1,$B$1)</f>
        <v>4.55</v>
      </c>
      <c r="G25">
        <f>_xll.EQNXTDZ($A$1,$B25,G$1,$B$1)</f>
        <v>1.85</v>
      </c>
      <c r="H25">
        <f>_xll.EQNXTDZ($A$1,$B25,H$1,$B$1)</f>
        <v>2.0299999999999998</v>
      </c>
      <c r="I25">
        <f>_xll.EQNXTDZ($A$1,$B25,I$1,$B$1)</f>
        <v>1.33</v>
      </c>
      <c r="J25">
        <f>_xll.EQNXTDZ($A$1,$B25,J$1,$B$1)</f>
        <v>0.4</v>
      </c>
      <c r="K25">
        <f>_xll.EQNXTDZ($A$1,$B25,K$1,$B$1)</f>
        <v>0.48</v>
      </c>
      <c r="L25">
        <f>_xll.EQNXTDZ($A$1,$B25,L$1,$B$1)</f>
        <v>0.7</v>
      </c>
      <c r="M25">
        <f>_xll.EQNXTDZ($A$1,$B25,M$1,$B$1)</f>
        <v>0.89</v>
      </c>
      <c r="N25">
        <f>_xll.EQNXTDZ($A$1,$B25,N$1,$B$1)</f>
        <v>1.79</v>
      </c>
      <c r="O25">
        <f>_xll.EQNXTDZ($A$1,$B25,O$1,$B$1)</f>
        <v>1.81</v>
      </c>
      <c r="P25">
        <f>_xll.EQNXTDZ($A$1,$B25,P$1,$B$1)</f>
        <v>1.19</v>
      </c>
      <c r="Q25">
        <f>_xll.EQNXTDZ($A$1,$B25,Q$1,$B$1)</f>
        <v>1.5</v>
      </c>
      <c r="R25">
        <f>_xll.EQNXTDZ($A$1,$B25,R$1,$B$1)</f>
        <v>2.64</v>
      </c>
      <c r="S25">
        <f>_xll.EQNXTDZ($A$1,$B25,S$1,$B$1)</f>
        <v>2.13</v>
      </c>
      <c r="T25">
        <f>_xll.EQNXTDZ($A$1,$B25,T$1,$B$1)</f>
        <v>11.48</v>
      </c>
      <c r="U25">
        <f>_xll.EQNXTDZ($A$1,$B25,U$1,$B$1)</f>
        <v>7.6</v>
      </c>
      <c r="V25">
        <f>_xll.EQNXTDZ($A$1,$B25,V$1,$B$1)</f>
        <v>4.4800000000000004</v>
      </c>
      <c r="W25">
        <f>_xll.EQNXTDZ($A$1,$B25,W$1,$B$1)</f>
        <v>5.94</v>
      </c>
      <c r="X25">
        <f>_xll.EQNXTDZ($A$1,$B25,X$1,$B$1)</f>
        <v>4.9000000000000004</v>
      </c>
      <c r="Y25">
        <f>_xll.EQNXTDZ($A$1,$B25,Y$1,$B$1)</f>
        <v>5.01</v>
      </c>
      <c r="Z25">
        <f>_xll.EQNXTDZ($A$1,$B25,Z$1,$B$1)</f>
        <v>4.8600000000000003</v>
      </c>
      <c r="AA25">
        <f>_xll.EQNXTDZ($A$1,$B25,AA$1,$B$1)</f>
        <v>4.87</v>
      </c>
      <c r="AB25">
        <f>_xll.EQNXTDZ($A$1,$B25,AB$1,$B$1)</f>
        <v>5.38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42.37</v>
      </c>
      <c r="F26">
        <f>_xll.EQNXTDZ($A$1,$B26,F$1,$B$1)</f>
        <v>47.71</v>
      </c>
      <c r="G26">
        <f>_xll.EQNXTDZ($A$1,$B26,G$1,$B$1)</f>
        <v>60.39</v>
      </c>
      <c r="H26">
        <f>_xll.EQNXTDZ($A$1,$B26,H$1,$B$1)</f>
        <v>84.59</v>
      </c>
      <c r="I26">
        <f>_xll.EQNXTDZ($A$1,$B26,I$1,$B$1)</f>
        <v>129.08000000000001</v>
      </c>
      <c r="J26">
        <f>_xll.EQNXTDZ($A$1,$B26,J$1,$B$1)</f>
        <v>143.84</v>
      </c>
      <c r="K26">
        <f>_xll.EQNXTDZ($A$1,$B26,K$1,$B$1)</f>
        <v>167.94</v>
      </c>
      <c r="L26">
        <f>_xll.EQNXTDZ($A$1,$B26,L$1,$B$1)</f>
        <v>119.66</v>
      </c>
      <c r="M26">
        <f>_xll.EQNXTDZ($A$1,$B26,M$1,$B$1)</f>
        <v>201.99</v>
      </c>
      <c r="N26">
        <f>_xll.EQNXTDZ($A$1,$B26,N$1,$B$1)</f>
        <v>283.55</v>
      </c>
      <c r="O26">
        <f>_xll.EQNXTDZ($A$1,$B26,O$1,$B$1)</f>
        <v>263.74</v>
      </c>
      <c r="P26">
        <f>_xll.EQNXTDZ($A$1,$B26,P$1,$B$1)</f>
        <v>228.69</v>
      </c>
      <c r="Q26">
        <f>_xll.EQNXTDZ($A$1,$B26,Q$1,$B$1)</f>
        <v>281.72000000000003</v>
      </c>
      <c r="R26">
        <f>_xll.EQNXTDZ($A$1,$B26,R$1,$B$1)</f>
        <v>359.32</v>
      </c>
      <c r="S26">
        <f>_xll.EQNXTDZ($A$1,$B26,S$1,$B$1)</f>
        <v>363.43</v>
      </c>
      <c r="T26">
        <f>_xll.EQNXTDZ($A$1,$B26,T$1,$B$1)</f>
        <v>731.52</v>
      </c>
      <c r="U26">
        <f>_xll.EQNXTDZ($A$1,$B26,U$1,$B$1)</f>
        <v>823.4</v>
      </c>
      <c r="V26">
        <f>_xll.EQNXTDZ($A$1,$B26,V$1,$B$1)</f>
        <v>693.33</v>
      </c>
      <c r="W26">
        <f>_xll.EQNXTDZ($A$1,$B26,W$1,$B$1)</f>
        <v>591.17999999999995</v>
      </c>
      <c r="X26">
        <f>_xll.EQNXTDZ($A$1,$B26,X$1,$B$1)</f>
        <v>1040.25</v>
      </c>
      <c r="Y26">
        <f>_xll.EQNXTDZ($A$1,$B26,Y$1,$B$1)</f>
        <v>1368.52</v>
      </c>
      <c r="Z26">
        <f>_xll.EQNXTDZ($A$1,$B26,Z$1,$B$1)</f>
        <v>1441.48</v>
      </c>
      <c r="AA26">
        <f>_xll.EQNXTDZ($A$1,$B26,AA$1,$B$1)</f>
        <v>1559.3</v>
      </c>
      <c r="AB26">
        <f>_xll.EQNXTDZ($A$1,$B26,AB$1,$B$1)</f>
        <v>1906.08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16.98</v>
      </c>
      <c r="F27">
        <f>_xll.EQNXTDZ($A$1,$B27,F$1,$B$1)</f>
        <v>16.739999999999998</v>
      </c>
      <c r="G27">
        <f>_xll.EQNXTDZ($A$1,$B27,G$1,$B$1)</f>
        <v>16.989999999999998</v>
      </c>
      <c r="H27">
        <f>_xll.EQNXTDZ($A$1,$B27,H$1,$B$1)</f>
        <v>16.829999999999998</v>
      </c>
      <c r="I27">
        <f>_xll.EQNXTDZ($A$1,$B27,I$1,$B$1)</f>
        <v>18.3</v>
      </c>
      <c r="J27">
        <f>_xll.EQNXTDZ($A$1,$B27,J$1,$B$1)</f>
        <v>19.36</v>
      </c>
      <c r="K27">
        <f>_xll.EQNXTDZ($A$1,$B27,K$1,$B$1)</f>
        <v>20.59</v>
      </c>
      <c r="L27">
        <f>_xll.EQNXTDZ($A$1,$B27,L$1,$B$1)</f>
        <v>20.079999999999998</v>
      </c>
      <c r="M27">
        <f>_xll.EQNXTDZ($A$1,$B27,M$1,$B$1)</f>
        <v>20.11</v>
      </c>
      <c r="N27">
        <f>_xll.EQNXTDZ($A$1,$B27,N$1,$B$1)</f>
        <v>22.59</v>
      </c>
      <c r="O27">
        <f>_xll.EQNXTDZ($A$1,$B27,O$1,$B$1)</f>
        <v>30.27</v>
      </c>
      <c r="P27">
        <f>_xll.EQNXTDZ($A$1,$B27,P$1,$B$1)</f>
        <v>43.25</v>
      </c>
      <c r="Q27">
        <f>_xll.EQNXTDZ($A$1,$B27,Q$1,$B$1)</f>
        <v>49.35</v>
      </c>
      <c r="R27">
        <f>_xll.EQNXTDZ($A$1,$B27,R$1,$B$1)</f>
        <v>65.510000000000005</v>
      </c>
      <c r="S27">
        <f>_xll.EQNXTDZ($A$1,$B27,S$1,$B$1)</f>
        <v>64.099999999999994</v>
      </c>
      <c r="T27">
        <f>_xll.EQNXTDZ($A$1,$B27,T$1,$B$1)</f>
        <v>138.16</v>
      </c>
      <c r="U27">
        <f>_xll.EQNXTDZ($A$1,$B27,U$1,$B$1)</f>
        <v>148.5</v>
      </c>
      <c r="V27">
        <f>_xll.EQNXTDZ($A$1,$B27,V$1,$B$1)</f>
        <v>158.71</v>
      </c>
      <c r="W27">
        <f>_xll.EQNXTDZ($A$1,$B27,W$1,$B$1)</f>
        <v>193.97</v>
      </c>
      <c r="X27">
        <f>_xll.EQNXTDZ($A$1,$B27,X$1,$B$1)</f>
        <v>197.11</v>
      </c>
      <c r="Y27">
        <f>_xll.EQNXTDZ($A$1,$B27,Y$1,$B$1)</f>
        <v>206.46</v>
      </c>
      <c r="Z27">
        <f>_xll.EQNXTDZ($A$1,$B27,Z$1,$B$1)</f>
        <v>223.01</v>
      </c>
      <c r="AA27">
        <f>_xll.EQNXTDZ($A$1,$B27,AA$1,$B$1)</f>
        <v>281.55</v>
      </c>
      <c r="AB27">
        <f>_xll.EQNXTDZ($A$1,$B27,AB$1,$B$1)</f>
        <v>343.72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-4.53</v>
      </c>
      <c r="U29">
        <f>_xll.EQNXTDZ($A$1,$B29,U$1,$B$1)</f>
        <v>-43.2</v>
      </c>
      <c r="V29">
        <f>_xll.EQNXTDZ($A$1,$B29,V$1,$B$1)</f>
        <v>-0.34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14.98</v>
      </c>
      <c r="Z29">
        <f>_xll.EQNXTDZ($A$1,$B29,Z$1,$B$1)</f>
        <v>-4.7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5.62</v>
      </c>
      <c r="F30">
        <f>_xll.EQNXTDZ($A$1,$B30,F$1,$B$1)</f>
        <v>7.81</v>
      </c>
      <c r="G30">
        <f>_xll.EQNXTDZ($A$1,$B30,G$1,$B$1)</f>
        <v>12.52</v>
      </c>
      <c r="H30">
        <f>_xll.EQNXTDZ($A$1,$B30,H$1,$B$1)</f>
        <v>19.87</v>
      </c>
      <c r="I30">
        <f>_xll.EQNXTDZ($A$1,$B30,I$1,$B$1)</f>
        <v>37.08</v>
      </c>
      <c r="J30">
        <f>_xll.EQNXTDZ($A$1,$B30,J$1,$B$1)</f>
        <v>44.95</v>
      </c>
      <c r="K30">
        <f>_xll.EQNXTDZ($A$1,$B30,K$1,$B$1)</f>
        <v>51.63</v>
      </c>
      <c r="L30">
        <f>_xll.EQNXTDZ($A$1,$B30,L$1,$B$1)</f>
        <v>34.04</v>
      </c>
      <c r="M30">
        <f>_xll.EQNXTDZ($A$1,$B30,M$1,$B$1)</f>
        <v>60.38</v>
      </c>
      <c r="N30">
        <f>_xll.EQNXTDZ($A$1,$B30,N$1,$B$1)</f>
        <v>84.99</v>
      </c>
      <c r="O30">
        <f>_xll.EQNXTDZ($A$1,$B30,O$1,$B$1)</f>
        <v>74.290000000000006</v>
      </c>
      <c r="P30">
        <f>_xll.EQNXTDZ($A$1,$B30,P$1,$B$1)</f>
        <v>63.61</v>
      </c>
      <c r="Q30">
        <f>_xll.EQNXTDZ($A$1,$B30,Q$1,$B$1)</f>
        <v>79.489999999999995</v>
      </c>
      <c r="R30">
        <f>_xll.EQNXTDZ($A$1,$B30,R$1,$B$1)</f>
        <v>96.33</v>
      </c>
      <c r="S30">
        <f>_xll.EQNXTDZ($A$1,$B30,S$1,$B$1)</f>
        <v>104.27</v>
      </c>
      <c r="T30">
        <f>_xll.EQNXTDZ($A$1,$B30,T$1,$B$1)</f>
        <v>200.34</v>
      </c>
      <c r="U30">
        <f>_xll.EQNXTDZ($A$1,$B30,U$1,$B$1)</f>
        <v>211.9</v>
      </c>
      <c r="V30">
        <f>_xll.EQNXTDZ($A$1,$B30,V$1,$B$1)</f>
        <v>166.64</v>
      </c>
      <c r="W30">
        <f>_xll.EQNXTDZ($A$1,$B30,W$1,$B$1)</f>
        <v>106.24</v>
      </c>
      <c r="X30">
        <f>_xll.EQNXTDZ($A$1,$B30,X$1,$B$1)</f>
        <v>214.02</v>
      </c>
      <c r="Y30">
        <f>_xll.EQNXTDZ($A$1,$B30,Y$1,$B$1)</f>
        <v>297.83</v>
      </c>
      <c r="Z30">
        <f>_xll.EQNXTDZ($A$1,$B30,Z$1,$B$1)</f>
        <v>314.75</v>
      </c>
      <c r="AA30">
        <f>_xll.EQNXTDZ($A$1,$B30,AA$1,$B$1)</f>
        <v>338.89</v>
      </c>
      <c r="AB30">
        <f>_xll.EQNXTDZ($A$1,$B30,AB$1,$B$1)</f>
        <v>412.01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19.77</v>
      </c>
      <c r="F35">
        <f>_xll.EQNXTDZ($A$1,$B35,F$1,$B$1)</f>
        <v>23.16</v>
      </c>
      <c r="G35">
        <f>_xll.EQNXTDZ($A$1,$B35,G$1,$B$1)</f>
        <v>30.88</v>
      </c>
      <c r="H35">
        <f>_xll.EQNXTDZ($A$1,$B35,H$1,$B$1)</f>
        <v>47.89</v>
      </c>
      <c r="I35">
        <f>_xll.EQNXTDZ($A$1,$B35,I$1,$B$1)</f>
        <v>73.7</v>
      </c>
      <c r="J35">
        <f>_xll.EQNXTDZ($A$1,$B35,J$1,$B$1)</f>
        <v>79.53</v>
      </c>
      <c r="K35">
        <f>_xll.EQNXTDZ($A$1,$B35,K$1,$B$1)</f>
        <v>95.72</v>
      </c>
      <c r="L35">
        <f>_xll.EQNXTDZ($A$1,$B35,L$1,$B$1)</f>
        <v>65.540000000000006</v>
      </c>
      <c r="M35">
        <f>_xll.EQNXTDZ($A$1,$B35,M$1,$B$1)</f>
        <v>121.5</v>
      </c>
      <c r="N35">
        <f>_xll.EQNXTDZ($A$1,$B35,N$1,$B$1)</f>
        <v>175.97</v>
      </c>
      <c r="O35">
        <f>_xll.EQNXTDZ($A$1,$B35,O$1,$B$1)</f>
        <v>159.18</v>
      </c>
      <c r="P35">
        <f>_xll.EQNXTDZ($A$1,$B35,P$1,$B$1)</f>
        <v>121.83</v>
      </c>
      <c r="Q35">
        <f>_xll.EQNXTDZ($A$1,$B35,Q$1,$B$1)</f>
        <v>152.88</v>
      </c>
      <c r="R35">
        <f>_xll.EQNXTDZ($A$1,$B35,R$1,$B$1)</f>
        <v>197.48</v>
      </c>
      <c r="S35">
        <f>_xll.EQNXTDZ($A$1,$B35,S$1,$B$1)</f>
        <v>195.06</v>
      </c>
      <c r="T35">
        <f>_xll.EQNXTDZ($A$1,$B35,T$1,$B$1)</f>
        <v>388.49</v>
      </c>
      <c r="U35">
        <f>_xll.EQNXTDZ($A$1,$B35,U$1,$B$1)</f>
        <v>419.8</v>
      </c>
      <c r="V35">
        <f>_xll.EQNXTDZ($A$1,$B35,V$1,$B$1)</f>
        <v>367.64</v>
      </c>
      <c r="W35">
        <f>_xll.EQNXTDZ($A$1,$B35,W$1,$B$1)</f>
        <v>290.97000000000003</v>
      </c>
      <c r="X35">
        <f>_xll.EQNXTDZ($A$1,$B35,X$1,$B$1)</f>
        <v>629.12</v>
      </c>
      <c r="Y35">
        <f>_xll.EQNXTDZ($A$1,$B35,Y$1,$B$1)</f>
        <v>879.21</v>
      </c>
      <c r="Z35">
        <f>_xll.EQNXTDZ($A$1,$B35,Z$1,$B$1)</f>
        <v>899.02</v>
      </c>
      <c r="AA35">
        <f>_xll.EQNXTDZ($A$1,$B35,AA$1,$B$1)</f>
        <v>938.86</v>
      </c>
      <c r="AB35">
        <f>_xll.EQNXTDZ($A$1,$B35,AB$1,$B$1)</f>
        <v>1150.3499999999999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16.62</v>
      </c>
      <c r="F41" s="54">
        <f>_xll.EQNXTDZ($A$1,$B41,F$1,$B$1)</f>
        <v>16.62</v>
      </c>
      <c r="G41" s="54">
        <f>_xll.EQNXTDZ($A$1,$B41,G$1,$B$1)</f>
        <v>16.62</v>
      </c>
      <c r="H41" s="54">
        <f>_xll.EQNXTDZ($A$1,$B41,H$1,$B$1)</f>
        <v>16.62</v>
      </c>
      <c r="I41" s="54">
        <f>_xll.EQNXTDZ($A$1,$B41,I$1,$B$1)</f>
        <v>16.62</v>
      </c>
      <c r="J41" s="54">
        <f>_xll.EQNXTDZ($A$1,$B41,J$1,$B$1)</f>
        <v>16.62</v>
      </c>
      <c r="K41" s="54">
        <f>_xll.EQNXTDZ($A$1,$B41,K$1,$B$1)</f>
        <v>16.62</v>
      </c>
      <c r="L41" s="54">
        <f>_xll.EQNXTDZ($A$1,$B41,L$1,$B$1)</f>
        <v>16.62</v>
      </c>
      <c r="M41" s="54">
        <f>_xll.EQNXTDZ($A$1,$B41,M$1,$B$1)</f>
        <v>16.62</v>
      </c>
      <c r="N41" s="54">
        <f>_xll.EQNXTDZ($A$1,$B41,N$1,$B$1)</f>
        <v>16.62</v>
      </c>
      <c r="O41" s="54">
        <f>_xll.EQNXTDZ($A$1,$B41,O$1,$B$1)</f>
        <v>16.62</v>
      </c>
      <c r="P41" s="54">
        <f>_xll.EQNXTDZ($A$1,$B41,P$1,$B$1)</f>
        <v>16.62</v>
      </c>
      <c r="Q41" s="54">
        <f>_xll.EQNXTDZ($A$1,$B41,Q$1,$B$1)</f>
        <v>16.62</v>
      </c>
      <c r="R41" s="54">
        <f>_xll.EQNXTDZ($A$1,$B41,R$1,$B$1)</f>
        <v>16.62</v>
      </c>
      <c r="S41" s="54">
        <f>_xll.EQNXTDZ($A$1,$B41,S$1,$B$1)</f>
        <v>16.62</v>
      </c>
      <c r="T41" s="54">
        <f>_xll.EQNXTDZ($A$1,$B41,T$1,$B$1)</f>
        <v>16.62</v>
      </c>
      <c r="U41" s="54">
        <f>_xll.EQNXTDZ($A$1,$B41,U$1,$B$1)</f>
        <v>31.26</v>
      </c>
      <c r="V41" s="54">
        <f>_xll.EQNXTDZ($A$1,$B41,V$1,$B$1)</f>
        <v>31.26</v>
      </c>
      <c r="W41" s="54">
        <f>_xll.EQNXTDZ($A$1,$B41,W$1,$B$1)</f>
        <v>31.26</v>
      </c>
      <c r="X41" s="54">
        <f>_xll.EQNXTDZ($A$1,$B41,X$1,$B$1)</f>
        <v>31.26</v>
      </c>
      <c r="Y41" s="54">
        <f>_xll.EQNXTDZ($A$1,$B41,Y$1,$B$1)</f>
        <v>31.26</v>
      </c>
      <c r="Z41" s="54">
        <f>_xll.EQNXTDZ($A$1,$B41,Z$1,$B$1)</f>
        <v>31.26</v>
      </c>
      <c r="AA41" s="54">
        <f>_xll.EQNXTDZ($A$1,$B41,AA$1,$B$1)</f>
        <v>31.26</v>
      </c>
      <c r="AB41" s="54">
        <f>_xll.EQNXTDZ($A$1,$B41,AB$1,$B$1)</f>
        <v>31.26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14.64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85.76</v>
      </c>
      <c r="F43" s="54">
        <f>_xll.EQNXTDZ($A$1,$B43,F$1,$B$1)</f>
        <v>99.57</v>
      </c>
      <c r="G43" s="54">
        <f>_xll.EQNXTDZ($A$1,$B43,G$1,$B$1)</f>
        <v>123.81</v>
      </c>
      <c r="H43" s="54">
        <f>_xll.EQNXTDZ($A$1,$B43,H$1,$B$1)</f>
        <v>164.95</v>
      </c>
      <c r="I43" s="54">
        <f>_xll.EQNXTDZ($A$1,$B43,I$1,$B$1)</f>
        <v>231.01</v>
      </c>
      <c r="J43" s="54">
        <f>_xll.EQNXTDZ($A$1,$B43,J$1,$B$1)</f>
        <v>301.48</v>
      </c>
      <c r="K43" s="54">
        <f>_xll.EQNXTDZ($A$1,$B43,K$1,$B$1)</f>
        <v>388.39</v>
      </c>
      <c r="L43" s="54">
        <f>_xll.EQNXTDZ($A$1,$B43,L$1,$B$1)</f>
        <v>445.12</v>
      </c>
      <c r="M43" s="54">
        <f>_xll.EQNXTDZ($A$1,$B43,M$1,$B$1)</f>
        <v>556.84</v>
      </c>
      <c r="N43" s="54">
        <f>_xll.EQNXTDZ($A$1,$B43,N$1,$B$1)</f>
        <v>713.42</v>
      </c>
      <c r="O43" s="54">
        <f>_xll.EQNXTDZ($A$1,$B43,O$1,$B$1)</f>
        <v>862.88</v>
      </c>
      <c r="P43" s="54">
        <f>_xll.EQNXTDZ($A$1,$B43,P$1,$B$1)</f>
        <v>972.93</v>
      </c>
      <c r="Q43" s="54">
        <f>_xll.EQNXTDZ($A$1,$B43,Q$1,$B$1)</f>
        <v>1090.8699999999999</v>
      </c>
      <c r="R43" s="54">
        <f>_xll.EQNXTDZ($A$1,$B43,R$1,$B$1)</f>
        <v>1272.6199999999999</v>
      </c>
      <c r="S43" s="54">
        <f>_xll.EQNXTDZ($A$1,$B43,S$1,$B$1)</f>
        <v>1458.54</v>
      </c>
      <c r="T43" s="54">
        <f>_xll.EQNXTDZ($A$1,$B43,T$1,$B$1)</f>
        <v>2293.9</v>
      </c>
      <c r="U43" s="54">
        <f>_xll.EQNXTDZ($A$1,$B43,U$1,$B$1)</f>
        <v>2674.86</v>
      </c>
      <c r="V43" s="54">
        <f>_xll.EQNXTDZ($A$1,$B43,V$1,$B$1)</f>
        <v>2930.9</v>
      </c>
      <c r="W43" s="54">
        <f>_xll.EQNXTDZ($A$1,$B43,W$1,$B$1)</f>
        <v>3109.03</v>
      </c>
      <c r="X43" s="54">
        <f>_xll.EQNXTDZ($A$1,$B43,X$1,$B$1)</f>
        <v>3622.41</v>
      </c>
      <c r="Y43" s="54">
        <f>_xll.EQNXTDZ($A$1,$B43,Y$1,$B$1)</f>
        <v>4254.6400000000003</v>
      </c>
      <c r="Z43" s="54">
        <f>_xll.EQNXTDZ($A$1,$B43,Z$1,$B$1)</f>
        <v>4774.09</v>
      </c>
      <c r="AA43" s="54">
        <f>_xll.EQNXTDZ($A$1,$B43,AA$1,$B$1)</f>
        <v>5303.17</v>
      </c>
      <c r="AB43" s="54">
        <f>_xll.EQNXTDZ($A$1,$B43,AB$1,$B$1)</f>
        <v>6016.7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102.38</v>
      </c>
      <c r="F44" s="54">
        <f>_xll.EQNXTDZ($A$1,$B44,F$1,$B$1)</f>
        <v>116.19</v>
      </c>
      <c r="G44" s="54">
        <f>_xll.EQNXTDZ($A$1,$B44,G$1,$B$1)</f>
        <v>140.43</v>
      </c>
      <c r="H44" s="54">
        <f>_xll.EQNXTDZ($A$1,$B44,H$1,$B$1)</f>
        <v>181.57</v>
      </c>
      <c r="I44" s="54">
        <f>_xll.EQNXTDZ($A$1,$B44,I$1,$B$1)</f>
        <v>247.63</v>
      </c>
      <c r="J44" s="54">
        <f>_xll.EQNXTDZ($A$1,$B44,J$1,$B$1)</f>
        <v>318.10000000000002</v>
      </c>
      <c r="K44" s="54">
        <f>_xll.EQNXTDZ($A$1,$B44,K$1,$B$1)</f>
        <v>405.01</v>
      </c>
      <c r="L44" s="54">
        <f>_xll.EQNXTDZ($A$1,$B44,L$1,$B$1)</f>
        <v>461.74</v>
      </c>
      <c r="M44" s="54">
        <f>_xll.EQNXTDZ($A$1,$B44,M$1,$B$1)</f>
        <v>573.46</v>
      </c>
      <c r="N44" s="54">
        <f>_xll.EQNXTDZ($A$1,$B44,N$1,$B$1)</f>
        <v>730.04</v>
      </c>
      <c r="O44" s="54">
        <f>_xll.EQNXTDZ($A$1,$B44,O$1,$B$1)</f>
        <v>879.5</v>
      </c>
      <c r="P44" s="54">
        <f>_xll.EQNXTDZ($A$1,$B44,P$1,$B$1)</f>
        <v>989.55</v>
      </c>
      <c r="Q44" s="54">
        <f>_xll.EQNXTDZ($A$1,$B44,Q$1,$B$1)</f>
        <v>1107.49</v>
      </c>
      <c r="R44" s="54">
        <f>_xll.EQNXTDZ($A$1,$B44,R$1,$B$1)</f>
        <v>1289.24</v>
      </c>
      <c r="S44" s="54">
        <f>_xll.EQNXTDZ($A$1,$B44,S$1,$B$1)</f>
        <v>1475.16</v>
      </c>
      <c r="T44" s="54">
        <f>_xll.EQNXTDZ($A$1,$B44,T$1,$B$1)</f>
        <v>2325.16</v>
      </c>
      <c r="U44" s="54">
        <f>_xll.EQNXTDZ($A$1,$B44,U$1,$B$1)</f>
        <v>2706.12</v>
      </c>
      <c r="V44" s="54">
        <f>_xll.EQNXTDZ($A$1,$B44,V$1,$B$1)</f>
        <v>2962.16</v>
      </c>
      <c r="W44" s="54">
        <f>_xll.EQNXTDZ($A$1,$B44,W$1,$B$1)</f>
        <v>3140.29</v>
      </c>
      <c r="X44" s="54">
        <f>_xll.EQNXTDZ($A$1,$B44,X$1,$B$1)</f>
        <v>3653.67</v>
      </c>
      <c r="Y44" s="54">
        <f>_xll.EQNXTDZ($A$1,$B44,Y$1,$B$1)</f>
        <v>4285.8999999999996</v>
      </c>
      <c r="Z44" s="54">
        <f>_xll.EQNXTDZ($A$1,$B44,Z$1,$B$1)</f>
        <v>4805.3500000000004</v>
      </c>
      <c r="AA44" s="54">
        <f>_xll.EQNXTDZ($A$1,$B44,AA$1,$B$1)</f>
        <v>5334.43</v>
      </c>
      <c r="AB44" s="54">
        <f>_xll.EQNXTDZ($A$1,$B44,AB$1,$B$1)</f>
        <v>6047.96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9.89</v>
      </c>
      <c r="F47" s="54">
        <f>_xll.EQNXTDZ($A$1,$B47,F$1,$B$1)</f>
        <v>7.89</v>
      </c>
      <c r="G47" s="54">
        <f>_xll.EQNXTDZ($A$1,$B47,G$1,$B$1)</f>
        <v>0.04</v>
      </c>
      <c r="H47" s="54">
        <f>_xll.EQNXTDZ($A$1,$B47,H$1,$B$1)</f>
        <v>11.19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44.67</v>
      </c>
      <c r="F48" s="54">
        <f>_xll.EQNXTDZ($A$1,$B48,F$1,$B$1)</f>
        <v>16.989999999999998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56.92</v>
      </c>
      <c r="U48" s="54">
        <f>_xll.EQNXTDZ($A$1,$B48,U$1,$B$1)</f>
        <v>4.87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8.59</v>
      </c>
      <c r="F49" s="54">
        <f>_xll.EQNXTDZ($A$1,$B49,F$1,$B$1)</f>
        <v>8.86</v>
      </c>
      <c r="G49" s="54">
        <f>_xll.EQNXTDZ($A$1,$B49,G$1,$B$1)</f>
        <v>8.36</v>
      </c>
      <c r="H49" s="54">
        <f>_xll.EQNXTDZ($A$1,$B49,H$1,$B$1)</f>
        <v>6.83</v>
      </c>
      <c r="I49" s="54">
        <f>_xll.EQNXTDZ($A$1,$B49,I$1,$B$1)</f>
        <v>5.18</v>
      </c>
      <c r="J49" s="54">
        <f>_xll.EQNXTDZ($A$1,$B49,J$1,$B$1)</f>
        <v>6.63</v>
      </c>
      <c r="K49" s="54">
        <f>_xll.EQNXTDZ($A$1,$B49,K$1,$B$1)</f>
        <v>5.76</v>
      </c>
      <c r="L49" s="54">
        <f>_xll.EQNXTDZ($A$1,$B49,L$1,$B$1)</f>
        <v>4.51</v>
      </c>
      <c r="M49" s="54">
        <f>_xll.EQNXTDZ($A$1,$B49,M$1,$B$1)</f>
        <v>2.93</v>
      </c>
      <c r="N49" s="54">
        <f>_xll.EQNXTDZ($A$1,$B49,N$1,$B$1)</f>
        <v>3.17</v>
      </c>
      <c r="O49" s="54">
        <f>_xll.EQNXTDZ($A$1,$B49,O$1,$B$1)</f>
        <v>6.44</v>
      </c>
      <c r="P49" s="54">
        <f>_xll.EQNXTDZ($A$1,$B49,P$1,$B$1)</f>
        <v>17.41</v>
      </c>
      <c r="Q49" s="54">
        <f>_xll.EQNXTDZ($A$1,$B49,Q$1,$B$1)</f>
        <v>15.4</v>
      </c>
      <c r="R49" s="54">
        <f>_xll.EQNXTDZ($A$1,$B49,R$1,$B$1)</f>
        <v>8.68</v>
      </c>
      <c r="S49" s="54">
        <f>_xll.EQNXTDZ($A$1,$B49,S$1,$B$1)</f>
        <v>-2.37</v>
      </c>
      <c r="T49" s="54">
        <f>_xll.EQNXTDZ($A$1,$B49,T$1,$B$1)</f>
        <v>-16.670000000000002</v>
      </c>
      <c r="U49" s="54">
        <f>_xll.EQNXTDZ($A$1,$B49,U$1,$B$1)</f>
        <v>-32.49</v>
      </c>
      <c r="V49" s="54">
        <f>_xll.EQNXTDZ($A$1,$B49,V$1,$B$1)</f>
        <v>-23.5</v>
      </c>
      <c r="W49" s="54">
        <f>_xll.EQNXTDZ($A$1,$B49,W$1,$B$1)</f>
        <v>-36.32</v>
      </c>
      <c r="X49" s="54">
        <f>_xll.EQNXTDZ($A$1,$B49,X$1,$B$1)</f>
        <v>-39.979999999999997</v>
      </c>
      <c r="Y49" s="54">
        <f>_xll.EQNXTDZ($A$1,$B49,Y$1,$B$1)</f>
        <v>-38.450000000000003</v>
      </c>
      <c r="Z49" s="54">
        <f>_xll.EQNXTDZ($A$1,$B49,Z$1,$B$1)</f>
        <v>-24.92</v>
      </c>
      <c r="AA49" s="54">
        <f>_xll.EQNXTDZ($A$1,$B49,AA$1,$B$1)</f>
        <v>-21.15</v>
      </c>
      <c r="AB49" s="54">
        <f>_xll.EQNXTDZ($A$1,$B49,AB$1,$B$1)</f>
        <v>-32.53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1.44</v>
      </c>
      <c r="O50" s="54">
        <f>_xll.EQNXTDZ($A$1,$B50,O$1,$B$1)</f>
        <v>1.52</v>
      </c>
      <c r="P50" s="54">
        <f>_xll.EQNXTDZ($A$1,$B50,P$1,$B$1)</f>
        <v>1.61</v>
      </c>
      <c r="Q50" s="54">
        <f>_xll.EQNXTDZ($A$1,$B50,Q$1,$B$1)</f>
        <v>1.52</v>
      </c>
      <c r="R50" s="54">
        <f>_xll.EQNXTDZ($A$1,$B50,R$1,$B$1)</f>
        <v>1.45</v>
      </c>
      <c r="S50" s="54">
        <f>_xll.EQNXTDZ($A$1,$B50,S$1,$B$1)</f>
        <v>1.27</v>
      </c>
      <c r="T50" s="54">
        <f>_xll.EQNXTDZ($A$1,$B50,T$1,$B$1)</f>
        <v>1.01</v>
      </c>
      <c r="U50" s="54">
        <f>_xll.EQNXTDZ($A$1,$B50,U$1,$B$1)</f>
        <v>0.99</v>
      </c>
      <c r="V50" s="54">
        <f>_xll.EQNXTDZ($A$1,$B50,V$1,$B$1)</f>
        <v>3.35</v>
      </c>
      <c r="W50" s="54">
        <f>_xll.EQNXTDZ($A$1,$B50,W$1,$B$1)</f>
        <v>58.97</v>
      </c>
      <c r="X50" s="54">
        <f>_xll.EQNXTDZ($A$1,$B50,X$1,$B$1)</f>
        <v>54.21</v>
      </c>
      <c r="Y50" s="54">
        <f>_xll.EQNXTDZ($A$1,$B50,Y$1,$B$1)</f>
        <v>56.85</v>
      </c>
      <c r="Z50" s="54">
        <f>_xll.EQNXTDZ($A$1,$B50,Z$1,$B$1)</f>
        <v>51.53</v>
      </c>
      <c r="AA50" s="54">
        <f>_xll.EQNXTDZ($A$1,$B50,AA$1,$B$1)</f>
        <v>57.8</v>
      </c>
      <c r="AB50" s="54">
        <f>_xll.EQNXTDZ($A$1,$B50,AB$1,$B$1)</f>
        <v>54.99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19.43</v>
      </c>
      <c r="O52" s="54">
        <f>_xll.EQNXTDZ($A$1,$B52,O$1,$B$1)</f>
        <v>22.94</v>
      </c>
      <c r="P52" s="54">
        <f>_xll.EQNXTDZ($A$1,$B52,P$1,$B$1)</f>
        <v>20.5</v>
      </c>
      <c r="Q52" s="54">
        <f>_xll.EQNXTDZ($A$1,$B52,Q$1,$B$1)</f>
        <v>32.9</v>
      </c>
      <c r="R52" s="54">
        <f>_xll.EQNXTDZ($A$1,$B52,R$1,$B$1)</f>
        <v>22.08</v>
      </c>
      <c r="S52" s="54">
        <f>_xll.EQNXTDZ($A$1,$B52,S$1,$B$1)</f>
        <v>25.79</v>
      </c>
      <c r="T52" s="54">
        <f>_xll.EQNXTDZ($A$1,$B52,T$1,$B$1)</f>
        <v>44.6</v>
      </c>
      <c r="U52" s="54">
        <f>_xll.EQNXTDZ($A$1,$B52,U$1,$B$1)</f>
        <v>38.36</v>
      </c>
      <c r="V52" s="54">
        <f>_xll.EQNXTDZ($A$1,$B52,V$1,$B$1)</f>
        <v>42.14</v>
      </c>
      <c r="W52" s="54">
        <f>_xll.EQNXTDZ($A$1,$B52,W$1,$B$1)</f>
        <v>91.93</v>
      </c>
      <c r="X52" s="54">
        <f>_xll.EQNXTDZ($A$1,$B52,X$1,$B$1)</f>
        <v>154.47999999999999</v>
      </c>
      <c r="Y52" s="54">
        <f>_xll.EQNXTDZ($A$1,$B52,Y$1,$B$1)</f>
        <v>228.08</v>
      </c>
      <c r="Z52" s="54">
        <f>_xll.EQNXTDZ($A$1,$B52,Z$1,$B$1)</f>
        <v>233.43</v>
      </c>
      <c r="AA52" s="54">
        <f>_xll.EQNXTDZ($A$1,$B52,AA$1,$B$1)</f>
        <v>237.77</v>
      </c>
      <c r="AB52" s="54">
        <f>_xll.EQNXTDZ($A$1,$B52,AB$1,$B$1)</f>
        <v>300.33999999999997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63.15</v>
      </c>
      <c r="F53" s="54">
        <f>_xll.EQNXTDZ($A$1,$B53,F$1,$B$1)</f>
        <v>33.74</v>
      </c>
      <c r="G53" s="54">
        <f>_xll.EQNXTDZ($A$1,$B53,G$1,$B$1)</f>
        <v>8.4</v>
      </c>
      <c r="H53" s="54">
        <f>_xll.EQNXTDZ($A$1,$B53,H$1,$B$1)</f>
        <v>18.02</v>
      </c>
      <c r="I53" s="54">
        <f>_xll.EQNXTDZ($A$1,$B53,I$1,$B$1)</f>
        <v>5.18</v>
      </c>
      <c r="J53" s="54">
        <f>_xll.EQNXTDZ($A$1,$B53,J$1,$B$1)</f>
        <v>6.63</v>
      </c>
      <c r="K53" s="54">
        <f>_xll.EQNXTDZ($A$1,$B53,K$1,$B$1)</f>
        <v>5.76</v>
      </c>
      <c r="L53" s="54">
        <f>_xll.EQNXTDZ($A$1,$B53,L$1,$B$1)</f>
        <v>4.51</v>
      </c>
      <c r="M53" s="54">
        <f>_xll.EQNXTDZ($A$1,$B53,M$1,$B$1)</f>
        <v>2.93</v>
      </c>
      <c r="N53" s="54">
        <f>_xll.EQNXTDZ($A$1,$B53,N$1,$B$1)</f>
        <v>24.04</v>
      </c>
      <c r="O53" s="54">
        <f>_xll.EQNXTDZ($A$1,$B53,O$1,$B$1)</f>
        <v>30.9</v>
      </c>
      <c r="P53" s="54">
        <f>_xll.EQNXTDZ($A$1,$B53,P$1,$B$1)</f>
        <v>39.520000000000003</v>
      </c>
      <c r="Q53" s="54">
        <f>_xll.EQNXTDZ($A$1,$B53,Q$1,$B$1)</f>
        <v>49.82</v>
      </c>
      <c r="R53" s="54">
        <f>_xll.EQNXTDZ($A$1,$B53,R$1,$B$1)</f>
        <v>32.21</v>
      </c>
      <c r="S53" s="54">
        <f>_xll.EQNXTDZ($A$1,$B53,S$1,$B$1)</f>
        <v>24.69</v>
      </c>
      <c r="T53" s="54">
        <f>_xll.EQNXTDZ($A$1,$B53,T$1,$B$1)</f>
        <v>85.86</v>
      </c>
      <c r="U53" s="54">
        <f>_xll.EQNXTDZ($A$1,$B53,U$1,$B$1)</f>
        <v>11.73</v>
      </c>
      <c r="V53" s="54">
        <f>_xll.EQNXTDZ($A$1,$B53,V$1,$B$1)</f>
        <v>21.99</v>
      </c>
      <c r="W53" s="54">
        <f>_xll.EQNXTDZ($A$1,$B53,W$1,$B$1)</f>
        <v>114.58</v>
      </c>
      <c r="X53" s="54">
        <f>_xll.EQNXTDZ($A$1,$B53,X$1,$B$1)</f>
        <v>168.71</v>
      </c>
      <c r="Y53" s="54">
        <f>_xll.EQNXTDZ($A$1,$B53,Y$1,$B$1)</f>
        <v>246.48</v>
      </c>
      <c r="Z53" s="54">
        <f>_xll.EQNXTDZ($A$1,$B53,Z$1,$B$1)</f>
        <v>260.04000000000002</v>
      </c>
      <c r="AA53" s="54">
        <f>_xll.EQNXTDZ($A$1,$B53,AA$1,$B$1)</f>
        <v>274.42</v>
      </c>
      <c r="AB53" s="54">
        <f>_xll.EQNXTDZ($A$1,$B53,AB$1,$B$1)</f>
        <v>322.8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46.42</v>
      </c>
      <c r="F54" s="54">
        <f>_xll.EQNXTDZ($A$1,$B54,F$1,$B$1)</f>
        <v>45.33</v>
      </c>
      <c r="G54" s="54">
        <f>_xll.EQNXTDZ($A$1,$B54,G$1,$B$1)</f>
        <v>54.91</v>
      </c>
      <c r="H54" s="54">
        <f>_xll.EQNXTDZ($A$1,$B54,H$1,$B$1)</f>
        <v>64.239999999999995</v>
      </c>
      <c r="I54" s="54">
        <f>_xll.EQNXTDZ($A$1,$B54,I$1,$B$1)</f>
        <v>86.34</v>
      </c>
      <c r="J54" s="54">
        <f>_xll.EQNXTDZ($A$1,$B54,J$1,$B$1)</f>
        <v>99.95</v>
      </c>
      <c r="K54" s="54">
        <f>_xll.EQNXTDZ($A$1,$B54,K$1,$B$1)</f>
        <v>115.05</v>
      </c>
      <c r="L54" s="54">
        <f>_xll.EQNXTDZ($A$1,$B54,L$1,$B$1)</f>
        <v>121.44</v>
      </c>
      <c r="M54" s="54">
        <f>_xll.EQNXTDZ($A$1,$B54,M$1,$B$1)</f>
        <v>177.17</v>
      </c>
      <c r="N54" s="54">
        <f>_xll.EQNXTDZ($A$1,$B54,N$1,$B$1)</f>
        <v>175.4</v>
      </c>
      <c r="O54" s="54">
        <f>_xll.EQNXTDZ($A$1,$B54,O$1,$B$1)</f>
        <v>178.61</v>
      </c>
      <c r="P54" s="54">
        <f>_xll.EQNXTDZ($A$1,$B54,P$1,$B$1)</f>
        <v>240.47</v>
      </c>
      <c r="Q54" s="54">
        <f>_xll.EQNXTDZ($A$1,$B54,Q$1,$B$1)</f>
        <v>216.06</v>
      </c>
      <c r="R54" s="54">
        <f>_xll.EQNXTDZ($A$1,$B54,R$1,$B$1)</f>
        <v>240.48</v>
      </c>
      <c r="S54" s="54">
        <f>_xll.EQNXTDZ($A$1,$B54,S$1,$B$1)</f>
        <v>271</v>
      </c>
      <c r="T54" s="54">
        <f>_xll.EQNXTDZ($A$1,$B54,T$1,$B$1)</f>
        <v>593.53</v>
      </c>
      <c r="U54" s="54">
        <f>_xll.EQNXTDZ($A$1,$B54,U$1,$B$1)</f>
        <v>787.8</v>
      </c>
      <c r="V54" s="54">
        <f>_xll.EQNXTDZ($A$1,$B54,V$1,$B$1)</f>
        <v>499.15</v>
      </c>
      <c r="W54" s="54">
        <f>_xll.EQNXTDZ($A$1,$B54,W$1,$B$1)</f>
        <v>768.66</v>
      </c>
      <c r="X54" s="54">
        <f>_xll.EQNXTDZ($A$1,$B54,X$1,$B$1)</f>
        <v>964.51</v>
      </c>
      <c r="Y54" s="54">
        <f>_xll.EQNXTDZ($A$1,$B54,Y$1,$B$1)</f>
        <v>1111.73</v>
      </c>
      <c r="Z54" s="54">
        <f>_xll.EQNXTDZ($A$1,$B54,Z$1,$B$1)</f>
        <v>1055.1400000000001</v>
      </c>
      <c r="AA54" s="54">
        <f>_xll.EQNXTDZ($A$1,$B54,AA$1,$B$1)</f>
        <v>1128.08</v>
      </c>
      <c r="AB54" s="54">
        <f>_xll.EQNXTDZ($A$1,$B54,AB$1,$B$1)</f>
        <v>1682.58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1.77</v>
      </c>
      <c r="F55" s="54">
        <f>_xll.EQNXTDZ($A$1,$B55,F$1,$B$1)</f>
        <v>2.77</v>
      </c>
      <c r="G55" s="54">
        <f>_xll.EQNXTDZ($A$1,$B55,G$1,$B$1)</f>
        <v>1.43</v>
      </c>
      <c r="H55" s="54">
        <f>_xll.EQNXTDZ($A$1,$B55,H$1,$B$1)</f>
        <v>1.45</v>
      </c>
      <c r="I55" s="54">
        <f>_xll.EQNXTDZ($A$1,$B55,I$1,$B$1)</f>
        <v>1.55</v>
      </c>
      <c r="J55" s="54">
        <f>_xll.EQNXTDZ($A$1,$B55,J$1,$B$1)</f>
        <v>1.69</v>
      </c>
      <c r="K55" s="54">
        <f>_xll.EQNXTDZ($A$1,$B55,K$1,$B$1)</f>
        <v>1.63</v>
      </c>
      <c r="L55" s="54">
        <f>_xll.EQNXTDZ($A$1,$B55,L$1,$B$1)</f>
        <v>1.65</v>
      </c>
      <c r="M55" s="54">
        <f>_xll.EQNXTDZ($A$1,$B55,M$1,$B$1)</f>
        <v>1.70999999999999</v>
      </c>
      <c r="N55" s="54">
        <f>_xll.EQNXTDZ($A$1,$B55,N$1,$B$1)</f>
        <v>45.22</v>
      </c>
      <c r="O55" s="54">
        <f>_xll.EQNXTDZ($A$1,$B55,O$1,$B$1)</f>
        <v>41.77</v>
      </c>
      <c r="P55" s="54">
        <f>_xll.EQNXTDZ($A$1,$B55,P$1,$B$1)</f>
        <v>48.85</v>
      </c>
      <c r="Q55" s="54">
        <f>_xll.EQNXTDZ($A$1,$B55,Q$1,$B$1)</f>
        <v>42</v>
      </c>
      <c r="R55" s="54">
        <f>_xll.EQNXTDZ($A$1,$B55,R$1,$B$1)</f>
        <v>69.040000000000006</v>
      </c>
      <c r="S55" s="54">
        <f>_xll.EQNXTDZ($A$1,$B55,S$1,$B$1)</f>
        <v>75.489999999999995</v>
      </c>
      <c r="T55" s="54">
        <f>_xll.EQNXTDZ($A$1,$B55,T$1,$B$1)</f>
        <v>132.55000000000001</v>
      </c>
      <c r="U55" s="54">
        <f>_xll.EQNXTDZ($A$1,$B55,U$1,$B$1)</f>
        <v>146.56</v>
      </c>
      <c r="V55" s="54">
        <f>_xll.EQNXTDZ($A$1,$B55,V$1,$B$1)</f>
        <v>116.85</v>
      </c>
      <c r="W55" s="54">
        <f>_xll.EQNXTDZ($A$1,$B55,W$1,$B$1)</f>
        <v>127.94</v>
      </c>
      <c r="X55" s="54">
        <f>_xll.EQNXTDZ($A$1,$B55,X$1,$B$1)</f>
        <v>135.68</v>
      </c>
      <c r="Y55" s="54">
        <f>_xll.EQNXTDZ($A$1,$B55,Y$1,$B$1)</f>
        <v>200.28</v>
      </c>
      <c r="Z55" s="54">
        <f>_xll.EQNXTDZ($A$1,$B55,Z$1,$B$1)</f>
        <v>267.56</v>
      </c>
      <c r="AA55" s="54">
        <f>_xll.EQNXTDZ($A$1,$B55,AA$1,$B$1)</f>
        <v>256.95999999999998</v>
      </c>
      <c r="AB55" s="54">
        <f>_xll.EQNXTDZ($A$1,$B55,AB$1,$B$1)</f>
        <v>282.58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12.46</v>
      </c>
      <c r="U56" s="54">
        <f>_xll.EQNXTDZ($A$1,$B56,U$1,$B$1)</f>
        <v>52.87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13.22</v>
      </c>
      <c r="F57" s="54">
        <f>_xll.EQNXTDZ($A$1,$B57,F$1,$B$1)</f>
        <v>16.52</v>
      </c>
      <c r="G57" s="54">
        <f>_xll.EQNXTDZ($A$1,$B57,G$1,$B$1)</f>
        <v>13.78</v>
      </c>
      <c r="H57" s="54">
        <f>_xll.EQNXTDZ($A$1,$B57,H$1,$B$1)</f>
        <v>16.829999999999998</v>
      </c>
      <c r="I57" s="54">
        <f>_xll.EQNXTDZ($A$1,$B57,I$1,$B$1)</f>
        <v>16.71</v>
      </c>
      <c r="J57" s="54">
        <f>_xll.EQNXTDZ($A$1,$B57,J$1,$B$1)</f>
        <v>17.059999999999999</v>
      </c>
      <c r="K57" s="54">
        <f>_xll.EQNXTDZ($A$1,$B57,K$1,$B$1)</f>
        <v>21.76</v>
      </c>
      <c r="L57" s="54">
        <f>_xll.EQNXTDZ($A$1,$B57,L$1,$B$1)</f>
        <v>20.36</v>
      </c>
      <c r="M57" s="54">
        <f>_xll.EQNXTDZ($A$1,$B57,M$1,$B$1)</f>
        <v>22.29</v>
      </c>
      <c r="N57" s="54">
        <f>_xll.EQNXTDZ($A$1,$B57,N$1,$B$1)</f>
        <v>22.1</v>
      </c>
      <c r="O57" s="54">
        <f>_xll.EQNXTDZ($A$1,$B57,O$1,$B$1)</f>
        <v>12.88</v>
      </c>
      <c r="P57" s="54">
        <f>_xll.EQNXTDZ($A$1,$B57,P$1,$B$1)</f>
        <v>14.88</v>
      </c>
      <c r="Q57" s="54">
        <f>_xll.EQNXTDZ($A$1,$B57,Q$1,$B$1)</f>
        <v>18.82</v>
      </c>
      <c r="R57" s="54">
        <f>_xll.EQNXTDZ($A$1,$B57,R$1,$B$1)</f>
        <v>24.41</v>
      </c>
      <c r="S57" s="54">
        <f>_xll.EQNXTDZ($A$1,$B57,S$1,$B$1)</f>
        <v>5</v>
      </c>
      <c r="T57" s="54">
        <f>_xll.EQNXTDZ($A$1,$B57,T$1,$B$1)</f>
        <v>14.15</v>
      </c>
      <c r="U57" s="54">
        <f>_xll.EQNXTDZ($A$1,$B57,U$1,$B$1)</f>
        <v>29.8</v>
      </c>
      <c r="V57" s="54">
        <f>_xll.EQNXTDZ($A$1,$B57,V$1,$B$1)</f>
        <v>21.58</v>
      </c>
      <c r="W57" s="54">
        <f>_xll.EQNXTDZ($A$1,$B57,W$1,$B$1)</f>
        <v>61.04</v>
      </c>
      <c r="X57" s="54">
        <f>_xll.EQNXTDZ($A$1,$B57,X$1,$B$1)</f>
        <v>87.03</v>
      </c>
      <c r="Y57" s="54">
        <f>_xll.EQNXTDZ($A$1,$B57,Y$1,$B$1)</f>
        <v>65.88</v>
      </c>
      <c r="Z57" s="54">
        <f>_xll.EQNXTDZ($A$1,$B57,Z$1,$B$1)</f>
        <v>82.45</v>
      </c>
      <c r="AA57" s="54">
        <f>_xll.EQNXTDZ($A$1,$B57,AA$1,$B$1)</f>
        <v>103</v>
      </c>
      <c r="AB57" s="54">
        <f>_xll.EQNXTDZ($A$1,$B57,AB$1,$B$1)</f>
        <v>143.21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61.41</v>
      </c>
      <c r="F59" s="54">
        <f>_xll.EQNXTDZ($A$1,$B59,F$1,$B$1)</f>
        <v>64.62</v>
      </c>
      <c r="G59" s="54">
        <f>_xll.EQNXTDZ($A$1,$B59,G$1,$B$1)</f>
        <v>70.12</v>
      </c>
      <c r="H59" s="54">
        <f>_xll.EQNXTDZ($A$1,$B59,H$1,$B$1)</f>
        <v>82.52</v>
      </c>
      <c r="I59" s="54">
        <f>_xll.EQNXTDZ($A$1,$B59,I$1,$B$1)</f>
        <v>104.6</v>
      </c>
      <c r="J59" s="54">
        <f>_xll.EQNXTDZ($A$1,$B59,J$1,$B$1)</f>
        <v>118.7</v>
      </c>
      <c r="K59" s="54">
        <f>_xll.EQNXTDZ($A$1,$B59,K$1,$B$1)</f>
        <v>138.44</v>
      </c>
      <c r="L59" s="54">
        <f>_xll.EQNXTDZ($A$1,$B59,L$1,$B$1)</f>
        <v>143.44999999999999</v>
      </c>
      <c r="M59" s="54">
        <f>_xll.EQNXTDZ($A$1,$B59,M$1,$B$1)</f>
        <v>201.17</v>
      </c>
      <c r="N59" s="54">
        <f>_xll.EQNXTDZ($A$1,$B59,N$1,$B$1)</f>
        <v>242.72</v>
      </c>
      <c r="O59" s="54">
        <f>_xll.EQNXTDZ($A$1,$B59,O$1,$B$1)</f>
        <v>233.26</v>
      </c>
      <c r="P59" s="54">
        <f>_xll.EQNXTDZ($A$1,$B59,P$1,$B$1)</f>
        <v>304.2</v>
      </c>
      <c r="Q59" s="54">
        <f>_xll.EQNXTDZ($A$1,$B59,Q$1,$B$1)</f>
        <v>276.88</v>
      </c>
      <c r="R59" s="54">
        <f>_xll.EQNXTDZ($A$1,$B59,R$1,$B$1)</f>
        <v>333.93</v>
      </c>
      <c r="S59" s="54">
        <f>_xll.EQNXTDZ($A$1,$B59,S$1,$B$1)</f>
        <v>351.49</v>
      </c>
      <c r="T59" s="54">
        <f>_xll.EQNXTDZ($A$1,$B59,T$1,$B$1)</f>
        <v>752.69</v>
      </c>
      <c r="U59" s="54">
        <f>_xll.EQNXTDZ($A$1,$B59,U$1,$B$1)</f>
        <v>1017.03</v>
      </c>
      <c r="V59" s="54">
        <f>_xll.EQNXTDZ($A$1,$B59,V$1,$B$1)</f>
        <v>637.58000000000004</v>
      </c>
      <c r="W59" s="54">
        <f>_xll.EQNXTDZ($A$1,$B59,W$1,$B$1)</f>
        <v>957.64</v>
      </c>
      <c r="X59" s="54">
        <f>_xll.EQNXTDZ($A$1,$B59,X$1,$B$1)</f>
        <v>1187.22</v>
      </c>
      <c r="Y59" s="54">
        <f>_xll.EQNXTDZ($A$1,$B59,Y$1,$B$1)</f>
        <v>1377.89</v>
      </c>
      <c r="Z59" s="54">
        <f>_xll.EQNXTDZ($A$1,$B59,Z$1,$B$1)</f>
        <v>1405.15</v>
      </c>
      <c r="AA59" s="54">
        <f>_xll.EQNXTDZ($A$1,$B59,AA$1,$B$1)</f>
        <v>1488.04</v>
      </c>
      <c r="AB59" s="54">
        <f>_xll.EQNXTDZ($A$1,$B59,AB$1,$B$1)</f>
        <v>2108.37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226.94</v>
      </c>
      <c r="F60" s="54">
        <f>_xll.EQNXTDZ($A$1,$B60,F$1,$B$1)</f>
        <v>214.55</v>
      </c>
      <c r="G60" s="54">
        <f>_xll.EQNXTDZ($A$1,$B60,G$1,$B$1)</f>
        <v>218.95</v>
      </c>
      <c r="H60" s="54">
        <f>_xll.EQNXTDZ($A$1,$B60,H$1,$B$1)</f>
        <v>282.11</v>
      </c>
      <c r="I60" s="54">
        <f>_xll.EQNXTDZ($A$1,$B60,I$1,$B$1)</f>
        <v>357.41</v>
      </c>
      <c r="J60" s="54">
        <f>_xll.EQNXTDZ($A$1,$B60,J$1,$B$1)</f>
        <v>443.43</v>
      </c>
      <c r="K60" s="54">
        <f>_xll.EQNXTDZ($A$1,$B60,K$1,$B$1)</f>
        <v>549.21</v>
      </c>
      <c r="L60" s="54">
        <f>_xll.EQNXTDZ($A$1,$B60,L$1,$B$1)</f>
        <v>609.70000000000005</v>
      </c>
      <c r="M60" s="54">
        <f>_xll.EQNXTDZ($A$1,$B60,M$1,$B$1)</f>
        <v>777.56</v>
      </c>
      <c r="N60" s="54">
        <f>_xll.EQNXTDZ($A$1,$B60,N$1,$B$1)</f>
        <v>996.8</v>
      </c>
      <c r="O60" s="54">
        <f>_xll.EQNXTDZ($A$1,$B60,O$1,$B$1)</f>
        <v>1143.6600000000001</v>
      </c>
      <c r="P60" s="54">
        <f>_xll.EQNXTDZ($A$1,$B60,P$1,$B$1)</f>
        <v>1333.27</v>
      </c>
      <c r="Q60" s="54">
        <f>_xll.EQNXTDZ($A$1,$B60,Q$1,$B$1)</f>
        <v>1434.19</v>
      </c>
      <c r="R60" s="54">
        <f>_xll.EQNXTDZ($A$1,$B60,R$1,$B$1)</f>
        <v>1655.38</v>
      </c>
      <c r="S60" s="54">
        <f>_xll.EQNXTDZ($A$1,$B60,S$1,$B$1)</f>
        <v>1851.34</v>
      </c>
      <c r="T60" s="54">
        <f>_xll.EQNXTDZ($A$1,$B60,T$1,$B$1)</f>
        <v>3163.71</v>
      </c>
      <c r="U60" s="54">
        <f>_xll.EQNXTDZ($A$1,$B60,U$1,$B$1)</f>
        <v>3734.88</v>
      </c>
      <c r="V60" s="54">
        <f>_xll.EQNXTDZ($A$1,$B60,V$1,$B$1)</f>
        <v>3621.73</v>
      </c>
      <c r="W60" s="54">
        <f>_xll.EQNXTDZ($A$1,$B60,W$1,$B$1)</f>
        <v>4212.51</v>
      </c>
      <c r="X60" s="54">
        <f>_xll.EQNXTDZ($A$1,$B60,X$1,$B$1)</f>
        <v>5009.6000000000004</v>
      </c>
      <c r="Y60" s="54">
        <f>_xll.EQNXTDZ($A$1,$B60,Y$1,$B$1)</f>
        <v>5910.27</v>
      </c>
      <c r="Z60" s="54">
        <f>_xll.EQNXTDZ($A$1,$B60,Z$1,$B$1)</f>
        <v>6470.54</v>
      </c>
      <c r="AA60" s="54">
        <f>_xll.EQNXTDZ($A$1,$B60,AA$1,$B$1)</f>
        <v>7096.89</v>
      </c>
      <c r="AB60" s="54">
        <f>_xll.EQNXTDZ($A$1,$B60,AB$1,$B$1)</f>
        <v>8479.1299999999992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248.15</v>
      </c>
      <c r="F62" s="54">
        <f>_xll.EQNXTDZ($A$1,$B62,F$1,$B$1)</f>
        <v>256.12</v>
      </c>
      <c r="G62" s="54">
        <f>_xll.EQNXTDZ($A$1,$B62,G$1,$B$1)</f>
        <v>264.85000000000002</v>
      </c>
      <c r="H62" s="54">
        <f>_xll.EQNXTDZ($A$1,$B62,H$1,$B$1)</f>
        <v>278.67</v>
      </c>
      <c r="I62" s="54">
        <f>_xll.EQNXTDZ($A$1,$B62,I$1,$B$1)</f>
        <v>324.60000000000002</v>
      </c>
      <c r="J62" s="54">
        <f>_xll.EQNXTDZ($A$1,$B62,J$1,$B$1)</f>
        <v>363.05</v>
      </c>
      <c r="K62" s="54">
        <f>_xll.EQNXTDZ($A$1,$B62,K$1,$B$1)</f>
        <v>400.17</v>
      </c>
      <c r="L62" s="54">
        <f>_xll.EQNXTDZ($A$1,$B62,L$1,$B$1)</f>
        <v>413.21</v>
      </c>
      <c r="M62" s="54">
        <f>_xll.EQNXTDZ($A$1,$B62,M$1,$B$1)</f>
        <v>418.99</v>
      </c>
      <c r="N62" s="54">
        <f>_xll.EQNXTDZ($A$1,$B62,N$1,$B$1)</f>
        <v>475.23</v>
      </c>
      <c r="O62" s="54">
        <f>_xll.EQNXTDZ($A$1,$B62,O$1,$B$1)</f>
        <v>601.29999999999995</v>
      </c>
      <c r="P62" s="54">
        <f>_xll.EQNXTDZ($A$1,$B62,P$1,$B$1)</f>
        <v>742.02</v>
      </c>
      <c r="Q62" s="54">
        <f>_xll.EQNXTDZ($A$1,$B62,Q$1,$B$1)</f>
        <v>739.36</v>
      </c>
      <c r="R62" s="54">
        <f>_xll.EQNXTDZ($A$1,$B62,R$1,$B$1)</f>
        <v>785.39</v>
      </c>
      <c r="S62" s="54">
        <f>_xll.EQNXTDZ($A$1,$B62,S$1,$B$1)</f>
        <v>450.2</v>
      </c>
      <c r="T62" s="54">
        <f>_xll.EQNXTDZ($A$1,$B62,T$1,$B$1)</f>
        <v>942.87</v>
      </c>
      <c r="U62" s="54">
        <f>_xll.EQNXTDZ($A$1,$B62,U$1,$B$1)</f>
        <v>1077.6600000000001</v>
      </c>
      <c r="V62" s="54">
        <f>_xll.EQNXTDZ($A$1,$B62,V$1,$B$1)</f>
        <v>1400.01</v>
      </c>
      <c r="W62" s="54">
        <f>_xll.EQNXTDZ($A$1,$B62,W$1,$B$1)</f>
        <v>1704.45</v>
      </c>
      <c r="X62" s="54">
        <f>_xll.EQNXTDZ($A$1,$B62,X$1,$B$1)</f>
        <v>1954.09</v>
      </c>
      <c r="Y62" s="54">
        <f>_xll.EQNXTDZ($A$1,$B62,Y$1,$B$1)</f>
        <v>2169.87</v>
      </c>
      <c r="Z62" s="54">
        <f>_xll.EQNXTDZ($A$1,$B62,Z$1,$B$1)</f>
        <v>2711.57</v>
      </c>
      <c r="AA62" s="54">
        <f>_xll.EQNXTDZ($A$1,$B62,AA$1,$B$1)</f>
        <v>3502.4</v>
      </c>
      <c r="AB62" s="54">
        <f>_xll.EQNXTDZ($A$1,$B62,AB$1,$B$1)</f>
        <v>4063.91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151.78</v>
      </c>
      <c r="F63" s="54">
        <f>_xll.EQNXTDZ($A$1,$B63,F$1,$B$1)</f>
        <v>167.84</v>
      </c>
      <c r="G63" s="54">
        <f>_xll.EQNXTDZ($A$1,$B63,G$1,$B$1)</f>
        <v>184.12</v>
      </c>
      <c r="H63" s="54">
        <f>_xll.EQNXTDZ($A$1,$B63,H$1,$B$1)</f>
        <v>195.56</v>
      </c>
      <c r="I63" s="54">
        <f>_xll.EQNXTDZ($A$1,$B63,I$1,$B$1)</f>
        <v>213.37</v>
      </c>
      <c r="J63" s="54">
        <f>_xll.EQNXTDZ($A$1,$B63,J$1,$B$1)</f>
        <v>231.82</v>
      </c>
      <c r="K63" s="54">
        <f>_xll.EQNXTDZ($A$1,$B63,K$1,$B$1)</f>
        <v>251.82</v>
      </c>
      <c r="L63" s="54">
        <f>_xll.EQNXTDZ($A$1,$B63,L$1,$B$1)</f>
        <v>271.60000000000002</v>
      </c>
      <c r="M63" s="54">
        <f>_xll.EQNXTDZ($A$1,$B63,M$1,$B$1)</f>
        <v>277.99</v>
      </c>
      <c r="N63" s="54">
        <f>_xll.EQNXTDZ($A$1,$B63,N$1,$B$1)</f>
        <v>296.91000000000003</v>
      </c>
      <c r="O63" s="54">
        <f>_xll.EQNXTDZ($A$1,$B63,O$1,$B$1)</f>
        <v>322.14</v>
      </c>
      <c r="P63" s="54">
        <f>_xll.EQNXTDZ($A$1,$B63,P$1,$B$1)</f>
        <v>343.13</v>
      </c>
      <c r="Q63" s="54">
        <f>_xll.EQNXTDZ($A$1,$B63,Q$1,$B$1)</f>
        <v>369.12</v>
      </c>
      <c r="R63" s="54">
        <f>_xll.EQNXTDZ($A$1,$B63,R$1,$B$1)</f>
        <v>439.67</v>
      </c>
      <c r="S63" s="54">
        <f>_xll.EQNXTDZ($A$1,$B63,S$1,$B$1)</f>
        <v>64.040000000000006</v>
      </c>
      <c r="T63" s="54">
        <f>_xll.EQNXTDZ($A$1,$B63,T$1,$B$1)</f>
        <v>198.65</v>
      </c>
      <c r="U63" s="54">
        <f>_xll.EQNXTDZ($A$1,$B63,U$1,$B$1)</f>
        <v>346.96</v>
      </c>
      <c r="V63" s="54">
        <f>_xll.EQNXTDZ($A$1,$B63,V$1,$B$1)</f>
        <v>505.42</v>
      </c>
      <c r="W63" s="54">
        <f>_xll.EQNXTDZ($A$1,$B63,W$1,$B$1)</f>
        <v>698.61</v>
      </c>
      <c r="X63" s="54">
        <f>_xll.EQNXTDZ($A$1,$B63,X$1,$B$1)</f>
        <v>884.39</v>
      </c>
      <c r="Y63" s="54">
        <f>_xll.EQNXTDZ($A$1,$B63,Y$1,$B$1)</f>
        <v>1047.1600000000001</v>
      </c>
      <c r="Z63" s="54">
        <f>_xll.EQNXTDZ($A$1,$B63,Z$1,$B$1)</f>
        <v>1270.3800000000001</v>
      </c>
      <c r="AA63" s="54">
        <f>_xll.EQNXTDZ($A$1,$B63,AA$1,$B$1)</f>
        <v>1532.88</v>
      </c>
      <c r="AB63" s="54">
        <f>_xll.EQNXTDZ($A$1,$B63,AB$1,$B$1)</f>
        <v>1868.95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96.37</v>
      </c>
      <c r="F65" s="54">
        <f>_xll.EQNXTDZ($A$1,$B65,F$1,$B$1)</f>
        <v>88.28</v>
      </c>
      <c r="G65" s="54">
        <f>_xll.EQNXTDZ($A$1,$B65,G$1,$B$1)</f>
        <v>80.73</v>
      </c>
      <c r="H65" s="54">
        <f>_xll.EQNXTDZ($A$1,$B65,H$1,$B$1)</f>
        <v>83.11</v>
      </c>
      <c r="I65" s="54">
        <f>_xll.EQNXTDZ($A$1,$B65,I$1,$B$1)</f>
        <v>111.23</v>
      </c>
      <c r="J65" s="54">
        <f>_xll.EQNXTDZ($A$1,$B65,J$1,$B$1)</f>
        <v>131.22999999999999</v>
      </c>
      <c r="K65" s="54">
        <f>_xll.EQNXTDZ($A$1,$B65,K$1,$B$1)</f>
        <v>148.35</v>
      </c>
      <c r="L65" s="54">
        <f>_xll.EQNXTDZ($A$1,$B65,L$1,$B$1)</f>
        <v>141.61000000000001</v>
      </c>
      <c r="M65" s="54">
        <f>_xll.EQNXTDZ($A$1,$B65,M$1,$B$1)</f>
        <v>141</v>
      </c>
      <c r="N65" s="54">
        <f>_xll.EQNXTDZ($A$1,$B65,N$1,$B$1)</f>
        <v>178.32</v>
      </c>
      <c r="O65" s="54">
        <f>_xll.EQNXTDZ($A$1,$B65,O$1,$B$1)</f>
        <v>279.16000000000003</v>
      </c>
      <c r="P65" s="54">
        <f>_xll.EQNXTDZ($A$1,$B65,P$1,$B$1)</f>
        <v>398.89</v>
      </c>
      <c r="Q65" s="54">
        <f>_xll.EQNXTDZ($A$1,$B65,Q$1,$B$1)</f>
        <v>370.24</v>
      </c>
      <c r="R65" s="54">
        <f>_xll.EQNXTDZ($A$1,$B65,R$1,$B$1)</f>
        <v>345.72</v>
      </c>
      <c r="S65" s="54">
        <f>_xll.EQNXTDZ($A$1,$B65,S$1,$B$1)</f>
        <v>386.16</v>
      </c>
      <c r="T65" s="54">
        <f>_xll.EQNXTDZ($A$1,$B65,T$1,$B$1)</f>
        <v>744.22</v>
      </c>
      <c r="U65" s="54">
        <f>_xll.EQNXTDZ($A$1,$B65,U$1,$B$1)</f>
        <v>730.7</v>
      </c>
      <c r="V65" s="54">
        <f>_xll.EQNXTDZ($A$1,$B65,V$1,$B$1)</f>
        <v>894.59</v>
      </c>
      <c r="W65" s="54">
        <f>_xll.EQNXTDZ($A$1,$B65,W$1,$B$1)</f>
        <v>1005.84</v>
      </c>
      <c r="X65" s="54">
        <f>_xll.EQNXTDZ($A$1,$B65,X$1,$B$1)</f>
        <v>1069.7</v>
      </c>
      <c r="Y65" s="54">
        <f>_xll.EQNXTDZ($A$1,$B65,Y$1,$B$1)</f>
        <v>1122.71</v>
      </c>
      <c r="Z65" s="54">
        <f>_xll.EQNXTDZ($A$1,$B65,Z$1,$B$1)</f>
        <v>1441.19</v>
      </c>
      <c r="AA65" s="54">
        <f>_xll.EQNXTDZ($A$1,$B65,AA$1,$B$1)</f>
        <v>1969.52</v>
      </c>
      <c r="AB65" s="54">
        <f>_xll.EQNXTDZ($A$1,$B65,AB$1,$B$1)</f>
        <v>2194.96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1.53</v>
      </c>
      <c r="F67" s="54">
        <f>_xll.EQNXTDZ($A$1,$B67,F$1,$B$1)</f>
        <v>2.46</v>
      </c>
      <c r="G67" s="54">
        <f>_xll.EQNXTDZ($A$1,$B67,G$1,$B$1)</f>
        <v>6.09</v>
      </c>
      <c r="H67" s="54">
        <f>_xll.EQNXTDZ($A$1,$B67,H$1,$B$1)</f>
        <v>27.19</v>
      </c>
      <c r="I67" s="54">
        <f>_xll.EQNXTDZ($A$1,$B67,I$1,$B$1)</f>
        <v>27.97</v>
      </c>
      <c r="J67" s="54">
        <f>_xll.EQNXTDZ($A$1,$B67,J$1,$B$1)</f>
        <v>11.06</v>
      </c>
      <c r="K67" s="54">
        <f>_xll.EQNXTDZ($A$1,$B67,K$1,$B$1)</f>
        <v>15.1</v>
      </c>
      <c r="L67" s="54">
        <f>_xll.EQNXTDZ($A$1,$B67,L$1,$B$1)</f>
        <v>6.83</v>
      </c>
      <c r="M67" s="54">
        <f>_xll.EQNXTDZ($A$1,$B67,M$1,$B$1)</f>
        <v>8.6</v>
      </c>
      <c r="N67" s="54">
        <f>_xll.EQNXTDZ($A$1,$B67,N$1,$B$1)</f>
        <v>56.84</v>
      </c>
      <c r="O67" s="54">
        <f>_xll.EQNXTDZ($A$1,$B67,O$1,$B$1)</f>
        <v>113.55</v>
      </c>
      <c r="P67" s="54">
        <f>_xll.EQNXTDZ($A$1,$B67,P$1,$B$1)</f>
        <v>13.43</v>
      </c>
      <c r="Q67" s="54">
        <f>_xll.EQNXTDZ($A$1,$B67,Q$1,$B$1)</f>
        <v>20.12</v>
      </c>
      <c r="R67" s="54">
        <f>_xll.EQNXTDZ($A$1,$B67,R$1,$B$1)</f>
        <v>51.88</v>
      </c>
      <c r="S67" s="54">
        <f>_xll.EQNXTDZ($A$1,$B67,S$1,$B$1)</f>
        <v>24.13</v>
      </c>
      <c r="T67" s="54">
        <f>_xll.EQNXTDZ($A$1,$B67,T$1,$B$1)</f>
        <v>53.45</v>
      </c>
      <c r="U67" s="54">
        <f>_xll.EQNXTDZ($A$1,$B67,U$1,$B$1)</f>
        <v>161.72</v>
      </c>
      <c r="V67" s="54">
        <f>_xll.EQNXTDZ($A$1,$B67,V$1,$B$1)</f>
        <v>166.25</v>
      </c>
      <c r="W67" s="54">
        <f>_xll.EQNXTDZ($A$1,$B67,W$1,$B$1)</f>
        <v>160.41</v>
      </c>
      <c r="X67" s="54">
        <f>_xll.EQNXTDZ($A$1,$B67,X$1,$B$1)</f>
        <v>89.23</v>
      </c>
      <c r="Y67" s="54">
        <f>_xll.EQNXTDZ($A$1,$B67,Y$1,$B$1)</f>
        <v>249.34</v>
      </c>
      <c r="Z67" s="54">
        <f>_xll.EQNXTDZ($A$1,$B67,Z$1,$B$1)</f>
        <v>490.77</v>
      </c>
      <c r="AA67" s="54">
        <f>_xll.EQNXTDZ($A$1,$B67,AA$1,$B$1)</f>
        <v>449.11</v>
      </c>
      <c r="AB67" s="54">
        <f>_xll.EQNXTDZ($A$1,$B67,AB$1,$B$1)</f>
        <v>334.46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1.81</v>
      </c>
      <c r="F71" s="54">
        <f>_xll.EQNXTDZ($A$1,$B71,F$1,$B$1)</f>
        <v>1.81</v>
      </c>
      <c r="G71" s="54">
        <f>_xll.EQNXTDZ($A$1,$B71,G$1,$B$1)</f>
        <v>1.81</v>
      </c>
      <c r="H71" s="54">
        <f>_xll.EQNXTDZ($A$1,$B71,H$1,$B$1)</f>
        <v>1.81</v>
      </c>
      <c r="I71" s="54">
        <f>_xll.EQNXTDZ($A$1,$B71,I$1,$B$1)</f>
        <v>1.74</v>
      </c>
      <c r="J71" s="54">
        <f>_xll.EQNXTDZ($A$1,$B71,J$1,$B$1)</f>
        <v>0.3</v>
      </c>
      <c r="K71" s="54">
        <f>_xll.EQNXTDZ($A$1,$B71,K$1,$B$1)</f>
        <v>0.32</v>
      </c>
      <c r="L71" s="54">
        <f>_xll.EQNXTDZ($A$1,$B71,L$1,$B$1)</f>
        <v>0.32</v>
      </c>
      <c r="M71" s="54">
        <f>_xll.EQNXTDZ($A$1,$B71,M$1,$B$1)</f>
        <v>0.32</v>
      </c>
      <c r="N71" s="54">
        <f>_xll.EQNXTDZ($A$1,$B71,N$1,$B$1)</f>
        <v>0</v>
      </c>
      <c r="O71" s="54">
        <f>_xll.EQNXTDZ($A$1,$B71,O$1,$B$1)</f>
        <v>4.3499999999999996</v>
      </c>
      <c r="P71" s="54">
        <f>_xll.EQNXTDZ($A$1,$B71,P$1,$B$1)</f>
        <v>4.3499999999999996</v>
      </c>
      <c r="Q71" s="54">
        <f>_xll.EQNXTDZ($A$1,$B71,Q$1,$B$1)</f>
        <v>4.3499999999999996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120.17</v>
      </c>
      <c r="O72" s="54">
        <f>_xll.EQNXTDZ($A$1,$B72,O$1,$B$1)</f>
        <v>75.430000000000007</v>
      </c>
      <c r="P72" s="54">
        <f>_xll.EQNXTDZ($A$1,$B72,P$1,$B$1)</f>
        <v>176.51</v>
      </c>
      <c r="Q72" s="54">
        <f>_xll.EQNXTDZ($A$1,$B72,Q$1,$B$1)</f>
        <v>99.94</v>
      </c>
      <c r="R72" s="54">
        <f>_xll.EQNXTDZ($A$1,$B72,R$1,$B$1)</f>
        <v>128.32</v>
      </c>
      <c r="S72" s="54">
        <f>_xll.EQNXTDZ($A$1,$B72,S$1,$B$1)</f>
        <v>141.66999999999999</v>
      </c>
      <c r="T72" s="54">
        <f>_xll.EQNXTDZ($A$1,$B72,T$1,$B$1)</f>
        <v>114.74</v>
      </c>
      <c r="U72" s="54">
        <f>_xll.EQNXTDZ($A$1,$B72,U$1,$B$1)</f>
        <v>128.22</v>
      </c>
      <c r="V72" s="54">
        <f>_xll.EQNXTDZ($A$1,$B72,V$1,$B$1)</f>
        <v>157.06</v>
      </c>
      <c r="W72" s="54">
        <f>_xll.EQNXTDZ($A$1,$B72,W$1,$B$1)</f>
        <v>243.86</v>
      </c>
      <c r="X72" s="54">
        <f>_xll.EQNXTDZ($A$1,$B72,X$1,$B$1)</f>
        <v>307.3</v>
      </c>
      <c r="Y72" s="54">
        <f>_xll.EQNXTDZ($A$1,$B72,Y$1,$B$1)</f>
        <v>429.52</v>
      </c>
      <c r="Z72" s="54">
        <f>_xll.EQNXTDZ($A$1,$B72,Z$1,$B$1)</f>
        <v>413.33</v>
      </c>
      <c r="AA72" s="54">
        <f>_xll.EQNXTDZ($A$1,$B72,AA$1,$B$1)</f>
        <v>395.3</v>
      </c>
      <c r="AB72" s="54">
        <f>_xll.EQNXTDZ($A$1,$B72,AB$1,$B$1)</f>
        <v>451.86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0.46</v>
      </c>
      <c r="P73" s="54">
        <f>_xll.EQNXTDZ($A$1,$B73,P$1,$B$1)</f>
        <v>0.46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0.5</v>
      </c>
      <c r="U73" s="54">
        <f>_xll.EQNXTDZ($A$1,$B73,U$1,$B$1)</f>
        <v>50.51</v>
      </c>
      <c r="V73" s="54">
        <f>_xll.EQNXTDZ($A$1,$B73,V$1,$B$1)</f>
        <v>139.13999999999999</v>
      </c>
      <c r="W73" s="54">
        <f>_xll.EQNXTDZ($A$1,$B73,W$1,$B$1)</f>
        <v>76.349999999999994</v>
      </c>
      <c r="X73" s="54">
        <f>_xll.EQNXTDZ($A$1,$B73,X$1,$B$1)</f>
        <v>127.55</v>
      </c>
      <c r="Y73" s="54">
        <f>_xll.EQNXTDZ($A$1,$B73,Y$1,$B$1)</f>
        <v>120.55</v>
      </c>
      <c r="Z73" s="54">
        <f>_xll.EQNXTDZ($A$1,$B73,Z$1,$B$1)</f>
        <v>19.09</v>
      </c>
      <c r="AA73" s="54">
        <f>_xll.EQNXTDZ($A$1,$B73,AA$1,$B$1)</f>
        <v>29.25</v>
      </c>
      <c r="AB73" s="54">
        <f>_xll.EQNXTDZ($A$1,$B73,AB$1,$B$1)</f>
        <v>32.82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99.71</v>
      </c>
      <c r="F74" s="54">
        <f>_xll.EQNXTDZ($A$1,$B74,F$1,$B$1)</f>
        <v>92.55</v>
      </c>
      <c r="G74" s="54">
        <f>_xll.EQNXTDZ($A$1,$B74,G$1,$B$1)</f>
        <v>88.63</v>
      </c>
      <c r="H74" s="54">
        <f>_xll.EQNXTDZ($A$1,$B74,H$1,$B$1)</f>
        <v>112.11</v>
      </c>
      <c r="I74" s="54">
        <f>_xll.EQNXTDZ($A$1,$B74,I$1,$B$1)</f>
        <v>140.94</v>
      </c>
      <c r="J74" s="54">
        <f>_xll.EQNXTDZ($A$1,$B74,J$1,$B$1)</f>
        <v>142.59</v>
      </c>
      <c r="K74" s="54">
        <f>_xll.EQNXTDZ($A$1,$B74,K$1,$B$1)</f>
        <v>163.77000000000001</v>
      </c>
      <c r="L74" s="54">
        <f>_xll.EQNXTDZ($A$1,$B74,L$1,$B$1)</f>
        <v>148.76</v>
      </c>
      <c r="M74" s="54">
        <f>_xll.EQNXTDZ($A$1,$B74,M$1,$B$1)</f>
        <v>149.91999999999999</v>
      </c>
      <c r="N74" s="54">
        <f>_xll.EQNXTDZ($A$1,$B74,N$1,$B$1)</f>
        <v>355.33</v>
      </c>
      <c r="O74" s="54">
        <f>_xll.EQNXTDZ($A$1,$B74,O$1,$B$1)</f>
        <v>472.95</v>
      </c>
      <c r="P74" s="54">
        <f>_xll.EQNXTDZ($A$1,$B74,P$1,$B$1)</f>
        <v>593.64</v>
      </c>
      <c r="Q74" s="54">
        <f>_xll.EQNXTDZ($A$1,$B74,Q$1,$B$1)</f>
        <v>494.65</v>
      </c>
      <c r="R74" s="54">
        <f>_xll.EQNXTDZ($A$1,$B74,R$1,$B$1)</f>
        <v>525.91999999999996</v>
      </c>
      <c r="S74" s="54">
        <f>_xll.EQNXTDZ($A$1,$B74,S$1,$B$1)</f>
        <v>551.96</v>
      </c>
      <c r="T74" s="54">
        <f>_xll.EQNXTDZ($A$1,$B74,T$1,$B$1)</f>
        <v>912.91</v>
      </c>
      <c r="U74" s="54">
        <f>_xll.EQNXTDZ($A$1,$B74,U$1,$B$1)</f>
        <v>1071.1500000000001</v>
      </c>
      <c r="V74" s="54">
        <f>_xll.EQNXTDZ($A$1,$B74,V$1,$B$1)</f>
        <v>1357.04</v>
      </c>
      <c r="W74" s="54">
        <f>_xll.EQNXTDZ($A$1,$B74,W$1,$B$1)</f>
        <v>1486.46</v>
      </c>
      <c r="X74" s="54">
        <f>_xll.EQNXTDZ($A$1,$B74,X$1,$B$1)</f>
        <v>1593.78</v>
      </c>
      <c r="Y74" s="54">
        <f>_xll.EQNXTDZ($A$1,$B74,Y$1,$B$1)</f>
        <v>1922.12</v>
      </c>
      <c r="Z74" s="54">
        <f>_xll.EQNXTDZ($A$1,$B74,Z$1,$B$1)</f>
        <v>2364.38</v>
      </c>
      <c r="AA74" s="54">
        <f>_xll.EQNXTDZ($A$1,$B74,AA$1,$B$1)</f>
        <v>2843.18</v>
      </c>
      <c r="AB74" s="54">
        <f>_xll.EQNXTDZ($A$1,$B74,AB$1,$B$1)</f>
        <v>3014.1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0.56000000000000005</v>
      </c>
      <c r="F75" s="54">
        <f>_xll.EQNXTDZ($A$1,$B75,F$1,$B$1)</f>
        <v>0.91</v>
      </c>
      <c r="G75" s="54">
        <f>_xll.EQNXTDZ($A$1,$B75,G$1,$B$1)</f>
        <v>0.91</v>
      </c>
      <c r="H75" s="54">
        <f>_xll.EQNXTDZ($A$1,$B75,H$1,$B$1)</f>
        <v>0.91</v>
      </c>
      <c r="I75" s="54">
        <f>_xll.EQNXTDZ($A$1,$B75,I$1,$B$1)</f>
        <v>0.91</v>
      </c>
      <c r="J75" s="54">
        <f>_xll.EQNXTDZ($A$1,$B75,J$1,$B$1)</f>
        <v>0.92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53.51</v>
      </c>
      <c r="F76" s="54">
        <f>_xll.EQNXTDZ($A$1,$B76,F$1,$B$1)</f>
        <v>48.23</v>
      </c>
      <c r="G76" s="54">
        <f>_xll.EQNXTDZ($A$1,$B76,G$1,$B$1)</f>
        <v>59.22</v>
      </c>
      <c r="H76" s="54">
        <f>_xll.EQNXTDZ($A$1,$B76,H$1,$B$1)</f>
        <v>69.52</v>
      </c>
      <c r="I76" s="54">
        <f>_xll.EQNXTDZ($A$1,$B76,I$1,$B$1)</f>
        <v>91.87</v>
      </c>
      <c r="J76" s="54">
        <f>_xll.EQNXTDZ($A$1,$B76,J$1,$B$1)</f>
        <v>98.28</v>
      </c>
      <c r="K76" s="54">
        <f>_xll.EQNXTDZ($A$1,$B76,K$1,$B$1)</f>
        <v>159.29</v>
      </c>
      <c r="L76" s="54">
        <f>_xll.EQNXTDZ($A$1,$B76,L$1,$B$1)</f>
        <v>100.73</v>
      </c>
      <c r="M76" s="54">
        <f>_xll.EQNXTDZ($A$1,$B76,M$1,$B$1)</f>
        <v>127.02</v>
      </c>
      <c r="N76" s="54">
        <f>_xll.EQNXTDZ($A$1,$B76,N$1,$B$1)</f>
        <v>162.25</v>
      </c>
      <c r="O76" s="54">
        <f>_xll.EQNXTDZ($A$1,$B76,O$1,$B$1)</f>
        <v>142.21</v>
      </c>
      <c r="P76" s="54">
        <f>_xll.EQNXTDZ($A$1,$B76,P$1,$B$1)</f>
        <v>170.58</v>
      </c>
      <c r="Q76" s="54">
        <f>_xll.EQNXTDZ($A$1,$B76,Q$1,$B$1)</f>
        <v>190.89</v>
      </c>
      <c r="R76" s="54">
        <f>_xll.EQNXTDZ($A$1,$B76,R$1,$B$1)</f>
        <v>220.25</v>
      </c>
      <c r="S76" s="54">
        <f>_xll.EQNXTDZ($A$1,$B76,S$1,$B$1)</f>
        <v>273.99</v>
      </c>
      <c r="T76" s="54">
        <f>_xll.EQNXTDZ($A$1,$B76,T$1,$B$1)</f>
        <v>600.64</v>
      </c>
      <c r="U76" s="54">
        <f>_xll.EQNXTDZ($A$1,$B76,U$1,$B$1)</f>
        <v>910.07</v>
      </c>
      <c r="V76" s="54">
        <f>_xll.EQNXTDZ($A$1,$B76,V$1,$B$1)</f>
        <v>720.49</v>
      </c>
      <c r="W76" s="54">
        <f>_xll.EQNXTDZ($A$1,$B76,W$1,$B$1)</f>
        <v>713.63</v>
      </c>
      <c r="X76" s="54">
        <f>_xll.EQNXTDZ($A$1,$B76,X$1,$B$1)</f>
        <v>1086.49</v>
      </c>
      <c r="Y76" s="54">
        <f>_xll.EQNXTDZ($A$1,$B76,Y$1,$B$1)</f>
        <v>1243.3699999999999</v>
      </c>
      <c r="Z76" s="54">
        <f>_xll.EQNXTDZ($A$1,$B76,Z$1,$B$1)</f>
        <v>1315.61</v>
      </c>
      <c r="AA76" s="54">
        <f>_xll.EQNXTDZ($A$1,$B76,AA$1,$B$1)</f>
        <v>1469.62</v>
      </c>
      <c r="AB76" s="54">
        <f>_xll.EQNXTDZ($A$1,$B76,AB$1,$B$1)</f>
        <v>1771.75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56.65</v>
      </c>
      <c r="F77" s="54">
        <f>_xll.EQNXTDZ($A$1,$B77,F$1,$B$1)</f>
        <v>52.52</v>
      </c>
      <c r="G77" s="54">
        <f>_xll.EQNXTDZ($A$1,$B77,G$1,$B$1)</f>
        <v>49.66</v>
      </c>
      <c r="H77" s="54">
        <f>_xll.EQNXTDZ($A$1,$B77,H$1,$B$1)</f>
        <v>65.599999999999994</v>
      </c>
      <c r="I77" s="54">
        <f>_xll.EQNXTDZ($A$1,$B77,I$1,$B$1)</f>
        <v>85.82</v>
      </c>
      <c r="J77" s="54">
        <f>_xll.EQNXTDZ($A$1,$B77,J$1,$B$1)</f>
        <v>104.67</v>
      </c>
      <c r="K77" s="54">
        <f>_xll.EQNXTDZ($A$1,$B77,K$1,$B$1)</f>
        <v>114.5</v>
      </c>
      <c r="L77" s="54">
        <f>_xll.EQNXTDZ($A$1,$B77,L$1,$B$1)</f>
        <v>108.91</v>
      </c>
      <c r="M77" s="54">
        <f>_xll.EQNXTDZ($A$1,$B77,M$1,$B$1)</f>
        <v>131.44999999999999</v>
      </c>
      <c r="N77" s="54">
        <f>_xll.EQNXTDZ($A$1,$B77,N$1,$B$1)</f>
        <v>214.3</v>
      </c>
      <c r="O77" s="54">
        <f>_xll.EQNXTDZ($A$1,$B77,O$1,$B$1)</f>
        <v>254.71</v>
      </c>
      <c r="P77" s="54">
        <f>_xll.EQNXTDZ($A$1,$B77,P$1,$B$1)</f>
        <v>290.60000000000002</v>
      </c>
      <c r="Q77" s="54">
        <f>_xll.EQNXTDZ($A$1,$B77,Q$1,$B$1)</f>
        <v>290.05</v>
      </c>
      <c r="R77" s="54">
        <f>_xll.EQNXTDZ($A$1,$B77,R$1,$B$1)</f>
        <v>336.44</v>
      </c>
      <c r="S77" s="54">
        <f>_xll.EQNXTDZ($A$1,$B77,S$1,$B$1)</f>
        <v>326.27999999999997</v>
      </c>
      <c r="T77" s="54">
        <f>_xll.EQNXTDZ($A$1,$B77,T$1,$B$1)</f>
        <v>640.17999999999995</v>
      </c>
      <c r="U77" s="54">
        <f>_xll.EQNXTDZ($A$1,$B77,U$1,$B$1)</f>
        <v>751.33</v>
      </c>
      <c r="V77" s="54">
        <f>_xll.EQNXTDZ($A$1,$B77,V$1,$B$1)</f>
        <v>631.94000000000005</v>
      </c>
      <c r="W77" s="54">
        <f>_xll.EQNXTDZ($A$1,$B77,W$1,$B$1)</f>
        <v>691.72</v>
      </c>
      <c r="X77" s="54">
        <f>_xll.EQNXTDZ($A$1,$B77,X$1,$B$1)</f>
        <v>846.27</v>
      </c>
      <c r="Y77" s="54">
        <f>_xll.EQNXTDZ($A$1,$B77,Y$1,$B$1)</f>
        <v>1032.4100000000001</v>
      </c>
      <c r="Z77" s="54">
        <f>_xll.EQNXTDZ($A$1,$B77,Z$1,$B$1)</f>
        <v>1055.5899999999999</v>
      </c>
      <c r="AA77" s="54">
        <f>_xll.EQNXTDZ($A$1,$B77,AA$1,$B$1)</f>
        <v>1292.92</v>
      </c>
      <c r="AB77" s="54">
        <f>_xll.EQNXTDZ($A$1,$B77,AB$1,$B$1)</f>
        <v>1657.27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2.4700000000000002</v>
      </c>
      <c r="F78" s="54">
        <f>_xll.EQNXTDZ($A$1,$B78,F$1,$B$1)</f>
        <v>4.47</v>
      </c>
      <c r="G78" s="54">
        <f>_xll.EQNXTDZ($A$1,$B78,G$1,$B$1)</f>
        <v>2.58</v>
      </c>
      <c r="H78" s="54">
        <f>_xll.EQNXTDZ($A$1,$B78,H$1,$B$1)</f>
        <v>7.98</v>
      </c>
      <c r="I78" s="54">
        <f>_xll.EQNXTDZ($A$1,$B78,I$1,$B$1)</f>
        <v>12.29</v>
      </c>
      <c r="J78" s="54">
        <f>_xll.EQNXTDZ($A$1,$B78,J$1,$B$1)</f>
        <v>63.93</v>
      </c>
      <c r="K78" s="54">
        <f>_xll.EQNXTDZ($A$1,$B78,K$1,$B$1)</f>
        <v>63.55</v>
      </c>
      <c r="L78" s="54">
        <f>_xll.EQNXTDZ($A$1,$B78,L$1,$B$1)</f>
        <v>173.07</v>
      </c>
      <c r="M78" s="54">
        <f>_xll.EQNXTDZ($A$1,$B78,M$1,$B$1)</f>
        <v>288.01</v>
      </c>
      <c r="N78" s="54">
        <f>_xll.EQNXTDZ($A$1,$B78,N$1,$B$1)</f>
        <v>233.42</v>
      </c>
      <c r="O78" s="54">
        <f>_xll.EQNXTDZ($A$1,$B78,O$1,$B$1)</f>
        <v>194.82</v>
      </c>
      <c r="P78" s="54">
        <f>_xll.EQNXTDZ($A$1,$B78,P$1,$B$1)</f>
        <v>237.66</v>
      </c>
      <c r="Q78" s="54">
        <f>_xll.EQNXTDZ($A$1,$B78,Q$1,$B$1)</f>
        <v>329.45</v>
      </c>
      <c r="R78" s="54">
        <f>_xll.EQNXTDZ($A$1,$B78,R$1,$B$1)</f>
        <v>470.41</v>
      </c>
      <c r="S78" s="54">
        <f>_xll.EQNXTDZ($A$1,$B78,S$1,$B$1)</f>
        <v>640.54999999999995</v>
      </c>
      <c r="T78" s="54">
        <f>_xll.EQNXTDZ($A$1,$B78,T$1,$B$1)</f>
        <v>893.77</v>
      </c>
      <c r="U78" s="54">
        <f>_xll.EQNXTDZ($A$1,$B78,U$1,$B$1)</f>
        <v>847.6</v>
      </c>
      <c r="V78" s="54">
        <f>_xll.EQNXTDZ($A$1,$B78,V$1,$B$1)</f>
        <v>835.36</v>
      </c>
      <c r="W78" s="54">
        <f>_xll.EQNXTDZ($A$1,$B78,W$1,$B$1)</f>
        <v>1245.9000000000001</v>
      </c>
      <c r="X78" s="54">
        <f>_xll.EQNXTDZ($A$1,$B78,X$1,$B$1)</f>
        <v>1415.67</v>
      </c>
      <c r="Y78" s="54">
        <f>_xll.EQNXTDZ($A$1,$B78,Y$1,$B$1)</f>
        <v>1554.53</v>
      </c>
      <c r="Z78" s="54">
        <f>_xll.EQNXTDZ($A$1,$B78,Z$1,$B$1)</f>
        <v>1585.66</v>
      </c>
      <c r="AA78" s="54">
        <f>_xll.EQNXTDZ($A$1,$B78,AA$1,$B$1)</f>
        <v>1350.03</v>
      </c>
      <c r="AB78" s="54">
        <f>_xll.EQNXTDZ($A$1,$B78,AB$1,$B$1)</f>
        <v>1845.64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0.31</v>
      </c>
      <c r="I79" s="54">
        <f>_xll.EQNXTDZ($A$1,$B79,I$1,$B$1)</f>
        <v>0.21</v>
      </c>
      <c r="J79" s="54">
        <f>_xll.EQNXTDZ($A$1,$B79,J$1,$B$1)</f>
        <v>1.31</v>
      </c>
      <c r="K79" s="54">
        <f>_xll.EQNXTDZ($A$1,$B79,K$1,$B$1)</f>
        <v>1.0900000000000001</v>
      </c>
      <c r="L79" s="54">
        <f>_xll.EQNXTDZ($A$1,$B79,L$1,$B$1)</f>
        <v>1.31</v>
      </c>
      <c r="M79" s="54">
        <f>_xll.EQNXTDZ($A$1,$B79,M$1,$B$1)</f>
        <v>5.32</v>
      </c>
      <c r="N79" s="54">
        <f>_xll.EQNXTDZ($A$1,$B79,N$1,$B$1)</f>
        <v>9.73</v>
      </c>
      <c r="O79" s="54">
        <f>_xll.EQNXTDZ($A$1,$B79,O$1,$B$1)</f>
        <v>4.21</v>
      </c>
      <c r="P79" s="54">
        <f>_xll.EQNXTDZ($A$1,$B79,P$1,$B$1)</f>
        <v>6.09</v>
      </c>
      <c r="Q79" s="54">
        <f>_xll.EQNXTDZ($A$1,$B79,Q$1,$B$1)</f>
        <v>9.51</v>
      </c>
      <c r="R79" s="54">
        <f>_xll.EQNXTDZ($A$1,$B79,R$1,$B$1)</f>
        <v>18.04</v>
      </c>
      <c r="S79" s="54">
        <f>_xll.EQNXTDZ($A$1,$B79,S$1,$B$1)</f>
        <v>22.02</v>
      </c>
      <c r="T79" s="54">
        <f>_xll.EQNXTDZ($A$1,$B79,T$1,$B$1)</f>
        <v>52.29</v>
      </c>
      <c r="U79" s="54">
        <f>_xll.EQNXTDZ($A$1,$B79,U$1,$B$1)</f>
        <v>47.3</v>
      </c>
      <c r="V79" s="54">
        <f>_xll.EQNXTDZ($A$1,$B79,V$1,$B$1)</f>
        <v>40.869999999999997</v>
      </c>
      <c r="W79" s="54">
        <f>_xll.EQNXTDZ($A$1,$B79,W$1,$B$1)</f>
        <v>30.39</v>
      </c>
      <c r="X79" s="54">
        <f>_xll.EQNXTDZ($A$1,$B79,X$1,$B$1)</f>
        <v>26.18</v>
      </c>
      <c r="Y79" s="54">
        <f>_xll.EQNXTDZ($A$1,$B79,Y$1,$B$1)</f>
        <v>37.61</v>
      </c>
      <c r="Z79" s="54">
        <f>_xll.EQNXTDZ($A$1,$B79,Z$1,$B$1)</f>
        <v>43.45</v>
      </c>
      <c r="AA79" s="54">
        <f>_xll.EQNXTDZ($A$1,$B79,AA$1,$B$1)</f>
        <v>59.74</v>
      </c>
      <c r="AB79" s="54">
        <f>_xll.EQNXTDZ($A$1,$B79,AB$1,$B$1)</f>
        <v>55.79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14.04</v>
      </c>
      <c r="F80" s="54">
        <f>_xll.EQNXTDZ($A$1,$B80,F$1,$B$1)</f>
        <v>15.87</v>
      </c>
      <c r="G80" s="54">
        <f>_xll.EQNXTDZ($A$1,$B80,G$1,$B$1)</f>
        <v>17.95</v>
      </c>
      <c r="H80" s="54">
        <f>_xll.EQNXTDZ($A$1,$B80,H$1,$B$1)</f>
        <v>25.68</v>
      </c>
      <c r="I80" s="54">
        <f>_xll.EQNXTDZ($A$1,$B80,I$1,$B$1)</f>
        <v>25.37</v>
      </c>
      <c r="J80" s="54">
        <f>_xll.EQNXTDZ($A$1,$B80,J$1,$B$1)</f>
        <v>31.73</v>
      </c>
      <c r="K80" s="54">
        <f>_xll.EQNXTDZ($A$1,$B80,K$1,$B$1)</f>
        <v>47.01</v>
      </c>
      <c r="L80" s="54">
        <f>_xll.EQNXTDZ($A$1,$B80,L$1,$B$1)</f>
        <v>76.92</v>
      </c>
      <c r="M80" s="54">
        <f>_xll.EQNXTDZ($A$1,$B80,M$1,$B$1)</f>
        <v>75.84</v>
      </c>
      <c r="N80" s="54">
        <f>_xll.EQNXTDZ($A$1,$B80,N$1,$B$1)</f>
        <v>21.77</v>
      </c>
      <c r="O80" s="54">
        <f>_xll.EQNXTDZ($A$1,$B80,O$1,$B$1)</f>
        <v>74.760000000000005</v>
      </c>
      <c r="P80" s="54">
        <f>_xll.EQNXTDZ($A$1,$B80,P$1,$B$1)</f>
        <v>34.700000000000003</v>
      </c>
      <c r="Q80" s="54">
        <f>_xll.EQNXTDZ($A$1,$B80,Q$1,$B$1)</f>
        <v>119.64</v>
      </c>
      <c r="R80" s="54">
        <f>_xll.EQNXTDZ($A$1,$B80,R$1,$B$1)</f>
        <v>84.32</v>
      </c>
      <c r="S80" s="54">
        <f>_xll.EQNXTDZ($A$1,$B80,S$1,$B$1)</f>
        <v>36.54</v>
      </c>
      <c r="T80" s="54">
        <f>_xll.EQNXTDZ($A$1,$B80,T$1,$B$1)</f>
        <v>63.92</v>
      </c>
      <c r="U80" s="54">
        <f>_xll.EQNXTDZ($A$1,$B80,U$1,$B$1)</f>
        <v>107.43</v>
      </c>
      <c r="V80" s="54">
        <f>_xll.EQNXTDZ($A$1,$B80,V$1,$B$1)</f>
        <v>36.03</v>
      </c>
      <c r="W80" s="54">
        <f>_xll.EQNXTDZ($A$1,$B80,W$1,$B$1)</f>
        <v>44.41</v>
      </c>
      <c r="X80" s="54">
        <f>_xll.EQNXTDZ($A$1,$B80,X$1,$B$1)</f>
        <v>41.21</v>
      </c>
      <c r="Y80" s="54">
        <f>_xll.EQNXTDZ($A$1,$B80,Y$1,$B$1)</f>
        <v>85.36</v>
      </c>
      <c r="Z80" s="54">
        <f>_xll.EQNXTDZ($A$1,$B80,Z$1,$B$1)</f>
        <v>105.85</v>
      </c>
      <c r="AA80" s="54">
        <f>_xll.EQNXTDZ($A$1,$B80,AA$1,$B$1)</f>
        <v>81.400000000000006</v>
      </c>
      <c r="AB80" s="54">
        <f>_xll.EQNXTDZ($A$1,$B80,AB$1,$B$1)</f>
        <v>134.58000000000001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34.869999999999997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127.23</v>
      </c>
      <c r="F82" s="54">
        <f>_xll.EQNXTDZ($A$1,$B82,F$1,$B$1)</f>
        <v>122</v>
      </c>
      <c r="G82" s="54">
        <f>_xll.EQNXTDZ($A$1,$B82,G$1,$B$1)</f>
        <v>130.32</v>
      </c>
      <c r="H82" s="54">
        <f>_xll.EQNXTDZ($A$1,$B82,H$1,$B$1)</f>
        <v>170</v>
      </c>
      <c r="I82" s="54">
        <f>_xll.EQNXTDZ($A$1,$B82,I$1,$B$1)</f>
        <v>216.47</v>
      </c>
      <c r="J82" s="54">
        <f>_xll.EQNXTDZ($A$1,$B82,J$1,$B$1)</f>
        <v>300.83999999999997</v>
      </c>
      <c r="K82" s="54">
        <f>_xll.EQNXTDZ($A$1,$B82,K$1,$B$1)</f>
        <v>385.44</v>
      </c>
      <c r="L82" s="54">
        <f>_xll.EQNXTDZ($A$1,$B82,L$1,$B$1)</f>
        <v>460.94</v>
      </c>
      <c r="M82" s="54">
        <f>_xll.EQNXTDZ($A$1,$B82,M$1,$B$1)</f>
        <v>627.64</v>
      </c>
      <c r="N82" s="54">
        <f>_xll.EQNXTDZ($A$1,$B82,N$1,$B$1)</f>
        <v>641.47</v>
      </c>
      <c r="O82" s="54">
        <f>_xll.EQNXTDZ($A$1,$B82,O$1,$B$1)</f>
        <v>670.71</v>
      </c>
      <c r="P82" s="54">
        <f>_xll.EQNXTDZ($A$1,$B82,P$1,$B$1)</f>
        <v>739.63</v>
      </c>
      <c r="Q82" s="54">
        <f>_xll.EQNXTDZ($A$1,$B82,Q$1,$B$1)</f>
        <v>939.54</v>
      </c>
      <c r="R82" s="54">
        <f>_xll.EQNXTDZ($A$1,$B82,R$1,$B$1)</f>
        <v>1129.46</v>
      </c>
      <c r="S82" s="54">
        <f>_xll.EQNXTDZ($A$1,$B82,S$1,$B$1)</f>
        <v>1299.3800000000001</v>
      </c>
      <c r="T82" s="54">
        <f>_xll.EQNXTDZ($A$1,$B82,T$1,$B$1)</f>
        <v>2250.8000000000002</v>
      </c>
      <c r="U82" s="54">
        <f>_xll.EQNXTDZ($A$1,$B82,U$1,$B$1)</f>
        <v>2663.73</v>
      </c>
      <c r="V82" s="54">
        <f>_xll.EQNXTDZ($A$1,$B82,V$1,$B$1)</f>
        <v>2264.69</v>
      </c>
      <c r="W82" s="54">
        <f>_xll.EQNXTDZ($A$1,$B82,W$1,$B$1)</f>
        <v>2726.05</v>
      </c>
      <c r="X82" s="54">
        <f>_xll.EQNXTDZ($A$1,$B82,X$1,$B$1)</f>
        <v>3415.82</v>
      </c>
      <c r="Y82" s="54">
        <f>_xll.EQNXTDZ($A$1,$B82,Y$1,$B$1)</f>
        <v>3953.28</v>
      </c>
      <c r="Z82" s="54">
        <f>_xll.EQNXTDZ($A$1,$B82,Z$1,$B$1)</f>
        <v>4106.16</v>
      </c>
      <c r="AA82" s="54">
        <f>_xll.EQNXTDZ($A$1,$B82,AA$1,$B$1)</f>
        <v>4253.71</v>
      </c>
      <c r="AB82" s="54">
        <f>_xll.EQNXTDZ($A$1,$B82,AB$1,$B$1)</f>
        <v>5465.03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226.94</v>
      </c>
      <c r="F84" s="54">
        <f>_xll.EQNXTDZ($A$1,$B84,F$1,$B$1)</f>
        <v>214.55</v>
      </c>
      <c r="G84" s="54">
        <f>_xll.EQNXTDZ($A$1,$B84,G$1,$B$1)</f>
        <v>218.95</v>
      </c>
      <c r="H84" s="54">
        <f>_xll.EQNXTDZ($A$1,$B84,H$1,$B$1)</f>
        <v>282.11</v>
      </c>
      <c r="I84" s="54">
        <f>_xll.EQNXTDZ($A$1,$B84,I$1,$B$1)</f>
        <v>357.41</v>
      </c>
      <c r="J84" s="54">
        <f>_xll.EQNXTDZ($A$1,$B84,J$1,$B$1)</f>
        <v>443.43</v>
      </c>
      <c r="K84" s="54">
        <f>_xll.EQNXTDZ($A$1,$B84,K$1,$B$1)</f>
        <v>549.21</v>
      </c>
      <c r="L84" s="54">
        <f>_xll.EQNXTDZ($A$1,$B84,L$1,$B$1)</f>
        <v>609.70000000000005</v>
      </c>
      <c r="M84" s="54">
        <f>_xll.EQNXTDZ($A$1,$B84,M$1,$B$1)</f>
        <v>777.56</v>
      </c>
      <c r="N84" s="54">
        <f>_xll.EQNXTDZ($A$1,$B84,N$1,$B$1)</f>
        <v>996.8</v>
      </c>
      <c r="O84" s="54">
        <f>_xll.EQNXTDZ($A$1,$B84,O$1,$B$1)</f>
        <v>1143.6600000000001</v>
      </c>
      <c r="P84" s="54">
        <f>_xll.EQNXTDZ($A$1,$B84,P$1,$B$1)</f>
        <v>1333.27</v>
      </c>
      <c r="Q84" s="54">
        <f>_xll.EQNXTDZ($A$1,$B84,Q$1,$B$1)</f>
        <v>1434.19</v>
      </c>
      <c r="R84" s="54">
        <f>_xll.EQNXTDZ($A$1,$B84,R$1,$B$1)</f>
        <v>1655.38</v>
      </c>
      <c r="S84" s="54">
        <f>_xll.EQNXTDZ($A$1,$B84,S$1,$B$1)</f>
        <v>1851.34</v>
      </c>
      <c r="T84" s="54">
        <f>_xll.EQNXTDZ($A$1,$B84,T$1,$B$1)</f>
        <v>3163.71</v>
      </c>
      <c r="U84" s="54">
        <f>_xll.EQNXTDZ($A$1,$B84,U$1,$B$1)</f>
        <v>3734.88</v>
      </c>
      <c r="V84" s="54">
        <f>_xll.EQNXTDZ($A$1,$B84,V$1,$B$1)</f>
        <v>3621.73</v>
      </c>
      <c r="W84" s="54">
        <f>_xll.EQNXTDZ($A$1,$B84,W$1,$B$1)</f>
        <v>4212.51</v>
      </c>
      <c r="X84" s="54">
        <f>_xll.EQNXTDZ($A$1,$B84,X$1,$B$1)</f>
        <v>5009.6000000000004</v>
      </c>
      <c r="Y84" s="54">
        <f>_xll.EQNXTDZ($A$1,$B84,Y$1,$B$1)</f>
        <v>5910.27</v>
      </c>
      <c r="Z84" s="54">
        <f>_xll.EQNXTDZ($A$1,$B84,Z$1,$B$1)</f>
        <v>6470.54</v>
      </c>
      <c r="AA84" s="54">
        <f>_xll.EQNXTDZ($A$1,$B84,AA$1,$B$1)</f>
        <v>7096.89</v>
      </c>
      <c r="AB84" s="54">
        <f>_xll.EQNXTDZ($A$1,$B84,AB$1,$B$1)</f>
        <v>8479.1299999999992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16.32</v>
      </c>
      <c r="F85" s="54">
        <f>_xll.EQNXTDZ($A$1,$B85,F$1,$B$1)</f>
        <v>11.05</v>
      </c>
      <c r="G85" s="54">
        <f>_xll.EQNXTDZ($A$1,$B85,G$1,$B$1)</f>
        <v>17.84</v>
      </c>
      <c r="H85" s="54">
        <f>_xll.EQNXTDZ($A$1,$B85,H$1,$B$1)</f>
        <v>17.8</v>
      </c>
      <c r="I85" s="54">
        <f>_xll.EQNXTDZ($A$1,$B85,I$1,$B$1)</f>
        <v>37.57</v>
      </c>
      <c r="J85" s="54">
        <f>_xll.EQNXTDZ($A$1,$B85,J$1,$B$1)</f>
        <v>58.05</v>
      </c>
      <c r="K85" s="54">
        <f>_xll.EQNXTDZ($A$1,$B85,K$1,$B$1)</f>
        <v>76.94</v>
      </c>
      <c r="L85" s="54">
        <f>_xll.EQNXTDZ($A$1,$B85,L$1,$B$1)</f>
        <v>72.27</v>
      </c>
      <c r="M85" s="54">
        <f>_xll.EQNXTDZ($A$1,$B85,M$1,$B$1)</f>
        <v>68.61</v>
      </c>
      <c r="N85" s="54">
        <f>_xll.EQNXTDZ($A$1,$B85,N$1,$B$1)</f>
        <v>61.49</v>
      </c>
      <c r="O85" s="54">
        <f>_xll.EQNXTDZ($A$1,$B85,O$1,$B$1)</f>
        <v>69.62</v>
      </c>
      <c r="P85" s="54">
        <f>_xll.EQNXTDZ($A$1,$B85,P$1,$B$1)</f>
        <v>63.74</v>
      </c>
      <c r="Q85" s="54">
        <f>_xll.EQNXTDZ($A$1,$B85,Q$1,$B$1)</f>
        <v>62.78</v>
      </c>
      <c r="R85" s="54">
        <f>_xll.EQNXTDZ($A$1,$B85,R$1,$B$1)</f>
        <v>56.48</v>
      </c>
      <c r="S85" s="54">
        <f>_xll.EQNXTDZ($A$1,$B85,S$1,$B$1)</f>
        <v>33.19</v>
      </c>
      <c r="T85" s="54">
        <f>_xll.EQNXTDZ($A$1,$B85,T$1,$B$1)</f>
        <v>72.66</v>
      </c>
      <c r="U85" s="54">
        <f>_xll.EQNXTDZ($A$1,$B85,U$1,$B$1)</f>
        <v>105.17</v>
      </c>
      <c r="V85" s="54">
        <f>_xll.EQNXTDZ($A$1,$B85,V$1,$B$1)</f>
        <v>58.11</v>
      </c>
      <c r="W85" s="54">
        <f>_xll.EQNXTDZ($A$1,$B85,W$1,$B$1)</f>
        <v>62.33</v>
      </c>
      <c r="X85" s="54">
        <f>_xll.EQNXTDZ($A$1,$B85,X$1,$B$1)</f>
        <v>78.510000000000005</v>
      </c>
      <c r="Y85" s="54">
        <f>_xll.EQNXTDZ($A$1,$B85,Y$1,$B$1)</f>
        <v>75.92</v>
      </c>
      <c r="Z85" s="54">
        <f>_xll.EQNXTDZ($A$1,$B85,Z$1,$B$1)</f>
        <v>85.28</v>
      </c>
      <c r="AA85" s="54">
        <f>_xll.EQNXTDZ($A$1,$B85,AA$1,$B$1)</f>
        <v>91.56</v>
      </c>
      <c r="AB85" s="54">
        <f>_xll.EQNXTDZ($A$1,$B85,AB$1,$B$1)</f>
        <v>87.74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82.23</v>
      </c>
      <c r="AA86" s="54">
        <f>_xll.EQNXTDZ($A$1,$B86,AA$1,$B$1)</f>
        <v>82.23</v>
      </c>
      <c r="AB86" s="54">
        <f>_xll.EQNXTDZ($A$1,$B86,AB$1,$B$1)</f>
        <v>82.23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82.23</v>
      </c>
      <c r="AA91" s="54">
        <f>_xll.EQNXTDZ($A$1,$B91,AA$1,$B$1)</f>
        <v>82.23</v>
      </c>
      <c r="AB91" s="54">
        <f>_xll.EQNXTDZ($A$1,$B91,AB$1,$B$1)</f>
        <v>82.23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15.95</v>
      </c>
      <c r="F93" s="54">
        <f>_xll.EQNXTDZ($A$1,$B93,F$1,$B$1)</f>
        <v>10.26</v>
      </c>
      <c r="G93" s="54">
        <f>_xll.EQNXTDZ($A$1,$B93,G$1,$B$1)</f>
        <v>17.84</v>
      </c>
      <c r="H93" s="54">
        <f>_xll.EQNXTDZ($A$1,$B93,H$1,$B$1)</f>
        <v>17.8</v>
      </c>
      <c r="I93" s="54">
        <f>_xll.EQNXTDZ($A$1,$B93,I$1,$B$1)</f>
        <v>37.57</v>
      </c>
      <c r="J93" s="54">
        <f>_xll.EQNXTDZ($A$1,$B93,J$1,$B$1)</f>
        <v>58.05</v>
      </c>
      <c r="K93" s="54">
        <f>_xll.EQNXTDZ($A$1,$B93,K$1,$B$1)</f>
        <v>75.39</v>
      </c>
      <c r="L93" s="54">
        <f>_xll.EQNXTDZ($A$1,$B93,L$1,$B$1)</f>
        <v>70.53</v>
      </c>
      <c r="M93" s="54">
        <f>_xll.EQNXTDZ($A$1,$B93,M$1,$B$1)</f>
        <v>66.06</v>
      </c>
      <c r="N93" s="54">
        <f>_xll.EQNXTDZ($A$1,$B93,N$1,$B$1)</f>
        <v>61.49</v>
      </c>
      <c r="O93" s="54">
        <f>_xll.EQNXTDZ($A$1,$B93,O$1,$B$1)</f>
        <v>69.62</v>
      </c>
      <c r="P93" s="54">
        <f>_xll.EQNXTDZ($A$1,$B93,P$1,$B$1)</f>
        <v>63.74</v>
      </c>
      <c r="Q93" s="54">
        <f>_xll.EQNXTDZ($A$1,$B93,Q$1,$B$1)</f>
        <v>62.78</v>
      </c>
      <c r="R93" s="54">
        <f>_xll.EQNXTDZ($A$1,$B93,R$1,$B$1)</f>
        <v>56.48</v>
      </c>
      <c r="S93" s="54">
        <f>_xll.EQNXTDZ($A$1,$B93,S$1,$B$1)</f>
        <v>33.19</v>
      </c>
      <c r="T93" s="54">
        <f>_xll.EQNXTDZ($A$1,$B93,T$1,$B$1)</f>
        <v>72.66</v>
      </c>
      <c r="U93" s="54">
        <f>_xll.EQNXTDZ($A$1,$B93,U$1,$B$1)</f>
        <v>105.17</v>
      </c>
      <c r="V93" s="54">
        <f>_xll.EQNXTDZ($A$1,$B93,V$1,$B$1)</f>
        <v>58.11</v>
      </c>
      <c r="W93" s="54">
        <f>_xll.EQNXTDZ($A$1,$B93,W$1,$B$1)</f>
        <v>62.33</v>
      </c>
      <c r="X93" s="54">
        <f>_xll.EQNXTDZ($A$1,$B93,X$1,$B$1)</f>
        <v>78.510000000000005</v>
      </c>
      <c r="Y93" s="54">
        <f>_xll.EQNXTDZ($A$1,$B93,Y$1,$B$1)</f>
        <v>75.92</v>
      </c>
      <c r="Z93" s="54">
        <f>_xll.EQNXTDZ($A$1,$B93,Z$1,$B$1)</f>
        <v>85.28</v>
      </c>
      <c r="AA93" s="54">
        <f>_xll.EQNXTDZ($A$1,$B93,AA$1,$B$1)</f>
        <v>91.56</v>
      </c>
      <c r="AB93" s="54">
        <f>_xll.EQNXTDZ($A$1,$B93,AB$1,$B$1)</f>
        <v>87.74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1.55</v>
      </c>
      <c r="L95" s="54">
        <f>_xll.EQNXTDZ($A$1,$B95,L$1,$B$1)</f>
        <v>1.74</v>
      </c>
      <c r="M95" s="54">
        <f>_xll.EQNXTDZ($A$1,$B95,M$1,$B$1)</f>
        <v>2.5499999999999998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0.37</v>
      </c>
      <c r="F97" s="54">
        <f>_xll.EQNXTDZ($A$1,$B97,F$1,$B$1)</f>
        <v>0.79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16.62</v>
      </c>
      <c r="F104" s="54">
        <f>_xll.EQNXTDZ($A$1,$B104,F$1,$B$1)</f>
        <v>16.62</v>
      </c>
      <c r="G104" s="54">
        <f>_xll.EQNXTDZ($A$1,$B104,G$1,$B$1)</f>
        <v>16.62</v>
      </c>
      <c r="H104" s="54">
        <f>_xll.EQNXTDZ($A$1,$B104,H$1,$B$1)</f>
        <v>16.62</v>
      </c>
      <c r="I104" s="54">
        <f>_xll.EQNXTDZ($A$1,$B104,I$1,$B$1)</f>
        <v>16.62</v>
      </c>
      <c r="J104" s="54">
        <f>_xll.EQNXTDZ($A$1,$B104,J$1,$B$1)</f>
        <v>16.62</v>
      </c>
      <c r="K104" s="54">
        <f>_xll.EQNXTDZ($A$1,$B104,K$1,$B$1)</f>
        <v>16.62</v>
      </c>
      <c r="L104" s="54">
        <f>_xll.EQNXTDZ($A$1,$B104,L$1,$B$1)</f>
        <v>16.62</v>
      </c>
      <c r="M104" s="54">
        <f>_xll.EQNXTDZ($A$1,$B104,M$1,$B$1)</f>
        <v>16.62</v>
      </c>
      <c r="N104" s="54">
        <f>_xll.EQNXTDZ($A$1,$B104,N$1,$B$1)</f>
        <v>16.62</v>
      </c>
      <c r="O104" s="54">
        <f>_xll.EQNXTDZ($A$1,$B104,O$1,$B$1)</f>
        <v>16.62</v>
      </c>
      <c r="P104" s="54">
        <f>_xll.EQNXTDZ($A$1,$B104,P$1,$B$1)</f>
        <v>16.62</v>
      </c>
      <c r="Q104" s="54">
        <f>_xll.EQNXTDZ($A$1,$B104,Q$1,$B$1)</f>
        <v>16.62</v>
      </c>
      <c r="R104" s="54">
        <f>_xll.EQNXTDZ($A$1,$B104,R$1,$B$1)</f>
        <v>16.62</v>
      </c>
      <c r="S104" s="54">
        <f>_xll.EQNXTDZ($A$1,$B104,S$1,$B$1)</f>
        <v>16.62</v>
      </c>
      <c r="T104" s="54">
        <f>_xll.EQNXTDZ($A$1,$B104,T$1,$B$1)</f>
        <v>16.62</v>
      </c>
      <c r="U104" s="54">
        <f>_xll.EQNXTDZ($A$1,$B104,U$1,$B$1)</f>
        <v>31.26</v>
      </c>
      <c r="V104" s="54">
        <f>_xll.EQNXTDZ($A$1,$B104,V$1,$B$1)</f>
        <v>31.26</v>
      </c>
      <c r="W104" s="54">
        <f>_xll.EQNXTDZ($A$1,$B104,W$1,$B$1)</f>
        <v>31.26</v>
      </c>
      <c r="X104" s="54">
        <f>_xll.EQNXTDZ($A$1,$B104,X$1,$B$1)</f>
        <v>31.26</v>
      </c>
      <c r="Y104" s="54">
        <f>_xll.EQNXTDZ($A$1,$B104,Y$1,$B$1)</f>
        <v>31.26</v>
      </c>
      <c r="Z104" s="54">
        <f>_xll.EQNXTDZ($A$1,$B104,Z$1,$B$1)</f>
        <v>31.26</v>
      </c>
      <c r="AA104" s="54">
        <f>_xll.EQNXTDZ($A$1,$B104,AA$1,$B$1)</f>
        <v>31.26</v>
      </c>
      <c r="AB104" s="54">
        <f>_xll.EQNXTDZ($A$1,$B104,AB$1,$B$1)</f>
        <v>31.26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10.88</v>
      </c>
      <c r="F106" s="54">
        <f>_xll.EQNXTDZ($A$1,$B106,F$1,$B$1)</f>
        <v>25.47</v>
      </c>
      <c r="G106" s="54">
        <f>_xll.EQNXTDZ($A$1,$B106,G$1,$B$1)</f>
        <v>32.340000000000003</v>
      </c>
      <c r="H106" s="54">
        <f>_xll.EQNXTDZ($A$1,$B106,H$1,$B$1)</f>
        <v>80.099999999999994</v>
      </c>
      <c r="I106" s="54">
        <f>_xll.EQNXTDZ($A$1,$B106,I$1,$B$1)</f>
        <v>128.82</v>
      </c>
      <c r="J106" s="54">
        <f>_xll.EQNXTDZ($A$1,$B106,J$1,$B$1)</f>
        <v>139.57</v>
      </c>
      <c r="K106" s="54">
        <f>_xll.EQNXTDZ($A$1,$B106,K$1,$B$1)</f>
        <v>45</v>
      </c>
      <c r="L106" s="54">
        <f>_xll.EQNXTDZ($A$1,$B106,L$1,$B$1)</f>
        <v>121.55</v>
      </c>
      <c r="M106" s="54">
        <f>_xll.EQNXTDZ($A$1,$B106,M$1,$B$1)</f>
        <v>175.32</v>
      </c>
      <c r="N106" s="54">
        <f>_xll.EQNXTDZ($A$1,$B106,N$1,$B$1)</f>
        <v>209.34</v>
      </c>
      <c r="O106" s="54">
        <f>_xll.EQNXTDZ($A$1,$B106,O$1,$B$1)</f>
        <v>339.94</v>
      </c>
      <c r="P106" s="54">
        <f>_xll.EQNXTDZ($A$1,$B106,P$1,$B$1)</f>
        <v>322.79000000000002</v>
      </c>
      <c r="Q106" s="54">
        <f>_xll.EQNXTDZ($A$1,$B106,Q$1,$B$1)</f>
        <v>714.02</v>
      </c>
      <c r="R106" s="54">
        <f>_xll.EQNXTDZ($A$1,$B106,R$1,$B$1)</f>
        <v>877.42</v>
      </c>
      <c r="S106" s="54">
        <f>_xll.EQNXTDZ($A$1,$B106,S$1,$B$1)</f>
        <v>773.14</v>
      </c>
      <c r="T106" s="54">
        <f>_xll.EQNXTDZ($A$1,$B106,T$1,$B$1)</f>
        <v>1168.83</v>
      </c>
      <c r="U106" s="54">
        <f>_xll.EQNXTDZ($A$1,$B106,U$1,$B$1)</f>
        <v>1138.25</v>
      </c>
      <c r="V106" s="54">
        <f>_xll.EQNXTDZ($A$1,$B106,V$1,$B$1)</f>
        <v>939.69</v>
      </c>
      <c r="W106" s="54">
        <f>_xll.EQNXTDZ($A$1,$B106,W$1,$B$1)</f>
        <v>907.71</v>
      </c>
      <c r="X106" s="54">
        <f>_xll.EQNXTDZ($A$1,$B106,X$1,$B$1)</f>
        <v>1758.09</v>
      </c>
      <c r="Y106" s="54">
        <f>_xll.EQNXTDZ($A$1,$B106,Y$1,$B$1)</f>
        <v>2744.5</v>
      </c>
      <c r="Z106" s="54">
        <f>_xll.EQNXTDZ($A$1,$B106,Z$1,$B$1)</f>
        <v>3202.2</v>
      </c>
      <c r="AA106" s="54">
        <f>_xll.EQNXTDZ($A$1,$B106,AA$1,$B$1)</f>
        <v>3405.45</v>
      </c>
      <c r="AB106" s="54">
        <f>_xll.EQNXTDZ($A$1,$B106,AB$1,$B$1)</f>
        <v>3885.25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13.78</v>
      </c>
      <c r="F107" s="54">
        <f>_xll.EQNXTDZ($A$1,$B107,F$1,$B$1)</f>
        <v>29</v>
      </c>
      <c r="G107" s="54">
        <f>_xll.EQNXTDZ($A$1,$B107,G$1,$B$1)</f>
        <v>34.200000000000003</v>
      </c>
      <c r="H107" s="54">
        <f>_xll.EQNXTDZ($A$1,$B107,H$1,$B$1)</f>
        <v>95.77</v>
      </c>
      <c r="I107" s="54">
        <f>_xll.EQNXTDZ($A$1,$B107,I$1,$B$1)</f>
        <v>155</v>
      </c>
      <c r="J107" s="54">
        <f>_xll.EQNXTDZ($A$1,$B107,J$1,$B$1)</f>
        <v>145</v>
      </c>
      <c r="K107" s="54">
        <f>_xll.EQNXTDZ($A$1,$B107,K$1,$B$1)</f>
        <v>140</v>
      </c>
      <c r="L107" s="54">
        <f>_xll.EQNXTDZ($A$1,$B107,L$1,$B$1)</f>
        <v>135.97999999999999</v>
      </c>
      <c r="M107" s="54">
        <f>_xll.EQNXTDZ($A$1,$B107,M$1,$B$1)</f>
        <v>196</v>
      </c>
      <c r="N107" s="54">
        <f>_xll.EQNXTDZ($A$1,$B107,N$1,$B$1)</f>
        <v>286.95999999999998</v>
      </c>
      <c r="O107" s="54">
        <f>_xll.EQNXTDZ($A$1,$B107,O$1,$B$1)</f>
        <v>365.37</v>
      </c>
      <c r="P107" s="54">
        <f>_xll.EQNXTDZ($A$1,$B107,P$1,$B$1)</f>
        <v>340</v>
      </c>
      <c r="Q107" s="54">
        <f>_xll.EQNXTDZ($A$1,$B107,Q$1,$B$1)</f>
        <v>765</v>
      </c>
      <c r="R107" s="54">
        <f>_xll.EQNXTDZ($A$1,$B107,R$1,$B$1)</f>
        <v>978</v>
      </c>
      <c r="S107" s="54">
        <f>_xll.EQNXTDZ($A$1,$B107,S$1,$B$1)</f>
        <v>999.6</v>
      </c>
      <c r="T107" s="54">
        <f>_xll.EQNXTDZ($A$1,$B107,T$1,$B$1)</f>
        <v>1192</v>
      </c>
      <c r="U107" s="54">
        <f>_xll.EQNXTDZ($A$1,$B107,U$1,$B$1)</f>
        <v>1183.4100000000001</v>
      </c>
      <c r="V107" s="54">
        <f>_xll.EQNXTDZ($A$1,$B107,V$1,$B$1)</f>
        <v>1167.26</v>
      </c>
      <c r="W107" s="54">
        <f>_xll.EQNXTDZ($A$1,$B107,W$1,$B$1)</f>
        <v>990</v>
      </c>
      <c r="X107" s="54">
        <f>_xll.EQNXTDZ($A$1,$B107,X$1,$B$1)</f>
        <v>1773.99</v>
      </c>
      <c r="Y107" s="54">
        <f>_xll.EQNXTDZ($A$1,$B107,Y$1,$B$1)</f>
        <v>3968.75</v>
      </c>
      <c r="Z107" s="54">
        <f>_xll.EQNXTDZ($A$1,$B107,Z$1,$B$1)</f>
        <v>3719.2</v>
      </c>
      <c r="AA107" s="54">
        <f>_xll.EQNXTDZ($A$1,$B107,AA$1,$B$1)</f>
        <v>4950</v>
      </c>
      <c r="AB107" s="54">
        <f>_xll.EQNXTDZ($A$1,$B107,AB$1,$B$1)</f>
        <v>4392.8500000000004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7.6</v>
      </c>
      <c r="F108" s="54">
        <f>_xll.EQNXTDZ($A$1,$B108,F$1,$B$1)</f>
        <v>9.9</v>
      </c>
      <c r="G108" s="54">
        <f>_xll.EQNXTDZ($A$1,$B108,G$1,$B$1)</f>
        <v>17.27</v>
      </c>
      <c r="H108" s="54">
        <f>_xll.EQNXTDZ($A$1,$B108,H$1,$B$1)</f>
        <v>29.23</v>
      </c>
      <c r="I108" s="54">
        <f>_xll.EQNXTDZ($A$1,$B108,I$1,$B$1)</f>
        <v>74.94</v>
      </c>
      <c r="J108" s="54">
        <f>_xll.EQNXTDZ($A$1,$B108,J$1,$B$1)</f>
        <v>105.4</v>
      </c>
      <c r="K108" s="54">
        <f>_xll.EQNXTDZ($A$1,$B108,K$1,$B$1)</f>
        <v>43.22</v>
      </c>
      <c r="L108" s="54">
        <f>_xll.EQNXTDZ($A$1,$B108,L$1,$B$1)</f>
        <v>44</v>
      </c>
      <c r="M108" s="54">
        <f>_xll.EQNXTDZ($A$1,$B108,M$1,$B$1)</f>
        <v>100.04</v>
      </c>
      <c r="N108" s="54">
        <f>_xll.EQNXTDZ($A$1,$B108,N$1,$B$1)</f>
        <v>150.4</v>
      </c>
      <c r="O108" s="54">
        <f>_xll.EQNXTDZ($A$1,$B108,O$1,$B$1)</f>
        <v>204.65</v>
      </c>
      <c r="P108" s="54">
        <f>_xll.EQNXTDZ($A$1,$B108,P$1,$B$1)</f>
        <v>220</v>
      </c>
      <c r="Q108" s="54">
        <f>_xll.EQNXTDZ($A$1,$B108,Q$1,$B$1)</f>
        <v>293.54000000000002</v>
      </c>
      <c r="R108" s="54">
        <f>_xll.EQNXTDZ($A$1,$B108,R$1,$B$1)</f>
        <v>680.98</v>
      </c>
      <c r="S108" s="54">
        <f>_xll.EQNXTDZ($A$1,$B108,S$1,$B$1)</f>
        <v>741.3</v>
      </c>
      <c r="T108" s="54">
        <f>_xll.EQNXTDZ($A$1,$B108,T$1,$B$1)</f>
        <v>760.52</v>
      </c>
      <c r="U108" s="54">
        <f>_xll.EQNXTDZ($A$1,$B108,U$1,$B$1)</f>
        <v>919.8</v>
      </c>
      <c r="V108" s="54">
        <f>_xll.EQNXTDZ($A$1,$B108,V$1,$B$1)</f>
        <v>768.2</v>
      </c>
      <c r="W108" s="54">
        <f>_xll.EQNXTDZ($A$1,$B108,W$1,$B$1)</f>
        <v>608.82000000000005</v>
      </c>
      <c r="X108" s="54">
        <f>_xll.EQNXTDZ($A$1,$B108,X$1,$B$1)</f>
        <v>852</v>
      </c>
      <c r="Y108" s="54">
        <f>_xll.EQNXTDZ($A$1,$B108,Y$1,$B$1)</f>
        <v>1600</v>
      </c>
      <c r="Z108" s="54">
        <f>_xll.EQNXTDZ($A$1,$B108,Z$1,$B$1)</f>
        <v>2554.75</v>
      </c>
      <c r="AA108" s="54">
        <f>_xll.EQNXTDZ($A$1,$B108,AA$1,$B$1)</f>
        <v>2699.55</v>
      </c>
      <c r="AB108" s="54">
        <f>_xll.EQNXTDZ($A$1,$B108,AB$1,$B$1)</f>
        <v>2836.55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90.412800000000004</v>
      </c>
      <c r="F109" s="54">
        <f>_xll.EQNXTDZ($A$1,$B109,F$1,$B$1)</f>
        <v>211.6557</v>
      </c>
      <c r="G109" s="54">
        <f>_xll.EQNXTDZ($A$1,$B109,G$1,$B$1)</f>
        <v>268.74540000000002</v>
      </c>
      <c r="H109" s="54">
        <f>_xll.EQNXTDZ($A$1,$B109,H$1,$B$1)</f>
        <v>665.63099999999997</v>
      </c>
      <c r="I109" s="54">
        <f>_xll.EQNXTDZ($A$1,$B109,I$1,$B$1)</f>
        <v>1070.4942000000001</v>
      </c>
      <c r="J109" s="54">
        <f>_xll.EQNXTDZ($A$1,$B109,J$1,$B$1)</f>
        <v>1159.8267000000001</v>
      </c>
      <c r="K109" s="54">
        <f>_xll.EQNXTDZ($A$1,$B109,K$1,$B$1)</f>
        <v>373.95</v>
      </c>
      <c r="L109" s="54">
        <f>_xll.EQNXTDZ($A$1,$B109,L$1,$B$1)</f>
        <v>1010.0805</v>
      </c>
      <c r="M109" s="54">
        <f>_xll.EQNXTDZ($A$1,$B109,M$1,$B$1)</f>
        <v>1456.9092000000001</v>
      </c>
      <c r="N109" s="54">
        <f>_xll.EQNXTDZ($A$1,$B109,N$1,$B$1)</f>
        <v>1739.6153999999999</v>
      </c>
      <c r="O109" s="54">
        <f>_xll.EQNXTDZ($A$1,$B109,O$1,$B$1)</f>
        <v>2824.9014000000002</v>
      </c>
      <c r="P109" s="54">
        <f>_xll.EQNXTDZ($A$1,$B109,P$1,$B$1)</f>
        <v>2682.3849</v>
      </c>
      <c r="Q109" s="54">
        <f>_xll.EQNXTDZ($A$1,$B109,Q$1,$B$1)</f>
        <v>5933.5061999999998</v>
      </c>
      <c r="R109" s="54">
        <f>_xll.EQNXTDZ($A$1,$B109,R$1,$B$1)</f>
        <v>7291.3602000000001</v>
      </c>
      <c r="S109" s="54">
        <f>_xll.EQNXTDZ($A$1,$B109,S$1,$B$1)</f>
        <v>6424.7933999999996</v>
      </c>
      <c r="T109" s="54">
        <f>_xll.EQNXTDZ($A$1,$B109,T$1,$B$1)</f>
        <v>9712.9773000000005</v>
      </c>
      <c r="U109" s="54">
        <f>_xll.EQNXTDZ($A$1,$B109,U$1,$B$1)</f>
        <v>17790.8475</v>
      </c>
      <c r="V109" s="54">
        <f>_xll.EQNXTDZ($A$1,$B109,V$1,$B$1)</f>
        <v>14687.3547</v>
      </c>
      <c r="W109" s="54">
        <f>_xll.EQNXTDZ($A$1,$B109,W$1,$B$1)</f>
        <v>14187.507299999999</v>
      </c>
      <c r="X109" s="54">
        <f>_xll.EQNXTDZ($A$1,$B109,X$1,$B$1)</f>
        <v>27478.9467</v>
      </c>
      <c r="Y109" s="54">
        <f>_xll.EQNXTDZ($A$1,$B109,Y$1,$B$1)</f>
        <v>42896.535000000003</v>
      </c>
      <c r="Z109" s="54">
        <f>_xll.EQNXTDZ($A$1,$B109,Z$1,$B$1)</f>
        <v>50050.385999999999</v>
      </c>
      <c r="AA109" s="54">
        <f>_xll.EQNXTDZ($A$1,$B109,AA$1,$B$1)</f>
        <v>53227.183499999999</v>
      </c>
      <c r="AB109" s="54">
        <f>_xll.EQNXTDZ($A$1,$B109,AB$1,$B$1)</f>
        <v>60726.457499999997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0.8</v>
      </c>
      <c r="F110" s="54">
        <f>_xll.EQNXTDZ($A$1,$B110,F$1,$B$1)</f>
        <v>0.9</v>
      </c>
      <c r="G110" s="54">
        <f>_xll.EQNXTDZ($A$1,$B110,G$1,$B$1)</f>
        <v>0.7</v>
      </c>
      <c r="H110" s="54">
        <f>_xll.EQNXTDZ($A$1,$B110,H$1,$B$1)</f>
        <v>0.7</v>
      </c>
      <c r="I110" s="54">
        <f>_xll.EQNXTDZ($A$1,$B110,I$1,$B$1)</f>
        <v>0.8</v>
      </c>
      <c r="J110" s="54">
        <f>_xll.EQNXTDZ($A$1,$B110,J$1,$B$1)</f>
        <v>0.8</v>
      </c>
      <c r="K110" s="54">
        <f>_xll.EQNXTDZ($A$1,$B110,K$1,$B$1)</f>
        <v>0.9</v>
      </c>
      <c r="L110" s="54">
        <f>_xll.EQNXTDZ($A$1,$B110,L$1,$B$1)</f>
        <v>0.9</v>
      </c>
      <c r="M110" s="54">
        <f>_xll.EQNXTDZ($A$1,$B110,M$1,$B$1)</f>
        <v>1</v>
      </c>
      <c r="N110" s="54">
        <f>_xll.EQNXTDZ($A$1,$B110,N$1,$B$1)</f>
        <v>2</v>
      </c>
      <c r="O110" s="54">
        <f>_xll.EQNXTDZ($A$1,$B110,O$1,$B$1)</f>
        <v>1</v>
      </c>
      <c r="P110" s="54">
        <f>_xll.EQNXTDZ($A$1,$B110,P$1,$B$1)</f>
        <v>1.2</v>
      </c>
      <c r="Q110" s="54">
        <f>_xll.EQNXTDZ($A$1,$B110,Q$1,$B$1)</f>
        <v>1.5</v>
      </c>
      <c r="R110" s="54">
        <f>_xll.EQNXTDZ($A$1,$B110,R$1,$B$1)</f>
        <v>2</v>
      </c>
      <c r="S110" s="54">
        <f>_xll.EQNXTDZ($A$1,$B110,S$1,$B$1)</f>
        <v>2.4</v>
      </c>
      <c r="T110" s="54">
        <f>_xll.EQNXTDZ($A$1,$B110,T$1,$B$1)</f>
        <v>3.4</v>
      </c>
      <c r="U110" s="54">
        <f>_xll.EQNXTDZ($A$1,$B110,U$1,$B$1)</f>
        <v>6</v>
      </c>
      <c r="V110" s="54">
        <f>_xll.EQNXTDZ($A$1,$B110,V$1,$B$1)</f>
        <v>7</v>
      </c>
      <c r="W110" s="54">
        <f>_xll.EQNXTDZ($A$1,$B110,W$1,$B$1)</f>
        <v>7.6</v>
      </c>
      <c r="X110" s="54">
        <f>_xll.EQNXTDZ($A$1,$B110,X$1,$B$1)</f>
        <v>16</v>
      </c>
      <c r="Y110" s="54">
        <f>_xll.EQNXTDZ($A$1,$B110,Y$1,$B$1)</f>
        <v>24</v>
      </c>
      <c r="Z110" s="54">
        <f>_xll.EQNXTDZ($A$1,$B110,Z$1,$B$1)</f>
        <v>26</v>
      </c>
      <c r="AA110" s="54">
        <f>_xll.EQNXTDZ($A$1,$B110,AA$1,$B$1)</f>
        <v>28</v>
      </c>
      <c r="AB110" s="54">
        <f>_xll.EQNXTDZ($A$1,$B110,AB$1,$B$1)</f>
        <v>35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51</v>
      </c>
      <c r="F112" s="55">
        <f>_xll.EQNXTDZ($A$1,$B112,F$5)</f>
        <v>51</v>
      </c>
      <c r="G112" s="55">
        <f>_xll.EQNXTDZ($A$1,$B112,G$5)</f>
        <v>51.33</v>
      </c>
      <c r="H112" s="55">
        <f>_xll.EQNXTDZ($A$1,$B112,H$5)</f>
        <v>51.33</v>
      </c>
      <c r="I112" s="55">
        <f>_xll.EQNXTDZ($A$1,$B112,I$5)</f>
        <v>51.33</v>
      </c>
      <c r="J112" s="55">
        <f>_xll.EQNXTDZ($A$1,$B112,J$5)</f>
        <v>51.33</v>
      </c>
      <c r="K112" s="55">
        <f>_xll.EQNXTDZ($A$1,$B112,K$5)</f>
        <v>51.33</v>
      </c>
      <c r="L112" s="55">
        <f>_xll.EQNXTDZ($A$1,$B112,L$5)</f>
        <v>51.33</v>
      </c>
      <c r="M112" s="55">
        <f>_xll.EQNXTDZ($A$1,$B112,M$5)</f>
        <v>51.33</v>
      </c>
      <c r="N112" s="55">
        <f>_xll.EQNXTDZ($A$1,$B112,N$5)</f>
        <v>51.33</v>
      </c>
      <c r="O112" s="55">
        <f>_xll.EQNXTDZ($A$1,$B112,O$5)</f>
        <v>51.33</v>
      </c>
      <c r="P112" s="55">
        <f>_xll.EQNXTDZ($A$1,$B112,P$5)</f>
        <v>51.33</v>
      </c>
      <c r="Q112" s="55">
        <f>_xll.EQNXTDZ($A$1,$B112,Q$5)</f>
        <v>51.33</v>
      </c>
      <c r="R112" s="55">
        <f>_xll.EQNXTDZ($A$1,$B112,R$5)</f>
        <v>51.33</v>
      </c>
      <c r="S112" s="55">
        <f>_xll.EQNXTDZ($A$1,$B112,S$5)</f>
        <v>51.33</v>
      </c>
      <c r="T112" s="55">
        <f>_xll.EQNXTDZ($A$1,$B112,T$5)</f>
        <v>51.33</v>
      </c>
      <c r="U112" s="55">
        <f>_xll.EQNXTDZ($A$1,$B112,U$5)</f>
        <v>74.13</v>
      </c>
      <c r="V112" s="55">
        <f>_xll.EQNXTDZ($A$1,$B112,V$5)</f>
        <v>74.13</v>
      </c>
      <c r="W112" s="55">
        <f>_xll.EQNXTDZ($A$1,$B112,W$5)</f>
        <v>74.13</v>
      </c>
      <c r="X112" s="55">
        <f>_xll.EQNXTDZ($A$1,$B112,X$5)</f>
        <v>74.13</v>
      </c>
      <c r="Y112" s="55">
        <f>_xll.EQNXTDZ($A$1,$B112,Y$5)</f>
        <v>74.13</v>
      </c>
      <c r="Z112" s="55">
        <f>_xll.EQNXTDZ($A$1,$B112,Z$5)</f>
        <v>74.13</v>
      </c>
      <c r="AA112" s="55">
        <f>_xll.EQNXTDZ($A$1,$B112,AA$5)</f>
        <v>74.13</v>
      </c>
      <c r="AB112" s="55">
        <f>_xll.EQNXTDZ($A$1,$B112,AB$5)</f>
        <v>74.13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105790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298.01</v>
      </c>
      <c r="D6" cm="1">
        <f t="array" ref="D6">_xll.EQNXTDZ($A$1,$B6,D$1)</f>
        <v>289.8</v>
      </c>
      <c r="E6" cm="1">
        <f t="array" ref="E6">_xll.EQNXTDZ($A$1,$B6,E$1)</f>
        <v>288.61</v>
      </c>
      <c r="F6" cm="1">
        <f t="array" ref="F6">_xll.EQNXTDZ($A$1,$B6,F$1)</f>
        <v>322.8</v>
      </c>
      <c r="G6" cm="1">
        <f t="array" ref="G6">_xll.EQNXTDZ($A$1,$B6,G$1)</f>
        <v>354.84</v>
      </c>
      <c r="H6" cm="1">
        <f t="array" ref="H6">_xll.EQNXTDZ($A$1,$B6,H$1)</f>
        <v>348</v>
      </c>
      <c r="I6" cm="1">
        <f t="array" ref="I6">_xll.EQNXTDZ($A$1,$B6,I$1)</f>
        <v>338</v>
      </c>
      <c r="J6" cm="1">
        <f t="array" ref="J6">_xll.EQNXTDZ($A$1,$B6,J$1)</f>
        <v>339.8</v>
      </c>
      <c r="K6" cm="1">
        <f t="array" ref="K6">_xll.EQNXTDZ($A$1,$B6,K$1)</f>
        <v>317.60000000000002</v>
      </c>
      <c r="L6" cm="1">
        <f t="array" ref="L6">_xll.EQNXTDZ($A$1,$B6,L$1)</f>
        <v>303.01</v>
      </c>
      <c r="M6" cm="1">
        <f t="array" ref="M6">_xll.EQNXTDZ($A$1,$B6,M$1)</f>
        <v>298.98</v>
      </c>
      <c r="N6" cm="1">
        <f t="array" ref="N6">_xll.EQNXTDZ($A$1,$B6,N$1)</f>
        <v>271.99</v>
      </c>
      <c r="O6" cm="1">
        <f t="array" ref="O6">_xll.EQNXTDZ($A$1,$B6,O$1)</f>
        <v>294</v>
      </c>
      <c r="P6" cm="1">
        <f t="array" ref="P6">_xll.EQNXTDZ($A$1,$B6,P$1)</f>
        <v>318.99</v>
      </c>
      <c r="Q6" cm="1">
        <f t="array" ref="Q6">_xll.EQNXTDZ($A$1,$B6,Q$1)</f>
        <v>256</v>
      </c>
      <c r="R6" cm="1">
        <f t="array" ref="R6">_xll.EQNXTDZ($A$1,$B6,R$1)</f>
        <v>239.99</v>
      </c>
      <c r="S6" cm="1">
        <f t="array" ref="S6">_xll.EQNXTDZ($A$1,$B6,S$1)</f>
        <v>246.01</v>
      </c>
      <c r="T6" cm="1">
        <f t="array" ref="T6">_xll.EQNXTDZ($A$1,$B6,T$1)</f>
        <v>286.60000000000002</v>
      </c>
      <c r="U6" cm="1">
        <f t="array" ref="U6">_xll.EQNXTDZ($A$1,$B6,U$1)</f>
        <v>298.7</v>
      </c>
      <c r="V6" cm="1">
        <f t="array" ref="V6">_xll.EQNXTDZ($A$1,$B6,V$1)</f>
        <v>327.99</v>
      </c>
      <c r="W6" cm="1">
        <f t="array" ref="W6">_xll.EQNXTDZ($A$1,$B6,W$1)</f>
        <v>327.12</v>
      </c>
      <c r="X6" cm="1">
        <f t="array" ref="X6">_xll.EQNXTDZ($A$1,$B6,X$1)</f>
        <v>349</v>
      </c>
      <c r="Y6" cm="1">
        <f t="array" ref="Y6">_xll.EQNXTDZ($A$1,$B6,Y$1)</f>
        <v>372</v>
      </c>
      <c r="Z6" cm="1">
        <f t="array" ref="Z6">_xll.EQNXTDZ($A$1,$B6,Z$1)</f>
        <v>406.2</v>
      </c>
      <c r="AA6" cm="1">
        <f t="array" ref="AA6">_xll.EQNXTDZ($A$1,$B6,AA$1)</f>
        <v>476</v>
      </c>
      <c r="AB6" cm="1">
        <f t="array" ref="AB6">_xll.EQNXTDZ($A$1,$B6,AB$1)</f>
        <v>510</v>
      </c>
      <c r="AC6" cm="1">
        <f t="array" ref="AC6">_xll.EQNXTDZ($A$1,$B6,AC$1)</f>
        <v>542</v>
      </c>
      <c r="AD6" cm="1">
        <f t="array" ref="AD6">_xll.EQNXTDZ($A$1,$B6,AD$1)</f>
        <v>597</v>
      </c>
      <c r="AE6" cm="1">
        <f t="array" ref="AE6">_xll.EQNXTDZ($A$1,$B6,AE$1)</f>
        <v>583</v>
      </c>
      <c r="AF6" cm="1">
        <f t="array" ref="AF6">_xll.EQNXTDZ($A$1,$B6,AF$1)</f>
        <v>616</v>
      </c>
      <c r="AG6" cm="1">
        <f t="array" ref="AG6">_xll.EQNXTDZ($A$1,$B6,AG$1)</f>
        <v>664.4</v>
      </c>
      <c r="AH6" cm="1">
        <f t="array" ref="AH6">_xll.EQNXTDZ($A$1,$B6,AH$1)</f>
        <v>720</v>
      </c>
      <c r="AI6" cm="1">
        <f t="array" ref="AI6">_xll.EQNXTDZ($A$1,$B6,AI$1)</f>
        <v>763.97</v>
      </c>
      <c r="AJ6" cm="1">
        <f t="array" ref="AJ6">_xll.EQNXTDZ($A$1,$B6,AJ$1)</f>
        <v>780.41</v>
      </c>
      <c r="AK6" cm="1">
        <f t="array" ref="AK6">_xll.EQNXTDZ($A$1,$B6,AK$1)</f>
        <v>826.42</v>
      </c>
      <c r="AL6" cm="1">
        <f t="array" ref="AL6">_xll.EQNXTDZ($A$1,$B6,AL$1)</f>
        <v>796.99</v>
      </c>
      <c r="AM6" cm="1">
        <f t="array" ref="AM6">_xll.EQNXTDZ($A$1,$B6,AM$1)</f>
        <v>821.95</v>
      </c>
      <c r="AN6" cm="1">
        <f t="array" ref="AN6">_xll.EQNXTDZ($A$1,$B6,AN$1)</f>
        <v>830.99</v>
      </c>
      <c r="AO6" cm="1">
        <f t="array" ref="AO6">_xll.EQNXTDZ($A$1,$B6,AO$1)</f>
        <v>930.2</v>
      </c>
      <c r="AP6" cm="1">
        <f t="array" ref="AP6">_xll.EQNXTDZ($A$1,$B6,AP$1)</f>
        <v>836.8</v>
      </c>
      <c r="AQ6" cm="1">
        <f t="array" ref="AQ6">_xll.EQNXTDZ($A$1,$B6,AQ$1)</f>
        <v>806.99</v>
      </c>
      <c r="AR6" cm="1">
        <f t="array" ref="AR6">_xll.EQNXTDZ($A$1,$B6,AR$1)</f>
        <v>829.78</v>
      </c>
      <c r="AS6" cm="1">
        <f t="array" ref="AS6">_xll.EQNXTDZ($A$1,$B6,AS$1)</f>
        <v>796.6</v>
      </c>
      <c r="AT6" cm="1">
        <f t="array" ref="AT6">_xll.EQNXTDZ($A$1,$B6,AT$1)</f>
        <v>880.4</v>
      </c>
      <c r="AU6" cm="1">
        <f t="array" ref="AU6">_xll.EQNXTDZ($A$1,$B6,AU$1)</f>
        <v>796.8</v>
      </c>
      <c r="AV6" cm="1">
        <f t="array" ref="AV6">_xll.EQNXTDZ($A$1,$B6,AV$1)</f>
        <v>775</v>
      </c>
      <c r="AW6" cm="1">
        <f t="array" ref="AW6">_xll.EQNXTDZ($A$1,$B6,AW$1)</f>
        <v>759.4</v>
      </c>
      <c r="AX6" cm="1">
        <f t="array" ref="AX6">_xll.EQNXTDZ($A$1,$B6,AX$1)</f>
        <v>800</v>
      </c>
      <c r="AY6" cm="1">
        <f t="array" ref="AY6">_xll.EQNXTDZ($A$1,$B6,AY$1)</f>
        <v>791.6</v>
      </c>
      <c r="AZ6" cm="1">
        <f t="array" ref="AZ6">_xll.EQNXTDZ($A$1,$B6,AZ$1)</f>
        <v>826.8</v>
      </c>
      <c r="BA6" cm="1">
        <f t="array" ref="BA6">_xll.EQNXTDZ($A$1,$B6,BA$1)</f>
        <v>829</v>
      </c>
      <c r="BB6" cm="1">
        <f t="array" ref="BB6">_xll.EQNXTDZ($A$1,$B6,BB$1)</f>
        <v>815.8</v>
      </c>
      <c r="BC6" cm="1">
        <f t="array" ref="BC6">_xll.EQNXTDZ($A$1,$B6,BC$1)</f>
        <v>818.2</v>
      </c>
      <c r="BD6" cm="1">
        <f t="array" ref="BD6">_xll.EQNXTDZ($A$1,$B6,BD$1)</f>
        <v>887.6</v>
      </c>
      <c r="BE6" cm="1">
        <f t="array" ref="BE6">_xll.EQNXTDZ($A$1,$B6,BE$1)</f>
        <v>808.6</v>
      </c>
      <c r="BF6" cm="1">
        <f t="array" ref="BF6">_xll.EQNXTDZ($A$1,$B6,BF$1)</f>
        <v>770</v>
      </c>
      <c r="BG6" cm="1">
        <f t="array" ref="BG6">_xll.EQNXTDZ($A$1,$B6,BG$1)</f>
        <v>785.59</v>
      </c>
      <c r="BH6" cm="1">
        <f t="array" ref="BH6">_xll.EQNXTDZ($A$1,$B6,BH$1)</f>
        <v>860</v>
      </c>
      <c r="BI6" cm="1">
        <f t="array" ref="BI6">_xll.EQNXTDZ($A$1,$B6,BI$1)</f>
        <v>915.8</v>
      </c>
      <c r="BJ6" cm="1">
        <f t="array" ref="BJ6">_xll.EQNXTDZ($A$1,$B6,BJ$1)</f>
        <v>975</v>
      </c>
      <c r="BK6" cm="1">
        <f t="array" ref="BK6">_xll.EQNXTDZ($A$1,$B6,BK$1)</f>
        <v>911.99</v>
      </c>
      <c r="BL6" cm="1">
        <f t="array" ref="BL6">_xll.EQNXTDZ($A$1,$B6,BL$1)</f>
        <v>885.01</v>
      </c>
      <c r="BM6" cm="1">
        <f t="array" ref="BM6">_xll.EQNXTDZ($A$1,$B6,BM$1)</f>
        <v>914</v>
      </c>
      <c r="BN6" cm="1">
        <f t="array" ref="BN6">_xll.EQNXTDZ($A$1,$B6,BN$1)</f>
        <v>999.99</v>
      </c>
      <c r="BO6" cm="1">
        <f t="array" ref="BO6">_xll.EQNXTDZ($A$1,$B6,BO$1)</f>
        <v>986</v>
      </c>
      <c r="BP6" cm="1">
        <f t="array" ref="BP6">_xll.EQNXTDZ($A$1,$B6,BP$1)</f>
        <v>1030.2</v>
      </c>
      <c r="BQ6" cm="1">
        <f t="array" ref="BQ6">_xll.EQNXTDZ($A$1,$B6,BQ$1)</f>
        <v>1042</v>
      </c>
      <c r="BR6" cm="1">
        <f t="array" ref="BR6">_xll.EQNXTDZ($A$1,$B6,BR$1)</f>
        <v>1160.5999999999999</v>
      </c>
      <c r="BS6" cm="1">
        <f t="array" ref="BS6">_xll.EQNXTDZ($A$1,$B6,BS$1)</f>
        <v>1083.46</v>
      </c>
      <c r="BT6" cm="1">
        <f t="array" ref="BT6">_xll.EQNXTDZ($A$1,$B6,BT$1)</f>
        <v>1089.4000000000001</v>
      </c>
      <c r="BU6" cm="1">
        <f t="array" ref="BU6">_xll.EQNXTDZ($A$1,$B6,BU$1)</f>
        <v>1072</v>
      </c>
      <c r="BV6" cm="1">
        <f t="array" ref="BV6">_xll.EQNXTDZ($A$1,$B6,BV$1)</f>
        <v>1073</v>
      </c>
      <c r="BW6" cm="1">
        <f t="array" ref="BW6">_xll.EQNXTDZ($A$1,$B6,BW$1)</f>
        <v>1077.5999999999999</v>
      </c>
      <c r="BX6" cm="1">
        <f t="array" ref="BX6">_xll.EQNXTDZ($A$1,$B6,BX$1)</f>
        <v>1115.8</v>
      </c>
      <c r="BY6" cm="1">
        <f t="array" ref="BY6">_xll.EQNXTDZ($A$1,$B6,BY$1)</f>
        <v>1059.99</v>
      </c>
      <c r="BZ6" cm="1">
        <f t="array" ref="BZ6">_xll.EQNXTDZ($A$1,$B6,BZ$1)</f>
        <v>1114</v>
      </c>
      <c r="CA6" cm="1">
        <f t="array" ref="CA6">_xll.EQNXTDZ($A$1,$B6,CA$1)</f>
        <v>1060.25</v>
      </c>
      <c r="CB6" cm="1">
        <f t="array" ref="CB6">_xll.EQNXTDZ($A$1,$B6,CB$1)</f>
        <v>1019.98</v>
      </c>
      <c r="CC6" cm="1">
        <f t="array" ref="CC6">_xll.EQNXTDZ($A$1,$B6,CC$1)</f>
        <v>1050</v>
      </c>
      <c r="CD6" cm="1">
        <f t="array" ref="CD6">_xll.EQNXTDZ($A$1,$B6,CD$1)</f>
        <v>1137.6099999999999</v>
      </c>
      <c r="CE6" cm="1">
        <f t="array" ref="CE6">_xll.EQNXTDZ($A$1,$B6,CE$1)</f>
        <v>1050.28</v>
      </c>
      <c r="CF6" cm="1">
        <f t="array" ref="CF6">_xll.EQNXTDZ($A$1,$B6,CF$1)</f>
        <v>1089.5999999999999</v>
      </c>
      <c r="CG6" cm="1">
        <f t="array" ref="CG6">_xll.EQNXTDZ($A$1,$B6,CG$1)</f>
        <v>1100.5999999999999</v>
      </c>
      <c r="CH6" cm="1">
        <f t="array" ref="CH6">_xll.EQNXTDZ($A$1,$B6,CH$1)</f>
        <v>1090</v>
      </c>
      <c r="CI6" cm="1">
        <f t="array" ref="CI6">_xll.EQNXTDZ($A$1,$B6,CI$1)</f>
        <v>1030.01</v>
      </c>
      <c r="CJ6" cm="1">
        <f t="array" ref="CJ6">_xll.EQNXTDZ($A$1,$B6,CJ$1)</f>
        <v>974.41</v>
      </c>
      <c r="CK6" cm="1">
        <f t="array" ref="CK6">_xll.EQNXTDZ($A$1,$B6,CK$1)</f>
        <v>811.01</v>
      </c>
      <c r="CL6" cm="1">
        <f t="array" ref="CL6">_xll.EQNXTDZ($A$1,$B6,CL$1)</f>
        <v>824</v>
      </c>
      <c r="CM6" cm="1">
        <f t="array" ref="CM6">_xll.EQNXTDZ($A$1,$B6,CM$1)</f>
        <v>879.99</v>
      </c>
      <c r="CN6" cm="1">
        <f t="array" ref="CN6">_xll.EQNXTDZ($A$1,$B6,CN$1)</f>
        <v>863</v>
      </c>
      <c r="CO6" cm="1">
        <f t="array" ref="CO6">_xll.EQNXTDZ($A$1,$B6,CO$1)</f>
        <v>867.24</v>
      </c>
      <c r="CP6" cm="1">
        <f t="array" ref="CP6">_xll.EQNXTDZ($A$1,$B6,CP$1)</f>
        <v>927.61</v>
      </c>
      <c r="CQ6" cm="1">
        <f t="array" ref="CQ6">_xll.EQNXTDZ($A$1,$B6,CQ$1)</f>
        <v>909.2</v>
      </c>
      <c r="CR6" cm="1">
        <f t="array" ref="CR6">_xll.EQNXTDZ($A$1,$B6,CR$1)</f>
        <v>870.2</v>
      </c>
      <c r="CS6" cm="1">
        <f t="array" ref="CS6">_xll.EQNXTDZ($A$1,$B6,CS$1)</f>
        <v>755</v>
      </c>
      <c r="CT6" cm="1">
        <f t="array" ref="CT6">_xll.EQNXTDZ($A$1,$B6,CT$1)</f>
        <v>689</v>
      </c>
      <c r="CU6" cm="1">
        <f t="array" ref="CU6">_xll.EQNXTDZ($A$1,$B6,CU$1)</f>
        <v>642.59</v>
      </c>
      <c r="CV6" cm="1">
        <f t="array" ref="CV6">_xll.EQNXTDZ($A$1,$B6,CV$1)</f>
        <v>716.8</v>
      </c>
      <c r="CW6" cm="1">
        <f t="array" ref="CW6">_xll.EQNXTDZ($A$1,$B6,CW$1)</f>
        <v>721.4</v>
      </c>
      <c r="CX6" cm="1">
        <f t="array" ref="CX6">_xll.EQNXTDZ($A$1,$B6,CX$1)</f>
        <v>796</v>
      </c>
      <c r="CY6" cm="1">
        <f t="array" ref="CY6">_xll.EQNXTDZ($A$1,$B6,CY$1)</f>
        <v>727.99</v>
      </c>
      <c r="CZ6" cm="1">
        <f t="array" ref="CZ6">_xll.EQNXTDZ($A$1,$B6,CZ$1)</f>
        <v>746</v>
      </c>
      <c r="DA6" cm="1">
        <f t="array" ref="DA6">_xll.EQNXTDZ($A$1,$B6,DA$1)</f>
        <v>799.98</v>
      </c>
      <c r="DB6" cm="1">
        <f t="array" ref="DB6">_xll.EQNXTDZ($A$1,$B6,DB$1)</f>
        <v>917.6</v>
      </c>
      <c r="DC6" cm="1">
        <f t="array" ref="DC6">_xll.EQNXTDZ($A$1,$B6,DC$1)</f>
        <v>862.14</v>
      </c>
      <c r="DD6" cm="1">
        <f t="array" ref="DD6">_xll.EQNXTDZ($A$1,$B6,DD$1)</f>
        <v>1040</v>
      </c>
      <c r="DE6" cm="1">
        <f t="array" ref="DE6">_xll.EQNXTDZ($A$1,$B6,DE$1)</f>
        <v>1086</v>
      </c>
      <c r="DF6" cm="1">
        <f t="array" ref="DF6">_xll.EQNXTDZ($A$1,$B6,DF$1)</f>
        <v>1038</v>
      </c>
      <c r="DG6" cm="1">
        <f t="array" ref="DG6">_xll.EQNXTDZ($A$1,$B6,DG$1)</f>
        <v>1057.42</v>
      </c>
      <c r="DH6" cm="1">
        <f t="array" ref="DH6">_xll.EQNXTDZ($A$1,$B6,DH$1)</f>
        <v>1129.8</v>
      </c>
      <c r="DI6" cm="1">
        <f t="array" ref="DI6">_xll.EQNXTDZ($A$1,$B6,DI$1)</f>
        <v>1396</v>
      </c>
      <c r="DJ6" cm="1">
        <f t="array" ref="DJ6">_xll.EQNXTDZ($A$1,$B6,DJ$1)</f>
        <v>1452</v>
      </c>
      <c r="DK6" cm="1">
        <f t="array" ref="DK6">_xll.EQNXTDZ($A$1,$B6,DK$1)</f>
        <v>1548</v>
      </c>
      <c r="DL6" cm="1">
        <f t="array" ref="DL6">_xll.EQNXTDZ($A$1,$B6,DL$1)</f>
        <v>1480.35</v>
      </c>
      <c r="DM6" cm="1">
        <f t="array" ref="DM6">_xll.EQNXTDZ($A$1,$B6,DM$1)</f>
        <v>1560</v>
      </c>
      <c r="DN6" cm="1">
        <f t="array" ref="DN6">_xll.EQNXTDZ($A$1,$B6,DN$1)</f>
        <v>1756.88</v>
      </c>
      <c r="DO6" cm="1">
        <f t="array" ref="DO6">_xll.EQNXTDZ($A$1,$B6,DO$1)</f>
        <v>1793</v>
      </c>
      <c r="DP6" cm="1">
        <f t="array" ref="DP6">_xll.EQNXTDZ($A$1,$B6,DP$1)</f>
        <v>1835</v>
      </c>
      <c r="DQ6" cm="1">
        <f t="array" ref="DQ6">_xll.EQNXTDZ($A$1,$B6,DQ$1)</f>
        <v>1965</v>
      </c>
      <c r="DR6" cm="1">
        <f t="array" ref="DR6">_xll.EQNXTDZ($A$1,$B6,DR$1)</f>
        <v>2307.6</v>
      </c>
      <c r="DS6" cm="1">
        <f t="array" ref="DS6">_xll.EQNXTDZ($A$1,$B6,DS$1)</f>
        <v>2308.6</v>
      </c>
      <c r="DT6" cm="1">
        <f t="array" ref="DT6">_xll.EQNXTDZ($A$1,$B6,DT$1)</f>
        <v>2289</v>
      </c>
      <c r="DU6" cm="1">
        <f t="array" ref="DU6">_xll.EQNXTDZ($A$1,$B6,DU$1)</f>
        <v>2789</v>
      </c>
      <c r="DV6" cm="1">
        <f t="array" ref="DV6">_xll.EQNXTDZ($A$1,$B6,DV$1)</f>
        <v>3048</v>
      </c>
      <c r="DW6" cm="1">
        <f t="array" ref="DW6">_xll.EQNXTDZ($A$1,$B6,DW$1)</f>
        <v>3177.4</v>
      </c>
      <c r="DX6" cm="1">
        <f t="array" ref="DX6">_xll.EQNXTDZ($A$1,$B6,DX$1)</f>
        <v>2754.6</v>
      </c>
      <c r="DY6" cm="1">
        <f t="array" ref="DY6">_xll.EQNXTDZ($A$1,$B6,DY$1)</f>
        <v>2700</v>
      </c>
      <c r="DZ6" cm="1">
        <f t="array" ref="DZ6">_xll.EQNXTDZ($A$1,$B6,DZ$1)</f>
        <v>2670.05</v>
      </c>
      <c r="EA6" cm="1">
        <f t="array" ref="EA6">_xll.EQNXTDZ($A$1,$B6,EA$1)</f>
        <v>2675.1</v>
      </c>
      <c r="EB6" cm="1">
        <f t="array" ref="EB6">_xll.EQNXTDZ($A$1,$B6,EB$1)</f>
        <v>3003</v>
      </c>
      <c r="EC6" cm="1">
        <f t="array" ref="EC6">_xll.EQNXTDZ($A$1,$B6,EC$1)</f>
        <v>2881.9</v>
      </c>
      <c r="ED6" cm="1">
        <f t="array" ref="ED6">_xll.EQNXTDZ($A$1,$B6,ED$1)</f>
        <v>2799</v>
      </c>
      <c r="EE6" cm="1">
        <f t="array" ref="EE6">_xll.EQNXTDZ($A$1,$B6,EE$1)</f>
        <v>2960</v>
      </c>
      <c r="EF6" cm="1">
        <f t="array" ref="EF6">_xll.EQNXTDZ($A$1,$B6,EF$1)</f>
        <v>3111</v>
      </c>
      <c r="EG6" cm="1">
        <f t="array" ref="EG6">_xll.EQNXTDZ($A$1,$B6,EG$1)</f>
        <v>3145.9</v>
      </c>
      <c r="EH6" cm="1">
        <f t="array" ref="EH6">_xll.EQNXTDZ($A$1,$B6,EH$1)</f>
        <v>3065</v>
      </c>
      <c r="EI6" cm="1">
        <f t="array" ref="EI6">_xll.EQNXTDZ($A$1,$B6,EI$1)</f>
        <v>3335</v>
      </c>
      <c r="EJ6" cm="1">
        <f t="array" ref="EJ6">_xll.EQNXTDZ($A$1,$B6,EJ$1)</f>
        <v>2809</v>
      </c>
      <c r="EK6" cm="1">
        <f t="array" ref="EK6">_xll.EQNXTDZ($A$1,$B6,EK$1)</f>
        <v>2848</v>
      </c>
      <c r="EL6" cm="1">
        <f t="array" ref="EL6">_xll.EQNXTDZ($A$1,$B6,EL$1)</f>
        <v>3209.1</v>
      </c>
      <c r="EM6" cm="1">
        <f t="array" ref="EM6">_xll.EQNXTDZ($A$1,$B6,EM$1)</f>
        <v>3117.3</v>
      </c>
      <c r="EN6" cm="1">
        <f t="array" ref="EN6">_xll.EQNXTDZ($A$1,$B6,EN$1)</f>
        <v>2912.45</v>
      </c>
      <c r="EO6" cm="1">
        <f t="array" ref="EO6">_xll.EQNXTDZ($A$1,$B6,EO$1)</f>
        <v>2853.5</v>
      </c>
      <c r="EP6" cm="1">
        <f t="array" ref="EP6">_xll.EQNXTDZ($A$1,$B6,EP$1)</f>
        <v>3678.05</v>
      </c>
      <c r="EQ6" cm="1">
        <f t="array" ref="EQ6">_xll.EQNXTDZ($A$1,$B6,EQ$1)</f>
        <v>4300</v>
      </c>
      <c r="ER6" cm="1">
        <f t="array" ref="ER6">_xll.EQNXTDZ($A$1,$B6,ER$1)</f>
        <v>4744</v>
      </c>
      <c r="ES6" cm="1">
        <f t="array" ref="ES6">_xll.EQNXTDZ($A$1,$B6,ES$1)</f>
        <v>4270</v>
      </c>
      <c r="ET6" cm="1">
        <f t="array" ref="ET6">_xll.EQNXTDZ($A$1,$B6,ET$1)</f>
        <v>3970</v>
      </c>
      <c r="EU6" cm="1">
        <f t="array" ref="EU6">_xll.EQNXTDZ($A$1,$B6,EU$1)</f>
        <v>3861.1</v>
      </c>
      <c r="EV6" cm="1">
        <f t="array" ref="EV6">_xll.EQNXTDZ($A$1,$B6,EV$1)</f>
        <v>3465.8</v>
      </c>
      <c r="EW6" cm="1">
        <f t="array" ref="EW6">_xll.EQNXTDZ($A$1,$B6,EW$1)</f>
        <v>3576.55</v>
      </c>
      <c r="EX6" cm="1">
        <f t="array" ref="EX6">_xll.EQNXTDZ($A$1,$B6,EX$1)</f>
        <v>3401.3</v>
      </c>
      <c r="EY6" cm="1">
        <f t="array" ref="EY6">_xll.EQNXTDZ($A$1,$B6,EY$1)</f>
        <v>3425</v>
      </c>
      <c r="EZ6" cm="1">
        <f t="array" ref="EZ6">_xll.EQNXTDZ($A$1,$B6,EZ$1)</f>
        <v>3065</v>
      </c>
      <c r="FA6" cm="1">
        <f t="array" ref="FA6">_xll.EQNXTDZ($A$1,$B6,FA$1)</f>
        <v>3376</v>
      </c>
      <c r="FB6" cm="1">
        <f t="array" ref="FB6">_xll.EQNXTDZ($A$1,$B6,FB$1)</f>
        <v>3472.9</v>
      </c>
      <c r="FC6" cm="1">
        <f t="array" ref="FC6">_xll.EQNXTDZ($A$1,$B6,FC$1)</f>
        <v>4188.7</v>
      </c>
      <c r="FD6" cm="1">
        <f t="array" ref="FD6">_xll.EQNXTDZ($A$1,$B6,FD$1)</f>
        <v>4040</v>
      </c>
      <c r="FE6" cm="1">
        <f t="array" ref="FE6">_xll.EQNXTDZ($A$1,$B6,FE$1)</f>
        <v>4119.8999999999996</v>
      </c>
      <c r="FF6" cm="1">
        <f t="array" ref="FF6">_xll.EQNXTDZ($A$1,$B6,FF$1)</f>
        <v>3887.6</v>
      </c>
      <c r="FG6" cm="1">
        <f t="array" ref="FG6">_xll.EQNXTDZ($A$1,$B6,FG$1)</f>
        <v>4148.6000000000004</v>
      </c>
      <c r="FH6" cm="1">
        <f t="array" ref="FH6">_xll.EQNXTDZ($A$1,$B6,FH$1)</f>
        <v>4162</v>
      </c>
      <c r="FI6" cm="1">
        <f t="array" ref="FI6">_xll.EQNXTDZ($A$1,$B6,FI$1)</f>
        <v>3936</v>
      </c>
      <c r="FJ6" cm="1">
        <f t="array" ref="FJ6">_xll.EQNXTDZ($A$1,$B6,FJ$1)</f>
        <v>3879</v>
      </c>
      <c r="FK6" cm="1">
        <f t="array" ref="FK6">_xll.EQNXTDZ($A$1,$B6,FK$1)</f>
        <v>3622.1</v>
      </c>
      <c r="FL6" cm="1">
        <f t="array" ref="FL6">_xll.EQNXTDZ($A$1,$B6,FL$1)</f>
        <v>4170</v>
      </c>
      <c r="FM6" cm="1">
        <f t="array" ref="FM6">_xll.EQNXTDZ($A$1,$B6,FM$1)</f>
        <v>3890</v>
      </c>
      <c r="FN6" cm="1">
        <f t="array" ref="FN6">_xll.EQNXTDZ($A$1,$B6,FN$1)</f>
        <v>4192.2</v>
      </c>
      <c r="FO6" cm="1">
        <f t="array" ref="FO6">_xll.EQNXTDZ($A$1,$B6,FO$1)</f>
        <v>4136.5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317.39999999999998</v>
      </c>
      <c r="D7" s="115" cm="1">
        <f t="array" ref="D7">_xll.EQNXTDZ($A$1,$B7,D$1)</f>
        <v>310.8</v>
      </c>
      <c r="E7" s="115" cm="1">
        <f t="array" ref="E7">_xll.EQNXTDZ($A$1,$B7,E$1)</f>
        <v>325.2</v>
      </c>
      <c r="F7" s="115" cm="1">
        <f t="array" ref="F7">_xll.EQNXTDZ($A$1,$B7,F$1)</f>
        <v>359.97</v>
      </c>
      <c r="G7" s="115" cm="1">
        <f t="array" ref="G7">_xll.EQNXTDZ($A$1,$B7,G$1)</f>
        <v>369.99</v>
      </c>
      <c r="H7" s="115" cm="1">
        <f t="array" ref="H7">_xll.EQNXTDZ($A$1,$B7,H$1)</f>
        <v>353.8</v>
      </c>
      <c r="I7" s="115" cm="1">
        <f t="array" ref="I7">_xll.EQNXTDZ($A$1,$B7,I$1)</f>
        <v>370.92</v>
      </c>
      <c r="J7" s="115" cm="1">
        <f t="array" ref="J7">_xll.EQNXTDZ($A$1,$B7,J$1)</f>
        <v>340</v>
      </c>
      <c r="K7" s="115" cm="1">
        <f t="array" ref="K7">_xll.EQNXTDZ($A$1,$B7,K$1)</f>
        <v>317.60000000000002</v>
      </c>
      <c r="L7" s="115" cm="1">
        <f t="array" ref="L7">_xll.EQNXTDZ($A$1,$B7,L$1)</f>
        <v>313.94</v>
      </c>
      <c r="M7" s="115" cm="1">
        <f t="array" ref="M7">_xll.EQNXTDZ($A$1,$B7,M$1)</f>
        <v>305.98</v>
      </c>
      <c r="N7" s="115" cm="1">
        <f t="array" ref="N7">_xll.EQNXTDZ($A$1,$B7,N$1)</f>
        <v>299.60000000000002</v>
      </c>
      <c r="O7" s="115" cm="1">
        <f t="array" ref="O7">_xll.EQNXTDZ($A$1,$B7,O$1)</f>
        <v>296</v>
      </c>
      <c r="P7" s="115" cm="1">
        <f t="array" ref="P7">_xll.EQNXTDZ($A$1,$B7,P$1)</f>
        <v>318.99</v>
      </c>
      <c r="Q7" s="115" cm="1">
        <f t="array" ref="Q7">_xll.EQNXTDZ($A$1,$B7,Q$1)</f>
        <v>276</v>
      </c>
      <c r="R7" s="115" cm="1">
        <f t="array" ref="R7">_xll.EQNXTDZ($A$1,$B7,R$1)</f>
        <v>265</v>
      </c>
      <c r="S7" s="115" cm="1">
        <f t="array" ref="S7">_xll.EQNXTDZ($A$1,$B7,S$1)</f>
        <v>273</v>
      </c>
      <c r="T7" s="115" cm="1">
        <f t="array" ref="T7">_xll.EQNXTDZ($A$1,$B7,T$1)</f>
        <v>320</v>
      </c>
      <c r="U7" s="115" cm="1">
        <f t="array" ref="U7">_xll.EQNXTDZ($A$1,$B7,U$1)</f>
        <v>332</v>
      </c>
      <c r="V7" s="115" cm="1">
        <f t="array" ref="V7">_xll.EQNXTDZ($A$1,$B7,V$1)</f>
        <v>335.79</v>
      </c>
      <c r="W7" s="115" cm="1">
        <f t="array" ref="W7">_xll.EQNXTDZ($A$1,$B7,W$1)</f>
        <v>349</v>
      </c>
      <c r="X7" s="115" cm="1">
        <f t="array" ref="X7">_xll.EQNXTDZ($A$1,$B7,X$1)</f>
        <v>380</v>
      </c>
      <c r="Y7" s="115" cm="1">
        <f t="array" ref="Y7">_xll.EQNXTDZ($A$1,$B7,Y$1)</f>
        <v>429.79</v>
      </c>
      <c r="Z7" s="115" cm="1">
        <f t="array" ref="Z7">_xll.EQNXTDZ($A$1,$B7,Z$1)</f>
        <v>489</v>
      </c>
      <c r="AA7" s="115" cm="1">
        <f t="array" ref="AA7">_xll.EQNXTDZ($A$1,$B7,AA$1)</f>
        <v>517.79999999999995</v>
      </c>
      <c r="AB7" s="115" cm="1">
        <f t="array" ref="AB7">_xll.EQNXTDZ($A$1,$B7,AB$1)</f>
        <v>566</v>
      </c>
      <c r="AC7" s="115" cm="1">
        <f t="array" ref="AC7">_xll.EQNXTDZ($A$1,$B7,AC$1)</f>
        <v>600.30999999999995</v>
      </c>
      <c r="AD7" s="115" cm="1">
        <f t="array" ref="AD7">_xll.EQNXTDZ($A$1,$B7,AD$1)</f>
        <v>603</v>
      </c>
      <c r="AE7" s="115" cm="1">
        <f t="array" ref="AE7">_xll.EQNXTDZ($A$1,$B7,AE$1)</f>
        <v>630</v>
      </c>
      <c r="AF7" s="115" cm="1">
        <f t="array" ref="AF7">_xll.EQNXTDZ($A$1,$B7,AF$1)</f>
        <v>688</v>
      </c>
      <c r="AG7" s="115" cm="1">
        <f t="array" ref="AG7">_xll.EQNXTDZ($A$1,$B7,AG$1)</f>
        <v>766</v>
      </c>
      <c r="AH7" s="115" cm="1">
        <f t="array" ref="AH7">_xll.EQNXTDZ($A$1,$B7,AH$1)</f>
        <v>784.03</v>
      </c>
      <c r="AI7" s="115" cm="1">
        <f t="array" ref="AI7">_xll.EQNXTDZ($A$1,$B7,AI$1)</f>
        <v>832</v>
      </c>
      <c r="AJ7" s="115" cm="1">
        <f t="array" ref="AJ7">_xll.EQNXTDZ($A$1,$B7,AJ$1)</f>
        <v>890</v>
      </c>
      <c r="AK7" s="115" cm="1">
        <f t="array" ref="AK7">_xll.EQNXTDZ($A$1,$B7,AK$1)</f>
        <v>919.8</v>
      </c>
      <c r="AL7" s="115" cm="1">
        <f t="array" ref="AL7">_xll.EQNXTDZ($A$1,$B7,AL$1)</f>
        <v>879.8</v>
      </c>
      <c r="AM7" s="115" cm="1">
        <f t="array" ref="AM7">_xll.EQNXTDZ($A$1,$B7,AM$1)</f>
        <v>837</v>
      </c>
      <c r="AN7" s="115" cm="1">
        <f t="array" ref="AN7">_xll.EQNXTDZ($A$1,$B7,AN$1)</f>
        <v>984</v>
      </c>
      <c r="AO7" s="115" cm="1">
        <f t="array" ref="AO7">_xll.EQNXTDZ($A$1,$B7,AO$1)</f>
        <v>978</v>
      </c>
      <c r="AP7" s="115" cm="1">
        <f t="array" ref="AP7">_xll.EQNXTDZ($A$1,$B7,AP$1)</f>
        <v>893.99</v>
      </c>
      <c r="AQ7" s="115" cm="1">
        <f t="array" ref="AQ7">_xll.EQNXTDZ($A$1,$B7,AQ$1)</f>
        <v>872.56</v>
      </c>
      <c r="AR7" s="115" cm="1">
        <f t="array" ref="AR7">_xll.EQNXTDZ($A$1,$B7,AR$1)</f>
        <v>829.8</v>
      </c>
      <c r="AS7" s="115" cm="1">
        <f t="array" ref="AS7">_xll.EQNXTDZ($A$1,$B7,AS$1)</f>
        <v>883</v>
      </c>
      <c r="AT7" s="115" cm="1">
        <f t="array" ref="AT7">_xll.EQNXTDZ($A$1,$B7,AT$1)</f>
        <v>880.4</v>
      </c>
      <c r="AU7" s="115" cm="1">
        <f t="array" ref="AU7">_xll.EQNXTDZ($A$1,$B7,AU$1)</f>
        <v>811.01</v>
      </c>
      <c r="AV7" s="115" cm="1">
        <f t="array" ref="AV7">_xll.EQNXTDZ($A$1,$B7,AV$1)</f>
        <v>795</v>
      </c>
      <c r="AW7" s="115" cm="1">
        <f t="array" ref="AW7">_xll.EQNXTDZ($A$1,$B7,AW$1)</f>
        <v>859.76</v>
      </c>
      <c r="AX7" s="115" cm="1">
        <f t="array" ref="AX7">_xll.EQNXTDZ($A$1,$B7,AX$1)</f>
        <v>808</v>
      </c>
      <c r="AY7" s="115" cm="1">
        <f t="array" ref="AY7">_xll.EQNXTDZ($A$1,$B7,AY$1)</f>
        <v>859.99</v>
      </c>
      <c r="AZ7" s="115" cm="1">
        <f t="array" ref="AZ7">_xll.EQNXTDZ($A$1,$B7,AZ$1)</f>
        <v>854.8</v>
      </c>
      <c r="BA7" s="115" cm="1">
        <f t="array" ref="BA7">_xll.EQNXTDZ($A$1,$B7,BA$1)</f>
        <v>847.6</v>
      </c>
      <c r="BB7" s="115" cm="1">
        <f t="array" ref="BB7">_xll.EQNXTDZ($A$1,$B7,BB$1)</f>
        <v>840</v>
      </c>
      <c r="BC7" s="115" cm="1">
        <f t="array" ref="BC7">_xll.EQNXTDZ($A$1,$B7,BC$1)</f>
        <v>895.8</v>
      </c>
      <c r="BD7" s="115" cm="1">
        <f t="array" ref="BD7">_xll.EQNXTDZ($A$1,$B7,BD$1)</f>
        <v>893.93</v>
      </c>
      <c r="BE7" s="115" cm="1">
        <f t="array" ref="BE7">_xll.EQNXTDZ($A$1,$B7,BE$1)</f>
        <v>829.09</v>
      </c>
      <c r="BF7" s="115" cm="1">
        <f t="array" ref="BF7">_xll.EQNXTDZ($A$1,$B7,BF$1)</f>
        <v>799.48</v>
      </c>
      <c r="BG7" s="115" cm="1">
        <f t="array" ref="BG7">_xll.EQNXTDZ($A$1,$B7,BG$1)</f>
        <v>855.6</v>
      </c>
      <c r="BH7" s="115" cm="1">
        <f t="array" ref="BH7">_xll.EQNXTDZ($A$1,$B7,BH$1)</f>
        <v>930</v>
      </c>
      <c r="BI7" s="115" cm="1">
        <f t="array" ref="BI7">_xll.EQNXTDZ($A$1,$B7,BI$1)</f>
        <v>996.78</v>
      </c>
      <c r="BJ7" s="115" cm="1">
        <f t="array" ref="BJ7">_xll.EQNXTDZ($A$1,$B7,BJ$1)</f>
        <v>987.34</v>
      </c>
      <c r="BK7" s="115" cm="1">
        <f t="array" ref="BK7">_xll.EQNXTDZ($A$1,$B7,BK$1)</f>
        <v>963</v>
      </c>
      <c r="BL7" s="115" cm="1">
        <f t="array" ref="BL7">_xll.EQNXTDZ($A$1,$B7,BL$1)</f>
        <v>1033.4000000000001</v>
      </c>
      <c r="BM7" s="115" cm="1">
        <f t="array" ref="BM7">_xll.EQNXTDZ($A$1,$B7,BM$1)</f>
        <v>1021.81</v>
      </c>
      <c r="BN7" s="115" cm="1">
        <f t="array" ref="BN7">_xll.EQNXTDZ($A$1,$B7,BN$1)</f>
        <v>1029.8</v>
      </c>
      <c r="BO7" s="115" cm="1">
        <f t="array" ref="BO7">_xll.EQNXTDZ($A$1,$B7,BO$1)</f>
        <v>1045</v>
      </c>
      <c r="BP7" s="115" cm="1">
        <f t="array" ref="BP7">_xll.EQNXTDZ($A$1,$B7,BP$1)</f>
        <v>1058.5999999999999</v>
      </c>
      <c r="BQ7" s="115" cm="1">
        <f t="array" ref="BQ7">_xll.EQNXTDZ($A$1,$B7,BQ$1)</f>
        <v>1197.74</v>
      </c>
      <c r="BR7" s="115" cm="1">
        <f t="array" ref="BR7">_xll.EQNXTDZ($A$1,$B7,BR$1)</f>
        <v>1187.56</v>
      </c>
      <c r="BS7" s="115" cm="1">
        <f t="array" ref="BS7">_xll.EQNXTDZ($A$1,$B7,BS$1)</f>
        <v>1109.99</v>
      </c>
      <c r="BT7" s="115" cm="1">
        <f t="array" ref="BT7">_xll.EQNXTDZ($A$1,$B7,BT$1)</f>
        <v>1154.42</v>
      </c>
      <c r="BU7" s="115" cm="1">
        <f t="array" ref="BU7">_xll.EQNXTDZ($A$1,$B7,BU$1)</f>
        <v>1118.3699999999999</v>
      </c>
      <c r="BV7" s="115" cm="1">
        <f t="array" ref="BV7">_xll.EQNXTDZ($A$1,$B7,BV$1)</f>
        <v>1088</v>
      </c>
      <c r="BW7" s="115" cm="1">
        <f t="array" ref="BW7">_xll.EQNXTDZ($A$1,$B7,BW$1)</f>
        <v>1124.05</v>
      </c>
      <c r="BX7" s="115" cm="1">
        <f t="array" ref="BX7">_xll.EQNXTDZ($A$1,$B7,BX$1)</f>
        <v>1125</v>
      </c>
      <c r="BY7" s="115" cm="1">
        <f t="array" ref="BY7">_xll.EQNXTDZ($A$1,$B7,BY$1)</f>
        <v>1111</v>
      </c>
      <c r="BZ7" s="115" cm="1">
        <f t="array" ref="BZ7">_xll.EQNXTDZ($A$1,$B7,BZ$1)</f>
        <v>1150</v>
      </c>
      <c r="CA7" s="115" cm="1">
        <f t="array" ref="CA7">_xll.EQNXTDZ($A$1,$B7,CA$1)</f>
        <v>1079.5999999999999</v>
      </c>
      <c r="CB7" s="115" cm="1">
        <f t="array" ref="CB7">_xll.EQNXTDZ($A$1,$B7,CB$1)</f>
        <v>1140</v>
      </c>
      <c r="CC7" s="115" cm="1">
        <f t="array" ref="CC7">_xll.EQNXTDZ($A$1,$B7,CC$1)</f>
        <v>1144</v>
      </c>
      <c r="CD7" s="115" cm="1">
        <f t="array" ref="CD7">_xll.EQNXTDZ($A$1,$B7,CD$1)</f>
        <v>1159.5999999999999</v>
      </c>
      <c r="CE7" s="115" cm="1">
        <f t="array" ref="CE7">_xll.EQNXTDZ($A$1,$B7,CE$1)</f>
        <v>1140</v>
      </c>
      <c r="CF7" s="115" cm="1">
        <f t="array" ref="CF7">_xll.EQNXTDZ($A$1,$B7,CF$1)</f>
        <v>1145</v>
      </c>
      <c r="CG7" s="115" cm="1">
        <f t="array" ref="CG7">_xll.EQNXTDZ($A$1,$B7,CG$1)</f>
        <v>1120</v>
      </c>
      <c r="CH7" s="115" cm="1">
        <f t="array" ref="CH7">_xll.EQNXTDZ($A$1,$B7,CH$1)</f>
        <v>1090</v>
      </c>
      <c r="CI7" s="115" cm="1">
        <f t="array" ref="CI7">_xll.EQNXTDZ($A$1,$B7,CI$1)</f>
        <v>1048</v>
      </c>
      <c r="CJ7" s="115" cm="1">
        <f t="array" ref="CJ7">_xll.EQNXTDZ($A$1,$B7,CJ$1)</f>
        <v>980</v>
      </c>
      <c r="CK7" s="115" cm="1">
        <f t="array" ref="CK7">_xll.EQNXTDZ($A$1,$B7,CK$1)</f>
        <v>885.38</v>
      </c>
      <c r="CL7" s="115" cm="1">
        <f t="array" ref="CL7">_xll.EQNXTDZ($A$1,$B7,CL$1)</f>
        <v>878.99</v>
      </c>
      <c r="CM7" s="115" cm="1">
        <f t="array" ref="CM7">_xll.EQNXTDZ($A$1,$B7,CM$1)</f>
        <v>880</v>
      </c>
      <c r="CN7" s="115" cm="1">
        <f t="array" ref="CN7">_xll.EQNXTDZ($A$1,$B7,CN$1)</f>
        <v>915.51</v>
      </c>
      <c r="CO7" s="115" cm="1">
        <f t="array" ref="CO7">_xll.EQNXTDZ($A$1,$B7,CO$1)</f>
        <v>952.43</v>
      </c>
      <c r="CP7" s="115" cm="1">
        <f t="array" ref="CP7">_xll.EQNXTDZ($A$1,$B7,CP$1)</f>
        <v>955.8</v>
      </c>
      <c r="CQ7" s="115" cm="1">
        <f t="array" ref="CQ7">_xll.EQNXTDZ($A$1,$B7,CQ$1)</f>
        <v>991.97</v>
      </c>
      <c r="CR7" s="115" cm="1">
        <f t="array" ref="CR7">_xll.EQNXTDZ($A$1,$B7,CR$1)</f>
        <v>899.9</v>
      </c>
      <c r="CS7" s="115" cm="1">
        <f t="array" ref="CS7">_xll.EQNXTDZ($A$1,$B7,CS$1)</f>
        <v>755</v>
      </c>
      <c r="CT7" s="115" cm="1">
        <f t="array" ref="CT7">_xll.EQNXTDZ($A$1,$B7,CT$1)</f>
        <v>689.2</v>
      </c>
      <c r="CU7" s="115" cm="1">
        <f t="array" ref="CU7">_xll.EQNXTDZ($A$1,$B7,CU$1)</f>
        <v>760</v>
      </c>
      <c r="CV7" s="115" cm="1">
        <f t="array" ref="CV7">_xll.EQNXTDZ($A$1,$B7,CV$1)</f>
        <v>756.54</v>
      </c>
      <c r="CW7" s="115" cm="1">
        <f t="array" ref="CW7">_xll.EQNXTDZ($A$1,$B7,CW$1)</f>
        <v>832</v>
      </c>
      <c r="CX7" s="115" cm="1">
        <f t="array" ref="CX7">_xll.EQNXTDZ($A$1,$B7,CX$1)</f>
        <v>847.8</v>
      </c>
      <c r="CY7" s="115" cm="1">
        <f t="array" ref="CY7">_xll.EQNXTDZ($A$1,$B7,CY$1)</f>
        <v>820</v>
      </c>
      <c r="CZ7" s="115" cm="1">
        <f t="array" ref="CZ7">_xll.EQNXTDZ($A$1,$B7,CZ$1)</f>
        <v>808</v>
      </c>
      <c r="DA7" s="115" cm="1">
        <f t="array" ref="DA7">_xll.EQNXTDZ($A$1,$B7,DA$1)</f>
        <v>950</v>
      </c>
      <c r="DB7" s="115" cm="1">
        <f t="array" ref="DB7">_xll.EQNXTDZ($A$1,$B7,DB$1)</f>
        <v>940</v>
      </c>
      <c r="DC7" s="115" cm="1">
        <f t="array" ref="DC7">_xll.EQNXTDZ($A$1,$B7,DC$1)</f>
        <v>1054.58</v>
      </c>
      <c r="DD7" s="115" cm="1">
        <f t="array" ref="DD7">_xll.EQNXTDZ($A$1,$B7,DD$1)</f>
        <v>1097.53</v>
      </c>
      <c r="DE7" s="115" cm="1">
        <f t="array" ref="DE7">_xll.EQNXTDZ($A$1,$B7,DE$1)</f>
        <v>1110.01</v>
      </c>
      <c r="DF7" s="115" cm="1">
        <f t="array" ref="DF7">_xll.EQNXTDZ($A$1,$B7,DF$1)</f>
        <v>1063.75</v>
      </c>
      <c r="DG7" s="115" cm="1">
        <f t="array" ref="DG7">_xll.EQNXTDZ($A$1,$B7,DG$1)</f>
        <v>1149.5899999999999</v>
      </c>
      <c r="DH7" s="115" cm="1">
        <f t="array" ref="DH7">_xll.EQNXTDZ($A$1,$B7,DH$1)</f>
        <v>1433.2</v>
      </c>
      <c r="DI7" s="115" cm="1">
        <f t="array" ref="DI7">_xll.EQNXTDZ($A$1,$B7,DI$1)</f>
        <v>1479.23</v>
      </c>
      <c r="DJ7" s="115" cm="1">
        <f t="array" ref="DJ7">_xll.EQNXTDZ($A$1,$B7,DJ$1)</f>
        <v>1530</v>
      </c>
      <c r="DK7" s="115" cm="1">
        <f t="array" ref="DK7">_xll.EQNXTDZ($A$1,$B7,DK$1)</f>
        <v>1654.81</v>
      </c>
      <c r="DL7" s="115" cm="1">
        <f t="array" ref="DL7">_xll.EQNXTDZ($A$1,$B7,DL$1)</f>
        <v>1640</v>
      </c>
      <c r="DM7" s="115" cm="1">
        <f t="array" ref="DM7">_xll.EQNXTDZ($A$1,$B7,DM$1)</f>
        <v>1765.59</v>
      </c>
      <c r="DN7" s="115" cm="1">
        <f t="array" ref="DN7">_xll.EQNXTDZ($A$1,$B7,DN$1)</f>
        <v>1940</v>
      </c>
      <c r="DO7" s="115" cm="1">
        <f t="array" ref="DO7">_xll.EQNXTDZ($A$1,$B7,DO$1)</f>
        <v>1900</v>
      </c>
      <c r="DP7" s="115" cm="1">
        <f t="array" ref="DP7">_xll.EQNXTDZ($A$1,$B7,DP$1)</f>
        <v>2000</v>
      </c>
      <c r="DQ7" s="115" cm="1">
        <f t="array" ref="DQ7">_xll.EQNXTDZ($A$1,$B7,DQ$1)</f>
        <v>2441.6</v>
      </c>
      <c r="DR7" s="115" cm="1">
        <f t="array" ref="DR7">_xll.EQNXTDZ($A$1,$B7,DR$1)</f>
        <v>2488</v>
      </c>
      <c r="DS7" s="115" cm="1">
        <f t="array" ref="DS7">_xll.EQNXTDZ($A$1,$B7,DS$1)</f>
        <v>2438.65</v>
      </c>
      <c r="DT7" s="115" cm="1">
        <f t="array" ref="DT7">_xll.EQNXTDZ($A$1,$B7,DT$1)</f>
        <v>2860</v>
      </c>
      <c r="DU7" s="115" cm="1">
        <f t="array" ref="DU7">_xll.EQNXTDZ($A$1,$B7,DU$1)</f>
        <v>3089.2</v>
      </c>
      <c r="DV7" s="115" cm="1">
        <f t="array" ref="DV7">_xll.EQNXTDZ($A$1,$B7,DV$1)</f>
        <v>3969.85</v>
      </c>
      <c r="DW7" s="115" cm="1">
        <f t="array" ref="DW7">_xll.EQNXTDZ($A$1,$B7,DW$1)</f>
        <v>3419.95</v>
      </c>
      <c r="DX7" s="115" cm="1">
        <f t="array" ref="DX7">_xll.EQNXTDZ($A$1,$B7,DX$1)</f>
        <v>3126.5</v>
      </c>
      <c r="DY7" s="115" cm="1">
        <f t="array" ref="DY7">_xll.EQNXTDZ($A$1,$B7,DY$1)</f>
        <v>2833.35</v>
      </c>
      <c r="DZ7" s="115" cm="1">
        <f t="array" ref="DZ7">_xll.EQNXTDZ($A$1,$B7,DZ$1)</f>
        <v>2789.35</v>
      </c>
      <c r="EA7" s="115" cm="1">
        <f t="array" ref="EA7">_xll.EQNXTDZ($A$1,$B7,EA$1)</f>
        <v>3039.8</v>
      </c>
      <c r="EB7" s="115" cm="1">
        <f t="array" ref="EB7">_xll.EQNXTDZ($A$1,$B7,EB$1)</f>
        <v>3137.85</v>
      </c>
      <c r="EC7" s="115" cm="1">
        <f t="array" ref="EC7">_xll.EQNXTDZ($A$1,$B7,EC$1)</f>
        <v>3121</v>
      </c>
      <c r="ED7" s="115" cm="1">
        <f t="array" ref="ED7">_xll.EQNXTDZ($A$1,$B7,ED$1)</f>
        <v>2992</v>
      </c>
      <c r="EE7" s="115" cm="1">
        <f t="array" ref="EE7">_xll.EQNXTDZ($A$1,$B7,EE$1)</f>
        <v>3294.05</v>
      </c>
      <c r="EF7" s="115" cm="1">
        <f t="array" ref="EF7">_xll.EQNXTDZ($A$1,$B7,EF$1)</f>
        <v>3230</v>
      </c>
      <c r="EG7" s="115" cm="1">
        <f t="array" ref="EG7">_xll.EQNXTDZ($A$1,$B7,EG$1)</f>
        <v>3146.8</v>
      </c>
      <c r="EH7" s="115" cm="1">
        <f t="array" ref="EH7">_xll.EQNXTDZ($A$1,$B7,EH$1)</f>
        <v>3726.05</v>
      </c>
      <c r="EI7" s="115" cm="1">
        <f t="array" ref="EI7">_xll.EQNXTDZ($A$1,$B7,EI$1)</f>
        <v>3335</v>
      </c>
      <c r="EJ7" s="115" cm="1">
        <f t="array" ref="EJ7">_xll.EQNXTDZ($A$1,$B7,EJ$1)</f>
        <v>2888.15</v>
      </c>
      <c r="EK7" s="115" cm="1">
        <f t="array" ref="EK7">_xll.EQNXTDZ($A$1,$B7,EK$1)</f>
        <v>3235.45</v>
      </c>
      <c r="EL7" s="115" cm="1">
        <f t="array" ref="EL7">_xll.EQNXTDZ($A$1,$B7,EL$1)</f>
        <v>3434</v>
      </c>
      <c r="EM7" s="115" cm="1">
        <f t="array" ref="EM7">_xll.EQNXTDZ($A$1,$B7,EM$1)</f>
        <v>3179.9</v>
      </c>
      <c r="EN7" s="115" cm="1">
        <f t="array" ref="EN7">_xll.EQNXTDZ($A$1,$B7,EN$1)</f>
        <v>2988.05</v>
      </c>
      <c r="EO7" s="115" cm="1">
        <f t="array" ref="EO7">_xll.EQNXTDZ($A$1,$B7,EO$1)</f>
        <v>3879</v>
      </c>
      <c r="EP7" s="115" cm="1">
        <f t="array" ref="EP7">_xll.EQNXTDZ($A$1,$B7,EP$1)</f>
        <v>4745</v>
      </c>
      <c r="EQ7" s="115" cm="1">
        <f t="array" ref="EQ7">_xll.EQNXTDZ($A$1,$B7,EQ$1)</f>
        <v>4951</v>
      </c>
      <c r="ER7" s="115" cm="1">
        <f t="array" ref="ER7">_xll.EQNXTDZ($A$1,$B7,ER$1)</f>
        <v>4747</v>
      </c>
      <c r="ES7" s="115" cm="1">
        <f t="array" ref="ES7">_xll.EQNXTDZ($A$1,$B7,ES$1)</f>
        <v>4286.3999999999996</v>
      </c>
      <c r="ET7" s="115" cm="1">
        <f t="array" ref="ET7">_xll.EQNXTDZ($A$1,$B7,ET$1)</f>
        <v>4049</v>
      </c>
      <c r="EU7" s="115" cm="1">
        <f t="array" ref="EU7">_xll.EQNXTDZ($A$1,$B7,EU$1)</f>
        <v>4083.05</v>
      </c>
      <c r="EV7" s="115" cm="1">
        <f t="array" ref="EV7">_xll.EQNXTDZ($A$1,$B7,EV$1)</f>
        <v>3615.85</v>
      </c>
      <c r="EW7" s="115" cm="1">
        <f t="array" ref="EW7">_xll.EQNXTDZ($A$1,$B7,EW$1)</f>
        <v>3780</v>
      </c>
      <c r="EX7" s="115" cm="1">
        <f t="array" ref="EX7">_xll.EQNXTDZ($A$1,$B7,EX$1)</f>
        <v>3549</v>
      </c>
      <c r="EY7" s="115" cm="1">
        <f t="array" ref="EY7">_xll.EQNXTDZ($A$1,$B7,EY$1)</f>
        <v>3448</v>
      </c>
      <c r="EZ7" s="115" cm="1">
        <f t="array" ref="EZ7">_xll.EQNXTDZ($A$1,$B7,EZ$1)</f>
        <v>3736.95</v>
      </c>
      <c r="FA7" s="115" cm="1">
        <f t="array" ref="FA7">_xll.EQNXTDZ($A$1,$B7,FA$1)</f>
        <v>3566</v>
      </c>
      <c r="FB7" s="115" cm="1">
        <f t="array" ref="FB7">_xll.EQNXTDZ($A$1,$B7,FB$1)</f>
        <v>4268</v>
      </c>
      <c r="FC7" s="115" cm="1">
        <f t="array" ref="FC7">_xll.EQNXTDZ($A$1,$B7,FC$1)</f>
        <v>4364.8</v>
      </c>
      <c r="FD7" s="115" cm="1">
        <f t="array" ref="FD7">_xll.EQNXTDZ($A$1,$B7,FD$1)</f>
        <v>4374.8999999999996</v>
      </c>
      <c r="FE7" s="115" cm="1">
        <f t="array" ref="FE7">_xll.EQNXTDZ($A$1,$B7,FE$1)</f>
        <v>4220</v>
      </c>
      <c r="FF7" s="115" cm="1">
        <f t="array" ref="FF7">_xll.EQNXTDZ($A$1,$B7,FF$1)</f>
        <v>4280</v>
      </c>
      <c r="FG7" s="115" cm="1">
        <f t="array" ref="FG7">_xll.EQNXTDZ($A$1,$B7,FG$1)</f>
        <v>4392</v>
      </c>
      <c r="FH7" s="115" cm="1">
        <f t="array" ref="FH7">_xll.EQNXTDZ($A$1,$B7,FH$1)</f>
        <v>4390</v>
      </c>
      <c r="FI7" s="115" cm="1">
        <f t="array" ref="FI7">_xll.EQNXTDZ($A$1,$B7,FI$1)</f>
        <v>3970</v>
      </c>
      <c r="FJ7" s="115" cm="1">
        <f t="array" ref="FJ7">_xll.EQNXTDZ($A$1,$B7,FJ$1)</f>
        <v>3925</v>
      </c>
      <c r="FK7" s="115" cm="1">
        <f t="array" ref="FK7">_xll.EQNXTDZ($A$1,$B7,FK$1)</f>
        <v>4443.8</v>
      </c>
      <c r="FL7" s="115" cm="1">
        <f t="array" ref="FL7">_xll.EQNXTDZ($A$1,$B7,FL$1)</f>
        <v>4467.7</v>
      </c>
      <c r="FM7" s="115" cm="1">
        <f t="array" ref="FM7">_xll.EQNXTDZ($A$1,$B7,FM$1)</f>
        <v>4445</v>
      </c>
      <c r="FN7" s="115" cm="1">
        <f t="array" ref="FN7">_xll.EQNXTDZ($A$1,$B7,FN$1)</f>
        <v>4297</v>
      </c>
      <c r="FO7" s="115" cm="1">
        <f t="array" ref="FO7">_xll.EQNXTDZ($A$1,$B7,FO$1)</f>
        <v>4210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359.97</v>
      </c>
      <c r="HQ7" s="115">
        <f>+MAX(G7:I7)</f>
        <v>370.92</v>
      </c>
      <c r="HR7" s="115">
        <f>+MAX(J7:L7)</f>
        <v>340</v>
      </c>
      <c r="HS7" s="115">
        <f>+MAX(M7:O7)</f>
        <v>305.98</v>
      </c>
      <c r="HT7" s="115">
        <f>+MAX(P7:R7)</f>
        <v>318.99</v>
      </c>
      <c r="HU7" s="115">
        <f>+MAX(S7:U7)</f>
        <v>332</v>
      </c>
      <c r="HV7" s="115">
        <f>+MAX(V7:X7)</f>
        <v>380</v>
      </c>
      <c r="HW7" s="115">
        <f>+MAX(Y7:AA7)</f>
        <v>517.79999999999995</v>
      </c>
      <c r="HX7" s="115">
        <f>+MAX(AB7:AD7)</f>
        <v>603</v>
      </c>
      <c r="HY7" s="115">
        <f>+MAX(AE7:AG7)</f>
        <v>766</v>
      </c>
      <c r="HZ7" s="115">
        <f>+MAX(AH7:AJ7)</f>
        <v>890</v>
      </c>
      <c r="IA7" s="115">
        <f>+MAX(AK7:AM7)</f>
        <v>919.8</v>
      </c>
      <c r="IB7" s="115">
        <f>+MAX(AN7:AP7)</f>
        <v>984</v>
      </c>
      <c r="IC7" s="115">
        <f>+MAX(AQ7:AS7)</f>
        <v>883</v>
      </c>
      <c r="ID7" s="115">
        <f>+MAX(AT7:AV7)</f>
        <v>880.4</v>
      </c>
      <c r="IE7" s="115">
        <f>+MAX(AW7:AY7)</f>
        <v>859.99</v>
      </c>
      <c r="IF7" s="115">
        <f>+MAX(AZ7:BB7)</f>
        <v>854.8</v>
      </c>
      <c r="IG7" s="115">
        <f>+MAX(BC7:BE7)</f>
        <v>895.8</v>
      </c>
      <c r="IH7" s="115">
        <f>+MAX(BF7:BH7)</f>
        <v>930</v>
      </c>
      <c r="II7" s="115">
        <f>+MAX(BI7:BK7)</f>
        <v>996.78</v>
      </c>
      <c r="IJ7" s="115">
        <f>+MAX(BL7:BN7)</f>
        <v>1033.4000000000001</v>
      </c>
      <c r="IK7" s="115">
        <f>+MAX(BO7:BQ7)</f>
        <v>1197.74</v>
      </c>
      <c r="IL7" s="115">
        <f>+MAX(BR7:BT7)</f>
        <v>1187.56</v>
      </c>
      <c r="IM7" s="115">
        <f>+MAX(BU7:BW7)</f>
        <v>1124.05</v>
      </c>
      <c r="IN7" s="115">
        <f>+MAX(BX7:BZ7)</f>
        <v>1150</v>
      </c>
      <c r="IO7" s="115">
        <f>+MAX(CA7:CC7)</f>
        <v>1144</v>
      </c>
      <c r="IP7" s="115">
        <f>+MAX(CD7:CF7)</f>
        <v>1159.5999999999999</v>
      </c>
      <c r="IQ7" s="115">
        <f>+MAX(CG7:CI7)</f>
        <v>1120</v>
      </c>
      <c r="IR7" s="115">
        <f>+MAX(CJ7:CL7)</f>
        <v>980</v>
      </c>
      <c r="IS7" s="115">
        <f>+MAX(CM7:CO7)</f>
        <v>952.43</v>
      </c>
      <c r="IT7" s="115">
        <f>+MAX(CP7:CR7)</f>
        <v>991.97</v>
      </c>
      <c r="IU7" s="115">
        <f>+MAX(CS7:CU7)</f>
        <v>760</v>
      </c>
      <c r="IV7" s="115">
        <f>+MAX(CV7:CX7)</f>
        <v>847.8</v>
      </c>
      <c r="IW7" s="115">
        <f>+MAX(CY7:DA7)</f>
        <v>950</v>
      </c>
      <c r="IX7" s="115">
        <f>+MAX(DB7:DD7)</f>
        <v>1097.53</v>
      </c>
      <c r="IY7" s="115">
        <f>+MAX(DE7:DG7)</f>
        <v>1149.5899999999999</v>
      </c>
      <c r="IZ7" s="115">
        <f>+MAX(DH7:DJ7)</f>
        <v>1530</v>
      </c>
      <c r="JA7" s="115">
        <f>+MAX(DK7:DM7)</f>
        <v>1765.59</v>
      </c>
      <c r="JB7" s="115">
        <f>+MAX(DN7:DP7)</f>
        <v>2000</v>
      </c>
      <c r="JC7" s="115">
        <f>+MAX(DQ7:DS7)</f>
        <v>2488</v>
      </c>
      <c r="JD7" s="115">
        <f>+MAX(DT7:DV7)</f>
        <v>3969.85</v>
      </c>
      <c r="JE7" s="115">
        <f>+MAX(DW7:DY7)</f>
        <v>3419.95</v>
      </c>
      <c r="JF7" s="115">
        <f>+MAX(DZ7:EB7)</f>
        <v>3137.85</v>
      </c>
      <c r="JG7" s="115">
        <f>+MAX(EC7:EE7)</f>
        <v>3294.05</v>
      </c>
      <c r="JH7" s="115">
        <f>+MAX(EF7:EH7)</f>
        <v>3726.05</v>
      </c>
      <c r="JI7" s="115">
        <f>+MAX(EI7:EK7)</f>
        <v>3335</v>
      </c>
      <c r="JJ7" s="115">
        <f>+MAX(EL7:EN7)</f>
        <v>3434</v>
      </c>
      <c r="JK7" s="115">
        <f>MAX(EO7:EQ7)</f>
        <v>4951</v>
      </c>
      <c r="JL7" s="115">
        <f>MAX(ER7:ET7)</f>
        <v>4747</v>
      </c>
      <c r="JM7" s="115">
        <f>MAX(EU7:EW7)</f>
        <v>4083.05</v>
      </c>
      <c r="JN7" s="115">
        <f>MAX(EX7:EZ7)</f>
        <v>3736.95</v>
      </c>
      <c r="JO7" s="115">
        <f>MAX(FA7:FC7)</f>
        <v>4364.8</v>
      </c>
      <c r="JP7" s="115">
        <f>MAX(FD7:FF7)</f>
        <v>4374.8999999999996</v>
      </c>
      <c r="JQ7" s="115">
        <f>MAX(FG7:FI7)</f>
        <v>4392</v>
      </c>
      <c r="JR7" s="115">
        <f>MAX(FJ7:FL7)</f>
        <v>4467.7</v>
      </c>
      <c r="JS7" s="115">
        <f>MAX(FM7:FO7)</f>
        <v>4445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284.2</v>
      </c>
      <c r="D8" s="115" cm="1">
        <f t="array" ref="D8">_xll.EQNXTDZ($A$1,$B8,D$1)</f>
        <v>284.39999999999998</v>
      </c>
      <c r="E8" s="115" cm="1">
        <f t="array" ref="E8">_xll.EQNXTDZ($A$1,$B8,E$1)</f>
        <v>288.61</v>
      </c>
      <c r="F8" s="115" cm="1">
        <f t="array" ref="F8">_xll.EQNXTDZ($A$1,$B8,F$1)</f>
        <v>300.02</v>
      </c>
      <c r="G8" s="115" cm="1">
        <f t="array" ref="G8">_xll.EQNXTDZ($A$1,$B8,G$1)</f>
        <v>333</v>
      </c>
      <c r="H8" s="115" cm="1">
        <f t="array" ref="H8">_xll.EQNXTDZ($A$1,$B8,H$1)</f>
        <v>327.02999999999997</v>
      </c>
      <c r="I8" s="115" cm="1">
        <f t="array" ref="I8">_xll.EQNXTDZ($A$1,$B8,I$1)</f>
        <v>333.83</v>
      </c>
      <c r="J8" s="115" cm="1">
        <f t="array" ref="J8">_xll.EQNXTDZ($A$1,$B8,J$1)</f>
        <v>304</v>
      </c>
      <c r="K8" s="115" cm="1">
        <f t="array" ref="K8">_xll.EQNXTDZ($A$1,$B8,K$1)</f>
        <v>268.32</v>
      </c>
      <c r="L8" s="115" cm="1">
        <f t="array" ref="L8">_xll.EQNXTDZ($A$1,$B8,L$1)</f>
        <v>278</v>
      </c>
      <c r="M8" s="115" cm="1">
        <f t="array" ref="M8">_xll.EQNXTDZ($A$1,$B8,M$1)</f>
        <v>253.9</v>
      </c>
      <c r="N8" s="115" cm="1">
        <f t="array" ref="N8">_xll.EQNXTDZ($A$1,$B8,N$1)</f>
        <v>271.99</v>
      </c>
      <c r="O8" s="115" cm="1">
        <f t="array" ref="O8">_xll.EQNXTDZ($A$1,$B8,O$1)</f>
        <v>282</v>
      </c>
      <c r="P8" s="115" cm="1">
        <f t="array" ref="P8">_xll.EQNXTDZ($A$1,$B8,P$1)</f>
        <v>246</v>
      </c>
      <c r="Q8" s="115" cm="1">
        <f t="array" ref="Q8">_xll.EQNXTDZ($A$1,$B8,Q$1)</f>
        <v>216</v>
      </c>
      <c r="R8" s="115" cm="1">
        <f t="array" ref="R8">_xll.EQNXTDZ($A$1,$B8,R$1)</f>
        <v>224</v>
      </c>
      <c r="S8" s="115" cm="1">
        <f t="array" ref="S8">_xll.EQNXTDZ($A$1,$B8,S$1)</f>
        <v>246.01</v>
      </c>
      <c r="T8" s="115" cm="1">
        <f t="array" ref="T8">_xll.EQNXTDZ($A$1,$B8,T$1)</f>
        <v>260.02</v>
      </c>
      <c r="U8" s="115" cm="1">
        <f t="array" ref="U8">_xll.EQNXTDZ($A$1,$B8,U$1)</f>
        <v>294.99</v>
      </c>
      <c r="V8" s="115" cm="1">
        <f t="array" ref="V8">_xll.EQNXTDZ($A$1,$B8,V$1)</f>
        <v>301</v>
      </c>
      <c r="W8" s="115" cm="1">
        <f t="array" ref="W8">_xll.EQNXTDZ($A$1,$B8,W$1)</f>
        <v>306</v>
      </c>
      <c r="X8" s="115" cm="1">
        <f t="array" ref="X8">_xll.EQNXTDZ($A$1,$B8,X$1)</f>
        <v>335.6</v>
      </c>
      <c r="Y8" s="115" cm="1">
        <f t="array" ref="Y8">_xll.EQNXTDZ($A$1,$B8,Y$1)</f>
        <v>366</v>
      </c>
      <c r="Z8" s="115" cm="1">
        <f t="array" ref="Z8">_xll.EQNXTDZ($A$1,$B8,Z$1)</f>
        <v>406.2</v>
      </c>
      <c r="AA8" s="115" cm="1">
        <f t="array" ref="AA8">_xll.EQNXTDZ($A$1,$B8,AA$1)</f>
        <v>452.32</v>
      </c>
      <c r="AB8" s="115" cm="1">
        <f t="array" ref="AB8">_xll.EQNXTDZ($A$1,$B8,AB$1)</f>
        <v>496</v>
      </c>
      <c r="AC8" s="115" cm="1">
        <f t="array" ref="AC8">_xll.EQNXTDZ($A$1,$B8,AC$1)</f>
        <v>530.23</v>
      </c>
      <c r="AD8" s="115" cm="1">
        <f t="array" ref="AD8">_xll.EQNXTDZ($A$1,$B8,AD$1)</f>
        <v>543.32000000000005</v>
      </c>
      <c r="AE8" s="115" cm="1">
        <f t="array" ref="AE8">_xll.EQNXTDZ($A$1,$B8,AE$1)</f>
        <v>541.32000000000005</v>
      </c>
      <c r="AF8" s="115" cm="1">
        <f t="array" ref="AF8">_xll.EQNXTDZ($A$1,$B8,AF$1)</f>
        <v>575.74</v>
      </c>
      <c r="AG8" s="115" cm="1">
        <f t="array" ref="AG8">_xll.EQNXTDZ($A$1,$B8,AG$1)</f>
        <v>635.6</v>
      </c>
      <c r="AH8" s="115" cm="1">
        <f t="array" ref="AH8">_xll.EQNXTDZ($A$1,$B8,AH$1)</f>
        <v>678</v>
      </c>
      <c r="AI8" s="115" cm="1">
        <f t="array" ref="AI8">_xll.EQNXTDZ($A$1,$B8,AI$1)</f>
        <v>723.01</v>
      </c>
      <c r="AJ8" s="115" cm="1">
        <f t="array" ref="AJ8">_xll.EQNXTDZ($A$1,$B8,AJ$1)</f>
        <v>766.2</v>
      </c>
      <c r="AK8" s="115" cm="1">
        <f t="array" ref="AK8">_xll.EQNXTDZ($A$1,$B8,AK$1)</f>
        <v>786.61</v>
      </c>
      <c r="AL8" s="115" cm="1">
        <f t="array" ref="AL8">_xll.EQNXTDZ($A$1,$B8,AL$1)</f>
        <v>776</v>
      </c>
      <c r="AM8" s="115" cm="1">
        <f t="array" ref="AM8">_xll.EQNXTDZ($A$1,$B8,AM$1)</f>
        <v>771.44</v>
      </c>
      <c r="AN8" s="115" cm="1">
        <f t="array" ref="AN8">_xll.EQNXTDZ($A$1,$B8,AN$1)</f>
        <v>818.2</v>
      </c>
      <c r="AO8" s="115" cm="1">
        <f t="array" ref="AO8">_xll.EQNXTDZ($A$1,$B8,AO$1)</f>
        <v>820</v>
      </c>
      <c r="AP8" s="115" cm="1">
        <f t="array" ref="AP8">_xll.EQNXTDZ($A$1,$B8,AP$1)</f>
        <v>800</v>
      </c>
      <c r="AQ8" s="115" cm="1">
        <f t="array" ref="AQ8">_xll.EQNXTDZ($A$1,$B8,AQ$1)</f>
        <v>794.01</v>
      </c>
      <c r="AR8" s="115" cm="1">
        <f t="array" ref="AR8">_xll.EQNXTDZ($A$1,$B8,AR$1)</f>
        <v>750</v>
      </c>
      <c r="AS8" s="115" cm="1">
        <f t="array" ref="AS8">_xll.EQNXTDZ($A$1,$B8,AS$1)</f>
        <v>779</v>
      </c>
      <c r="AT8" s="115" cm="1">
        <f t="array" ref="AT8">_xll.EQNXTDZ($A$1,$B8,AT$1)</f>
        <v>753.23</v>
      </c>
      <c r="AU8" s="115" cm="1">
        <f t="array" ref="AU8">_xll.EQNXTDZ($A$1,$B8,AU$1)</f>
        <v>740</v>
      </c>
      <c r="AV8" s="115" cm="1">
        <f t="array" ref="AV8">_xll.EQNXTDZ($A$1,$B8,AV$1)</f>
        <v>748</v>
      </c>
      <c r="AW8" s="115" cm="1">
        <f t="array" ref="AW8">_xll.EQNXTDZ($A$1,$B8,AW$1)</f>
        <v>752.68</v>
      </c>
      <c r="AX8" s="115" cm="1">
        <f t="array" ref="AX8">_xll.EQNXTDZ($A$1,$B8,AX$1)</f>
        <v>754.01</v>
      </c>
      <c r="AY8" s="115" cm="1">
        <f t="array" ref="AY8">_xll.EQNXTDZ($A$1,$B8,AY$1)</f>
        <v>768.01</v>
      </c>
      <c r="AZ8" s="115" cm="1">
        <f t="array" ref="AZ8">_xll.EQNXTDZ($A$1,$B8,AZ$1)</f>
        <v>791</v>
      </c>
      <c r="BA8" s="115" cm="1">
        <f t="array" ref="BA8">_xll.EQNXTDZ($A$1,$B8,BA$1)</f>
        <v>788.8</v>
      </c>
      <c r="BB8" s="115" cm="1">
        <f t="array" ref="BB8">_xll.EQNXTDZ($A$1,$B8,BB$1)</f>
        <v>800</v>
      </c>
      <c r="BC8" s="115" cm="1">
        <f t="array" ref="BC8">_xll.EQNXTDZ($A$1,$B8,BC$1)</f>
        <v>810</v>
      </c>
      <c r="BD8" s="115" cm="1">
        <f t="array" ref="BD8">_xll.EQNXTDZ($A$1,$B8,BD$1)</f>
        <v>773</v>
      </c>
      <c r="BE8" s="115" cm="1">
        <f t="array" ref="BE8">_xll.EQNXTDZ($A$1,$B8,BE$1)</f>
        <v>755.03</v>
      </c>
      <c r="BF8" s="115" cm="1">
        <f t="array" ref="BF8">_xll.EQNXTDZ($A$1,$B8,BF$1)</f>
        <v>754.74</v>
      </c>
      <c r="BG8" s="115" cm="1">
        <f t="array" ref="BG8">_xll.EQNXTDZ($A$1,$B8,BG$1)</f>
        <v>784.24</v>
      </c>
      <c r="BH8" s="115" cm="1">
        <f t="array" ref="BH8">_xll.EQNXTDZ($A$1,$B8,BH$1)</f>
        <v>808.44</v>
      </c>
      <c r="BI8" s="115" cm="1">
        <f t="array" ref="BI8">_xll.EQNXTDZ($A$1,$B8,BI$1)</f>
        <v>893.2</v>
      </c>
      <c r="BJ8" s="115" cm="1">
        <f t="array" ref="BJ8">_xll.EQNXTDZ($A$1,$B8,BJ$1)</f>
        <v>880</v>
      </c>
      <c r="BK8" s="115" cm="1">
        <f t="array" ref="BK8">_xll.EQNXTDZ($A$1,$B8,BK$1)</f>
        <v>882.81</v>
      </c>
      <c r="BL8" s="115" cm="1">
        <f t="array" ref="BL8">_xll.EQNXTDZ($A$1,$B8,BL$1)</f>
        <v>885.01</v>
      </c>
      <c r="BM8" s="115" cm="1">
        <f t="array" ref="BM8">_xll.EQNXTDZ($A$1,$B8,BM$1)</f>
        <v>825.61</v>
      </c>
      <c r="BN8" s="115" cm="1">
        <f t="array" ref="BN8">_xll.EQNXTDZ($A$1,$B8,BN$1)</f>
        <v>941.21</v>
      </c>
      <c r="BO8" s="115" cm="1">
        <f t="array" ref="BO8">_xll.EQNXTDZ($A$1,$B8,BO$1)</f>
        <v>952.23</v>
      </c>
      <c r="BP8" s="115" cm="1">
        <f t="array" ref="BP8">_xll.EQNXTDZ($A$1,$B8,BP$1)</f>
        <v>995.21</v>
      </c>
      <c r="BQ8" s="115" cm="1">
        <f t="array" ref="BQ8">_xll.EQNXTDZ($A$1,$B8,BQ$1)</f>
        <v>995</v>
      </c>
      <c r="BR8" s="115" cm="1">
        <f t="array" ref="BR8">_xll.EQNXTDZ($A$1,$B8,BR$1)</f>
        <v>1083.26</v>
      </c>
      <c r="BS8" s="115" cm="1">
        <f t="array" ref="BS8">_xll.EQNXTDZ($A$1,$B8,BS$1)</f>
        <v>1027</v>
      </c>
      <c r="BT8" s="115" cm="1">
        <f t="array" ref="BT8">_xll.EQNXTDZ($A$1,$B8,BT$1)</f>
        <v>1024.2</v>
      </c>
      <c r="BU8" s="115" cm="1">
        <f t="array" ref="BU8">_xll.EQNXTDZ($A$1,$B8,BU$1)</f>
        <v>1050</v>
      </c>
      <c r="BV8" s="115" cm="1">
        <f t="array" ref="BV8">_xll.EQNXTDZ($A$1,$B8,BV$1)</f>
        <v>1048.04</v>
      </c>
      <c r="BW8" s="115" cm="1">
        <f t="array" ref="BW8">_xll.EQNXTDZ($A$1,$B8,BW$1)</f>
        <v>1041.06</v>
      </c>
      <c r="BX8" s="115" cm="1">
        <f t="array" ref="BX8">_xll.EQNXTDZ($A$1,$B8,BX$1)</f>
        <v>1025.6600000000001</v>
      </c>
      <c r="BY8" s="115" cm="1">
        <f t="array" ref="BY8">_xll.EQNXTDZ($A$1,$B8,BY$1)</f>
        <v>1040.74</v>
      </c>
      <c r="BZ8" s="115" cm="1">
        <f t="array" ref="BZ8">_xll.EQNXTDZ($A$1,$B8,BZ$1)</f>
        <v>1035</v>
      </c>
      <c r="CA8" s="115" cm="1">
        <f t="array" ref="CA8">_xll.EQNXTDZ($A$1,$B8,CA$1)</f>
        <v>921.11</v>
      </c>
      <c r="CB8" s="115" cm="1">
        <f t="array" ref="CB8">_xll.EQNXTDZ($A$1,$B8,CB$1)</f>
        <v>1004.2</v>
      </c>
      <c r="CC8" s="115" cm="1">
        <f t="array" ref="CC8">_xll.EQNXTDZ($A$1,$B8,CC$1)</f>
        <v>1050</v>
      </c>
      <c r="CD8" s="115" cm="1">
        <f t="array" ref="CD8">_xll.EQNXTDZ($A$1,$B8,CD$1)</f>
        <v>1026</v>
      </c>
      <c r="CE8" s="115" cm="1">
        <f t="array" ref="CE8">_xll.EQNXTDZ($A$1,$B8,CE$1)</f>
        <v>1030.52</v>
      </c>
      <c r="CF8" s="115" cm="1">
        <f t="array" ref="CF8">_xll.EQNXTDZ($A$1,$B8,CF$1)</f>
        <v>1060.29</v>
      </c>
      <c r="CG8" s="115" cm="1">
        <f t="array" ref="CG8">_xll.EQNXTDZ($A$1,$B8,CG$1)</f>
        <v>1066.26</v>
      </c>
      <c r="CH8" s="115" cm="1">
        <f t="array" ref="CH8">_xll.EQNXTDZ($A$1,$B8,CH$1)</f>
        <v>936.41</v>
      </c>
      <c r="CI8" s="115" cm="1">
        <f t="array" ref="CI8">_xll.EQNXTDZ($A$1,$B8,CI$1)</f>
        <v>947.2</v>
      </c>
      <c r="CJ8" s="115" cm="1">
        <f t="array" ref="CJ8">_xll.EQNXTDZ($A$1,$B8,CJ$1)</f>
        <v>767.1</v>
      </c>
      <c r="CK8" s="115" cm="1">
        <f t="array" ref="CK8">_xll.EQNXTDZ($A$1,$B8,CK$1)</f>
        <v>788</v>
      </c>
      <c r="CL8" s="115" cm="1">
        <f t="array" ref="CL8">_xll.EQNXTDZ($A$1,$B8,CL$1)</f>
        <v>789</v>
      </c>
      <c r="CM8" s="115" cm="1">
        <f t="array" ref="CM8">_xll.EQNXTDZ($A$1,$B8,CM$1)</f>
        <v>791.6</v>
      </c>
      <c r="CN8" s="115" cm="1">
        <f t="array" ref="CN8">_xll.EQNXTDZ($A$1,$B8,CN$1)</f>
        <v>823.18</v>
      </c>
      <c r="CO8" s="115" cm="1">
        <f t="array" ref="CO8">_xll.EQNXTDZ($A$1,$B8,CO$1)</f>
        <v>840</v>
      </c>
      <c r="CP8" s="115" cm="1">
        <f t="array" ref="CP8">_xll.EQNXTDZ($A$1,$B8,CP$1)</f>
        <v>890.81</v>
      </c>
      <c r="CQ8" s="115" cm="1">
        <f t="array" ref="CQ8">_xll.EQNXTDZ($A$1,$B8,CQ$1)</f>
        <v>854</v>
      </c>
      <c r="CR8" s="115" cm="1">
        <f t="array" ref="CR8">_xll.EQNXTDZ($A$1,$B8,CR$1)</f>
        <v>662.3</v>
      </c>
      <c r="CS8" s="115" cm="1">
        <f t="array" ref="CS8">_xll.EQNXTDZ($A$1,$B8,CS$1)</f>
        <v>656.05</v>
      </c>
      <c r="CT8" s="115" cm="1">
        <f t="array" ref="CT8">_xll.EQNXTDZ($A$1,$B8,CT$1)</f>
        <v>605.04999999999995</v>
      </c>
      <c r="CU8" s="115" cm="1">
        <f t="array" ref="CU8">_xll.EQNXTDZ($A$1,$B8,CU$1)</f>
        <v>636.33000000000004</v>
      </c>
      <c r="CV8" s="115" cm="1">
        <f t="array" ref="CV8">_xll.EQNXTDZ($A$1,$B8,CV$1)</f>
        <v>685.1</v>
      </c>
      <c r="CW8" s="115" cm="1">
        <f t="array" ref="CW8">_xll.EQNXTDZ($A$1,$B8,CW$1)</f>
        <v>692.81</v>
      </c>
      <c r="CX8" s="115" cm="1">
        <f t="array" ref="CX8">_xll.EQNXTDZ($A$1,$B8,CX$1)</f>
        <v>702.8</v>
      </c>
      <c r="CY8" s="115" cm="1">
        <f t="array" ref="CY8">_xll.EQNXTDZ($A$1,$B8,CY$1)</f>
        <v>688.66</v>
      </c>
      <c r="CZ8" s="115" cm="1">
        <f t="array" ref="CZ8">_xll.EQNXTDZ($A$1,$B8,CZ$1)</f>
        <v>722.31</v>
      </c>
      <c r="DA8" s="115" cm="1">
        <f t="array" ref="DA8">_xll.EQNXTDZ($A$1,$B8,DA$1)</f>
        <v>774</v>
      </c>
      <c r="DB8" s="115" cm="1">
        <f t="array" ref="DB8">_xll.EQNXTDZ($A$1,$B8,DB$1)</f>
        <v>851.59</v>
      </c>
      <c r="DC8" s="115" cm="1">
        <f t="array" ref="DC8">_xll.EQNXTDZ($A$1,$B8,DC$1)</f>
        <v>851.79</v>
      </c>
      <c r="DD8" s="115" cm="1">
        <f t="array" ref="DD8">_xll.EQNXTDZ($A$1,$B8,DD$1)</f>
        <v>1012.4</v>
      </c>
      <c r="DE8" s="115" cm="1">
        <f t="array" ref="DE8">_xll.EQNXTDZ($A$1,$B8,DE$1)</f>
        <v>979.55</v>
      </c>
      <c r="DF8" s="115" cm="1">
        <f t="array" ref="DF8">_xll.EQNXTDZ($A$1,$B8,DF$1)</f>
        <v>965.2</v>
      </c>
      <c r="DG8" s="115" cm="1">
        <f t="array" ref="DG8">_xll.EQNXTDZ($A$1,$B8,DG$1)</f>
        <v>1028.81</v>
      </c>
      <c r="DH8" s="115" cm="1">
        <f t="array" ref="DH8">_xll.EQNXTDZ($A$1,$B8,DH$1)</f>
        <v>1063.06</v>
      </c>
      <c r="DI8" s="115" cm="1">
        <f t="array" ref="DI8">_xll.EQNXTDZ($A$1,$B8,DI$1)</f>
        <v>1285.21</v>
      </c>
      <c r="DJ8" s="115" cm="1">
        <f t="array" ref="DJ8">_xll.EQNXTDZ($A$1,$B8,DJ$1)</f>
        <v>1426.88</v>
      </c>
      <c r="DK8" s="115" cm="1">
        <f t="array" ref="DK8">_xll.EQNXTDZ($A$1,$B8,DK$1)</f>
        <v>1415</v>
      </c>
      <c r="DL8" s="115" cm="1">
        <f t="array" ref="DL8">_xll.EQNXTDZ($A$1,$B8,DL$1)</f>
        <v>1418.75</v>
      </c>
      <c r="DM8" s="115" cm="1">
        <f t="array" ref="DM8">_xll.EQNXTDZ($A$1,$B8,DM$1)</f>
        <v>1511.4</v>
      </c>
      <c r="DN8" s="115" cm="1">
        <f t="array" ref="DN8">_xll.EQNXTDZ($A$1,$B8,DN$1)</f>
        <v>1686.45</v>
      </c>
      <c r="DO8" s="115" cm="1">
        <f t="array" ref="DO8">_xll.EQNXTDZ($A$1,$B8,DO$1)</f>
        <v>1598</v>
      </c>
      <c r="DP8" s="115" cm="1">
        <f t="array" ref="DP8">_xll.EQNXTDZ($A$1,$B8,DP$1)</f>
        <v>1650.05</v>
      </c>
      <c r="DQ8" s="115" cm="1">
        <f t="array" ref="DQ8">_xll.EQNXTDZ($A$1,$B8,DQ$1)</f>
        <v>1915</v>
      </c>
      <c r="DR8" s="115" cm="1">
        <f t="array" ref="DR8">_xll.EQNXTDZ($A$1,$B8,DR$1)</f>
        <v>1958.05</v>
      </c>
      <c r="DS8" s="115" cm="1">
        <f t="array" ref="DS8">_xll.EQNXTDZ($A$1,$B8,DS$1)</f>
        <v>2128.4499999999998</v>
      </c>
      <c r="DT8" s="115" cm="1">
        <f t="array" ref="DT8">_xll.EQNXTDZ($A$1,$B8,DT$1)</f>
        <v>2245.35</v>
      </c>
      <c r="DU8" s="115" cm="1">
        <f t="array" ref="DU8">_xll.EQNXTDZ($A$1,$B8,DU$1)</f>
        <v>2767</v>
      </c>
      <c r="DV8" s="115" cm="1">
        <f t="array" ref="DV8">_xll.EQNXTDZ($A$1,$B8,DV$1)</f>
        <v>2981.35</v>
      </c>
      <c r="DW8" s="115" cm="1">
        <f t="array" ref="DW8">_xll.EQNXTDZ($A$1,$B8,DW$1)</f>
        <v>2682.85</v>
      </c>
      <c r="DX8" s="115" cm="1">
        <f t="array" ref="DX8">_xll.EQNXTDZ($A$1,$B8,DX$1)</f>
        <v>2601.15</v>
      </c>
      <c r="DY8" s="115" cm="1">
        <f t="array" ref="DY8">_xll.EQNXTDZ($A$1,$B8,DY$1)</f>
        <v>2613.25</v>
      </c>
      <c r="DZ8" s="115" cm="1">
        <f t="array" ref="DZ8">_xll.EQNXTDZ($A$1,$B8,DZ$1)</f>
        <v>2555.5500000000002</v>
      </c>
      <c r="EA8" s="115" cm="1">
        <f t="array" ref="EA8">_xll.EQNXTDZ($A$1,$B8,EA$1)</f>
        <v>2575.0500000000002</v>
      </c>
      <c r="EB8" s="115" cm="1">
        <f t="array" ref="EB8">_xll.EQNXTDZ($A$1,$B8,EB$1)</f>
        <v>2738.45</v>
      </c>
      <c r="EC8" s="115" cm="1">
        <f t="array" ref="EC8">_xll.EQNXTDZ($A$1,$B8,EC$1)</f>
        <v>2685</v>
      </c>
      <c r="ED8" s="115" cm="1">
        <f t="array" ref="ED8">_xll.EQNXTDZ($A$1,$B8,ED$1)</f>
        <v>2727.7</v>
      </c>
      <c r="EE8" s="115" cm="1">
        <f t="array" ref="EE8">_xll.EQNXTDZ($A$1,$B8,EE$1)</f>
        <v>2919</v>
      </c>
      <c r="EF8" s="115" cm="1">
        <f t="array" ref="EF8">_xll.EQNXTDZ($A$1,$B8,EF$1)</f>
        <v>2976</v>
      </c>
      <c r="EG8" s="115" cm="1">
        <f t="array" ref="EG8">_xll.EQNXTDZ($A$1,$B8,EG$1)</f>
        <v>2912.55</v>
      </c>
      <c r="EH8" s="115" cm="1">
        <f t="array" ref="EH8">_xll.EQNXTDZ($A$1,$B8,EH$1)</f>
        <v>3052.3</v>
      </c>
      <c r="EI8" s="115" cm="1">
        <f t="array" ref="EI8">_xll.EQNXTDZ($A$1,$B8,EI$1)</f>
        <v>2795.5</v>
      </c>
      <c r="EJ8" s="115" cm="1">
        <f t="array" ref="EJ8">_xll.EQNXTDZ($A$1,$B8,EJ$1)</f>
        <v>2612.1999999999998</v>
      </c>
      <c r="EK8" s="115" cm="1">
        <f t="array" ref="EK8">_xll.EQNXTDZ($A$1,$B8,EK$1)</f>
        <v>2840.45</v>
      </c>
      <c r="EL8" s="115" cm="1">
        <f t="array" ref="EL8">_xll.EQNXTDZ($A$1,$B8,EL$1)</f>
        <v>3041.9</v>
      </c>
      <c r="EM8" s="115" cm="1">
        <f t="array" ref="EM8">_xll.EQNXTDZ($A$1,$B8,EM$1)</f>
        <v>2830</v>
      </c>
      <c r="EN8" s="115" cm="1">
        <f t="array" ref="EN8">_xll.EQNXTDZ($A$1,$B8,EN$1)</f>
        <v>2743.5</v>
      </c>
      <c r="EO8" s="115" cm="1">
        <f t="array" ref="EO8">_xll.EQNXTDZ($A$1,$B8,EO$1)</f>
        <v>2823.35</v>
      </c>
      <c r="EP8" s="115" cm="1">
        <f t="array" ref="EP8">_xll.EQNXTDZ($A$1,$B8,EP$1)</f>
        <v>3630.65</v>
      </c>
      <c r="EQ8" s="115" cm="1">
        <f t="array" ref="EQ8">_xll.EQNXTDZ($A$1,$B8,EQ$1)</f>
        <v>3786.2</v>
      </c>
      <c r="ER8" s="115" cm="1">
        <f t="array" ref="ER8">_xll.EQNXTDZ($A$1,$B8,ER$1)</f>
        <v>3795.1</v>
      </c>
      <c r="ES8" s="115" cm="1">
        <f t="array" ref="ES8">_xll.EQNXTDZ($A$1,$B8,ES$1)</f>
        <v>3784.9</v>
      </c>
      <c r="ET8" s="115" cm="1">
        <f t="array" ref="ET8">_xll.EQNXTDZ($A$1,$B8,ET$1)</f>
        <v>3752.8</v>
      </c>
      <c r="EU8" s="115" cm="1">
        <f t="array" ref="EU8">_xll.EQNXTDZ($A$1,$B8,EU$1)</f>
        <v>3405.9</v>
      </c>
      <c r="EV8" s="115" cm="1">
        <f t="array" ref="EV8">_xll.EQNXTDZ($A$1,$B8,EV$1)</f>
        <v>3325</v>
      </c>
      <c r="EW8" s="115" cm="1">
        <f t="array" ref="EW8">_xll.EQNXTDZ($A$1,$B8,EW$1)</f>
        <v>3256.7</v>
      </c>
      <c r="EX8" s="115" cm="1">
        <f t="array" ref="EX8">_xll.EQNXTDZ($A$1,$B8,EX$1)</f>
        <v>3005.85</v>
      </c>
      <c r="EY8" s="115" cm="1">
        <f t="array" ref="EY8">_xll.EQNXTDZ($A$1,$B8,EY$1)</f>
        <v>2832.05</v>
      </c>
      <c r="EZ8" s="115" cm="1">
        <f t="array" ref="EZ8">_xll.EQNXTDZ($A$1,$B8,EZ$1)</f>
        <v>2940</v>
      </c>
      <c r="FA8" s="115" cm="1">
        <f t="array" ref="FA8">_xll.EQNXTDZ($A$1,$B8,FA$1)</f>
        <v>2823</v>
      </c>
      <c r="FB8" s="115" cm="1">
        <f t="array" ref="FB8">_xll.EQNXTDZ($A$1,$B8,FB$1)</f>
        <v>3423.9</v>
      </c>
      <c r="FC8" s="115" cm="1">
        <f t="array" ref="FC8">_xll.EQNXTDZ($A$1,$B8,FC$1)</f>
        <v>3825.8</v>
      </c>
      <c r="FD8" s="115" cm="1">
        <f t="array" ref="FD8">_xll.EQNXTDZ($A$1,$B8,FD$1)</f>
        <v>3899.6</v>
      </c>
      <c r="FE8" s="115" cm="1">
        <f t="array" ref="FE8">_xll.EQNXTDZ($A$1,$B8,FE$1)</f>
        <v>3828.1</v>
      </c>
      <c r="FF8" s="115" cm="1">
        <f t="array" ref="FF8">_xll.EQNXTDZ($A$1,$B8,FF$1)</f>
        <v>3750.5</v>
      </c>
      <c r="FG8" s="115" cm="1">
        <f t="array" ref="FG8">_xll.EQNXTDZ($A$1,$B8,FG$1)</f>
        <v>3842.3</v>
      </c>
      <c r="FH8" s="115" cm="1">
        <f t="array" ref="FH8">_xll.EQNXTDZ($A$1,$B8,FH$1)</f>
        <v>3816</v>
      </c>
      <c r="FI8" s="115" cm="1">
        <f t="array" ref="FI8">_xll.EQNXTDZ($A$1,$B8,FI$1)</f>
        <v>3704</v>
      </c>
      <c r="FJ8" s="115" cm="1">
        <f t="array" ref="FJ8">_xll.EQNXTDZ($A$1,$B8,FJ$1)</f>
        <v>3518.4</v>
      </c>
      <c r="FK8" s="115" cm="1">
        <f t="array" ref="FK8">_xll.EQNXTDZ($A$1,$B8,FK$1)</f>
        <v>3535</v>
      </c>
      <c r="FL8" s="115" cm="1">
        <f t="array" ref="FL8">_xll.EQNXTDZ($A$1,$B8,FL$1)</f>
        <v>3749.4</v>
      </c>
      <c r="FM8" s="115" cm="1">
        <f t="array" ref="FM8">_xll.EQNXTDZ($A$1,$B8,FM$1)</f>
        <v>3690.8</v>
      </c>
      <c r="FN8" s="115" cm="1">
        <f t="array" ref="FN8">_xll.EQNXTDZ($A$1,$B8,FN$1)</f>
        <v>3886.6</v>
      </c>
      <c r="FO8" s="115" cm="1">
        <f t="array" ref="FO8">_xll.EQNXTDZ($A$1,$B8,FO$1)</f>
        <v>3811.1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284.39999999999998</v>
      </c>
      <c r="HQ8" s="115">
        <f>+MIN(G8:I8)</f>
        <v>327.02999999999997</v>
      </c>
      <c r="HR8" s="115">
        <f>+MIN(J8:L8)</f>
        <v>268.32</v>
      </c>
      <c r="HS8" s="115">
        <f>+MIN(M8:O8)</f>
        <v>253.9</v>
      </c>
      <c r="HT8" s="115">
        <f>+MIN(P8:R8)</f>
        <v>216</v>
      </c>
      <c r="HU8" s="115">
        <f>+MIN(S8:U8)</f>
        <v>246.01</v>
      </c>
      <c r="HV8" s="115">
        <f>+MIN(V8:X8)</f>
        <v>301</v>
      </c>
      <c r="HW8" s="115">
        <f>+MIN(Y8:AA8)</f>
        <v>366</v>
      </c>
      <c r="HX8" s="115">
        <f>+MIN(AB8:AD8)</f>
        <v>496</v>
      </c>
      <c r="HY8" s="115">
        <f>+MIN(AE8:AG8)</f>
        <v>541.32000000000005</v>
      </c>
      <c r="HZ8" s="115">
        <f>+MIN(AH8:AJ8)</f>
        <v>678</v>
      </c>
      <c r="IA8" s="115">
        <f>+MIN(AK8:AM8)</f>
        <v>771.44</v>
      </c>
      <c r="IB8" s="115">
        <f>+MIN(AN8:AP8)</f>
        <v>800</v>
      </c>
      <c r="IC8" s="115">
        <f>+MIN(AQ8:AS8)</f>
        <v>750</v>
      </c>
      <c r="ID8" s="115">
        <f>+MIN(AT8:AV8)</f>
        <v>740</v>
      </c>
      <c r="IE8" s="115">
        <f>+MIN(AW8:AY8)</f>
        <v>752.68</v>
      </c>
      <c r="IF8" s="115">
        <f>+MIN(AZ8:BB8)</f>
        <v>788.8</v>
      </c>
      <c r="IG8" s="115">
        <f>+MIN(BC8:BE8)</f>
        <v>755.03</v>
      </c>
      <c r="IH8" s="115">
        <f>+MIN(BF8:BH8)</f>
        <v>754.74</v>
      </c>
      <c r="II8" s="115">
        <f>+MIN(BI8:BK8)</f>
        <v>880</v>
      </c>
      <c r="IJ8" s="115">
        <f>+MIN(BL8:BN8)</f>
        <v>825.61</v>
      </c>
      <c r="IK8" s="115">
        <f>+MIN(BO8:BQ8)</f>
        <v>952.23</v>
      </c>
      <c r="IL8" s="115">
        <f>+MIN(BR8:BT8)</f>
        <v>1024.2</v>
      </c>
      <c r="IM8" s="115">
        <f>+MIN(BU8:BW8)</f>
        <v>1041.06</v>
      </c>
      <c r="IN8" s="115">
        <f>+MIN(BX8:BZ8)</f>
        <v>1025.6600000000001</v>
      </c>
      <c r="IO8" s="115">
        <f>+MIN(CA8:CC8)</f>
        <v>921.11</v>
      </c>
      <c r="IP8" s="115">
        <f>+MIN(CD8:CF8)</f>
        <v>1026</v>
      </c>
      <c r="IQ8" s="115">
        <f>+MIN(CG8:CI8)</f>
        <v>936.41</v>
      </c>
      <c r="IR8" s="115">
        <f>+MIN(CJ8:CL8)</f>
        <v>767.1</v>
      </c>
      <c r="IS8" s="115">
        <f>+MIN(CM8:CO8)</f>
        <v>791.6</v>
      </c>
      <c r="IT8" s="115">
        <f>+MIN(CP8:CR8)</f>
        <v>662.3</v>
      </c>
      <c r="IU8" s="115">
        <f>+MIN(CS8:CU8)</f>
        <v>605.04999999999995</v>
      </c>
      <c r="IV8" s="115">
        <f>+MIN(CV8:CX8)</f>
        <v>685.1</v>
      </c>
      <c r="IW8" s="115">
        <f>+MIN(CY8:DA8)</f>
        <v>688.66</v>
      </c>
      <c r="IX8" s="115">
        <f>+MIN(DB8:DD8)</f>
        <v>851.59</v>
      </c>
      <c r="IY8" s="115">
        <f>+MIN(DE8:DG8)</f>
        <v>965.2</v>
      </c>
      <c r="IZ8" s="115">
        <f>+MIN(DH8:DJ8)</f>
        <v>1063.06</v>
      </c>
      <c r="JA8" s="115">
        <f>+MIN(DK8:DM8)</f>
        <v>1415</v>
      </c>
      <c r="JB8" s="115">
        <f>+MIN(DN8:DP8)</f>
        <v>1598</v>
      </c>
      <c r="JC8" s="115">
        <f>+MIN(DQ8:DS8)</f>
        <v>1915</v>
      </c>
      <c r="JD8" s="115">
        <f>+MIN(DT8:DV8)</f>
        <v>2245.35</v>
      </c>
      <c r="JE8" s="115">
        <f>+MIN(DW8:DY8)</f>
        <v>2601.15</v>
      </c>
      <c r="JF8" s="115">
        <f>+MIN(DZ8:EB8)</f>
        <v>2555.5500000000002</v>
      </c>
      <c r="JG8" s="115">
        <f>+MIN(EC8:EE8)</f>
        <v>2685</v>
      </c>
      <c r="JH8" s="115">
        <f>+MIN(EF8:EH8)</f>
        <v>2912.55</v>
      </c>
      <c r="JI8" s="115">
        <f>+MIN(EI8:EK8)</f>
        <v>2612.1999999999998</v>
      </c>
      <c r="JJ8" s="115">
        <f>+MIN(EL8:EN8)</f>
        <v>2743.5</v>
      </c>
      <c r="JK8" s="115">
        <f>MIN(EO8:EQ8)</f>
        <v>2823.35</v>
      </c>
      <c r="JL8" s="115">
        <f>MIN(ER8:ET8)</f>
        <v>3752.8</v>
      </c>
      <c r="JM8" s="115">
        <f>MIN(EU8:EW8)</f>
        <v>3256.7</v>
      </c>
      <c r="JN8" s="115">
        <f>MIN(EX8:EZ8)</f>
        <v>2832.05</v>
      </c>
      <c r="JO8" s="115">
        <f>MIN(FA8:FC8)</f>
        <v>2823</v>
      </c>
      <c r="JP8" s="115">
        <f>MIN(FD8:FF8)</f>
        <v>3750.5</v>
      </c>
      <c r="JQ8" s="115">
        <f>MIN(FG8:FI8)</f>
        <v>3704</v>
      </c>
      <c r="JR8" s="115">
        <f>MIN(FJ8:FL8)</f>
        <v>3518.4</v>
      </c>
      <c r="JS8" s="115">
        <f>MIN(FM8:FO8)</f>
        <v>3690.8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287.67</v>
      </c>
      <c r="D9" s="115" cm="1">
        <f t="array" ref="D9">_xll.EQNXTDZ($A$1,$B9,D$1)</f>
        <v>290.16000000000003</v>
      </c>
      <c r="E9" s="115" cm="1">
        <f t="array" ref="E9">_xll.EQNXTDZ($A$1,$B9,E$1)</f>
        <v>319.61</v>
      </c>
      <c r="F9" s="115" cm="1">
        <f t="array" ref="F9">_xll.EQNXTDZ($A$1,$B9,F$1)</f>
        <v>354.85</v>
      </c>
      <c r="G9" s="115" cm="1">
        <f t="array" ref="G9">_xll.EQNXTDZ($A$1,$B9,G$1)</f>
        <v>346.48</v>
      </c>
      <c r="H9" s="115" cm="1">
        <f t="array" ref="H9">_xll.EQNXTDZ($A$1,$B9,H$1)</f>
        <v>337.48</v>
      </c>
      <c r="I9" s="115" cm="1">
        <f t="array" ref="I9">_xll.EQNXTDZ($A$1,$B9,I$1)</f>
        <v>339.99</v>
      </c>
      <c r="J9" s="115" cm="1">
        <f t="array" ref="J9">_xll.EQNXTDZ($A$1,$B9,J$1)</f>
        <v>306.94</v>
      </c>
      <c r="K9" s="115" cm="1">
        <f t="array" ref="K9">_xll.EQNXTDZ($A$1,$B9,K$1)</f>
        <v>304.07</v>
      </c>
      <c r="L9" s="115" cm="1">
        <f t="array" ref="L9">_xll.EQNXTDZ($A$1,$B9,L$1)</f>
        <v>294.02</v>
      </c>
      <c r="M9" s="115" cm="1">
        <f t="array" ref="M9">_xll.EQNXTDZ($A$1,$B9,M$1)</f>
        <v>272.2</v>
      </c>
      <c r="N9" s="115" cm="1">
        <f t="array" ref="N9">_xll.EQNXTDZ($A$1,$B9,N$1)</f>
        <v>288.06</v>
      </c>
      <c r="O9" s="115" cm="1">
        <f t="array" ref="O9">_xll.EQNXTDZ($A$1,$B9,O$1)</f>
        <v>285.01</v>
      </c>
      <c r="P9" s="115" cm="1">
        <f t="array" ref="P9">_xll.EQNXTDZ($A$1,$B9,P$1)</f>
        <v>250.58</v>
      </c>
      <c r="Q9" s="115" cm="1">
        <f t="array" ref="Q9">_xll.EQNXTDZ($A$1,$B9,Q$1)</f>
        <v>240</v>
      </c>
      <c r="R9" s="115" cm="1">
        <f t="array" ref="R9">_xll.EQNXTDZ($A$1,$B9,R$1)</f>
        <v>250.92</v>
      </c>
      <c r="S9" s="115" cm="1">
        <f t="array" ref="S9">_xll.EQNXTDZ($A$1,$B9,S$1)</f>
        <v>269.73</v>
      </c>
      <c r="T9" s="115" cm="1">
        <f t="array" ref="T9">_xll.EQNXTDZ($A$1,$B9,T$1)</f>
        <v>298.7</v>
      </c>
      <c r="U9" s="115" cm="1">
        <f t="array" ref="U9">_xll.EQNXTDZ($A$1,$B9,U$1)</f>
        <v>326.64999999999998</v>
      </c>
      <c r="V9" s="115" cm="1">
        <f t="array" ref="V9">_xll.EQNXTDZ($A$1,$B9,V$1)</f>
        <v>311.12</v>
      </c>
      <c r="W9" s="115" cm="1">
        <f t="array" ref="W9">_xll.EQNXTDZ($A$1,$B9,W$1)</f>
        <v>346.6</v>
      </c>
      <c r="X9" s="115" cm="1">
        <f t="array" ref="X9">_xll.EQNXTDZ($A$1,$B9,X$1)</f>
        <v>375.92</v>
      </c>
      <c r="Y9" s="115" cm="1">
        <f t="array" ref="Y9">_xll.EQNXTDZ($A$1,$B9,Y$1)</f>
        <v>424.21</v>
      </c>
      <c r="Z9" s="115" cm="1">
        <f t="array" ref="Z9">_xll.EQNXTDZ($A$1,$B9,Z$1)</f>
        <v>468.45</v>
      </c>
      <c r="AA9" s="115" cm="1">
        <f t="array" ref="AA9">_xll.EQNXTDZ($A$1,$B9,AA$1)</f>
        <v>499.93</v>
      </c>
      <c r="AB9" s="115" cm="1">
        <f t="array" ref="AB9">_xll.EQNXTDZ($A$1,$B9,AB$1)</f>
        <v>534.5</v>
      </c>
      <c r="AC9" s="115" cm="1">
        <f t="array" ref="AC9">_xll.EQNXTDZ($A$1,$B9,AC$1)</f>
        <v>569.5</v>
      </c>
      <c r="AD9" s="115" cm="1">
        <f t="array" ref="AD9">_xll.EQNXTDZ($A$1,$B9,AD$1)</f>
        <v>580.22</v>
      </c>
      <c r="AE9" s="115" cm="1">
        <f t="array" ref="AE9">_xll.EQNXTDZ($A$1,$B9,AE$1)</f>
        <v>624.97</v>
      </c>
      <c r="AF9" s="115" cm="1">
        <f t="array" ref="AF9">_xll.EQNXTDZ($A$1,$B9,AF$1)</f>
        <v>680.11</v>
      </c>
      <c r="AG9" s="115" cm="1">
        <f t="array" ref="AG9">_xll.EQNXTDZ($A$1,$B9,AG$1)</f>
        <v>716.23</v>
      </c>
      <c r="AH9" s="115" cm="1">
        <f t="array" ref="AH9">_xll.EQNXTDZ($A$1,$B9,AH$1)</f>
        <v>763.91</v>
      </c>
      <c r="AI9" s="115" cm="1">
        <f t="array" ref="AI9">_xll.EQNXTDZ($A$1,$B9,AI$1)</f>
        <v>798.85</v>
      </c>
      <c r="AJ9" s="115" cm="1">
        <f t="array" ref="AJ9">_xll.EQNXTDZ($A$1,$B9,AJ$1)</f>
        <v>834.65</v>
      </c>
      <c r="AK9" s="115" cm="1">
        <f t="array" ref="AK9">_xll.EQNXTDZ($A$1,$B9,AK$1)</f>
        <v>797.08</v>
      </c>
      <c r="AL9" s="115" cm="1">
        <f t="array" ref="AL9">_xll.EQNXTDZ($A$1,$B9,AL$1)</f>
        <v>819.8</v>
      </c>
      <c r="AM9" s="115" cm="1">
        <f t="array" ref="AM9">_xll.EQNXTDZ($A$1,$B9,AM$1)</f>
        <v>823.72</v>
      </c>
      <c r="AN9" s="115" cm="1">
        <f t="array" ref="AN9">_xll.EQNXTDZ($A$1,$B9,AN$1)</f>
        <v>947.23</v>
      </c>
      <c r="AO9" s="115" cm="1">
        <f t="array" ref="AO9">_xll.EQNXTDZ($A$1,$B9,AO$1)</f>
        <v>837.09</v>
      </c>
      <c r="AP9" s="115" cm="1">
        <f t="array" ref="AP9">_xll.EQNXTDZ($A$1,$B9,AP$1)</f>
        <v>806.99</v>
      </c>
      <c r="AQ9" s="115" cm="1">
        <f t="array" ref="AQ9">_xll.EQNXTDZ($A$1,$B9,AQ$1)</f>
        <v>829.61</v>
      </c>
      <c r="AR9" s="115" cm="1">
        <f t="array" ref="AR9">_xll.EQNXTDZ($A$1,$B9,AR$1)</f>
        <v>796.62</v>
      </c>
      <c r="AS9" s="115" cm="1">
        <f t="array" ref="AS9">_xll.EQNXTDZ($A$1,$B9,AS$1)</f>
        <v>880.26</v>
      </c>
      <c r="AT9" s="115" cm="1">
        <f t="array" ref="AT9">_xll.EQNXTDZ($A$1,$B9,AT$1)</f>
        <v>792.84</v>
      </c>
      <c r="AU9" s="115" cm="1">
        <f t="array" ref="AU9">_xll.EQNXTDZ($A$1,$B9,AU$1)</f>
        <v>760.39</v>
      </c>
      <c r="AV9" s="115" cm="1">
        <f t="array" ref="AV9">_xll.EQNXTDZ($A$1,$B9,AV$1)</f>
        <v>759.56</v>
      </c>
      <c r="AW9" s="115" cm="1">
        <f t="array" ref="AW9">_xll.EQNXTDZ($A$1,$B9,AW$1)</f>
        <v>793.43</v>
      </c>
      <c r="AX9" s="115" cm="1">
        <f t="array" ref="AX9">_xll.EQNXTDZ($A$1,$B9,AX$1)</f>
        <v>790</v>
      </c>
      <c r="AY9" s="115" cm="1">
        <f t="array" ref="AY9">_xll.EQNXTDZ($A$1,$B9,AY$1)</f>
        <v>824.88</v>
      </c>
      <c r="AZ9" s="115" cm="1">
        <f t="array" ref="AZ9">_xll.EQNXTDZ($A$1,$B9,AZ$1)</f>
        <v>815.27</v>
      </c>
      <c r="BA9" s="115" cm="1">
        <f t="array" ref="BA9">_xll.EQNXTDZ($A$1,$B9,BA$1)</f>
        <v>815.8</v>
      </c>
      <c r="BB9" s="115" cm="1">
        <f t="array" ref="BB9">_xll.EQNXTDZ($A$1,$B9,BB$1)</f>
        <v>818.27</v>
      </c>
      <c r="BC9" s="115" cm="1">
        <f t="array" ref="BC9">_xll.EQNXTDZ($A$1,$B9,BC$1)</f>
        <v>894.17</v>
      </c>
      <c r="BD9" s="115" cm="1">
        <f t="array" ref="BD9">_xll.EQNXTDZ($A$1,$B9,BD$1)</f>
        <v>806.66</v>
      </c>
      <c r="BE9" s="115" cm="1">
        <f t="array" ref="BE9">_xll.EQNXTDZ($A$1,$B9,BE$1)</f>
        <v>772.31</v>
      </c>
      <c r="BF9" s="115" cm="1">
        <f t="array" ref="BF9">_xll.EQNXTDZ($A$1,$B9,BF$1)</f>
        <v>793.21</v>
      </c>
      <c r="BG9" s="115" cm="1">
        <f t="array" ref="BG9">_xll.EQNXTDZ($A$1,$B9,BG$1)</f>
        <v>844.5</v>
      </c>
      <c r="BH9" s="115" cm="1">
        <f t="array" ref="BH9">_xll.EQNXTDZ($A$1,$B9,BH$1)</f>
        <v>915.81</v>
      </c>
      <c r="BI9" s="115" cm="1">
        <f t="array" ref="BI9">_xll.EQNXTDZ($A$1,$B9,BI$1)</f>
        <v>969.64</v>
      </c>
      <c r="BJ9" s="115" cm="1">
        <f t="array" ref="BJ9">_xll.EQNXTDZ($A$1,$B9,BJ$1)</f>
        <v>900.78</v>
      </c>
      <c r="BK9" s="115" cm="1">
        <f t="array" ref="BK9">_xll.EQNXTDZ($A$1,$B9,BK$1)</f>
        <v>889.61</v>
      </c>
      <c r="BL9" s="115" cm="1">
        <f t="array" ref="BL9">_xll.EQNXTDZ($A$1,$B9,BL$1)</f>
        <v>931.27</v>
      </c>
      <c r="BM9" s="115" cm="1">
        <f t="array" ref="BM9">_xll.EQNXTDZ($A$1,$B9,BM$1)</f>
        <v>989.95</v>
      </c>
      <c r="BN9" s="115" cm="1">
        <f t="array" ref="BN9">_xll.EQNXTDZ($A$1,$B9,BN$1)</f>
        <v>977.99</v>
      </c>
      <c r="BO9" s="115" cm="1">
        <f t="array" ref="BO9">_xll.EQNXTDZ($A$1,$B9,BO$1)</f>
        <v>1031.57</v>
      </c>
      <c r="BP9" s="115" cm="1">
        <f t="array" ref="BP9">_xll.EQNXTDZ($A$1,$B9,BP$1)</f>
        <v>1042.77</v>
      </c>
      <c r="BQ9" s="115" cm="1">
        <f t="array" ref="BQ9">_xll.EQNXTDZ($A$1,$B9,BQ$1)</f>
        <v>1172.5899999999999</v>
      </c>
      <c r="BR9" s="115" cm="1">
        <f t="array" ref="BR9">_xll.EQNXTDZ($A$1,$B9,BR$1)</f>
        <v>1097.74</v>
      </c>
      <c r="BS9" s="115" cm="1">
        <f t="array" ref="BS9">_xll.EQNXTDZ($A$1,$B9,BS$1)</f>
        <v>1089.48</v>
      </c>
      <c r="BT9" s="115" cm="1">
        <f t="array" ref="BT9">_xll.EQNXTDZ($A$1,$B9,BT$1)</f>
        <v>1040.23</v>
      </c>
      <c r="BU9" s="115" cm="1">
        <f t="array" ref="BU9">_xll.EQNXTDZ($A$1,$B9,BU$1)</f>
        <v>1073.68</v>
      </c>
      <c r="BV9" s="115" cm="1">
        <f t="array" ref="BV9">_xll.EQNXTDZ($A$1,$B9,BV$1)</f>
        <v>1066.3</v>
      </c>
      <c r="BW9" s="115" cm="1">
        <f t="array" ref="BW9">_xll.EQNXTDZ($A$1,$B9,BW$1)</f>
        <v>1110.72</v>
      </c>
      <c r="BX9" s="115" cm="1">
        <f t="array" ref="BX9">_xll.EQNXTDZ($A$1,$B9,BX$1)</f>
        <v>1052.1300000000001</v>
      </c>
      <c r="BY9" s="115" cm="1">
        <f t="array" ref="BY9">_xll.EQNXTDZ($A$1,$B9,BY$1)</f>
        <v>1089.48</v>
      </c>
      <c r="BZ9" s="115" cm="1">
        <f t="array" ref="BZ9">_xll.EQNXTDZ($A$1,$B9,BZ$1)</f>
        <v>1075.18</v>
      </c>
      <c r="CA9" s="115" cm="1">
        <f t="array" ref="CA9">_xll.EQNXTDZ($A$1,$B9,CA$1)</f>
        <v>1005.95</v>
      </c>
      <c r="CB9" s="115" cm="1">
        <f t="array" ref="CB9">_xll.EQNXTDZ($A$1,$B9,CB$1)</f>
        <v>1055.74</v>
      </c>
      <c r="CC9" s="115" cm="1">
        <f t="array" ref="CC9">_xll.EQNXTDZ($A$1,$B9,CC$1)</f>
        <v>1139.55</v>
      </c>
      <c r="CD9" s="115" cm="1">
        <f t="array" ref="CD9">_xll.EQNXTDZ($A$1,$B9,CD$1)</f>
        <v>1053.43</v>
      </c>
      <c r="CE9" s="115" cm="1">
        <f t="array" ref="CE9">_xll.EQNXTDZ($A$1,$B9,CE$1)</f>
        <v>1079.9000000000001</v>
      </c>
      <c r="CF9" s="115" cm="1">
        <f t="array" ref="CF9">_xll.EQNXTDZ($A$1,$B9,CF$1)</f>
        <v>1100.77</v>
      </c>
      <c r="CG9" s="115" cm="1">
        <f t="array" ref="CG9">_xll.EQNXTDZ($A$1,$B9,CG$1)</f>
        <v>1078.3599999999999</v>
      </c>
      <c r="CH9" s="115" cm="1">
        <f t="array" ref="CH9">_xll.EQNXTDZ($A$1,$B9,CH$1)</f>
        <v>1029.8900000000001</v>
      </c>
      <c r="CI9" s="115" cm="1">
        <f t="array" ref="CI9">_xll.EQNXTDZ($A$1,$B9,CI$1)</f>
        <v>977.63</v>
      </c>
      <c r="CJ9" s="115" cm="1">
        <f t="array" ref="CJ9">_xll.EQNXTDZ($A$1,$B9,CJ$1)</f>
        <v>836.03</v>
      </c>
      <c r="CK9" s="115" cm="1">
        <f t="array" ref="CK9">_xll.EQNXTDZ($A$1,$B9,CK$1)</f>
        <v>812.55</v>
      </c>
      <c r="CL9" s="115" cm="1">
        <f t="array" ref="CL9">_xll.EQNXTDZ($A$1,$B9,CL$1)</f>
        <v>874.77</v>
      </c>
      <c r="CM9" s="115" cm="1">
        <f t="array" ref="CM9">_xll.EQNXTDZ($A$1,$B9,CM$1)</f>
        <v>859.73</v>
      </c>
      <c r="CN9" s="115" cm="1">
        <f t="array" ref="CN9">_xll.EQNXTDZ($A$1,$B9,CN$1)</f>
        <v>869.58</v>
      </c>
      <c r="CO9" s="115" cm="1">
        <f t="array" ref="CO9">_xll.EQNXTDZ($A$1,$B9,CO$1)</f>
        <v>940.35</v>
      </c>
      <c r="CP9" s="115" cm="1">
        <f t="array" ref="CP9">_xll.EQNXTDZ($A$1,$B9,CP$1)</f>
        <v>914.85</v>
      </c>
      <c r="CQ9" s="115" cm="1">
        <f t="array" ref="CQ9">_xll.EQNXTDZ($A$1,$B9,CQ$1)</f>
        <v>873.15</v>
      </c>
      <c r="CR9" s="115" cm="1">
        <f t="array" ref="CR9">_xll.EQNXTDZ($A$1,$B9,CR$1)</f>
        <v>743.33</v>
      </c>
      <c r="CS9" s="115" cm="1">
        <f t="array" ref="CS9">_xll.EQNXTDZ($A$1,$B9,CS$1)</f>
        <v>688.86</v>
      </c>
      <c r="CT9" s="115" cm="1">
        <f t="array" ref="CT9">_xll.EQNXTDZ($A$1,$B9,CT$1)</f>
        <v>639.39</v>
      </c>
      <c r="CU9" s="115" cm="1">
        <f t="array" ref="CU9">_xll.EQNXTDZ($A$1,$B9,CU$1)</f>
        <v>713.44</v>
      </c>
      <c r="CV9" s="115" cm="1">
        <f t="array" ref="CV9">_xll.EQNXTDZ($A$1,$B9,CV$1)</f>
        <v>721.48</v>
      </c>
      <c r="CW9" s="115" cm="1">
        <f t="array" ref="CW9">_xll.EQNXTDZ($A$1,$B9,CW$1)</f>
        <v>793.32</v>
      </c>
      <c r="CX9" s="115" cm="1">
        <f t="array" ref="CX9">_xll.EQNXTDZ($A$1,$B9,CX$1)</f>
        <v>708.26</v>
      </c>
      <c r="CY9" s="115" cm="1">
        <f t="array" ref="CY9">_xll.EQNXTDZ($A$1,$B9,CY$1)</f>
        <v>752.94</v>
      </c>
      <c r="CZ9" s="115" cm="1">
        <f t="array" ref="CZ9">_xll.EQNXTDZ($A$1,$B9,CZ$1)</f>
        <v>796.83</v>
      </c>
      <c r="DA9" s="115" cm="1">
        <f t="array" ref="DA9">_xll.EQNXTDZ($A$1,$B9,DA$1)</f>
        <v>907.25</v>
      </c>
      <c r="DB9" s="115" cm="1">
        <f t="array" ref="DB9">_xll.EQNXTDZ($A$1,$B9,DB$1)</f>
        <v>859.74</v>
      </c>
      <c r="DC9" s="115" cm="1">
        <f t="array" ref="DC9">_xll.EQNXTDZ($A$1,$B9,DC$1)</f>
        <v>1038.6099999999999</v>
      </c>
      <c r="DD9" s="115" cm="1">
        <f t="array" ref="DD9">_xll.EQNXTDZ($A$1,$B9,DD$1)</f>
        <v>1088.4100000000001</v>
      </c>
      <c r="DE9" s="115" cm="1">
        <f t="array" ref="DE9">_xll.EQNXTDZ($A$1,$B9,DE$1)</f>
        <v>1046.68</v>
      </c>
      <c r="DF9" s="115" cm="1">
        <f t="array" ref="DF9">_xll.EQNXTDZ($A$1,$B9,DF$1)</f>
        <v>1057.6500000000001</v>
      </c>
      <c r="DG9" s="115" cm="1">
        <f t="array" ref="DG9">_xll.EQNXTDZ($A$1,$B9,DG$1)</f>
        <v>1126.8800000000001</v>
      </c>
      <c r="DH9" s="115" cm="1">
        <f t="array" ref="DH9">_xll.EQNXTDZ($A$1,$B9,DH$1)</f>
        <v>1372.66</v>
      </c>
      <c r="DI9" s="115" cm="1">
        <f t="array" ref="DI9">_xll.EQNXTDZ($A$1,$B9,DI$1)</f>
        <v>1450.12</v>
      </c>
      <c r="DJ9" s="115" cm="1">
        <f t="array" ref="DJ9">_xll.EQNXTDZ($A$1,$B9,DJ$1)</f>
        <v>1511.71</v>
      </c>
      <c r="DK9" s="115" cm="1">
        <f t="array" ref="DK9">_xll.EQNXTDZ($A$1,$B9,DK$1)</f>
        <v>1480.35</v>
      </c>
      <c r="DL9" s="115" cm="1">
        <f t="array" ref="DL9">_xll.EQNXTDZ($A$1,$B9,DL$1)</f>
        <v>1558.76</v>
      </c>
      <c r="DM9" s="115" cm="1">
        <f t="array" ref="DM9">_xll.EQNXTDZ($A$1,$B9,DM$1)</f>
        <v>1756.88</v>
      </c>
      <c r="DN9" s="115" cm="1">
        <f t="array" ref="DN9">_xll.EQNXTDZ($A$1,$B9,DN$1)</f>
        <v>1791.6</v>
      </c>
      <c r="DO9" s="115" cm="1">
        <f t="array" ref="DO9">_xll.EQNXTDZ($A$1,$B9,DO$1)</f>
        <v>1823.35</v>
      </c>
      <c r="DP9" s="115" cm="1">
        <f t="array" ref="DP9">_xll.EQNXTDZ($A$1,$B9,DP$1)</f>
        <v>1942</v>
      </c>
      <c r="DQ9" s="115" cm="1">
        <f t="array" ref="DQ9">_xll.EQNXTDZ($A$1,$B9,DQ$1)</f>
        <v>2307.6</v>
      </c>
      <c r="DR9" s="115" cm="1">
        <f t="array" ref="DR9">_xll.EQNXTDZ($A$1,$B9,DR$1)</f>
        <v>2300.6</v>
      </c>
      <c r="DS9" s="115" cm="1">
        <f t="array" ref="DS9">_xll.EQNXTDZ($A$1,$B9,DS$1)</f>
        <v>2290.5</v>
      </c>
      <c r="DT9" s="115" cm="1">
        <f t="array" ref="DT9">_xll.EQNXTDZ($A$1,$B9,DT$1)</f>
        <v>2780.5</v>
      </c>
      <c r="DU9" s="115" cm="1">
        <f t="array" ref="DU9">_xll.EQNXTDZ($A$1,$B9,DU$1)</f>
        <v>3040.55</v>
      </c>
      <c r="DV9" s="115" cm="1">
        <f t="array" ref="DV9">_xll.EQNXTDZ($A$1,$B9,DV$1)</f>
        <v>3212.35</v>
      </c>
      <c r="DW9" s="115" cm="1">
        <f t="array" ref="DW9">_xll.EQNXTDZ($A$1,$B9,DW$1)</f>
        <v>2754.6</v>
      </c>
      <c r="DX9" s="115" cm="1">
        <f t="array" ref="DX9">_xll.EQNXTDZ($A$1,$B9,DX$1)</f>
        <v>2675.35</v>
      </c>
      <c r="DY9" s="115" cm="1">
        <f t="array" ref="DY9">_xll.EQNXTDZ($A$1,$B9,DY$1)</f>
        <v>2746.65</v>
      </c>
      <c r="DZ9" s="115" cm="1">
        <f t="array" ref="DZ9">_xll.EQNXTDZ($A$1,$B9,DZ$1)</f>
        <v>2691.9</v>
      </c>
      <c r="EA9" s="115" cm="1">
        <f t="array" ref="EA9">_xll.EQNXTDZ($A$1,$B9,EA$1)</f>
        <v>2981.85</v>
      </c>
      <c r="EB9" s="115" cm="1">
        <f t="array" ref="EB9">_xll.EQNXTDZ($A$1,$B9,EB$1)</f>
        <v>2867.55</v>
      </c>
      <c r="EC9" s="115" cm="1">
        <f t="array" ref="EC9">_xll.EQNXTDZ($A$1,$B9,EC$1)</f>
        <v>2774.65</v>
      </c>
      <c r="ED9" s="115" cm="1">
        <f t="array" ref="ED9">_xll.EQNXTDZ($A$1,$B9,ED$1)</f>
        <v>2966.95</v>
      </c>
      <c r="EE9" s="115" cm="1">
        <f t="array" ref="EE9">_xll.EQNXTDZ($A$1,$B9,EE$1)</f>
        <v>3097.55</v>
      </c>
      <c r="EF9" s="115" cm="1">
        <f t="array" ref="EF9">_xll.EQNXTDZ($A$1,$B9,EF$1)</f>
        <v>3120.8</v>
      </c>
      <c r="EG9" s="115" cm="1">
        <f t="array" ref="EG9">_xll.EQNXTDZ($A$1,$B9,EG$1)</f>
        <v>3052.3</v>
      </c>
      <c r="EH9" s="115" cm="1">
        <f t="array" ref="EH9">_xll.EQNXTDZ($A$1,$B9,EH$1)</f>
        <v>3314.9</v>
      </c>
      <c r="EI9" s="115" cm="1">
        <f t="array" ref="EI9">_xll.EQNXTDZ($A$1,$B9,EI$1)</f>
        <v>2817.4</v>
      </c>
      <c r="EJ9" s="115" cm="1">
        <f t="array" ref="EJ9">_xll.EQNXTDZ($A$1,$B9,EJ$1)</f>
        <v>2838.1</v>
      </c>
      <c r="EK9" s="115" cm="1">
        <f t="array" ref="EK9">_xll.EQNXTDZ($A$1,$B9,EK$1)</f>
        <v>3203</v>
      </c>
      <c r="EL9" s="115" cm="1">
        <f t="array" ref="EL9">_xll.EQNXTDZ($A$1,$B9,EL$1)</f>
        <v>3131.2</v>
      </c>
      <c r="EM9" s="115" cm="1">
        <f t="array" ref="EM9">_xll.EQNXTDZ($A$1,$B9,EM$1)</f>
        <v>2892.8</v>
      </c>
      <c r="EN9" s="115" cm="1">
        <f t="array" ref="EN9">_xll.EQNXTDZ($A$1,$B9,EN$1)</f>
        <v>2811.35</v>
      </c>
      <c r="EO9" s="115" cm="1">
        <f t="array" ref="EO9">_xll.EQNXTDZ($A$1,$B9,EO$1)</f>
        <v>3689.85</v>
      </c>
      <c r="EP9" s="115" cm="1">
        <f t="array" ref="EP9">_xll.EQNXTDZ($A$1,$B9,EP$1)</f>
        <v>4241.5</v>
      </c>
      <c r="EQ9" s="115" cm="1">
        <f t="array" ref="EQ9">_xll.EQNXTDZ($A$1,$B9,EQ$1)</f>
        <v>4740.5</v>
      </c>
      <c r="ER9" s="115" cm="1">
        <f t="array" ref="ER9">_xll.EQNXTDZ($A$1,$B9,ER$1)</f>
        <v>4267.3500000000004</v>
      </c>
      <c r="ES9" s="115" cm="1">
        <f t="array" ref="ES9">_xll.EQNXTDZ($A$1,$B9,ES$1)</f>
        <v>3941.65</v>
      </c>
      <c r="ET9" s="115" cm="1">
        <f t="array" ref="ET9">_xll.EQNXTDZ($A$1,$B9,ET$1)</f>
        <v>3913.7</v>
      </c>
      <c r="EU9" s="115" cm="1">
        <f t="array" ref="EU9">_xll.EQNXTDZ($A$1,$B9,EU$1)</f>
        <v>3435.9</v>
      </c>
      <c r="EV9" s="115" cm="1">
        <f t="array" ref="EV9">_xll.EQNXTDZ($A$1,$B9,EV$1)</f>
        <v>3584.2</v>
      </c>
      <c r="EW9" s="115" cm="1">
        <f t="array" ref="EW9">_xll.EQNXTDZ($A$1,$B9,EW$1)</f>
        <v>3405.8</v>
      </c>
      <c r="EX9" s="115" cm="1">
        <f t="array" ref="EX9">_xll.EQNXTDZ($A$1,$B9,EX$1)</f>
        <v>3425.8</v>
      </c>
      <c r="EY9" s="115" cm="1">
        <f t="array" ref="EY9">_xll.EQNXTDZ($A$1,$B9,EY$1)</f>
        <v>3061.25</v>
      </c>
      <c r="EZ9" s="115" cm="1">
        <f t="array" ref="EZ9">_xll.EQNXTDZ($A$1,$B9,EZ$1)</f>
        <v>3376.4</v>
      </c>
      <c r="FA9" s="115" cm="1">
        <f t="array" ref="FA9">_xll.EQNXTDZ($A$1,$B9,FA$1)</f>
        <v>3472.9</v>
      </c>
      <c r="FB9" s="115" cm="1">
        <f t="array" ref="FB9">_xll.EQNXTDZ($A$1,$B9,FB$1)</f>
        <v>4188.7</v>
      </c>
      <c r="FC9" s="115" cm="1">
        <f t="array" ref="FC9">_xll.EQNXTDZ($A$1,$B9,FC$1)</f>
        <v>4047.3</v>
      </c>
      <c r="FD9" s="115" cm="1">
        <f t="array" ref="FD9">_xll.EQNXTDZ($A$1,$B9,FD$1)</f>
        <v>4121.7</v>
      </c>
      <c r="FE9" s="115" cm="1">
        <f t="array" ref="FE9">_xll.EQNXTDZ($A$1,$B9,FE$1)</f>
        <v>3867.4</v>
      </c>
      <c r="FF9" s="115" cm="1">
        <f t="array" ref="FF9">_xll.EQNXTDZ($A$1,$B9,FF$1)</f>
        <v>4208.8</v>
      </c>
      <c r="FG9" s="115" cm="1">
        <f t="array" ref="FG9">_xll.EQNXTDZ($A$1,$B9,FG$1)</f>
        <v>4021.4</v>
      </c>
      <c r="FH9" s="115" cm="1">
        <f t="array" ref="FH9">_xll.EQNXTDZ($A$1,$B9,FH$1)</f>
        <v>3899.4</v>
      </c>
      <c r="FI9" s="115" cm="1">
        <f t="array" ref="FI9">_xll.EQNXTDZ($A$1,$B9,FI$1)</f>
        <v>3879</v>
      </c>
      <c r="FJ9" s="115" cm="1">
        <f t="array" ref="FJ9">_xll.EQNXTDZ($A$1,$B9,FJ$1)</f>
        <v>3622.1</v>
      </c>
      <c r="FK9" s="115" cm="1">
        <f t="array" ref="FK9">_xll.EQNXTDZ($A$1,$B9,FK$1)</f>
        <v>4357.2</v>
      </c>
      <c r="FL9" s="115" cm="1">
        <f t="array" ref="FL9">_xll.EQNXTDZ($A$1,$B9,FL$1)</f>
        <v>3844.8</v>
      </c>
      <c r="FM9" s="115" cm="1">
        <f t="array" ref="FM9">_xll.EQNXTDZ($A$1,$B9,FM$1)</f>
        <v>4124.8</v>
      </c>
      <c r="FN9" s="115" cm="1">
        <f t="array" ref="FN9">_xll.EQNXTDZ($A$1,$B9,FN$1)</f>
        <v>4128.7</v>
      </c>
      <c r="FO9" s="115" cm="1">
        <f t="array" ref="FO9">_xll.EQNXTDZ($A$1,$B9,FO$1)</f>
        <v>4163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354.85</v>
      </c>
      <c r="HQ9" s="115">
        <f>+I9</f>
        <v>339.99</v>
      </c>
      <c r="HR9" s="115">
        <f>+L9</f>
        <v>294.02</v>
      </c>
      <c r="HS9" s="115">
        <f>+O9</f>
        <v>285.01</v>
      </c>
      <c r="HT9" s="115">
        <f>+R9</f>
        <v>250.92</v>
      </c>
      <c r="HU9" s="115">
        <f>+U9</f>
        <v>326.64999999999998</v>
      </c>
      <c r="HV9" s="115">
        <f>+X9</f>
        <v>375.92</v>
      </c>
      <c r="HW9" s="115">
        <f>+AA9</f>
        <v>499.93</v>
      </c>
      <c r="HX9" s="115">
        <f>+AD9</f>
        <v>580.22</v>
      </c>
      <c r="HY9" s="115">
        <f>+AG9</f>
        <v>716.23</v>
      </c>
      <c r="HZ9" s="115">
        <f>+AJ9</f>
        <v>834.65</v>
      </c>
      <c r="IA9" s="115">
        <f>+AM9</f>
        <v>823.72</v>
      </c>
      <c r="IB9" s="115">
        <f>+AP9</f>
        <v>806.99</v>
      </c>
      <c r="IC9" s="115">
        <f>+AS9</f>
        <v>880.26</v>
      </c>
      <c r="ID9" s="115">
        <f>+AV9</f>
        <v>759.56</v>
      </c>
      <c r="IE9" s="115">
        <f>+AY9</f>
        <v>824.88</v>
      </c>
      <c r="IF9" s="115">
        <f>+BB9</f>
        <v>818.27</v>
      </c>
      <c r="IG9" s="115">
        <f>+BE9</f>
        <v>772.31</v>
      </c>
      <c r="IH9" s="115">
        <f>+BH9</f>
        <v>915.81</v>
      </c>
      <c r="II9" s="115">
        <f>+BK9</f>
        <v>889.61</v>
      </c>
      <c r="IJ9" s="115">
        <f>+BN9</f>
        <v>977.99</v>
      </c>
      <c r="IK9" s="115">
        <f>+BQ9</f>
        <v>1172.5899999999999</v>
      </c>
      <c r="IL9" s="115">
        <f>+BT9</f>
        <v>1040.23</v>
      </c>
      <c r="IM9" s="115">
        <f>+BW9</f>
        <v>1110.72</v>
      </c>
      <c r="IN9" s="115">
        <f>+BZ9</f>
        <v>1075.18</v>
      </c>
      <c r="IO9" s="115">
        <f>+CC9</f>
        <v>1139.55</v>
      </c>
      <c r="IP9" s="115">
        <f>+CF9</f>
        <v>1100.77</v>
      </c>
      <c r="IQ9" s="115">
        <f>+CI9</f>
        <v>977.63</v>
      </c>
      <c r="IR9" s="115">
        <f>+CL9</f>
        <v>874.77</v>
      </c>
      <c r="IS9" s="115">
        <f>+CO9</f>
        <v>940.35</v>
      </c>
      <c r="IT9" s="115">
        <f>+CR9</f>
        <v>743.33</v>
      </c>
      <c r="IU9" s="115">
        <f>+CU9</f>
        <v>713.44</v>
      </c>
      <c r="IV9" s="115">
        <f>+CX9</f>
        <v>708.26</v>
      </c>
      <c r="IW9" s="115">
        <f>+DA9</f>
        <v>907.25</v>
      </c>
      <c r="IX9" s="115">
        <f>+DD9</f>
        <v>1088.4100000000001</v>
      </c>
      <c r="IY9" s="115">
        <f>+DG9</f>
        <v>1126.8800000000001</v>
      </c>
      <c r="IZ9" s="115">
        <f>+DJ9</f>
        <v>1511.71</v>
      </c>
      <c r="JA9" s="115">
        <f>+DM9</f>
        <v>1756.88</v>
      </c>
      <c r="JB9" s="115">
        <f>+DP9</f>
        <v>1942</v>
      </c>
      <c r="JC9" s="115">
        <f>+DS9</f>
        <v>2290.5</v>
      </c>
      <c r="JD9" s="115">
        <f>+DV9</f>
        <v>3212.35</v>
      </c>
      <c r="JE9" s="115">
        <f>+DY9</f>
        <v>2746.65</v>
      </c>
      <c r="JF9" s="115">
        <f>+EB9</f>
        <v>2867.55</v>
      </c>
      <c r="JG9" s="115">
        <f>+EE9</f>
        <v>3097.55</v>
      </c>
      <c r="JH9" s="115">
        <f>+EH9</f>
        <v>3314.9</v>
      </c>
      <c r="JI9" s="115">
        <f>+EK9</f>
        <v>3203</v>
      </c>
      <c r="JJ9" s="115">
        <f>+EN9</f>
        <v>2811.35</v>
      </c>
      <c r="JK9" s="115">
        <f>EQ9</f>
        <v>4740.5</v>
      </c>
      <c r="JL9" s="115">
        <f>ET9</f>
        <v>3913.7</v>
      </c>
      <c r="JM9" s="115">
        <f>EW9</f>
        <v>3405.8</v>
      </c>
      <c r="JN9" s="115">
        <f>EZ9</f>
        <v>3376.4</v>
      </c>
      <c r="JO9" s="115">
        <f>FC9</f>
        <v>4047.3</v>
      </c>
      <c r="JP9" s="115">
        <f>FF9</f>
        <v>4208.8</v>
      </c>
      <c r="JQ9" s="115">
        <f>FI9</f>
        <v>3879</v>
      </c>
      <c r="JR9" s="115">
        <f>FL9</f>
        <v>3844.8</v>
      </c>
      <c r="JS9" s="115">
        <f>FO9</f>
        <v>4163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305</v>
      </c>
      <c r="D13" cm="1">
        <f t="array" ref="D13">_xll.EQNXTDZ($A$1,$B13,D$1)</f>
        <v>290</v>
      </c>
      <c r="E13" cm="1">
        <f t="array" ref="E13">_xll.EQNXTDZ($A$1,$B13,E$1)</f>
        <v>295.97000000000003</v>
      </c>
      <c r="F13" cm="1">
        <f t="array" ref="F13">_xll.EQNXTDZ($A$1,$B13,F$1)</f>
        <v>326</v>
      </c>
      <c r="G13" cm="1">
        <f t="array" ref="G13">_xll.EQNXTDZ($A$1,$B13,G$1)</f>
        <v>358.99</v>
      </c>
      <c r="H13" cm="1">
        <f t="array" ref="H13">_xll.EQNXTDZ($A$1,$B13,H$1)</f>
        <v>346</v>
      </c>
      <c r="I13" cm="1">
        <f t="array" ref="I13">_xll.EQNXTDZ($A$1,$B13,I$1)</f>
        <v>340</v>
      </c>
      <c r="J13" cm="1">
        <f t="array" ref="J13">_xll.EQNXTDZ($A$1,$B13,J$1)</f>
        <v>339.94</v>
      </c>
      <c r="K13" cm="1">
        <f t="array" ref="K13">_xll.EQNXTDZ($A$1,$B13,K$1)</f>
        <v>310</v>
      </c>
      <c r="L13" cm="1">
        <f t="array" ref="L13">_xll.EQNXTDZ($A$1,$B13,L$1)</f>
        <v>296.2</v>
      </c>
      <c r="M13" cm="1">
        <f t="array" ref="M13">_xll.EQNXTDZ($A$1,$B13,M$1)</f>
        <v>299.99</v>
      </c>
      <c r="N13" cm="1">
        <f t="array" ref="N13">_xll.EQNXTDZ($A$1,$B13,N$1)</f>
        <v>272</v>
      </c>
      <c r="O13" cm="1">
        <f t="array" ref="O13">_xll.EQNXTDZ($A$1,$B13,O$1)</f>
        <v>290.39999999999998</v>
      </c>
      <c r="P13" cm="1">
        <f t="array" ref="P13">_xll.EQNXTDZ($A$1,$B13,P$1)</f>
        <v>282.22000000000003</v>
      </c>
      <c r="Q13" cm="1">
        <f t="array" ref="Q13">_xll.EQNXTDZ($A$1,$B13,Q$1)</f>
        <v>256</v>
      </c>
      <c r="R13" cm="1">
        <f t="array" ref="R13">_xll.EQNXTDZ($A$1,$B13,R$1)</f>
        <v>243</v>
      </c>
      <c r="S13" cm="1">
        <f t="array" ref="S13">_xll.EQNXTDZ($A$1,$B13,S$1)</f>
        <v>251</v>
      </c>
      <c r="T13" cm="1">
        <f t="array" ref="T13">_xll.EQNXTDZ($A$1,$B13,T$1)</f>
        <v>268</v>
      </c>
      <c r="U13" cm="1">
        <f t="array" ref="U13">_xll.EQNXTDZ($A$1,$B13,U$1)</f>
        <v>304.8</v>
      </c>
      <c r="V13" cm="1">
        <f t="array" ref="V13">_xll.EQNXTDZ($A$1,$B13,V$1)</f>
        <v>326</v>
      </c>
      <c r="W13" cm="1">
        <f t="array" ref="W13">_xll.EQNXTDZ($A$1,$B13,W$1)</f>
        <v>310.02</v>
      </c>
      <c r="X13" cm="1">
        <f t="array" ref="X13">_xll.EQNXTDZ($A$1,$B13,X$1)</f>
        <v>346.06</v>
      </c>
      <c r="Y13" cm="1">
        <f t="array" ref="Y13">_xll.EQNXTDZ($A$1,$B13,Y$1)</f>
        <v>375.58</v>
      </c>
      <c r="Z13" cm="1">
        <f t="array" ref="Z13">_xll.EQNXTDZ($A$1,$B13,Z$1)</f>
        <v>426.04</v>
      </c>
      <c r="AA13" cm="1">
        <f t="array" ref="AA13">_xll.EQNXTDZ($A$1,$B13,AA$1)</f>
        <v>470.19</v>
      </c>
      <c r="AB13" cm="1">
        <f t="array" ref="AB13">_xll.EQNXTDZ($A$1,$B13,AB$1)</f>
        <v>500</v>
      </c>
      <c r="AC13" cm="1">
        <f t="array" ref="AC13">_xll.EQNXTDZ($A$1,$B13,AC$1)</f>
        <v>541</v>
      </c>
      <c r="AD13" cm="1">
        <f t="array" ref="AD13">_xll.EQNXTDZ($A$1,$B13,AD$1)</f>
        <v>578.49</v>
      </c>
      <c r="AE13" cm="1">
        <f t="array" ref="AE13">_xll.EQNXTDZ($A$1,$B13,AE$1)</f>
        <v>587.64</v>
      </c>
      <c r="AF13" cm="1">
        <f t="array" ref="AF13">_xll.EQNXTDZ($A$1,$B13,AF$1)</f>
        <v>616.98</v>
      </c>
      <c r="AG13" cm="1">
        <f t="array" ref="AG13">_xll.EQNXTDZ($A$1,$B13,AG$1)</f>
        <v>675.83</v>
      </c>
      <c r="AH13" cm="1">
        <f t="array" ref="AH13">_xll.EQNXTDZ($A$1,$B13,AH$1)</f>
        <v>717.32</v>
      </c>
      <c r="AI13" cm="1">
        <f t="array" ref="AI13">_xll.EQNXTDZ($A$1,$B13,AI$1)</f>
        <v>760</v>
      </c>
      <c r="AJ13" cm="1">
        <f t="array" ref="AJ13">_xll.EQNXTDZ($A$1,$B13,AJ$1)</f>
        <v>798.44</v>
      </c>
      <c r="AK13" cm="1">
        <f t="array" ref="AK13">_xll.EQNXTDZ($A$1,$B13,AK$1)</f>
        <v>830</v>
      </c>
      <c r="AL13" cm="1">
        <f t="array" ref="AL13">_xll.EQNXTDZ($A$1,$B13,AL$1)</f>
        <v>800</v>
      </c>
      <c r="AM13" cm="1">
        <f t="array" ref="AM13">_xll.EQNXTDZ($A$1,$B13,AM$1)</f>
        <v>824.1</v>
      </c>
      <c r="AN13" cm="1">
        <f t="array" ref="AN13">_xll.EQNXTDZ($A$1,$B13,AN$1)</f>
        <v>827.68</v>
      </c>
      <c r="AO13" cm="1">
        <f t="array" ref="AO13">_xll.EQNXTDZ($A$1,$B13,AO$1)</f>
        <v>950.2</v>
      </c>
      <c r="AP13" cm="1">
        <f t="array" ref="AP13">_xll.EQNXTDZ($A$1,$B13,AP$1)</f>
        <v>840.8</v>
      </c>
      <c r="AQ13" cm="1">
        <f t="array" ref="AQ13">_xll.EQNXTDZ($A$1,$B13,AQ$1)</f>
        <v>819.04</v>
      </c>
      <c r="AR13" cm="1">
        <f t="array" ref="AR13">_xll.EQNXTDZ($A$1,$B13,AR$1)</f>
        <v>832.12</v>
      </c>
      <c r="AS13" cm="1">
        <f t="array" ref="AS13">_xll.EQNXTDZ($A$1,$B13,AS$1)</f>
        <v>794.01</v>
      </c>
      <c r="AT13" cm="1">
        <f t="array" ref="AT13">_xll.EQNXTDZ($A$1,$B13,AT$1)</f>
        <v>873.66</v>
      </c>
      <c r="AU13" cm="1">
        <f t="array" ref="AU13">_xll.EQNXTDZ($A$1,$B13,AU$1)</f>
        <v>802</v>
      </c>
      <c r="AV13" cm="1">
        <f t="array" ref="AV13">_xll.EQNXTDZ($A$1,$B13,AV$1)</f>
        <v>776.8</v>
      </c>
      <c r="AW13" cm="1">
        <f t="array" ref="AW13">_xll.EQNXTDZ($A$1,$B13,AW$1)</f>
        <v>756</v>
      </c>
      <c r="AX13" cm="1">
        <f t="array" ref="AX13">_xll.EQNXTDZ($A$1,$B13,AX$1)</f>
        <v>791.26</v>
      </c>
      <c r="AY13" cm="1">
        <f t="array" ref="AY13">_xll.EQNXTDZ($A$1,$B13,AY$1)</f>
        <v>782.76</v>
      </c>
      <c r="AZ13" cm="1">
        <f t="array" ref="AZ13">_xll.EQNXTDZ($A$1,$B13,AZ$1)</f>
        <v>821.04</v>
      </c>
      <c r="BA13" cm="1">
        <f t="array" ref="BA13">_xll.EQNXTDZ($A$1,$B13,BA$1)</f>
        <v>810.01</v>
      </c>
      <c r="BB13" cm="1">
        <f t="array" ref="BB13">_xll.EQNXTDZ($A$1,$B13,BB$1)</f>
        <v>820.17</v>
      </c>
      <c r="BC13" cm="1">
        <f t="array" ref="BC13">_xll.EQNXTDZ($A$1,$B13,BC$1)</f>
        <v>825.44</v>
      </c>
      <c r="BD13" cm="1">
        <f t="array" ref="BD13">_xll.EQNXTDZ($A$1,$B13,BD$1)</f>
        <v>881.8</v>
      </c>
      <c r="BE13" cm="1">
        <f t="array" ref="BE13">_xll.EQNXTDZ($A$1,$B13,BE$1)</f>
        <v>800.85</v>
      </c>
      <c r="BF13" cm="1">
        <f t="array" ref="BF13">_xll.EQNXTDZ($A$1,$B13,BF$1)</f>
        <v>789.99</v>
      </c>
      <c r="BG13" cm="1">
        <f t="array" ref="BG13">_xll.EQNXTDZ($A$1,$B13,BG$1)</f>
        <v>794</v>
      </c>
      <c r="BH13" cm="1">
        <f t="array" ref="BH13">_xll.EQNXTDZ($A$1,$B13,BH$1)</f>
        <v>842</v>
      </c>
      <c r="BI13" cm="1">
        <f t="array" ref="BI13">_xll.EQNXTDZ($A$1,$B13,BI$1)</f>
        <v>911.93</v>
      </c>
      <c r="BJ13" cm="1">
        <f t="array" ref="BJ13">_xll.EQNXTDZ($A$1,$B13,BJ$1)</f>
        <v>957.01</v>
      </c>
      <c r="BK13" cm="1">
        <f t="array" ref="BK13">_xll.EQNXTDZ($A$1,$B13,BK$1)</f>
        <v>914.2</v>
      </c>
      <c r="BL13" cm="1">
        <f t="array" ref="BL13">_xll.EQNXTDZ($A$1,$B13,BL$1)</f>
        <v>892.68</v>
      </c>
      <c r="BM13" cm="1">
        <f t="array" ref="BM13">_xll.EQNXTDZ($A$1,$B13,BM$1)</f>
        <v>911</v>
      </c>
      <c r="BN13" cm="1">
        <f t="array" ref="BN13">_xll.EQNXTDZ($A$1,$B13,BN$1)</f>
        <v>1000.2</v>
      </c>
      <c r="BO13" cm="1">
        <f t="array" ref="BO13">_xll.EQNXTDZ($A$1,$B13,BO$1)</f>
        <v>979</v>
      </c>
      <c r="BP13" cm="1">
        <f t="array" ref="BP13">_xll.EQNXTDZ($A$1,$B13,BP$1)</f>
        <v>1024</v>
      </c>
      <c r="BQ13" cm="1">
        <f t="array" ref="BQ13">_xll.EQNXTDZ($A$1,$B13,BQ$1)</f>
        <v>1050</v>
      </c>
      <c r="BR13" cm="1">
        <f t="array" ref="BR13">_xll.EQNXTDZ($A$1,$B13,BR$1)</f>
        <v>1175.73</v>
      </c>
      <c r="BS13" cm="1">
        <f t="array" ref="BS13">_xll.EQNXTDZ($A$1,$B13,BS$1)</f>
        <v>1114.2</v>
      </c>
      <c r="BT13" cm="1">
        <f t="array" ref="BT13">_xll.EQNXTDZ($A$1,$B13,BT$1)</f>
        <v>1095.01</v>
      </c>
      <c r="BU13" cm="1">
        <f t="array" ref="BU13">_xll.EQNXTDZ($A$1,$B13,BU$1)</f>
        <v>1066.1300000000001</v>
      </c>
      <c r="BV13" cm="1">
        <f t="array" ref="BV13">_xll.EQNXTDZ($A$1,$B13,BV$1)</f>
        <v>1074</v>
      </c>
      <c r="BW13" cm="1">
        <f t="array" ref="BW13">_xll.EQNXTDZ($A$1,$B13,BW$1)</f>
        <v>1063</v>
      </c>
      <c r="BX13" cm="1">
        <f t="array" ref="BX13">_xll.EQNXTDZ($A$1,$B13,BX$1)</f>
        <v>1139.99</v>
      </c>
      <c r="BY13" cm="1">
        <f t="array" ref="BY13">_xll.EQNXTDZ($A$1,$B13,BY$1)</f>
        <v>1069.79</v>
      </c>
      <c r="BZ13" cm="1">
        <f t="array" ref="BZ13">_xll.EQNXTDZ($A$1,$B13,BZ$1)</f>
        <v>1108</v>
      </c>
      <c r="CA13" cm="1">
        <f t="array" ref="CA13">_xll.EQNXTDZ($A$1,$B13,CA$1)</f>
        <v>1057.2</v>
      </c>
      <c r="CB13" cm="1">
        <f t="array" ref="CB13">_xll.EQNXTDZ($A$1,$B13,CB$1)</f>
        <v>1049.57</v>
      </c>
      <c r="CC13" cm="1">
        <f t="array" ref="CC13">_xll.EQNXTDZ($A$1,$B13,CC$1)</f>
        <v>1064</v>
      </c>
      <c r="CD13" cm="1">
        <f t="array" ref="CD13">_xll.EQNXTDZ($A$1,$B13,CD$1)</f>
        <v>1138</v>
      </c>
      <c r="CE13" cm="1">
        <f t="array" ref="CE13">_xll.EQNXTDZ($A$1,$B13,CE$1)</f>
        <v>1054.2</v>
      </c>
      <c r="CF13" cm="1">
        <f t="array" ref="CF13">_xll.EQNXTDZ($A$1,$B13,CF$1)</f>
        <v>1075.5</v>
      </c>
      <c r="CG13" cm="1">
        <f t="array" ref="CG13">_xll.EQNXTDZ($A$1,$B13,CG$1)</f>
        <v>1102.74</v>
      </c>
      <c r="CH13" cm="1">
        <f t="array" ref="CH13">_xll.EQNXTDZ($A$1,$B13,CH$1)</f>
        <v>1099</v>
      </c>
      <c r="CI13" cm="1">
        <f t="array" ref="CI13">_xll.EQNXTDZ($A$1,$B13,CI$1)</f>
        <v>1035.96</v>
      </c>
      <c r="CJ13" cm="1">
        <f t="array" ref="CJ13">_xll.EQNXTDZ($A$1,$B13,CJ$1)</f>
        <v>975</v>
      </c>
      <c r="CK13" cm="1">
        <f t="array" ref="CK13">_xll.EQNXTDZ($A$1,$B13,CK$1)</f>
        <v>829.4</v>
      </c>
      <c r="CL13" cm="1">
        <f t="array" ref="CL13">_xll.EQNXTDZ($A$1,$B13,CL$1)</f>
        <v>803</v>
      </c>
      <c r="CM13" cm="1">
        <f t="array" ref="CM13">_xll.EQNXTDZ($A$1,$B13,CM$1)</f>
        <v>875.97</v>
      </c>
      <c r="CN13" cm="1">
        <f t="array" ref="CN13">_xll.EQNXTDZ($A$1,$B13,CN$1)</f>
        <v>859.4</v>
      </c>
      <c r="CO13" cm="1">
        <f t="array" ref="CO13">_xll.EQNXTDZ($A$1,$B13,CO$1)</f>
        <v>864.85</v>
      </c>
      <c r="CP13" cm="1">
        <f t="array" ref="CP13">_xll.EQNXTDZ($A$1,$B13,CP$1)</f>
        <v>943.5</v>
      </c>
      <c r="CQ13" cm="1">
        <f t="array" ref="CQ13">_xll.EQNXTDZ($A$1,$B13,CQ$1)</f>
        <v>929.2</v>
      </c>
      <c r="CR13" cm="1">
        <f t="array" ref="CR13">_xll.EQNXTDZ($A$1,$B13,CR$1)</f>
        <v>870.8</v>
      </c>
      <c r="CS13" cm="1">
        <f t="array" ref="CS13">_xll.EQNXTDZ($A$1,$B13,CS$1)</f>
        <v>726.24</v>
      </c>
      <c r="CT13" cm="1">
        <f t="array" ref="CT13">_xll.EQNXTDZ($A$1,$B13,CT$1)</f>
        <v>689.15</v>
      </c>
      <c r="CU13" cm="1">
        <f t="array" ref="CU13">_xll.EQNXTDZ($A$1,$B13,CU$1)</f>
        <v>652.55999999999995</v>
      </c>
      <c r="CV13" cm="1">
        <f t="array" ref="CV13">_xll.EQNXTDZ($A$1,$B13,CV$1)</f>
        <v>717.41</v>
      </c>
      <c r="CW13" cm="1">
        <f t="array" ref="CW13">_xll.EQNXTDZ($A$1,$B13,CW$1)</f>
        <v>725.5</v>
      </c>
      <c r="CX13" cm="1">
        <f t="array" ref="CX13">_xll.EQNXTDZ($A$1,$B13,CX$1)</f>
        <v>799.19</v>
      </c>
      <c r="CY13" cm="1">
        <f t="array" ref="CY13">_xll.EQNXTDZ($A$1,$B13,CY$1)</f>
        <v>719.99</v>
      </c>
      <c r="CZ13" cm="1">
        <f t="array" ref="CZ13">_xll.EQNXTDZ($A$1,$B13,CZ$1)</f>
        <v>762.44</v>
      </c>
      <c r="DA13" cm="1">
        <f t="array" ref="DA13">_xll.EQNXTDZ($A$1,$B13,DA$1)</f>
        <v>800.68</v>
      </c>
      <c r="DB13" cm="1">
        <f t="array" ref="DB13">_xll.EQNXTDZ($A$1,$B13,DB$1)</f>
        <v>924</v>
      </c>
      <c r="DC13" cm="1">
        <f t="array" ref="DC13">_xll.EQNXTDZ($A$1,$B13,DC$1)</f>
        <v>858.6</v>
      </c>
      <c r="DD13" cm="1">
        <f t="array" ref="DD13">_xll.EQNXTDZ($A$1,$B13,DD$1)</f>
        <v>1036</v>
      </c>
      <c r="DE13" cm="1">
        <f t="array" ref="DE13">_xll.EQNXTDZ($A$1,$B13,DE$1)</f>
        <v>1086</v>
      </c>
      <c r="DF13" cm="1">
        <f t="array" ref="DF13">_xll.EQNXTDZ($A$1,$B13,DF$1)</f>
        <v>1045.54</v>
      </c>
      <c r="DG13" cm="1">
        <f t="array" ref="DG13">_xll.EQNXTDZ($A$1,$B13,DG$1)</f>
        <v>1046</v>
      </c>
      <c r="DH13" cm="1">
        <f t="array" ref="DH13">_xll.EQNXTDZ($A$1,$B13,DH$1)</f>
        <v>1126.6600000000001</v>
      </c>
      <c r="DI13" cm="1">
        <f t="array" ref="DI13">_xll.EQNXTDZ($A$1,$B13,DI$1)</f>
        <v>1377</v>
      </c>
      <c r="DJ13" cm="1">
        <f t="array" ref="DJ13">_xll.EQNXTDZ($A$1,$B13,DJ$1)</f>
        <v>1456.64</v>
      </c>
      <c r="DK13" cm="1">
        <f t="array" ref="DK13">_xll.EQNXTDZ($A$1,$B13,DK$1)</f>
        <v>1530</v>
      </c>
      <c r="DL13" cm="1">
        <f t="array" ref="DL13">_xll.EQNXTDZ($A$1,$B13,DL$1)</f>
        <v>1489.8</v>
      </c>
      <c r="DM13" cm="1">
        <f t="array" ref="DM13">_xll.EQNXTDZ($A$1,$B13,DM$1)</f>
        <v>1569.42</v>
      </c>
      <c r="DN13" cm="1">
        <f t="array" ref="DN13">_xll.EQNXTDZ($A$1,$B13,DN$1)</f>
        <v>1759.6</v>
      </c>
      <c r="DO13" cm="1">
        <f t="array" ref="DO13">_xll.EQNXTDZ($A$1,$B13,DO$1)</f>
        <v>1799.93</v>
      </c>
      <c r="DP13" cm="1">
        <f t="array" ref="DP13">_xll.EQNXTDZ($A$1,$B13,DP$1)</f>
        <v>1830</v>
      </c>
      <c r="DQ13" cm="1">
        <f t="array" ref="DQ13">_xll.EQNXTDZ($A$1,$B13,DQ$1)</f>
        <v>1963.45</v>
      </c>
      <c r="DR13" cm="1">
        <f t="array" ref="DR13">_xll.EQNXTDZ($A$1,$B13,DR$1)</f>
        <v>2299.5</v>
      </c>
      <c r="DS13" cm="1">
        <f t="array" ref="DS13">_xll.EQNXTDZ($A$1,$B13,DS$1)</f>
        <v>2291</v>
      </c>
      <c r="DT13" cm="1">
        <f t="array" ref="DT13">_xll.EQNXTDZ($A$1,$B13,DT$1)</f>
        <v>2274.6</v>
      </c>
      <c r="DU13" cm="1">
        <f t="array" ref="DU13">_xll.EQNXTDZ($A$1,$B13,DU$1)</f>
        <v>2838</v>
      </c>
      <c r="DV13" cm="1">
        <f t="array" ref="DV13">_xll.EQNXTDZ($A$1,$B13,DV$1)</f>
        <v>3030</v>
      </c>
      <c r="DW13" cm="1">
        <f t="array" ref="DW13">_xll.EQNXTDZ($A$1,$B13,DW$1)</f>
        <v>3170.05</v>
      </c>
      <c r="DX13" cm="1">
        <f t="array" ref="DX13">_xll.EQNXTDZ($A$1,$B13,DX$1)</f>
        <v>2750</v>
      </c>
      <c r="DY13" cm="1">
        <f t="array" ref="DY13">_xll.EQNXTDZ($A$1,$B13,DY$1)</f>
        <v>2680.9</v>
      </c>
      <c r="DZ13" cm="1">
        <f t="array" ref="DZ13">_xll.EQNXTDZ($A$1,$B13,DZ$1)</f>
        <v>2729.95</v>
      </c>
      <c r="EA13" cm="1">
        <f t="array" ref="EA13">_xll.EQNXTDZ($A$1,$B13,EA$1)</f>
        <v>2681.9</v>
      </c>
      <c r="EB13" cm="1">
        <f t="array" ref="EB13">_xll.EQNXTDZ($A$1,$B13,EB$1)</f>
        <v>2978.5</v>
      </c>
      <c r="EC13" cm="1">
        <f t="array" ref="EC13">_xll.EQNXTDZ($A$1,$B13,EC$1)</f>
        <v>2895.85</v>
      </c>
      <c r="ED13" cm="1">
        <f t="array" ref="ED13">_xll.EQNXTDZ($A$1,$B13,ED$1)</f>
        <v>2779.05</v>
      </c>
      <c r="EE13" cm="1">
        <f t="array" ref="EE13">_xll.EQNXTDZ($A$1,$B13,EE$1)</f>
        <v>2962.35</v>
      </c>
      <c r="EF13" cm="1">
        <f t="array" ref="EF13">_xll.EQNXTDZ($A$1,$B13,EF$1)</f>
        <v>3103.05</v>
      </c>
      <c r="EG13" cm="1">
        <f t="array" ref="EG13">_xll.EQNXTDZ($A$1,$B13,EG$1)</f>
        <v>3125</v>
      </c>
      <c r="EH13" cm="1">
        <f t="array" ref="EH13">_xll.EQNXTDZ($A$1,$B13,EH$1)</f>
        <v>3109.95</v>
      </c>
      <c r="EI13" cm="1">
        <f t="array" ref="EI13">_xll.EQNXTDZ($A$1,$B13,EI$1)</f>
        <v>3335.7</v>
      </c>
      <c r="EJ13" cm="1">
        <f t="array" ref="EJ13">_xll.EQNXTDZ($A$1,$B13,EJ$1)</f>
        <v>2805</v>
      </c>
      <c r="EK13" cm="1">
        <f t="array" ref="EK13">_xll.EQNXTDZ($A$1,$B13,EK$1)</f>
        <v>2836</v>
      </c>
      <c r="EL13" cm="1">
        <f t="array" ref="EL13">_xll.EQNXTDZ($A$1,$B13,EL$1)</f>
        <v>3180.05</v>
      </c>
      <c r="EM13" cm="1">
        <f t="array" ref="EM13">_xll.EQNXTDZ($A$1,$B13,EM$1)</f>
        <v>3100.05</v>
      </c>
      <c r="EN13" cm="1">
        <f t="array" ref="EN13">_xll.EQNXTDZ($A$1,$B13,EN$1)</f>
        <v>2898.05</v>
      </c>
      <c r="EO13" cm="1">
        <f t="array" ref="EO13">_xll.EQNXTDZ($A$1,$B13,EO$1)</f>
        <v>2840</v>
      </c>
      <c r="EP13" cm="1">
        <f t="array" ref="EP13">_xll.EQNXTDZ($A$1,$B13,EP$1)</f>
        <v>3686.85</v>
      </c>
      <c r="EQ13" cm="1">
        <f t="array" ref="EQ13">_xll.EQNXTDZ($A$1,$B13,EQ$1)</f>
        <v>4414.8999999999996</v>
      </c>
      <c r="ER13" cm="1">
        <f t="array" ref="ER13">_xll.EQNXTDZ($A$1,$B13,ER$1)</f>
        <v>4794.8999999999996</v>
      </c>
      <c r="ES13" cm="1">
        <f t="array" ref="ES13">_xll.EQNXTDZ($A$1,$B13,ES$1)</f>
        <v>4267.75</v>
      </c>
      <c r="ET13" cm="1">
        <f t="array" ref="ET13">_xll.EQNXTDZ($A$1,$B13,ET$1)</f>
        <v>3987.95</v>
      </c>
      <c r="EU13" cm="1">
        <f t="array" ref="EU13">_xll.EQNXTDZ($A$1,$B13,EU$1)</f>
        <v>3900</v>
      </c>
      <c r="EV13" cm="1">
        <f t="array" ref="EV13">_xll.EQNXTDZ($A$1,$B13,EV$1)</f>
        <v>3440.5</v>
      </c>
      <c r="EW13" cm="1">
        <f t="array" ref="EW13">_xll.EQNXTDZ($A$1,$B13,EW$1)</f>
        <v>3578.3</v>
      </c>
      <c r="EX13" cm="1">
        <f t="array" ref="EX13">_xll.EQNXTDZ($A$1,$B13,EX$1)</f>
        <v>3413</v>
      </c>
      <c r="EY13" cm="1">
        <f t="array" ref="EY13">_xll.EQNXTDZ($A$1,$B13,EY$1)</f>
        <v>3484.1</v>
      </c>
      <c r="EZ13" cm="1">
        <f t="array" ref="EZ13">_xll.EQNXTDZ($A$1,$B13,EZ$1)</f>
        <v>3060.55</v>
      </c>
      <c r="FA13" cm="1">
        <f t="array" ref="FA13">_xll.EQNXTDZ($A$1,$B13,FA$1)</f>
        <v>3323</v>
      </c>
      <c r="FB13" cm="1">
        <f t="array" ref="FB13">_xll.EQNXTDZ($A$1,$B13,FB$1)</f>
        <v>3473.45</v>
      </c>
      <c r="FC13" cm="1">
        <f t="array" ref="FC13">_xll.EQNXTDZ($A$1,$B13,FC$1)</f>
        <v>4209.95</v>
      </c>
      <c r="FD13" cm="1">
        <f t="array" ref="FD13">_xll.EQNXTDZ($A$1,$B13,FD$1)</f>
        <v>4008.2</v>
      </c>
      <c r="FE13" cm="1">
        <f t="array" ref="FE13">_xll.EQNXTDZ($A$1,$B13,FE$1)</f>
        <v>4094.05</v>
      </c>
      <c r="FF13" cm="1">
        <f t="array" ref="FF13">_xll.EQNXTDZ($A$1,$B13,FF$1)</f>
        <v>3871.35</v>
      </c>
      <c r="FG13" cm="1">
        <f t="array" ref="FG13">_xll.EQNXTDZ($A$1,$B13,FG$1)</f>
        <v>4209.5</v>
      </c>
      <c r="FH13" cm="1">
        <f t="array" ref="FH13">_xll.EQNXTDZ($A$1,$B13,FH$1)</f>
        <v>4163.1000000000004</v>
      </c>
      <c r="FI13" cm="1">
        <f t="array" ref="FI13">_xll.EQNXTDZ($A$1,$B13,FI$1)</f>
        <v>3920</v>
      </c>
      <c r="FJ13" cm="1">
        <f t="array" ref="FJ13">_xll.EQNXTDZ($A$1,$B13,FJ$1)</f>
        <v>3833.65</v>
      </c>
      <c r="FK13" cm="1">
        <f t="array" ref="FK13">_xll.EQNXTDZ($A$1,$B13,FK$1)</f>
        <v>3625</v>
      </c>
      <c r="FL13" cm="1">
        <f t="array" ref="FL13">_xll.EQNXTDZ($A$1,$B13,FL$1)</f>
        <v>4101.45</v>
      </c>
      <c r="FM13" cm="1">
        <f t="array" ref="FM13">_xll.EQNXTDZ($A$1,$B13,FM$1)</f>
        <v>3900</v>
      </c>
      <c r="FN13" cm="1">
        <f t="array" ref="FN13">_xll.EQNXTDZ($A$1,$B13,FN$1)</f>
        <v>4223</v>
      </c>
      <c r="FO13" cm="1">
        <f t="array" ref="FO13">_xll.EQNXTDZ($A$1,$B13,FO$1)</f>
        <v>4100.3500000000004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350</v>
      </c>
      <c r="D14" s="115" cm="1">
        <f t="array" ref="D14">_xll.EQNXTDZ($A$1,$B14,D$1)</f>
        <v>311.79000000000002</v>
      </c>
      <c r="E14" s="115" cm="1">
        <f t="array" ref="E14">_xll.EQNXTDZ($A$1,$B14,E$1)</f>
        <v>326</v>
      </c>
      <c r="F14" s="115" cm="1">
        <f t="array" ref="F14">_xll.EQNXTDZ($A$1,$B14,F$1)</f>
        <v>360</v>
      </c>
      <c r="G14" s="115" cm="1">
        <f t="array" ref="G14">_xll.EQNXTDZ($A$1,$B14,G$1)</f>
        <v>365.37</v>
      </c>
      <c r="H14" s="115" cm="1">
        <f t="array" ref="H14">_xll.EQNXTDZ($A$1,$B14,H$1)</f>
        <v>353.93</v>
      </c>
      <c r="I14" s="115" cm="1">
        <f t="array" ref="I14">_xll.EQNXTDZ($A$1,$B14,I$1)</f>
        <v>353.69</v>
      </c>
      <c r="J14" s="115" cm="1">
        <f t="array" ref="J14">_xll.EQNXTDZ($A$1,$B14,J$1)</f>
        <v>340</v>
      </c>
      <c r="K14" s="115" cm="1">
        <f t="array" ref="K14">_xll.EQNXTDZ($A$1,$B14,K$1)</f>
        <v>331.8</v>
      </c>
      <c r="L14" s="115" cm="1">
        <f t="array" ref="L14">_xll.EQNXTDZ($A$1,$B14,L$1)</f>
        <v>314</v>
      </c>
      <c r="M14" s="115" cm="1">
        <f t="array" ref="M14">_xll.EQNXTDZ($A$1,$B14,M$1)</f>
        <v>308</v>
      </c>
      <c r="N14" s="115" cm="1">
        <f t="array" ref="N14">_xll.EQNXTDZ($A$1,$B14,N$1)</f>
        <v>297.99</v>
      </c>
      <c r="O14" s="115" cm="1">
        <f t="array" ref="O14">_xll.EQNXTDZ($A$1,$B14,O$1)</f>
        <v>294</v>
      </c>
      <c r="P14" s="115" cm="1">
        <f t="array" ref="P14">_xll.EQNXTDZ($A$1,$B14,P$1)</f>
        <v>293.8</v>
      </c>
      <c r="Q14" s="115" cm="1">
        <f t="array" ref="Q14">_xll.EQNXTDZ($A$1,$B14,Q$1)</f>
        <v>260</v>
      </c>
      <c r="R14" s="115" cm="1">
        <f t="array" ref="R14">_xll.EQNXTDZ($A$1,$B14,R$1)</f>
        <v>262.98</v>
      </c>
      <c r="S14" s="115" cm="1">
        <f t="array" ref="S14">_xll.EQNXTDZ($A$1,$B14,S$1)</f>
        <v>272.8</v>
      </c>
      <c r="T14" s="115" cm="1">
        <f t="array" ref="T14">_xll.EQNXTDZ($A$1,$B14,T$1)</f>
        <v>320</v>
      </c>
      <c r="U14" s="115" cm="1">
        <f t="array" ref="U14">_xll.EQNXTDZ($A$1,$B14,U$1)</f>
        <v>329.79</v>
      </c>
      <c r="V14" s="115" cm="1">
        <f t="array" ref="V14">_xll.EQNXTDZ($A$1,$B14,V$1)</f>
        <v>335.8</v>
      </c>
      <c r="W14" s="115" cm="1">
        <f t="array" ref="W14">_xll.EQNXTDZ($A$1,$B14,W$1)</f>
        <v>349.8</v>
      </c>
      <c r="X14" s="115" cm="1">
        <f t="array" ref="X14">_xll.EQNXTDZ($A$1,$B14,X$1)</f>
        <v>383</v>
      </c>
      <c r="Y14" s="115" cm="1">
        <f t="array" ref="Y14">_xll.EQNXTDZ($A$1,$B14,Y$1)</f>
        <v>429.64</v>
      </c>
      <c r="Z14" s="115" cm="1">
        <f t="array" ref="Z14">_xll.EQNXTDZ($A$1,$B14,Z$1)</f>
        <v>480</v>
      </c>
      <c r="AA14" s="115" cm="1">
        <f t="array" ref="AA14">_xll.EQNXTDZ($A$1,$B14,AA$1)</f>
        <v>522</v>
      </c>
      <c r="AB14" s="115" cm="1">
        <f t="array" ref="AB14">_xll.EQNXTDZ($A$1,$B14,AB$1)</f>
        <v>565</v>
      </c>
      <c r="AC14" s="115" cm="1">
        <f t="array" ref="AC14">_xll.EQNXTDZ($A$1,$B14,AC$1)</f>
        <v>599.97</v>
      </c>
      <c r="AD14" s="115" cm="1">
        <f t="array" ref="AD14">_xll.EQNXTDZ($A$1,$B14,AD$1)</f>
        <v>607.84</v>
      </c>
      <c r="AE14" s="115" cm="1">
        <f t="array" ref="AE14">_xll.EQNXTDZ($A$1,$B14,AE$1)</f>
        <v>630</v>
      </c>
      <c r="AF14" s="115" cm="1">
        <f t="array" ref="AF14">_xll.EQNXTDZ($A$1,$B14,AF$1)</f>
        <v>680.4</v>
      </c>
      <c r="AG14" s="115" cm="1">
        <f t="array" ref="AG14">_xll.EQNXTDZ($A$1,$B14,AG$1)</f>
        <v>765</v>
      </c>
      <c r="AH14" s="115" cm="1">
        <f t="array" ref="AH14">_xll.EQNXTDZ($A$1,$B14,AH$1)</f>
        <v>790</v>
      </c>
      <c r="AI14" s="115" cm="1">
        <f t="array" ref="AI14">_xll.EQNXTDZ($A$1,$B14,AI$1)</f>
        <v>830.01</v>
      </c>
      <c r="AJ14" s="115" cm="1">
        <f t="array" ref="AJ14">_xll.EQNXTDZ($A$1,$B14,AJ$1)</f>
        <v>886.21</v>
      </c>
      <c r="AK14" s="115" cm="1">
        <f t="array" ref="AK14">_xll.EQNXTDZ($A$1,$B14,AK$1)</f>
        <v>916</v>
      </c>
      <c r="AL14" s="115" cm="1">
        <f t="array" ref="AL14">_xll.EQNXTDZ($A$1,$B14,AL$1)</f>
        <v>872.27</v>
      </c>
      <c r="AM14" s="115" cm="1">
        <f t="array" ref="AM14">_xll.EQNXTDZ($A$1,$B14,AM$1)</f>
        <v>839.79</v>
      </c>
      <c r="AN14" s="115" cm="1">
        <f t="array" ref="AN14">_xll.EQNXTDZ($A$1,$B14,AN$1)</f>
        <v>960</v>
      </c>
      <c r="AO14" s="115" cm="1">
        <f t="array" ref="AO14">_xll.EQNXTDZ($A$1,$B14,AO$1)</f>
        <v>978</v>
      </c>
      <c r="AP14" s="115" cm="1">
        <f t="array" ref="AP14">_xll.EQNXTDZ($A$1,$B14,AP$1)</f>
        <v>890</v>
      </c>
      <c r="AQ14" s="115" cm="1">
        <f t="array" ref="AQ14">_xll.EQNXTDZ($A$1,$B14,AQ$1)</f>
        <v>868.76</v>
      </c>
      <c r="AR14" s="115" cm="1">
        <f t="array" ref="AR14">_xll.EQNXTDZ($A$1,$B14,AR$1)</f>
        <v>832.8</v>
      </c>
      <c r="AS14" s="115" cm="1">
        <f t="array" ref="AS14">_xll.EQNXTDZ($A$1,$B14,AS$1)</f>
        <v>879.99</v>
      </c>
      <c r="AT14" s="115" cm="1">
        <f t="array" ref="AT14">_xll.EQNXTDZ($A$1,$B14,AT$1)</f>
        <v>887.6</v>
      </c>
      <c r="AU14" s="115" cm="1">
        <f t="array" ref="AU14">_xll.EQNXTDZ($A$1,$B14,AU$1)</f>
        <v>819.54</v>
      </c>
      <c r="AV14" s="115" cm="1">
        <f t="array" ref="AV14">_xll.EQNXTDZ($A$1,$B14,AV$1)</f>
        <v>791.2</v>
      </c>
      <c r="AW14" s="115" cm="1">
        <f t="array" ref="AW14">_xll.EQNXTDZ($A$1,$B14,AW$1)</f>
        <v>862.97</v>
      </c>
      <c r="AX14" s="115" cm="1">
        <f t="array" ref="AX14">_xll.EQNXTDZ($A$1,$B14,AX$1)</f>
        <v>803</v>
      </c>
      <c r="AY14" s="115" cm="1">
        <f t="array" ref="AY14">_xll.EQNXTDZ($A$1,$B14,AY$1)</f>
        <v>848.9</v>
      </c>
      <c r="AZ14" s="115" cm="1">
        <f t="array" ref="AZ14">_xll.EQNXTDZ($A$1,$B14,AZ$1)</f>
        <v>852</v>
      </c>
      <c r="BA14" s="115" cm="1">
        <f t="array" ref="BA14">_xll.EQNXTDZ($A$1,$B14,BA$1)</f>
        <v>824.77</v>
      </c>
      <c r="BB14" s="115" cm="1">
        <f t="array" ref="BB14">_xll.EQNXTDZ($A$1,$B14,BB$1)</f>
        <v>834</v>
      </c>
      <c r="BC14" s="115" cm="1">
        <f t="array" ref="BC14">_xll.EQNXTDZ($A$1,$B14,BC$1)</f>
        <v>897</v>
      </c>
      <c r="BD14" s="115" cm="1">
        <f t="array" ref="BD14">_xll.EQNXTDZ($A$1,$B14,BD$1)</f>
        <v>999.6</v>
      </c>
      <c r="BE14" s="115" cm="1">
        <f t="array" ref="BE14">_xll.EQNXTDZ($A$1,$B14,BE$1)</f>
        <v>819.99</v>
      </c>
      <c r="BF14" s="115" cm="1">
        <f t="array" ref="BF14">_xll.EQNXTDZ($A$1,$B14,BF$1)</f>
        <v>801</v>
      </c>
      <c r="BG14" s="115" cm="1">
        <f t="array" ref="BG14">_xll.EQNXTDZ($A$1,$B14,BG$1)</f>
        <v>867.97</v>
      </c>
      <c r="BH14" s="115" cm="1">
        <f t="array" ref="BH14">_xll.EQNXTDZ($A$1,$B14,BH$1)</f>
        <v>929.2</v>
      </c>
      <c r="BI14" s="115" cm="1">
        <f t="array" ref="BI14">_xll.EQNXTDZ($A$1,$B14,BI$1)</f>
        <v>994.67</v>
      </c>
      <c r="BJ14" s="115" cm="1">
        <f t="array" ref="BJ14">_xll.EQNXTDZ($A$1,$B14,BJ$1)</f>
        <v>985</v>
      </c>
      <c r="BK14" s="115" cm="1">
        <f t="array" ref="BK14">_xll.EQNXTDZ($A$1,$B14,BK$1)</f>
        <v>969.4</v>
      </c>
      <c r="BL14" s="115" cm="1">
        <f t="array" ref="BL14">_xll.EQNXTDZ($A$1,$B14,BL$1)</f>
        <v>1029.8</v>
      </c>
      <c r="BM14" s="115" cm="1">
        <f t="array" ref="BM14">_xll.EQNXTDZ($A$1,$B14,BM$1)</f>
        <v>1023.08</v>
      </c>
      <c r="BN14" s="115" cm="1">
        <f t="array" ref="BN14">_xll.EQNXTDZ($A$1,$B14,BN$1)</f>
        <v>1029</v>
      </c>
      <c r="BO14" s="115" cm="1">
        <f t="array" ref="BO14">_xll.EQNXTDZ($A$1,$B14,BO$1)</f>
        <v>1050</v>
      </c>
      <c r="BP14" s="115" cm="1">
        <f t="array" ref="BP14">_xll.EQNXTDZ($A$1,$B14,BP$1)</f>
        <v>1062.33</v>
      </c>
      <c r="BQ14" s="115" cm="1">
        <f t="array" ref="BQ14">_xll.EQNXTDZ($A$1,$B14,BQ$1)</f>
        <v>1192</v>
      </c>
      <c r="BR14" s="115" cm="1">
        <f t="array" ref="BR14">_xll.EQNXTDZ($A$1,$B14,BR$1)</f>
        <v>1183.4100000000001</v>
      </c>
      <c r="BS14" s="115" cm="1">
        <f t="array" ref="BS14">_xll.EQNXTDZ($A$1,$B14,BS$1)</f>
        <v>1139.99</v>
      </c>
      <c r="BT14" s="115" cm="1">
        <f t="array" ref="BT14">_xll.EQNXTDZ($A$1,$B14,BT$1)</f>
        <v>1149.4000000000001</v>
      </c>
      <c r="BU14" s="115" cm="1">
        <f t="array" ref="BU14">_xll.EQNXTDZ($A$1,$B14,BU$1)</f>
        <v>1114</v>
      </c>
      <c r="BV14" s="115" cm="1">
        <f t="array" ref="BV14">_xll.EQNXTDZ($A$1,$B14,BV$1)</f>
        <v>1108.99</v>
      </c>
      <c r="BW14" s="115" cm="1">
        <f t="array" ref="BW14">_xll.EQNXTDZ($A$1,$B14,BW$1)</f>
        <v>1130</v>
      </c>
      <c r="BX14" s="115" cm="1">
        <f t="array" ref="BX14">_xll.EQNXTDZ($A$1,$B14,BX$1)</f>
        <v>1139.99</v>
      </c>
      <c r="BY14" s="115" cm="1">
        <f t="array" ref="BY14">_xll.EQNXTDZ($A$1,$B14,BY$1)</f>
        <v>1110</v>
      </c>
      <c r="BZ14" s="115" cm="1">
        <f t="array" ref="BZ14">_xll.EQNXTDZ($A$1,$B14,BZ$1)</f>
        <v>1159.99</v>
      </c>
      <c r="CA14" s="115" cm="1">
        <f t="array" ref="CA14">_xll.EQNXTDZ($A$1,$B14,CA$1)</f>
        <v>1079.99</v>
      </c>
      <c r="CB14" s="115" cm="1">
        <f t="array" ref="CB14">_xll.EQNXTDZ($A$1,$B14,CB$1)</f>
        <v>1138.27</v>
      </c>
      <c r="CC14" s="115" cm="1">
        <f t="array" ref="CC14">_xll.EQNXTDZ($A$1,$B14,CC$1)</f>
        <v>1144.8399999999999</v>
      </c>
      <c r="CD14" s="115" cm="1">
        <f t="array" ref="CD14">_xll.EQNXTDZ($A$1,$B14,CD$1)</f>
        <v>1167.26</v>
      </c>
      <c r="CE14" s="115" cm="1">
        <f t="array" ref="CE14">_xll.EQNXTDZ($A$1,$B14,CE$1)</f>
        <v>1136</v>
      </c>
      <c r="CF14" s="115" cm="1">
        <f t="array" ref="CF14">_xll.EQNXTDZ($A$1,$B14,CF$1)</f>
        <v>1138.9000000000001</v>
      </c>
      <c r="CG14" s="115" cm="1">
        <f t="array" ref="CG14">_xll.EQNXTDZ($A$1,$B14,CG$1)</f>
        <v>1139.99</v>
      </c>
      <c r="CH14" s="115" cm="1">
        <f t="array" ref="CH14">_xll.EQNXTDZ($A$1,$B14,CH$1)</f>
        <v>1099</v>
      </c>
      <c r="CI14" s="115" cm="1">
        <f t="array" ref="CI14">_xll.EQNXTDZ($A$1,$B14,CI$1)</f>
        <v>1051</v>
      </c>
      <c r="CJ14" s="115" cm="1">
        <f t="array" ref="CJ14">_xll.EQNXTDZ($A$1,$B14,CJ$1)</f>
        <v>980</v>
      </c>
      <c r="CK14" s="115" cm="1">
        <f t="array" ref="CK14">_xll.EQNXTDZ($A$1,$B14,CK$1)</f>
        <v>884.78</v>
      </c>
      <c r="CL14" s="115" cm="1">
        <f t="array" ref="CL14">_xll.EQNXTDZ($A$1,$B14,CL$1)</f>
        <v>877.6</v>
      </c>
      <c r="CM14" s="115" cm="1">
        <f t="array" ref="CM14">_xll.EQNXTDZ($A$1,$B14,CM$1)</f>
        <v>877.6</v>
      </c>
      <c r="CN14" s="115" cm="1">
        <f t="array" ref="CN14">_xll.EQNXTDZ($A$1,$B14,CN$1)</f>
        <v>914.8</v>
      </c>
      <c r="CO14" s="115" cm="1">
        <f t="array" ref="CO14">_xll.EQNXTDZ($A$1,$B14,CO$1)</f>
        <v>950</v>
      </c>
      <c r="CP14" s="115" cm="1">
        <f t="array" ref="CP14">_xll.EQNXTDZ($A$1,$B14,CP$1)</f>
        <v>950.32</v>
      </c>
      <c r="CQ14" s="115" cm="1">
        <f t="array" ref="CQ14">_xll.EQNXTDZ($A$1,$B14,CQ$1)</f>
        <v>990</v>
      </c>
      <c r="CR14" s="115" cm="1">
        <f t="array" ref="CR14">_xll.EQNXTDZ($A$1,$B14,CR$1)</f>
        <v>979.2</v>
      </c>
      <c r="CS14" s="115" cm="1">
        <f t="array" ref="CS14">_xll.EQNXTDZ($A$1,$B14,CS$1)</f>
        <v>741</v>
      </c>
      <c r="CT14" s="115" cm="1">
        <f t="array" ref="CT14">_xll.EQNXTDZ($A$1,$B14,CT$1)</f>
        <v>689.15</v>
      </c>
      <c r="CU14" s="115" cm="1">
        <f t="array" ref="CU14">_xll.EQNXTDZ($A$1,$B14,CU$1)</f>
        <v>752</v>
      </c>
      <c r="CV14" s="115" cm="1">
        <f t="array" ref="CV14">_xll.EQNXTDZ($A$1,$B14,CV$1)</f>
        <v>754.21</v>
      </c>
      <c r="CW14" s="115" cm="1">
        <f t="array" ref="CW14">_xll.EQNXTDZ($A$1,$B14,CW$1)</f>
        <v>851</v>
      </c>
      <c r="CX14" s="115" cm="1">
        <f t="array" ref="CX14">_xll.EQNXTDZ($A$1,$B14,CX$1)</f>
        <v>846</v>
      </c>
      <c r="CY14" s="115" cm="1">
        <f t="array" ref="CY14">_xll.EQNXTDZ($A$1,$B14,CY$1)</f>
        <v>781</v>
      </c>
      <c r="CZ14" s="115" cm="1">
        <f t="array" ref="CZ14">_xll.EQNXTDZ($A$1,$B14,CZ$1)</f>
        <v>808.49</v>
      </c>
      <c r="DA14" s="115" cm="1">
        <f t="array" ref="DA14">_xll.EQNXTDZ($A$1,$B14,DA$1)</f>
        <v>949.31</v>
      </c>
      <c r="DB14" s="115" cm="1">
        <f t="array" ref="DB14">_xll.EQNXTDZ($A$1,$B14,DB$1)</f>
        <v>994</v>
      </c>
      <c r="DC14" s="115" cm="1">
        <f t="array" ref="DC14">_xll.EQNXTDZ($A$1,$B14,DC$1)</f>
        <v>1053.04</v>
      </c>
      <c r="DD14" s="115" cm="1">
        <f t="array" ref="DD14">_xll.EQNXTDZ($A$1,$B14,DD$1)</f>
        <v>1099.99</v>
      </c>
      <c r="DE14" s="115" cm="1">
        <f t="array" ref="DE14">_xll.EQNXTDZ($A$1,$B14,DE$1)</f>
        <v>1110</v>
      </c>
      <c r="DF14" s="115" cm="1">
        <f t="array" ref="DF14">_xll.EQNXTDZ($A$1,$B14,DF$1)</f>
        <v>1063</v>
      </c>
      <c r="DG14" s="115" cm="1">
        <f t="array" ref="DG14">_xll.EQNXTDZ($A$1,$B14,DG$1)</f>
        <v>1149</v>
      </c>
      <c r="DH14" s="115" cm="1">
        <f t="array" ref="DH14">_xll.EQNXTDZ($A$1,$B14,DH$1)</f>
        <v>1430.08</v>
      </c>
      <c r="DI14" s="115" cm="1">
        <f t="array" ref="DI14">_xll.EQNXTDZ($A$1,$B14,DI$1)</f>
        <v>1480</v>
      </c>
      <c r="DJ14" s="115" cm="1">
        <f t="array" ref="DJ14">_xll.EQNXTDZ($A$1,$B14,DJ$1)</f>
        <v>1536.76</v>
      </c>
      <c r="DK14" s="115" cm="1">
        <f t="array" ref="DK14">_xll.EQNXTDZ($A$1,$B14,DK$1)</f>
        <v>1675.44</v>
      </c>
      <c r="DL14" s="115" cm="1">
        <f t="array" ref="DL14">_xll.EQNXTDZ($A$1,$B14,DL$1)</f>
        <v>1640.8</v>
      </c>
      <c r="DM14" s="115" cm="1">
        <f t="array" ref="DM14">_xll.EQNXTDZ($A$1,$B14,DM$1)</f>
        <v>1773.99</v>
      </c>
      <c r="DN14" s="115" cm="1">
        <f t="array" ref="DN14">_xll.EQNXTDZ($A$1,$B14,DN$1)</f>
        <v>1928.01</v>
      </c>
      <c r="DO14" s="115" cm="1">
        <f t="array" ref="DO14">_xll.EQNXTDZ($A$1,$B14,DO$1)</f>
        <v>1901.95</v>
      </c>
      <c r="DP14" s="115" cm="1">
        <f t="array" ref="DP14">_xll.EQNXTDZ($A$1,$B14,DP$1)</f>
        <v>1965.4</v>
      </c>
      <c r="DQ14" s="115" cm="1">
        <f t="array" ref="DQ14">_xll.EQNXTDZ($A$1,$B14,DQ$1)</f>
        <v>2437.0500000000002</v>
      </c>
      <c r="DR14" s="115" cm="1">
        <f t="array" ref="DR14">_xll.EQNXTDZ($A$1,$B14,DR$1)</f>
        <v>2489.4</v>
      </c>
      <c r="DS14" s="115" cm="1">
        <f t="array" ref="DS14">_xll.EQNXTDZ($A$1,$B14,DS$1)</f>
        <v>2435.75</v>
      </c>
      <c r="DT14" s="115" cm="1">
        <f t="array" ref="DT14">_xll.EQNXTDZ($A$1,$B14,DT$1)</f>
        <v>2859.45</v>
      </c>
      <c r="DU14" s="115" cm="1">
        <f t="array" ref="DU14">_xll.EQNXTDZ($A$1,$B14,DU$1)</f>
        <v>3088.8</v>
      </c>
      <c r="DV14" s="115" cm="1">
        <f t="array" ref="DV14">_xll.EQNXTDZ($A$1,$B14,DV$1)</f>
        <v>3968.75</v>
      </c>
      <c r="DW14" s="115" cm="1">
        <f t="array" ref="DW14">_xll.EQNXTDZ($A$1,$B14,DW$1)</f>
        <v>3420</v>
      </c>
      <c r="DX14" s="115" cm="1">
        <f t="array" ref="DX14">_xll.EQNXTDZ($A$1,$B14,DX$1)</f>
        <v>3123.55</v>
      </c>
      <c r="DY14" s="115" cm="1">
        <f t="array" ref="DY14">_xll.EQNXTDZ($A$1,$B14,DY$1)</f>
        <v>2833.55</v>
      </c>
      <c r="DZ14" s="115" cm="1">
        <f t="array" ref="DZ14">_xll.EQNXTDZ($A$1,$B14,DZ$1)</f>
        <v>2786.5</v>
      </c>
      <c r="EA14" s="115" cm="1">
        <f t="array" ref="EA14">_xll.EQNXTDZ($A$1,$B14,EA$1)</f>
        <v>3039</v>
      </c>
      <c r="EB14" s="115" cm="1">
        <f t="array" ref="EB14">_xll.EQNXTDZ($A$1,$B14,EB$1)</f>
        <v>3135.5</v>
      </c>
      <c r="EC14" s="115" cm="1">
        <f t="array" ref="EC14">_xll.EQNXTDZ($A$1,$B14,EC$1)</f>
        <v>3121.05</v>
      </c>
      <c r="ED14" s="115" cm="1">
        <f t="array" ref="ED14">_xll.EQNXTDZ($A$1,$B14,ED$1)</f>
        <v>2985</v>
      </c>
      <c r="EE14" s="115" cm="1">
        <f t="array" ref="EE14">_xll.EQNXTDZ($A$1,$B14,EE$1)</f>
        <v>3293.5</v>
      </c>
      <c r="EF14" s="115" cm="1">
        <f t="array" ref="EF14">_xll.EQNXTDZ($A$1,$B14,EF$1)</f>
        <v>3249.85</v>
      </c>
      <c r="EG14" s="115" cm="1">
        <f t="array" ref="EG14">_xll.EQNXTDZ($A$1,$B14,EG$1)</f>
        <v>3199.85</v>
      </c>
      <c r="EH14" s="115" cm="1">
        <f t="array" ref="EH14">_xll.EQNXTDZ($A$1,$B14,EH$1)</f>
        <v>3719.2</v>
      </c>
      <c r="EI14" s="115" cm="1">
        <f t="array" ref="EI14">_xll.EQNXTDZ($A$1,$B14,EI$1)</f>
        <v>3335.7</v>
      </c>
      <c r="EJ14" s="115" cm="1">
        <f t="array" ref="EJ14">_xll.EQNXTDZ($A$1,$B14,EJ$1)</f>
        <v>2889.85</v>
      </c>
      <c r="EK14" s="115" cm="1">
        <f t="array" ref="EK14">_xll.EQNXTDZ($A$1,$B14,EK$1)</f>
        <v>3246.75</v>
      </c>
      <c r="EL14" s="115" cm="1">
        <f t="array" ref="EL14">_xll.EQNXTDZ($A$1,$B14,EL$1)</f>
        <v>3433.85</v>
      </c>
      <c r="EM14" s="115" cm="1">
        <f t="array" ref="EM14">_xll.EQNXTDZ($A$1,$B14,EM$1)</f>
        <v>3175.85</v>
      </c>
      <c r="EN14" s="115" cm="1">
        <f t="array" ref="EN14">_xll.EQNXTDZ($A$1,$B14,EN$1)</f>
        <v>2989.9</v>
      </c>
      <c r="EO14" s="115" cm="1">
        <f t="array" ref="EO14">_xll.EQNXTDZ($A$1,$B14,EO$1)</f>
        <v>3876.5</v>
      </c>
      <c r="EP14" s="115" cm="1">
        <f t="array" ref="EP14">_xll.EQNXTDZ($A$1,$B14,EP$1)</f>
        <v>4749.3</v>
      </c>
      <c r="EQ14" s="115" cm="1">
        <f t="array" ref="EQ14">_xll.EQNXTDZ($A$1,$B14,EQ$1)</f>
        <v>4950</v>
      </c>
      <c r="ER14" s="115" cm="1">
        <f t="array" ref="ER14">_xll.EQNXTDZ($A$1,$B14,ER$1)</f>
        <v>4794.8999999999996</v>
      </c>
      <c r="ES14" s="115" cm="1">
        <f t="array" ref="ES14">_xll.EQNXTDZ($A$1,$B14,ES$1)</f>
        <v>4282.05</v>
      </c>
      <c r="ET14" s="115" cm="1">
        <f t="array" ref="ET14">_xll.EQNXTDZ($A$1,$B14,ET$1)</f>
        <v>4045</v>
      </c>
      <c r="EU14" s="115" cm="1">
        <f t="array" ref="EU14">_xll.EQNXTDZ($A$1,$B14,EU$1)</f>
        <v>4079.95</v>
      </c>
      <c r="EV14" s="115" cm="1">
        <f t="array" ref="EV14">_xll.EQNXTDZ($A$1,$B14,EV$1)</f>
        <v>3613.8</v>
      </c>
      <c r="EW14" s="115" cm="1">
        <f t="array" ref="EW14">_xll.EQNXTDZ($A$1,$B14,EW$1)</f>
        <v>3781.95</v>
      </c>
      <c r="EX14" s="115" cm="1">
        <f t="array" ref="EX14">_xll.EQNXTDZ($A$1,$B14,EX$1)</f>
        <v>3548.45</v>
      </c>
      <c r="EY14" s="115" cm="1">
        <f t="array" ref="EY14">_xll.EQNXTDZ($A$1,$B14,EY$1)</f>
        <v>3484.1</v>
      </c>
      <c r="EZ14" s="115" cm="1">
        <f t="array" ref="EZ14">_xll.EQNXTDZ($A$1,$B14,EZ$1)</f>
        <v>3737.3</v>
      </c>
      <c r="FA14" s="115" cm="1">
        <f t="array" ref="FA14">_xll.EQNXTDZ($A$1,$B14,FA$1)</f>
        <v>3564</v>
      </c>
      <c r="FB14" s="115" cm="1">
        <f t="array" ref="FB14">_xll.EQNXTDZ($A$1,$B14,FB$1)</f>
        <v>4267.8500000000004</v>
      </c>
      <c r="FC14" s="115" cm="1">
        <f t="array" ref="FC14">_xll.EQNXTDZ($A$1,$B14,FC$1)</f>
        <v>4360.7</v>
      </c>
      <c r="FD14" s="115" cm="1">
        <f t="array" ref="FD14">_xll.EQNXTDZ($A$1,$B14,FD$1)</f>
        <v>4372.7</v>
      </c>
      <c r="FE14" s="115" cm="1">
        <f t="array" ref="FE14">_xll.EQNXTDZ($A$1,$B14,FE$1)</f>
        <v>4213.5</v>
      </c>
      <c r="FF14" s="115" cm="1">
        <f t="array" ref="FF14">_xll.EQNXTDZ($A$1,$B14,FF$1)</f>
        <v>4268.5</v>
      </c>
      <c r="FG14" s="115" cm="1">
        <f t="array" ref="FG14">_xll.EQNXTDZ($A$1,$B14,FG$1)</f>
        <v>4392.8500000000004</v>
      </c>
      <c r="FH14" s="115" cm="1">
        <f t="array" ref="FH14">_xll.EQNXTDZ($A$1,$B14,FH$1)</f>
        <v>4389.25</v>
      </c>
      <c r="FI14" s="115" cm="1">
        <f t="array" ref="FI14">_xll.EQNXTDZ($A$1,$B14,FI$1)</f>
        <v>3966.85</v>
      </c>
      <c r="FJ14" s="115" cm="1">
        <f t="array" ref="FJ14">_xll.EQNXTDZ($A$1,$B14,FJ$1)</f>
        <v>3910</v>
      </c>
      <c r="FK14" s="115" cm="1">
        <f t="array" ref="FK14">_xll.EQNXTDZ($A$1,$B14,FK$1)</f>
        <v>4438.6499999999996</v>
      </c>
      <c r="FL14" s="115" cm="1">
        <f t="array" ref="FL14">_xll.EQNXTDZ($A$1,$B14,FL$1)</f>
        <v>4465</v>
      </c>
      <c r="FM14" s="115" cm="1">
        <f t="array" ref="FM14">_xll.EQNXTDZ($A$1,$B14,FM$1)</f>
        <v>4444.3999999999996</v>
      </c>
      <c r="FN14" s="115" cm="1">
        <f t="array" ref="FN14">_xll.EQNXTDZ($A$1,$B14,FN$1)</f>
        <v>4292.25</v>
      </c>
      <c r="FO14" s="115" cm="1">
        <f t="array" ref="FO14">_xll.EQNXTDZ($A$1,$B14,FO$1)</f>
        <v>4207.2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360</v>
      </c>
      <c r="HQ14" s="115">
        <f>+MAX(G14:I14)</f>
        <v>365.37</v>
      </c>
      <c r="HR14" s="115">
        <f>+MAX(J14:L14)</f>
        <v>340</v>
      </c>
      <c r="HS14" s="115">
        <f>+MAX(M14:O14)</f>
        <v>308</v>
      </c>
      <c r="HT14" s="115">
        <f>+MAX(P14:R14)</f>
        <v>293.8</v>
      </c>
      <c r="HU14" s="115">
        <f>+MAX(S14:U14)</f>
        <v>329.79</v>
      </c>
      <c r="HV14" s="115">
        <f>+MAX(V14:X14)</f>
        <v>383</v>
      </c>
      <c r="HW14" s="115">
        <f>+MAX(Y14:AA14)</f>
        <v>522</v>
      </c>
      <c r="HX14" s="115">
        <f>+MAX(AB14:AD14)</f>
        <v>607.84</v>
      </c>
      <c r="HY14" s="115">
        <f>+MAX(AE14:AG14)</f>
        <v>765</v>
      </c>
      <c r="HZ14" s="115">
        <f>+MAX(AH14:AJ14)</f>
        <v>886.21</v>
      </c>
      <c r="IA14" s="115">
        <f>+MAX(AK14:AM14)</f>
        <v>916</v>
      </c>
      <c r="IB14" s="115">
        <f>+MAX(AN14:AP14)</f>
        <v>978</v>
      </c>
      <c r="IC14" s="115">
        <f>+MAX(AQ14:AS14)</f>
        <v>879.99</v>
      </c>
      <c r="ID14" s="115">
        <f>+MAX(AT14:AV14)</f>
        <v>887.6</v>
      </c>
      <c r="IE14" s="115">
        <f>+MAX(AW14:AY14)</f>
        <v>862.97</v>
      </c>
      <c r="IF14" s="115">
        <f>+MAX(AZ14:BB14)</f>
        <v>852</v>
      </c>
      <c r="IG14" s="115">
        <f>+MAX(BC14:BE14)</f>
        <v>999.6</v>
      </c>
      <c r="IH14" s="115">
        <f>+MAX(BF14:BH14)</f>
        <v>929.2</v>
      </c>
      <c r="II14" s="115">
        <f>+MAX(BI14:BK14)</f>
        <v>994.67</v>
      </c>
      <c r="IJ14" s="115">
        <f>+MAX(BL14:BN14)</f>
        <v>1029.8</v>
      </c>
      <c r="IK14" s="115">
        <f>+MAX(BO14:BQ14)</f>
        <v>1192</v>
      </c>
      <c r="IL14" s="115">
        <f>+MAX(BR14:BT14)</f>
        <v>1183.4100000000001</v>
      </c>
      <c r="IM14" s="115">
        <f>+MAX(BU14:BW14)</f>
        <v>1130</v>
      </c>
      <c r="IN14" s="115">
        <f>+MAX(BX14:BZ14)</f>
        <v>1159.99</v>
      </c>
      <c r="IO14" s="115">
        <f>+MAX(CA14:CC14)</f>
        <v>1144.8399999999999</v>
      </c>
      <c r="IP14" s="115">
        <f>+MAX(CD14:CF14)</f>
        <v>1167.26</v>
      </c>
      <c r="IQ14" s="115">
        <f>+MAX(CG14:CI14)</f>
        <v>1139.99</v>
      </c>
      <c r="IR14" s="115">
        <f>+MAX(CJ14:CL14)</f>
        <v>980</v>
      </c>
      <c r="IS14" s="115">
        <f>+MAX(CM14:CO14)</f>
        <v>950</v>
      </c>
      <c r="IT14" s="115">
        <f>+MAX(CP14:CR14)</f>
        <v>990</v>
      </c>
      <c r="IU14" s="115">
        <f>+MAX(CS14:CU14)</f>
        <v>752</v>
      </c>
      <c r="IV14" s="115">
        <f>+MAX(CV14:CX14)</f>
        <v>851</v>
      </c>
      <c r="IW14" s="115">
        <f>+MAX(CY14:DA14)</f>
        <v>949.31</v>
      </c>
      <c r="IX14" s="115">
        <f>+MAX(DB14:DD14)</f>
        <v>1099.99</v>
      </c>
      <c r="IY14" s="115">
        <f>+MAX(DE14:DG14)</f>
        <v>1149</v>
      </c>
      <c r="IZ14" s="115">
        <f>+MAX(DH14:DJ14)</f>
        <v>1536.76</v>
      </c>
      <c r="JA14" s="115">
        <f>+MAX(DK14:DM14)</f>
        <v>1773.99</v>
      </c>
      <c r="JB14" s="115">
        <f>+MAX(DN14:DP14)</f>
        <v>1965.4</v>
      </c>
      <c r="JC14" s="115">
        <f>+MAX(DQ14:DS14)</f>
        <v>2489.4</v>
      </c>
      <c r="JD14" s="115">
        <f>+MAX(DT14:DV14)</f>
        <v>3968.75</v>
      </c>
      <c r="JE14" s="115">
        <f>+MAX(DW14:DY14)</f>
        <v>3420</v>
      </c>
      <c r="JF14" s="115">
        <f>+MAX(DZ14:EB14)</f>
        <v>3135.5</v>
      </c>
      <c r="JG14" s="115">
        <f>+MAX(EC14:EE14)</f>
        <v>3293.5</v>
      </c>
      <c r="JH14" s="115">
        <f>+MAX(EF14:EH14)</f>
        <v>3719.2</v>
      </c>
      <c r="JI14" s="115">
        <f>+MAX(EI14:EK14)</f>
        <v>3335.7</v>
      </c>
      <c r="JJ14" s="115">
        <f>+MAX(EL14:EN14)</f>
        <v>3433.85</v>
      </c>
      <c r="JK14" s="115">
        <f>MAX(EO14:EQ14)</f>
        <v>4950</v>
      </c>
      <c r="JL14" s="115">
        <f>MAX(ER14:ET14)</f>
        <v>4794.8999999999996</v>
      </c>
      <c r="JM14" s="115">
        <f>MAX(EU14:EW14)</f>
        <v>4079.95</v>
      </c>
      <c r="JN14" s="115">
        <f>MAX(EX14:EZ14)</f>
        <v>3737.3</v>
      </c>
      <c r="JO14" s="115">
        <f>MAX(FA14:FC14)</f>
        <v>4360.7</v>
      </c>
      <c r="JP14" s="115">
        <f>MAX(FD14:FF14)</f>
        <v>4372.7</v>
      </c>
      <c r="JQ14" s="115">
        <f>MAX(FG14:FI14)</f>
        <v>4392.8500000000004</v>
      </c>
      <c r="JR14" s="115">
        <f>MAX(FJ14:FL14)</f>
        <v>4465</v>
      </c>
      <c r="JS14" s="115">
        <f>MAX(FM14:FO14)</f>
        <v>4444.3999999999996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286</v>
      </c>
      <c r="D15" s="115" cm="1">
        <f t="array" ref="D15">_xll.EQNXTDZ($A$1,$B15,D$1)</f>
        <v>283</v>
      </c>
      <c r="E15" s="115" cm="1">
        <f t="array" ref="E15">_xll.EQNXTDZ($A$1,$B15,E$1)</f>
        <v>292.01</v>
      </c>
      <c r="F15" s="115" cm="1">
        <f t="array" ref="F15">_xll.EQNXTDZ($A$1,$B15,F$1)</f>
        <v>300.39999999999998</v>
      </c>
      <c r="G15" s="115" cm="1">
        <f t="array" ref="G15">_xll.EQNXTDZ($A$1,$B15,G$1)</f>
        <v>334</v>
      </c>
      <c r="H15" s="115" cm="1">
        <f t="array" ref="H15">_xll.EQNXTDZ($A$1,$B15,H$1)</f>
        <v>329.03</v>
      </c>
      <c r="I15" s="115" cm="1">
        <f t="array" ref="I15">_xll.EQNXTDZ($A$1,$B15,I$1)</f>
        <v>325</v>
      </c>
      <c r="J15" s="115" cm="1">
        <f t="array" ref="J15">_xll.EQNXTDZ($A$1,$B15,J$1)</f>
        <v>302.41000000000003</v>
      </c>
      <c r="K15" s="115" cm="1">
        <f t="array" ref="K15">_xll.EQNXTDZ($A$1,$B15,K$1)</f>
        <v>269.8</v>
      </c>
      <c r="L15" s="115" cm="1">
        <f t="array" ref="L15">_xll.EQNXTDZ($A$1,$B15,L$1)</f>
        <v>278</v>
      </c>
      <c r="M15" s="115" cm="1">
        <f t="array" ref="M15">_xll.EQNXTDZ($A$1,$B15,M$1)</f>
        <v>257.94</v>
      </c>
      <c r="N15" s="115" cm="1">
        <f t="array" ref="N15">_xll.EQNXTDZ($A$1,$B15,N$1)</f>
        <v>272</v>
      </c>
      <c r="O15" s="115" cm="1">
        <f t="array" ref="O15">_xll.EQNXTDZ($A$1,$B15,O$1)</f>
        <v>282</v>
      </c>
      <c r="P15" s="115" cm="1">
        <f t="array" ref="P15">_xll.EQNXTDZ($A$1,$B15,P$1)</f>
        <v>242.2</v>
      </c>
      <c r="Q15" s="115" cm="1">
        <f t="array" ref="Q15">_xll.EQNXTDZ($A$1,$B15,Q$1)</f>
        <v>220</v>
      </c>
      <c r="R15" s="115" cm="1">
        <f t="array" ref="R15">_xll.EQNXTDZ($A$1,$B15,R$1)</f>
        <v>228</v>
      </c>
      <c r="S15" s="115" cm="1">
        <f t="array" ref="S15">_xll.EQNXTDZ($A$1,$B15,S$1)</f>
        <v>250.04</v>
      </c>
      <c r="T15" s="115" cm="1">
        <f t="array" ref="T15">_xll.EQNXTDZ($A$1,$B15,T$1)</f>
        <v>260</v>
      </c>
      <c r="U15" s="115" cm="1">
        <f t="array" ref="U15">_xll.EQNXTDZ($A$1,$B15,U$1)</f>
        <v>302.41000000000003</v>
      </c>
      <c r="V15" s="115" cm="1">
        <f t="array" ref="V15">_xll.EQNXTDZ($A$1,$B15,V$1)</f>
        <v>293.54000000000002</v>
      </c>
      <c r="W15" s="115" cm="1">
        <f t="array" ref="W15">_xll.EQNXTDZ($A$1,$B15,W$1)</f>
        <v>307.52</v>
      </c>
      <c r="X15" s="115" cm="1">
        <f t="array" ref="X15">_xll.EQNXTDZ($A$1,$B15,X$1)</f>
        <v>336</v>
      </c>
      <c r="Y15" s="115" cm="1">
        <f t="array" ref="Y15">_xll.EQNXTDZ($A$1,$B15,Y$1)</f>
        <v>366</v>
      </c>
      <c r="Z15" s="115" cm="1">
        <f t="array" ref="Z15">_xll.EQNXTDZ($A$1,$B15,Z$1)</f>
        <v>410.2</v>
      </c>
      <c r="AA15" s="115" cm="1">
        <f t="array" ref="AA15">_xll.EQNXTDZ($A$1,$B15,AA$1)</f>
        <v>456</v>
      </c>
      <c r="AB15" s="115" cm="1">
        <f t="array" ref="AB15">_xll.EQNXTDZ($A$1,$B15,AB$1)</f>
        <v>500</v>
      </c>
      <c r="AC15" s="115" cm="1">
        <f t="array" ref="AC15">_xll.EQNXTDZ($A$1,$B15,AC$1)</f>
        <v>533.6</v>
      </c>
      <c r="AD15" s="115" cm="1">
        <f t="array" ref="AD15">_xll.EQNXTDZ($A$1,$B15,AD$1)</f>
        <v>544.20000000000005</v>
      </c>
      <c r="AE15" s="115" cm="1">
        <f t="array" ref="AE15">_xll.EQNXTDZ($A$1,$B15,AE$1)</f>
        <v>550.04999999999995</v>
      </c>
      <c r="AF15" s="115" cm="1">
        <f t="array" ref="AF15">_xll.EQNXTDZ($A$1,$B15,AF$1)</f>
        <v>577.6</v>
      </c>
      <c r="AG15" s="115" cm="1">
        <f t="array" ref="AG15">_xll.EQNXTDZ($A$1,$B15,AG$1)</f>
        <v>633.42999999999995</v>
      </c>
      <c r="AH15" s="115" cm="1">
        <f t="array" ref="AH15">_xll.EQNXTDZ($A$1,$B15,AH$1)</f>
        <v>680.98</v>
      </c>
      <c r="AI15" s="115" cm="1">
        <f t="array" ref="AI15">_xll.EQNXTDZ($A$1,$B15,AI$1)</f>
        <v>720</v>
      </c>
      <c r="AJ15" s="115" cm="1">
        <f t="array" ref="AJ15">_xll.EQNXTDZ($A$1,$B15,AJ$1)</f>
        <v>766</v>
      </c>
      <c r="AK15" s="115" cm="1">
        <f t="array" ref="AK15">_xll.EQNXTDZ($A$1,$B15,AK$1)</f>
        <v>789.8</v>
      </c>
      <c r="AL15" s="115" cm="1">
        <f t="array" ref="AL15">_xll.EQNXTDZ($A$1,$B15,AL$1)</f>
        <v>778</v>
      </c>
      <c r="AM15" s="115" cm="1">
        <f t="array" ref="AM15">_xll.EQNXTDZ($A$1,$B15,AM$1)</f>
        <v>776</v>
      </c>
      <c r="AN15" s="115" cm="1">
        <f t="array" ref="AN15">_xll.EQNXTDZ($A$1,$B15,AN$1)</f>
        <v>820</v>
      </c>
      <c r="AO15" s="115" cm="1">
        <f t="array" ref="AO15">_xll.EQNXTDZ($A$1,$B15,AO$1)</f>
        <v>812.04</v>
      </c>
      <c r="AP15" s="115" cm="1">
        <f t="array" ref="AP15">_xll.EQNXTDZ($A$1,$B15,AP$1)</f>
        <v>802</v>
      </c>
      <c r="AQ15" s="115" cm="1">
        <f t="array" ref="AQ15">_xll.EQNXTDZ($A$1,$B15,AQ$1)</f>
        <v>788.82</v>
      </c>
      <c r="AR15" s="115" cm="1">
        <f t="array" ref="AR15">_xll.EQNXTDZ($A$1,$B15,AR$1)</f>
        <v>745</v>
      </c>
      <c r="AS15" s="115" cm="1">
        <f t="array" ref="AS15">_xll.EQNXTDZ($A$1,$B15,AS$1)</f>
        <v>786</v>
      </c>
      <c r="AT15" s="115" cm="1">
        <f t="array" ref="AT15">_xll.EQNXTDZ($A$1,$B15,AT$1)</f>
        <v>755</v>
      </c>
      <c r="AU15" s="115" cm="1">
        <f t="array" ref="AU15">_xll.EQNXTDZ($A$1,$B15,AU$1)</f>
        <v>742</v>
      </c>
      <c r="AV15" s="115" cm="1">
        <f t="array" ref="AV15">_xll.EQNXTDZ($A$1,$B15,AV$1)</f>
        <v>741.3</v>
      </c>
      <c r="AW15" s="115" cm="1">
        <f t="array" ref="AW15">_xll.EQNXTDZ($A$1,$B15,AW$1)</f>
        <v>754</v>
      </c>
      <c r="AX15" s="115" cm="1">
        <f t="array" ref="AX15">_xll.EQNXTDZ($A$1,$B15,AX$1)</f>
        <v>770</v>
      </c>
      <c r="AY15" s="115" cm="1">
        <f t="array" ref="AY15">_xll.EQNXTDZ($A$1,$B15,AY$1)</f>
        <v>772</v>
      </c>
      <c r="AZ15" s="115" cm="1">
        <f t="array" ref="AZ15">_xll.EQNXTDZ($A$1,$B15,AZ$1)</f>
        <v>794</v>
      </c>
      <c r="BA15" s="115" cm="1">
        <f t="array" ref="BA15">_xll.EQNXTDZ($A$1,$B15,BA$1)</f>
        <v>793.13</v>
      </c>
      <c r="BB15" s="115" cm="1">
        <f t="array" ref="BB15">_xll.EQNXTDZ($A$1,$B15,BB$1)</f>
        <v>801</v>
      </c>
      <c r="BC15" s="115" cm="1">
        <f t="array" ref="BC15">_xll.EQNXTDZ($A$1,$B15,BC$1)</f>
        <v>809</v>
      </c>
      <c r="BD15" s="115" cm="1">
        <f t="array" ref="BD15">_xll.EQNXTDZ($A$1,$B15,BD$1)</f>
        <v>794.21</v>
      </c>
      <c r="BE15" s="115" cm="1">
        <f t="array" ref="BE15">_xll.EQNXTDZ($A$1,$B15,BE$1)</f>
        <v>756</v>
      </c>
      <c r="BF15" s="115" cm="1">
        <f t="array" ref="BF15">_xll.EQNXTDZ($A$1,$B15,BF$1)</f>
        <v>760.52</v>
      </c>
      <c r="BG15" s="115" cm="1">
        <f t="array" ref="BG15">_xll.EQNXTDZ($A$1,$B15,BG$1)</f>
        <v>785.2</v>
      </c>
      <c r="BH15" s="115" cm="1">
        <f t="array" ref="BH15">_xll.EQNXTDZ($A$1,$B15,BH$1)</f>
        <v>812</v>
      </c>
      <c r="BI15" s="115" cm="1">
        <f t="array" ref="BI15">_xll.EQNXTDZ($A$1,$B15,BI$1)</f>
        <v>895.01</v>
      </c>
      <c r="BJ15" s="115" cm="1">
        <f t="array" ref="BJ15">_xll.EQNXTDZ($A$1,$B15,BJ$1)</f>
        <v>880</v>
      </c>
      <c r="BK15" s="115" cm="1">
        <f t="array" ref="BK15">_xll.EQNXTDZ($A$1,$B15,BK$1)</f>
        <v>882.01</v>
      </c>
      <c r="BL15" s="115" cm="1">
        <f t="array" ref="BL15">_xll.EQNXTDZ($A$1,$B15,BL$1)</f>
        <v>885.2</v>
      </c>
      <c r="BM15" s="115" cm="1">
        <f t="array" ref="BM15">_xll.EQNXTDZ($A$1,$B15,BM$1)</f>
        <v>827.21</v>
      </c>
      <c r="BN15" s="115" cm="1">
        <f t="array" ref="BN15">_xll.EQNXTDZ($A$1,$B15,BN$1)</f>
        <v>940.23</v>
      </c>
      <c r="BO15" s="115" cm="1">
        <f t="array" ref="BO15">_xll.EQNXTDZ($A$1,$B15,BO$1)</f>
        <v>952</v>
      </c>
      <c r="BP15" s="115" cm="1">
        <f t="array" ref="BP15">_xll.EQNXTDZ($A$1,$B15,BP$1)</f>
        <v>997.6</v>
      </c>
      <c r="BQ15" s="115" cm="1">
        <f t="array" ref="BQ15">_xll.EQNXTDZ($A$1,$B15,BQ$1)</f>
        <v>975.53</v>
      </c>
      <c r="BR15" s="115" cm="1">
        <f t="array" ref="BR15">_xll.EQNXTDZ($A$1,$B15,BR$1)</f>
        <v>1081.9000000000001</v>
      </c>
      <c r="BS15" s="115" cm="1">
        <f t="array" ref="BS15">_xll.EQNXTDZ($A$1,$B15,BS$1)</f>
        <v>1030</v>
      </c>
      <c r="BT15" s="115" cm="1">
        <f t="array" ref="BT15">_xll.EQNXTDZ($A$1,$B15,BT$1)</f>
        <v>1030</v>
      </c>
      <c r="BU15" s="115" cm="1">
        <f t="array" ref="BU15">_xll.EQNXTDZ($A$1,$B15,BU$1)</f>
        <v>1052</v>
      </c>
      <c r="BV15" s="115" cm="1">
        <f t="array" ref="BV15">_xll.EQNXTDZ($A$1,$B15,BV$1)</f>
        <v>1040</v>
      </c>
      <c r="BW15" s="115" cm="1">
        <f t="array" ref="BW15">_xll.EQNXTDZ($A$1,$B15,BW$1)</f>
        <v>1044.4100000000001</v>
      </c>
      <c r="BX15" s="115" cm="1">
        <f t="array" ref="BX15">_xll.EQNXTDZ($A$1,$B15,BX$1)</f>
        <v>1040</v>
      </c>
      <c r="BY15" s="115" cm="1">
        <f t="array" ref="BY15">_xll.EQNXTDZ($A$1,$B15,BY$1)</f>
        <v>1044</v>
      </c>
      <c r="BZ15" s="115" cm="1">
        <f t="array" ref="BZ15">_xll.EQNXTDZ($A$1,$B15,BZ$1)</f>
        <v>1035.47</v>
      </c>
      <c r="CA15" s="115" cm="1">
        <f t="array" ref="CA15">_xll.EQNXTDZ($A$1,$B15,CA$1)</f>
        <v>919.8</v>
      </c>
      <c r="CB15" s="115" cm="1">
        <f t="array" ref="CB15">_xll.EQNXTDZ($A$1,$B15,CB$1)</f>
        <v>1010</v>
      </c>
      <c r="CC15" s="115" cm="1">
        <f t="array" ref="CC15">_xll.EQNXTDZ($A$1,$B15,CC$1)</f>
        <v>1052</v>
      </c>
      <c r="CD15" s="115" cm="1">
        <f t="array" ref="CD15">_xll.EQNXTDZ($A$1,$B15,CD$1)</f>
        <v>1028.2</v>
      </c>
      <c r="CE15" s="115" cm="1">
        <f t="array" ref="CE15">_xll.EQNXTDZ($A$1,$B15,CE$1)</f>
        <v>1030.2</v>
      </c>
      <c r="CF15" s="115" cm="1">
        <f t="array" ref="CF15">_xll.EQNXTDZ($A$1,$B15,CF$1)</f>
        <v>1068.57</v>
      </c>
      <c r="CG15" s="115" cm="1">
        <f t="array" ref="CG15">_xll.EQNXTDZ($A$1,$B15,CG$1)</f>
        <v>1067.23</v>
      </c>
      <c r="CH15" s="115" cm="1">
        <f t="array" ref="CH15">_xll.EQNXTDZ($A$1,$B15,CH$1)</f>
        <v>934.21</v>
      </c>
      <c r="CI15" s="115" cm="1">
        <f t="array" ref="CI15">_xll.EQNXTDZ($A$1,$B15,CI$1)</f>
        <v>950</v>
      </c>
      <c r="CJ15" s="115" cm="1">
        <f t="array" ref="CJ15">_xll.EQNXTDZ($A$1,$B15,CJ$1)</f>
        <v>768.2</v>
      </c>
      <c r="CK15" s="115" cm="1">
        <f t="array" ref="CK15">_xll.EQNXTDZ($A$1,$B15,CK$1)</f>
        <v>790.4</v>
      </c>
      <c r="CL15" s="115" cm="1">
        <f t="array" ref="CL15">_xll.EQNXTDZ($A$1,$B15,CL$1)</f>
        <v>790</v>
      </c>
      <c r="CM15" s="115" cm="1">
        <f t="array" ref="CM15">_xll.EQNXTDZ($A$1,$B15,CM$1)</f>
        <v>793.4</v>
      </c>
      <c r="CN15" s="115" cm="1">
        <f t="array" ref="CN15">_xll.EQNXTDZ($A$1,$B15,CN$1)</f>
        <v>824.4</v>
      </c>
      <c r="CO15" s="115" cm="1">
        <f t="array" ref="CO15">_xll.EQNXTDZ($A$1,$B15,CO$1)</f>
        <v>840</v>
      </c>
      <c r="CP15" s="115" cm="1">
        <f t="array" ref="CP15">_xll.EQNXTDZ($A$1,$B15,CP$1)</f>
        <v>893</v>
      </c>
      <c r="CQ15" s="115" cm="1">
        <f t="array" ref="CQ15">_xll.EQNXTDZ($A$1,$B15,CQ$1)</f>
        <v>860</v>
      </c>
      <c r="CR15" s="115" cm="1">
        <f t="array" ref="CR15">_xll.EQNXTDZ($A$1,$B15,CR$1)</f>
        <v>641.20000000000005</v>
      </c>
      <c r="CS15" s="115" cm="1">
        <f t="array" ref="CS15">_xll.EQNXTDZ($A$1,$B15,CS$1)</f>
        <v>654.16</v>
      </c>
      <c r="CT15" s="115" cm="1">
        <f t="array" ref="CT15">_xll.EQNXTDZ($A$1,$B15,CT$1)</f>
        <v>608.82000000000005</v>
      </c>
      <c r="CU15" s="115" cm="1">
        <f t="array" ref="CU15">_xll.EQNXTDZ($A$1,$B15,CU$1)</f>
        <v>635.15</v>
      </c>
      <c r="CV15" s="115" cm="1">
        <f t="array" ref="CV15">_xll.EQNXTDZ($A$1,$B15,CV$1)</f>
        <v>687.4</v>
      </c>
      <c r="CW15" s="115" cm="1">
        <f t="array" ref="CW15">_xll.EQNXTDZ($A$1,$B15,CW$1)</f>
        <v>690.55</v>
      </c>
      <c r="CX15" s="115" cm="1">
        <f t="array" ref="CX15">_xll.EQNXTDZ($A$1,$B15,CX$1)</f>
        <v>690</v>
      </c>
      <c r="CY15" s="115" cm="1">
        <f t="array" ref="CY15">_xll.EQNXTDZ($A$1,$B15,CY$1)</f>
        <v>690</v>
      </c>
      <c r="CZ15" s="115" cm="1">
        <f t="array" ref="CZ15">_xll.EQNXTDZ($A$1,$B15,CZ$1)</f>
        <v>720</v>
      </c>
      <c r="DA15" s="115" cm="1">
        <f t="array" ref="DA15">_xll.EQNXTDZ($A$1,$B15,DA$1)</f>
        <v>763.21</v>
      </c>
      <c r="DB15" s="115" cm="1">
        <f t="array" ref="DB15">_xll.EQNXTDZ($A$1,$B15,DB$1)</f>
        <v>852</v>
      </c>
      <c r="DC15" s="115" cm="1">
        <f t="array" ref="DC15">_xll.EQNXTDZ($A$1,$B15,DC$1)</f>
        <v>852</v>
      </c>
      <c r="DD15" s="115" cm="1">
        <f t="array" ref="DD15">_xll.EQNXTDZ($A$1,$B15,DD$1)</f>
        <v>1018.04</v>
      </c>
      <c r="DE15" s="115" cm="1">
        <f t="array" ref="DE15">_xll.EQNXTDZ($A$1,$B15,DE$1)</f>
        <v>973.96</v>
      </c>
      <c r="DF15" s="115" cm="1">
        <f t="array" ref="DF15">_xll.EQNXTDZ($A$1,$B15,DF$1)</f>
        <v>964.95</v>
      </c>
      <c r="DG15" s="115" cm="1">
        <f t="array" ref="DG15">_xll.EQNXTDZ($A$1,$B15,DG$1)</f>
        <v>1029</v>
      </c>
      <c r="DH15" s="115" cm="1">
        <f t="array" ref="DH15">_xll.EQNXTDZ($A$1,$B15,DH$1)</f>
        <v>1065</v>
      </c>
      <c r="DI15" s="115" cm="1">
        <f t="array" ref="DI15">_xll.EQNXTDZ($A$1,$B15,DI$1)</f>
        <v>1285.5</v>
      </c>
      <c r="DJ15" s="115" cm="1">
        <f t="array" ref="DJ15">_xll.EQNXTDZ($A$1,$B15,DJ$1)</f>
        <v>1429.3</v>
      </c>
      <c r="DK15" s="115" cm="1">
        <f t="array" ref="DK15">_xll.EQNXTDZ($A$1,$B15,DK$1)</f>
        <v>1416</v>
      </c>
      <c r="DL15" s="115" cm="1">
        <f t="array" ref="DL15">_xll.EQNXTDZ($A$1,$B15,DL$1)</f>
        <v>1448.05</v>
      </c>
      <c r="DM15" s="115" cm="1">
        <f t="array" ref="DM15">_xll.EQNXTDZ($A$1,$B15,DM$1)</f>
        <v>1512.62</v>
      </c>
      <c r="DN15" s="115" cm="1">
        <f t="array" ref="DN15">_xll.EQNXTDZ($A$1,$B15,DN$1)</f>
        <v>1688.89</v>
      </c>
      <c r="DO15" s="115" cm="1">
        <f t="array" ref="DO15">_xll.EQNXTDZ($A$1,$B15,DO$1)</f>
        <v>1600</v>
      </c>
      <c r="DP15" s="115" cm="1">
        <f t="array" ref="DP15">_xll.EQNXTDZ($A$1,$B15,DP$1)</f>
        <v>1660</v>
      </c>
      <c r="DQ15" s="115" cm="1">
        <f t="array" ref="DQ15">_xll.EQNXTDZ($A$1,$B15,DQ$1)</f>
        <v>1913.8</v>
      </c>
      <c r="DR15" s="115" cm="1">
        <f t="array" ref="DR15">_xll.EQNXTDZ($A$1,$B15,DR$1)</f>
        <v>1954.15</v>
      </c>
      <c r="DS15" s="115" cm="1">
        <f t="array" ref="DS15">_xll.EQNXTDZ($A$1,$B15,DS$1)</f>
        <v>2130</v>
      </c>
      <c r="DT15" s="115" cm="1">
        <f t="array" ref="DT15">_xll.EQNXTDZ($A$1,$B15,DT$1)</f>
        <v>2241</v>
      </c>
      <c r="DU15" s="115" cm="1">
        <f t="array" ref="DU15">_xll.EQNXTDZ($A$1,$B15,DU$1)</f>
        <v>2768.75</v>
      </c>
      <c r="DV15" s="115" cm="1">
        <f t="array" ref="DV15">_xll.EQNXTDZ($A$1,$B15,DV$1)</f>
        <v>2982.05</v>
      </c>
      <c r="DW15" s="115" cm="1">
        <f t="array" ref="DW15">_xll.EQNXTDZ($A$1,$B15,DW$1)</f>
        <v>2681.95</v>
      </c>
      <c r="DX15" s="115" cm="1">
        <f t="array" ref="DX15">_xll.EQNXTDZ($A$1,$B15,DX$1)</f>
        <v>2602.5</v>
      </c>
      <c r="DY15" s="115" cm="1">
        <f t="array" ref="DY15">_xll.EQNXTDZ($A$1,$B15,DY$1)</f>
        <v>2615</v>
      </c>
      <c r="DZ15" s="115" cm="1">
        <f t="array" ref="DZ15">_xll.EQNXTDZ($A$1,$B15,DZ$1)</f>
        <v>2554.75</v>
      </c>
      <c r="EA15" s="115" cm="1">
        <f t="array" ref="EA15">_xll.EQNXTDZ($A$1,$B15,EA$1)</f>
        <v>2575.1999999999998</v>
      </c>
      <c r="EB15" s="115" cm="1">
        <f t="array" ref="EB15">_xll.EQNXTDZ($A$1,$B15,EB$1)</f>
        <v>2740</v>
      </c>
      <c r="EC15" s="115" cm="1">
        <f t="array" ref="EC15">_xll.EQNXTDZ($A$1,$B15,EC$1)</f>
        <v>2685.9</v>
      </c>
      <c r="ED15" s="115" cm="1">
        <f t="array" ref="ED15">_xll.EQNXTDZ($A$1,$B15,ED$1)</f>
        <v>2700.6</v>
      </c>
      <c r="EE15" s="115" cm="1">
        <f t="array" ref="EE15">_xll.EQNXTDZ($A$1,$B15,EE$1)</f>
        <v>2922.05</v>
      </c>
      <c r="EF15" s="115" cm="1">
        <f t="array" ref="EF15">_xll.EQNXTDZ($A$1,$B15,EF$1)</f>
        <v>2975</v>
      </c>
      <c r="EG15" s="115" cm="1">
        <f t="array" ref="EG15">_xll.EQNXTDZ($A$1,$B15,EG$1)</f>
        <v>2928.4</v>
      </c>
      <c r="EH15" s="115" cm="1">
        <f t="array" ref="EH15">_xll.EQNXTDZ($A$1,$B15,EH$1)</f>
        <v>3055</v>
      </c>
      <c r="EI15" s="115" cm="1">
        <f t="array" ref="EI15">_xll.EQNXTDZ($A$1,$B15,EI$1)</f>
        <v>2795</v>
      </c>
      <c r="EJ15" s="115" cm="1">
        <f t="array" ref="EJ15">_xll.EQNXTDZ($A$1,$B15,EJ$1)</f>
        <v>2616.0500000000002</v>
      </c>
      <c r="EK15" s="115" cm="1">
        <f t="array" ref="EK15">_xll.EQNXTDZ($A$1,$B15,EK$1)</f>
        <v>2836</v>
      </c>
      <c r="EL15" s="115" cm="1">
        <f t="array" ref="EL15">_xll.EQNXTDZ($A$1,$B15,EL$1)</f>
        <v>3040.75</v>
      </c>
      <c r="EM15" s="115" cm="1">
        <f t="array" ref="EM15">_xll.EQNXTDZ($A$1,$B15,EM$1)</f>
        <v>2831</v>
      </c>
      <c r="EN15" s="115" cm="1">
        <f t="array" ref="EN15">_xll.EQNXTDZ($A$1,$B15,EN$1)</f>
        <v>2699.55</v>
      </c>
      <c r="EO15" s="115" cm="1">
        <f t="array" ref="EO15">_xll.EQNXTDZ($A$1,$B15,EO$1)</f>
        <v>2840</v>
      </c>
      <c r="EP15" s="115" cm="1">
        <f t="array" ref="EP15">_xll.EQNXTDZ($A$1,$B15,EP$1)</f>
        <v>3666.65</v>
      </c>
      <c r="EQ15" s="115" cm="1">
        <f t="array" ref="EQ15">_xll.EQNXTDZ($A$1,$B15,EQ$1)</f>
        <v>3790.65</v>
      </c>
      <c r="ER15" s="115" cm="1">
        <f t="array" ref="ER15">_xll.EQNXTDZ($A$1,$B15,ER$1)</f>
        <v>3796.8</v>
      </c>
      <c r="ES15" s="115" cm="1">
        <f t="array" ref="ES15">_xll.EQNXTDZ($A$1,$B15,ES$1)</f>
        <v>3783.95</v>
      </c>
      <c r="ET15" s="115" cm="1">
        <f t="array" ref="ET15">_xll.EQNXTDZ($A$1,$B15,ET$1)</f>
        <v>3755</v>
      </c>
      <c r="EU15" s="115" cm="1">
        <f t="array" ref="EU15">_xll.EQNXTDZ($A$1,$B15,EU$1)</f>
        <v>3406.35</v>
      </c>
      <c r="EV15" s="115" cm="1">
        <f t="array" ref="EV15">_xll.EQNXTDZ($A$1,$B15,EV$1)</f>
        <v>3286.65</v>
      </c>
      <c r="EW15" s="115" cm="1">
        <f t="array" ref="EW15">_xll.EQNXTDZ($A$1,$B15,EW$1)</f>
        <v>3258.7</v>
      </c>
      <c r="EX15" s="115" cm="1">
        <f t="array" ref="EX15">_xll.EQNXTDZ($A$1,$B15,EX$1)</f>
        <v>3004</v>
      </c>
      <c r="EY15" s="115" cm="1">
        <f t="array" ref="EY15">_xll.EQNXTDZ($A$1,$B15,EY$1)</f>
        <v>2836.55</v>
      </c>
      <c r="EZ15" s="115" cm="1">
        <f t="array" ref="EZ15">_xll.EQNXTDZ($A$1,$B15,EZ$1)</f>
        <v>2940</v>
      </c>
      <c r="FA15" s="115" cm="1">
        <f t="array" ref="FA15">_xll.EQNXTDZ($A$1,$B15,FA$1)</f>
        <v>2851</v>
      </c>
      <c r="FB15" s="115" cm="1">
        <f t="array" ref="FB15">_xll.EQNXTDZ($A$1,$B15,FB$1)</f>
        <v>3402.75</v>
      </c>
      <c r="FC15" s="115" cm="1">
        <f t="array" ref="FC15">_xll.EQNXTDZ($A$1,$B15,FC$1)</f>
        <v>3828.7</v>
      </c>
      <c r="FD15" s="115" cm="1">
        <f t="array" ref="FD15">_xll.EQNXTDZ($A$1,$B15,FD$1)</f>
        <v>3900</v>
      </c>
      <c r="FE15" s="115" cm="1">
        <f t="array" ref="FE15">_xll.EQNXTDZ($A$1,$B15,FE$1)</f>
        <v>3826.85</v>
      </c>
      <c r="FF15" s="115" cm="1">
        <f t="array" ref="FF15">_xll.EQNXTDZ($A$1,$B15,FF$1)</f>
        <v>3760.85</v>
      </c>
      <c r="FG15" s="115" cm="1">
        <f t="array" ref="FG15">_xll.EQNXTDZ($A$1,$B15,FG$1)</f>
        <v>3839.3</v>
      </c>
      <c r="FH15" s="115" cm="1">
        <f t="array" ref="FH15">_xll.EQNXTDZ($A$1,$B15,FH$1)</f>
        <v>3820</v>
      </c>
      <c r="FI15" s="115" cm="1">
        <f t="array" ref="FI15">_xll.EQNXTDZ($A$1,$B15,FI$1)</f>
        <v>3703.05</v>
      </c>
      <c r="FJ15" s="115" cm="1">
        <f t="array" ref="FJ15">_xll.EQNXTDZ($A$1,$B15,FJ$1)</f>
        <v>3519</v>
      </c>
      <c r="FK15" s="115" cm="1">
        <f t="array" ref="FK15">_xll.EQNXTDZ($A$1,$B15,FK$1)</f>
        <v>3535.5</v>
      </c>
      <c r="FL15" s="115" cm="1">
        <f t="array" ref="FL15">_xll.EQNXTDZ($A$1,$B15,FL$1)</f>
        <v>3750</v>
      </c>
      <c r="FM15" s="115" cm="1">
        <f t="array" ref="FM15">_xll.EQNXTDZ($A$1,$B15,FM$1)</f>
        <v>3686</v>
      </c>
      <c r="FN15" s="115" cm="1">
        <f t="array" ref="FN15">_xll.EQNXTDZ($A$1,$B15,FN$1)</f>
        <v>3888.1</v>
      </c>
      <c r="FO15" s="115" cm="1">
        <f t="array" ref="FO15">_xll.EQNXTDZ($A$1,$B15,FO$1)</f>
        <v>3838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283</v>
      </c>
      <c r="HQ15" s="115">
        <f>+MIN(G15:I15)</f>
        <v>325</v>
      </c>
      <c r="HR15" s="115">
        <f>+MIN(J15:L15)</f>
        <v>269.8</v>
      </c>
      <c r="HS15" s="115">
        <f>+MIN(M15:O15)</f>
        <v>257.94</v>
      </c>
      <c r="HT15" s="115">
        <f>+MIN(P15:R15)</f>
        <v>220</v>
      </c>
      <c r="HU15" s="115">
        <f>+MIN(S15:U15)</f>
        <v>250.04</v>
      </c>
      <c r="HV15" s="115">
        <f>+MIN(V15:X15)</f>
        <v>293.54000000000002</v>
      </c>
      <c r="HW15" s="115">
        <f>+MIN(Y15:AA15)</f>
        <v>366</v>
      </c>
      <c r="HX15" s="115">
        <f>+MIN(AB15:AD15)</f>
        <v>500</v>
      </c>
      <c r="HY15" s="115">
        <f>+MIN(AE15:AG15)</f>
        <v>550.04999999999995</v>
      </c>
      <c r="HZ15" s="115">
        <f>+MIN(AH15:AJ15)</f>
        <v>680.98</v>
      </c>
      <c r="IA15" s="115">
        <f>+MIN(AK15:AM15)</f>
        <v>776</v>
      </c>
      <c r="IB15" s="115">
        <f>+MIN(AN15:AP15)</f>
        <v>802</v>
      </c>
      <c r="IC15" s="115">
        <f>+MIN(AQ15:AS15)</f>
        <v>745</v>
      </c>
      <c r="ID15" s="115">
        <f>+MIN(AT15:AV15)</f>
        <v>741.3</v>
      </c>
      <c r="IE15" s="115">
        <f>+MIN(AW15:AY15)</f>
        <v>754</v>
      </c>
      <c r="IF15" s="115">
        <f>+MIN(AZ15:BB15)</f>
        <v>793.13</v>
      </c>
      <c r="IG15" s="115">
        <f>+MIN(BC15:BE15)</f>
        <v>756</v>
      </c>
      <c r="IH15" s="115">
        <f>+MIN(BF15:BH15)</f>
        <v>760.52</v>
      </c>
      <c r="II15" s="115">
        <f>+MIN(BI15:BK15)</f>
        <v>880</v>
      </c>
      <c r="IJ15" s="115">
        <f>+MIN(BL15:BN15)</f>
        <v>827.21</v>
      </c>
      <c r="IK15" s="115">
        <f>+MIN(BO15:BQ15)</f>
        <v>952</v>
      </c>
      <c r="IL15" s="115">
        <f>+MIN(BR15:BT15)</f>
        <v>1030</v>
      </c>
      <c r="IM15" s="115">
        <f>+MIN(BU15:BW15)</f>
        <v>1040</v>
      </c>
      <c r="IN15" s="115">
        <f>+MIN(BX15:BZ15)</f>
        <v>1035.47</v>
      </c>
      <c r="IO15" s="115">
        <f>+MIN(CA15:CC15)</f>
        <v>919.8</v>
      </c>
      <c r="IP15" s="115">
        <f>+MIN(CD15:CF15)</f>
        <v>1028.2</v>
      </c>
      <c r="IQ15" s="115">
        <f>+MIN(CG15:CI15)</f>
        <v>934.21</v>
      </c>
      <c r="IR15" s="115">
        <f>+MIN(CJ15:CL15)</f>
        <v>768.2</v>
      </c>
      <c r="IS15" s="115">
        <f>+MIN(CM15:CO15)</f>
        <v>793.4</v>
      </c>
      <c r="IT15" s="115">
        <f>+MIN(CP15:CR15)</f>
        <v>641.20000000000005</v>
      </c>
      <c r="IU15" s="115">
        <f>+MIN(CS15:CU15)</f>
        <v>608.82000000000005</v>
      </c>
      <c r="IV15" s="115">
        <f>+MIN(CV15:CX15)</f>
        <v>687.4</v>
      </c>
      <c r="IW15" s="115">
        <f>+MIN(CY15:DA15)</f>
        <v>690</v>
      </c>
      <c r="IX15" s="115">
        <f>+MIN(DB15:DD15)</f>
        <v>852</v>
      </c>
      <c r="IY15" s="115">
        <f>+MIN(DE15:DG15)</f>
        <v>964.95</v>
      </c>
      <c r="IZ15" s="115">
        <f>+MIN(DH15:DJ15)</f>
        <v>1065</v>
      </c>
      <c r="JA15" s="115">
        <f>+MIN(DK15:DM15)</f>
        <v>1416</v>
      </c>
      <c r="JB15" s="115">
        <f>+MIN(DN15:DP15)</f>
        <v>1600</v>
      </c>
      <c r="JC15" s="115">
        <f>+MIN(DQ15:DS15)</f>
        <v>1913.8</v>
      </c>
      <c r="JD15" s="115">
        <f>+MIN(DT15:DV15)</f>
        <v>2241</v>
      </c>
      <c r="JE15" s="115">
        <f>+MIN(DW15:DY15)</f>
        <v>2602.5</v>
      </c>
      <c r="JF15" s="115">
        <f>+MIN(DZ15:EB15)</f>
        <v>2554.75</v>
      </c>
      <c r="JG15" s="115">
        <f>+MIN(EC15:EE15)</f>
        <v>2685.9</v>
      </c>
      <c r="JH15" s="115">
        <f>+MIN(EF15:EH15)</f>
        <v>2928.4</v>
      </c>
      <c r="JI15" s="115">
        <f>+MIN(EI15:EK15)</f>
        <v>2616.0500000000002</v>
      </c>
      <c r="JJ15" s="115">
        <f>+MIN(EL15:EN15)</f>
        <v>2699.55</v>
      </c>
      <c r="JK15" s="115">
        <f>MIN(EO15:EQ15)</f>
        <v>2840</v>
      </c>
      <c r="JL15" s="115">
        <f>MIN(ER15:ET15)</f>
        <v>3755</v>
      </c>
      <c r="JM15" s="115">
        <f>MIN(EU15:EW15)</f>
        <v>3258.7</v>
      </c>
      <c r="JN15" s="115">
        <f>MIN(EX15:EZ15)</f>
        <v>2836.55</v>
      </c>
      <c r="JO15" s="115">
        <f>MIN(FA15:FC15)</f>
        <v>2851</v>
      </c>
      <c r="JP15" s="115">
        <f>MIN(FD15:FF15)</f>
        <v>3760.85</v>
      </c>
      <c r="JQ15" s="115">
        <f>MIN(FG15:FI15)</f>
        <v>3703.05</v>
      </c>
      <c r="JR15" s="115">
        <f>MIN(FJ15:FL15)</f>
        <v>3519</v>
      </c>
      <c r="JS15" s="115">
        <f>MIN(FM15:FO15)</f>
        <v>3686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287.61</v>
      </c>
      <c r="D16" s="115" cm="1">
        <f t="array" ref="D16">_xll.EQNXTDZ($A$1,$B16,D$1)</f>
        <v>291.37</v>
      </c>
      <c r="E16" s="115" cm="1">
        <f t="array" ref="E16">_xll.EQNXTDZ($A$1,$B16,E$1)</f>
        <v>318.23</v>
      </c>
      <c r="F16" s="115" cm="1">
        <f t="array" ref="F16">_xll.EQNXTDZ($A$1,$B16,F$1)</f>
        <v>352.06</v>
      </c>
      <c r="G16" s="115" cm="1">
        <f t="array" ref="G16">_xll.EQNXTDZ($A$1,$B16,G$1)</f>
        <v>345.67</v>
      </c>
      <c r="H16" s="115" cm="1">
        <f t="array" ref="H16">_xll.EQNXTDZ($A$1,$B16,H$1)</f>
        <v>336.99</v>
      </c>
      <c r="I16" s="115" cm="1">
        <f t="array" ref="I16">_xll.EQNXTDZ($A$1,$B16,I$1)</f>
        <v>339.94</v>
      </c>
      <c r="J16" s="115" cm="1">
        <f t="array" ref="J16">_xll.EQNXTDZ($A$1,$B16,J$1)</f>
        <v>305.52</v>
      </c>
      <c r="K16" s="115" cm="1">
        <f t="array" ref="K16">_xll.EQNXTDZ($A$1,$B16,K$1)</f>
        <v>304.39</v>
      </c>
      <c r="L16" s="115" cm="1">
        <f t="array" ref="L16">_xll.EQNXTDZ($A$1,$B16,L$1)</f>
        <v>293.93</v>
      </c>
      <c r="M16" s="115" cm="1">
        <f t="array" ref="M16">_xll.EQNXTDZ($A$1,$B16,M$1)</f>
        <v>272.35000000000002</v>
      </c>
      <c r="N16" s="115" cm="1">
        <f t="array" ref="N16">_xll.EQNXTDZ($A$1,$B16,N$1)</f>
        <v>289.95999999999998</v>
      </c>
      <c r="O16" s="115" cm="1">
        <f t="array" ref="O16">_xll.EQNXTDZ($A$1,$B16,O$1)</f>
        <v>284</v>
      </c>
      <c r="P16" s="115" cm="1">
        <f t="array" ref="P16">_xll.EQNXTDZ($A$1,$B16,P$1)</f>
        <v>251.38</v>
      </c>
      <c r="Q16" s="115" cm="1">
        <f t="array" ref="Q16">_xll.EQNXTDZ($A$1,$B16,Q$1)</f>
        <v>240.28</v>
      </c>
      <c r="R16" s="115" cm="1">
        <f t="array" ref="R16">_xll.EQNXTDZ($A$1,$B16,R$1)</f>
        <v>249.7</v>
      </c>
      <c r="S16" s="115" cm="1">
        <f t="array" ref="S16">_xll.EQNXTDZ($A$1,$B16,S$1)</f>
        <v>268.58999999999997</v>
      </c>
      <c r="T16" s="115" cm="1">
        <f t="array" ref="T16">_xll.EQNXTDZ($A$1,$B16,T$1)</f>
        <v>301.27999999999997</v>
      </c>
      <c r="U16" s="115" cm="1">
        <f t="array" ref="U16">_xll.EQNXTDZ($A$1,$B16,U$1)</f>
        <v>322.79000000000002</v>
      </c>
      <c r="V16" s="115" cm="1">
        <f t="array" ref="V16">_xll.EQNXTDZ($A$1,$B16,V$1)</f>
        <v>311</v>
      </c>
      <c r="W16" s="115" cm="1">
        <f t="array" ref="W16">_xll.EQNXTDZ($A$1,$B16,W$1)</f>
        <v>346.06</v>
      </c>
      <c r="X16" s="115" cm="1">
        <f t="array" ref="X16">_xll.EQNXTDZ($A$1,$B16,X$1)</f>
        <v>375.5</v>
      </c>
      <c r="Y16" s="115" cm="1">
        <f t="array" ref="Y16">_xll.EQNXTDZ($A$1,$B16,Y$1)</f>
        <v>424.9</v>
      </c>
      <c r="Z16" s="115" cm="1">
        <f t="array" ref="Z16">_xll.EQNXTDZ($A$1,$B16,Z$1)</f>
        <v>470.19</v>
      </c>
      <c r="AA16" s="115" cm="1">
        <f t="array" ref="AA16">_xll.EQNXTDZ($A$1,$B16,AA$1)</f>
        <v>497.28</v>
      </c>
      <c r="AB16" s="115" cm="1">
        <f t="array" ref="AB16">_xll.EQNXTDZ($A$1,$B16,AB$1)</f>
        <v>536.04999999999995</v>
      </c>
      <c r="AC16" s="115" cm="1">
        <f t="array" ref="AC16">_xll.EQNXTDZ($A$1,$B16,AC$1)</f>
        <v>573.02</v>
      </c>
      <c r="AD16" s="115" cm="1">
        <f t="array" ref="AD16">_xll.EQNXTDZ($A$1,$B16,AD$1)</f>
        <v>575.97</v>
      </c>
      <c r="AE16" s="115" cm="1">
        <f t="array" ref="AE16">_xll.EQNXTDZ($A$1,$B16,AE$1)</f>
        <v>623.13</v>
      </c>
      <c r="AF16" s="115" cm="1">
        <f t="array" ref="AF16">_xll.EQNXTDZ($A$1,$B16,AF$1)</f>
        <v>679.49</v>
      </c>
      <c r="AG16" s="115" cm="1">
        <f t="array" ref="AG16">_xll.EQNXTDZ($A$1,$B16,AG$1)</f>
        <v>714.02</v>
      </c>
      <c r="AH16" s="115" cm="1">
        <f t="array" ref="AH16">_xll.EQNXTDZ($A$1,$B16,AH$1)</f>
        <v>763.81</v>
      </c>
      <c r="AI16" s="115" cm="1">
        <f t="array" ref="AI16">_xll.EQNXTDZ($A$1,$B16,AI$1)</f>
        <v>797.28</v>
      </c>
      <c r="AJ16" s="115" cm="1">
        <f t="array" ref="AJ16">_xll.EQNXTDZ($A$1,$B16,AJ$1)</f>
        <v>828.63</v>
      </c>
      <c r="AK16" s="115" cm="1">
        <f t="array" ref="AK16">_xll.EQNXTDZ($A$1,$B16,AK$1)</f>
        <v>800.57</v>
      </c>
      <c r="AL16" s="115" cm="1">
        <f t="array" ref="AL16">_xll.EQNXTDZ($A$1,$B16,AL$1)</f>
        <v>823.23</v>
      </c>
      <c r="AM16" s="115" cm="1">
        <f t="array" ref="AM16">_xll.EQNXTDZ($A$1,$B16,AM$1)</f>
        <v>824.52</v>
      </c>
      <c r="AN16" s="115" cm="1">
        <f t="array" ref="AN16">_xll.EQNXTDZ($A$1,$B16,AN$1)</f>
        <v>936.27</v>
      </c>
      <c r="AO16" s="115" cm="1">
        <f t="array" ref="AO16">_xll.EQNXTDZ($A$1,$B16,AO$1)</f>
        <v>836.62</v>
      </c>
      <c r="AP16" s="115" cm="1">
        <f t="array" ref="AP16">_xll.EQNXTDZ($A$1,$B16,AP$1)</f>
        <v>806.75</v>
      </c>
      <c r="AQ16" s="115" cm="1">
        <f t="array" ref="AQ16">_xll.EQNXTDZ($A$1,$B16,AQ$1)</f>
        <v>824.89</v>
      </c>
      <c r="AR16" s="115" cm="1">
        <f t="array" ref="AR16">_xll.EQNXTDZ($A$1,$B16,AR$1)</f>
        <v>796.86</v>
      </c>
      <c r="AS16" s="115" cm="1">
        <f t="array" ref="AS16">_xll.EQNXTDZ($A$1,$B16,AS$1)</f>
        <v>877.42</v>
      </c>
      <c r="AT16" s="115" cm="1">
        <f t="array" ref="AT16">_xll.EQNXTDZ($A$1,$B16,AT$1)</f>
        <v>790.62</v>
      </c>
      <c r="AU16" s="115" cm="1">
        <f t="array" ref="AU16">_xll.EQNXTDZ($A$1,$B16,AU$1)</f>
        <v>761.25</v>
      </c>
      <c r="AV16" s="115" cm="1">
        <f t="array" ref="AV16">_xll.EQNXTDZ($A$1,$B16,AV$1)</f>
        <v>764.09</v>
      </c>
      <c r="AW16" s="115" cm="1">
        <f t="array" ref="AW16">_xll.EQNXTDZ($A$1,$B16,AW$1)</f>
        <v>793.84</v>
      </c>
      <c r="AX16" s="115" cm="1">
        <f t="array" ref="AX16">_xll.EQNXTDZ($A$1,$B16,AX$1)</f>
        <v>785.39</v>
      </c>
      <c r="AY16" s="115" cm="1">
        <f t="array" ref="AY16">_xll.EQNXTDZ($A$1,$B16,AY$1)</f>
        <v>822.08</v>
      </c>
      <c r="AZ16" s="115" cm="1">
        <f t="array" ref="AZ16">_xll.EQNXTDZ($A$1,$B16,AZ$1)</f>
        <v>816</v>
      </c>
      <c r="BA16" s="115" cm="1">
        <f t="array" ref="BA16">_xll.EQNXTDZ($A$1,$B16,BA$1)</f>
        <v>818</v>
      </c>
      <c r="BB16" s="115" cm="1">
        <f t="array" ref="BB16">_xll.EQNXTDZ($A$1,$B16,BB$1)</f>
        <v>816.76</v>
      </c>
      <c r="BC16" s="115" cm="1">
        <f t="array" ref="BC16">_xll.EQNXTDZ($A$1,$B16,BC$1)</f>
        <v>890.68</v>
      </c>
      <c r="BD16" s="115" cm="1">
        <f t="array" ref="BD16">_xll.EQNXTDZ($A$1,$B16,BD$1)</f>
        <v>801.57</v>
      </c>
      <c r="BE16" s="115" cm="1">
        <f t="array" ref="BE16">_xll.EQNXTDZ($A$1,$B16,BE$1)</f>
        <v>773.14</v>
      </c>
      <c r="BF16" s="115" cm="1">
        <f t="array" ref="BF16">_xll.EQNXTDZ($A$1,$B16,BF$1)</f>
        <v>794.67</v>
      </c>
      <c r="BG16" s="115" cm="1">
        <f t="array" ref="BG16">_xll.EQNXTDZ($A$1,$B16,BG$1)</f>
        <v>846.47</v>
      </c>
      <c r="BH16" s="115" cm="1">
        <f t="array" ref="BH16">_xll.EQNXTDZ($A$1,$B16,BH$1)</f>
        <v>911.96</v>
      </c>
      <c r="BI16" s="115" cm="1">
        <f t="array" ref="BI16">_xll.EQNXTDZ($A$1,$B16,BI$1)</f>
        <v>972.5</v>
      </c>
      <c r="BJ16" s="115" cm="1">
        <f t="array" ref="BJ16">_xll.EQNXTDZ($A$1,$B16,BJ$1)</f>
        <v>898.92</v>
      </c>
      <c r="BK16" s="115" cm="1">
        <f t="array" ref="BK16">_xll.EQNXTDZ($A$1,$B16,BK$1)</f>
        <v>892.68</v>
      </c>
      <c r="BL16" s="115" cm="1">
        <f t="array" ref="BL16">_xll.EQNXTDZ($A$1,$B16,BL$1)</f>
        <v>904.34</v>
      </c>
      <c r="BM16" s="115" cm="1">
        <f t="array" ref="BM16">_xll.EQNXTDZ($A$1,$B16,BM$1)</f>
        <v>992.66</v>
      </c>
      <c r="BN16" s="115" cm="1">
        <f t="array" ref="BN16">_xll.EQNXTDZ($A$1,$B16,BN$1)</f>
        <v>979.1</v>
      </c>
      <c r="BO16" s="115" cm="1">
        <f t="array" ref="BO16">_xll.EQNXTDZ($A$1,$B16,BO$1)</f>
        <v>1021.78</v>
      </c>
      <c r="BP16" s="115" cm="1">
        <f t="array" ref="BP16">_xll.EQNXTDZ($A$1,$B16,BP$1)</f>
        <v>1039.99</v>
      </c>
      <c r="BQ16" s="115" cm="1">
        <f t="array" ref="BQ16">_xll.EQNXTDZ($A$1,$B16,BQ$1)</f>
        <v>1168.83</v>
      </c>
      <c r="BR16" s="115" cm="1">
        <f t="array" ref="BR16">_xll.EQNXTDZ($A$1,$B16,BR$1)</f>
        <v>1091.32</v>
      </c>
      <c r="BS16" s="115" cm="1">
        <f t="array" ref="BS16">_xll.EQNXTDZ($A$1,$B16,BS$1)</f>
        <v>1089.3900000000001</v>
      </c>
      <c r="BT16" s="115" cm="1">
        <f t="array" ref="BT16">_xll.EQNXTDZ($A$1,$B16,BT$1)</f>
        <v>1033.03</v>
      </c>
      <c r="BU16" s="115" cm="1">
        <f t="array" ref="BU16">_xll.EQNXTDZ($A$1,$B16,BU$1)</f>
        <v>1080</v>
      </c>
      <c r="BV16" s="115" cm="1">
        <f t="array" ref="BV16">_xll.EQNXTDZ($A$1,$B16,BV$1)</f>
        <v>1064.97</v>
      </c>
      <c r="BW16" s="115" cm="1">
        <f t="array" ref="BW16">_xll.EQNXTDZ($A$1,$B16,BW$1)</f>
        <v>1106.28</v>
      </c>
      <c r="BX16" s="115" cm="1">
        <f t="array" ref="BX16">_xll.EQNXTDZ($A$1,$B16,BX$1)</f>
        <v>1055.1199999999999</v>
      </c>
      <c r="BY16" s="115" cm="1">
        <f t="array" ref="BY16">_xll.EQNXTDZ($A$1,$B16,BY$1)</f>
        <v>1084.3900000000001</v>
      </c>
      <c r="BZ16" s="115" cm="1">
        <f t="array" ref="BZ16">_xll.EQNXTDZ($A$1,$B16,BZ$1)</f>
        <v>1079.03</v>
      </c>
      <c r="CA16" s="115" cm="1">
        <f t="array" ref="CA16">_xll.EQNXTDZ($A$1,$B16,CA$1)</f>
        <v>1001.42</v>
      </c>
      <c r="CB16" s="115" cm="1">
        <f t="array" ref="CB16">_xll.EQNXTDZ($A$1,$B16,CB$1)</f>
        <v>1065.71</v>
      </c>
      <c r="CC16" s="115" cm="1">
        <f t="array" ref="CC16">_xll.EQNXTDZ($A$1,$B16,CC$1)</f>
        <v>1138.25</v>
      </c>
      <c r="CD16" s="115" cm="1">
        <f t="array" ref="CD16">_xll.EQNXTDZ($A$1,$B16,CD$1)</f>
        <v>1055.29</v>
      </c>
      <c r="CE16" s="115" cm="1">
        <f t="array" ref="CE16">_xll.EQNXTDZ($A$1,$B16,CE$1)</f>
        <v>1078.81</v>
      </c>
      <c r="CF16" s="115" cm="1">
        <f t="array" ref="CF16">_xll.EQNXTDZ($A$1,$B16,CF$1)</f>
        <v>1101.3399999999999</v>
      </c>
      <c r="CG16" s="115" cm="1">
        <f t="array" ref="CG16">_xll.EQNXTDZ($A$1,$B16,CG$1)</f>
        <v>1076.83</v>
      </c>
      <c r="CH16" s="115" cm="1">
        <f t="array" ref="CH16">_xll.EQNXTDZ($A$1,$B16,CH$1)</f>
        <v>1028.23</v>
      </c>
      <c r="CI16" s="115" cm="1">
        <f t="array" ref="CI16">_xll.EQNXTDZ($A$1,$B16,CI$1)</f>
        <v>975.34</v>
      </c>
      <c r="CJ16" s="115" cm="1">
        <f t="array" ref="CJ16">_xll.EQNXTDZ($A$1,$B16,CJ$1)</f>
        <v>842.11</v>
      </c>
      <c r="CK16" s="115" cm="1">
        <f t="array" ref="CK16">_xll.EQNXTDZ($A$1,$B16,CK$1)</f>
        <v>812.83</v>
      </c>
      <c r="CL16" s="115" cm="1">
        <f t="array" ref="CL16">_xll.EQNXTDZ($A$1,$B16,CL$1)</f>
        <v>877.07</v>
      </c>
      <c r="CM16" s="115" cm="1">
        <f t="array" ref="CM16">_xll.EQNXTDZ($A$1,$B16,CM$1)</f>
        <v>867.03</v>
      </c>
      <c r="CN16" s="115" cm="1">
        <f t="array" ref="CN16">_xll.EQNXTDZ($A$1,$B16,CN$1)</f>
        <v>869.94</v>
      </c>
      <c r="CO16" s="115" cm="1">
        <f t="array" ref="CO16">_xll.EQNXTDZ($A$1,$B16,CO$1)</f>
        <v>939.69</v>
      </c>
      <c r="CP16" s="115" cm="1">
        <f t="array" ref="CP16">_xll.EQNXTDZ($A$1,$B16,CP$1)</f>
        <v>914.07</v>
      </c>
      <c r="CQ16" s="115" cm="1">
        <f t="array" ref="CQ16">_xll.EQNXTDZ($A$1,$B16,CQ$1)</f>
        <v>871.37</v>
      </c>
      <c r="CR16" s="115" cm="1">
        <f t="array" ref="CR16">_xll.EQNXTDZ($A$1,$B16,CR$1)</f>
        <v>739.82</v>
      </c>
      <c r="CS16" s="115" cm="1">
        <f t="array" ref="CS16">_xll.EQNXTDZ($A$1,$B16,CS$1)</f>
        <v>687.21</v>
      </c>
      <c r="CT16" s="115" cm="1">
        <f t="array" ref="CT16">_xll.EQNXTDZ($A$1,$B16,CT$1)</f>
        <v>636.08000000000004</v>
      </c>
      <c r="CU16" s="115" cm="1">
        <f t="array" ref="CU16">_xll.EQNXTDZ($A$1,$B16,CU$1)</f>
        <v>715.26</v>
      </c>
      <c r="CV16" s="115" cm="1">
        <f t="array" ref="CV16">_xll.EQNXTDZ($A$1,$B16,CV$1)</f>
        <v>719</v>
      </c>
      <c r="CW16" s="115" cm="1">
        <f t="array" ref="CW16">_xll.EQNXTDZ($A$1,$B16,CW$1)</f>
        <v>792.31</v>
      </c>
      <c r="CX16" s="115" cm="1">
        <f t="array" ref="CX16">_xll.EQNXTDZ($A$1,$B16,CX$1)</f>
        <v>710.68</v>
      </c>
      <c r="CY16" s="115" cm="1">
        <f t="array" ref="CY16">_xll.EQNXTDZ($A$1,$B16,CY$1)</f>
        <v>752.7</v>
      </c>
      <c r="CZ16" s="115" cm="1">
        <f t="array" ref="CZ16">_xll.EQNXTDZ($A$1,$B16,CZ$1)</f>
        <v>794.65</v>
      </c>
      <c r="DA16" s="115" cm="1">
        <f t="array" ref="DA16">_xll.EQNXTDZ($A$1,$B16,DA$1)</f>
        <v>907.71</v>
      </c>
      <c r="DB16" s="115" cm="1">
        <f t="array" ref="DB16">_xll.EQNXTDZ($A$1,$B16,DB$1)</f>
        <v>858.55</v>
      </c>
      <c r="DC16" s="115" cm="1">
        <f t="array" ref="DC16">_xll.EQNXTDZ($A$1,$B16,DC$1)</f>
        <v>1037.45</v>
      </c>
      <c r="DD16" s="115" cm="1">
        <f t="array" ref="DD16">_xll.EQNXTDZ($A$1,$B16,DD$1)</f>
        <v>1082.1400000000001</v>
      </c>
      <c r="DE16" s="115" cm="1">
        <f t="array" ref="DE16">_xll.EQNXTDZ($A$1,$B16,DE$1)</f>
        <v>1047.76</v>
      </c>
      <c r="DF16" s="115" cm="1">
        <f t="array" ref="DF16">_xll.EQNXTDZ($A$1,$B16,DF$1)</f>
        <v>1054.6400000000001</v>
      </c>
      <c r="DG16" s="115" cm="1">
        <f t="array" ref="DG16">_xll.EQNXTDZ($A$1,$B16,DG$1)</f>
        <v>1128.25</v>
      </c>
      <c r="DH16" s="115" cm="1">
        <f t="array" ref="DH16">_xll.EQNXTDZ($A$1,$B16,DH$1)</f>
        <v>1384.79</v>
      </c>
      <c r="DI16" s="115" cm="1">
        <f t="array" ref="DI16">_xll.EQNXTDZ($A$1,$B16,DI$1)</f>
        <v>1447.54</v>
      </c>
      <c r="DJ16" s="115" cm="1">
        <f t="array" ref="DJ16">_xll.EQNXTDZ($A$1,$B16,DJ$1)</f>
        <v>1522.08</v>
      </c>
      <c r="DK16" s="115" cm="1">
        <f t="array" ref="DK16">_xll.EQNXTDZ($A$1,$B16,DK$1)</f>
        <v>1482.77</v>
      </c>
      <c r="DL16" s="115" cm="1">
        <f t="array" ref="DL16">_xll.EQNXTDZ($A$1,$B16,DL$1)</f>
        <v>1558.47</v>
      </c>
      <c r="DM16" s="115" cm="1">
        <f t="array" ref="DM16">_xll.EQNXTDZ($A$1,$B16,DM$1)</f>
        <v>1758.09</v>
      </c>
      <c r="DN16" s="115" cm="1">
        <f t="array" ref="DN16">_xll.EQNXTDZ($A$1,$B16,DN$1)</f>
        <v>1790.45</v>
      </c>
      <c r="DO16" s="115" cm="1">
        <f t="array" ref="DO16">_xll.EQNXTDZ($A$1,$B16,DO$1)</f>
        <v>1828.85</v>
      </c>
      <c r="DP16" s="115" cm="1">
        <f t="array" ref="DP16">_xll.EQNXTDZ($A$1,$B16,DP$1)</f>
        <v>1950.6</v>
      </c>
      <c r="DQ16" s="115" cm="1">
        <f t="array" ref="DQ16">_xll.EQNXTDZ($A$1,$B16,DQ$1)</f>
        <v>2311.6</v>
      </c>
      <c r="DR16" s="115" cm="1">
        <f t="array" ref="DR16">_xll.EQNXTDZ($A$1,$B16,DR$1)</f>
        <v>2304.3000000000002</v>
      </c>
      <c r="DS16" s="115" cm="1">
        <f t="array" ref="DS16">_xll.EQNXTDZ($A$1,$B16,DS$1)</f>
        <v>2290.8000000000002</v>
      </c>
      <c r="DT16" s="115" cm="1">
        <f t="array" ref="DT16">_xll.EQNXTDZ($A$1,$B16,DT$1)</f>
        <v>2779.45</v>
      </c>
      <c r="DU16" s="115" cm="1">
        <f t="array" ref="DU16">_xll.EQNXTDZ($A$1,$B16,DU$1)</f>
        <v>3043.3</v>
      </c>
      <c r="DV16" s="115" cm="1">
        <f t="array" ref="DV16">_xll.EQNXTDZ($A$1,$B16,DV$1)</f>
        <v>3213.3</v>
      </c>
      <c r="DW16" s="115" cm="1">
        <f t="array" ref="DW16">_xll.EQNXTDZ($A$1,$B16,DW$1)</f>
        <v>2753.75</v>
      </c>
      <c r="DX16" s="115" cm="1">
        <f t="array" ref="DX16">_xll.EQNXTDZ($A$1,$B16,DX$1)</f>
        <v>2676.7</v>
      </c>
      <c r="DY16" s="115" cm="1">
        <f t="array" ref="DY16">_xll.EQNXTDZ($A$1,$B16,DY$1)</f>
        <v>2744.5</v>
      </c>
      <c r="DZ16" s="115" cm="1">
        <f t="array" ref="DZ16">_xll.EQNXTDZ($A$1,$B16,DZ$1)</f>
        <v>2693.2</v>
      </c>
      <c r="EA16" s="115" cm="1">
        <f t="array" ref="EA16">_xll.EQNXTDZ($A$1,$B16,EA$1)</f>
        <v>2981.7</v>
      </c>
      <c r="EB16" s="115" cm="1">
        <f t="array" ref="EB16">_xll.EQNXTDZ($A$1,$B16,EB$1)</f>
        <v>2873.9</v>
      </c>
      <c r="EC16" s="115" cm="1">
        <f t="array" ref="EC16">_xll.EQNXTDZ($A$1,$B16,EC$1)</f>
        <v>2773.6</v>
      </c>
      <c r="ED16" s="115" cm="1">
        <f t="array" ref="ED16">_xll.EQNXTDZ($A$1,$B16,ED$1)</f>
        <v>2958.45</v>
      </c>
      <c r="EE16" s="115" cm="1">
        <f t="array" ref="EE16">_xll.EQNXTDZ($A$1,$B16,EE$1)</f>
        <v>3099.6</v>
      </c>
      <c r="EF16" s="115" cm="1">
        <f t="array" ref="EF16">_xll.EQNXTDZ($A$1,$B16,EF$1)</f>
        <v>3121.45</v>
      </c>
      <c r="EG16" s="115" cm="1">
        <f t="array" ref="EG16">_xll.EQNXTDZ($A$1,$B16,EG$1)</f>
        <v>3051.55</v>
      </c>
      <c r="EH16" s="115" cm="1">
        <f t="array" ref="EH16">_xll.EQNXTDZ($A$1,$B16,EH$1)</f>
        <v>3313.95</v>
      </c>
      <c r="EI16" s="115" cm="1">
        <f t="array" ref="EI16">_xll.EQNXTDZ($A$1,$B16,EI$1)</f>
        <v>2816.35</v>
      </c>
      <c r="EJ16" s="115" cm="1">
        <f t="array" ref="EJ16">_xll.EQNXTDZ($A$1,$B16,EJ$1)</f>
        <v>2836.45</v>
      </c>
      <c r="EK16" s="115" cm="1">
        <f t="array" ref="EK16">_xll.EQNXTDZ($A$1,$B16,EK$1)</f>
        <v>3202.2</v>
      </c>
      <c r="EL16" s="115" cm="1">
        <f t="array" ref="EL16">_xll.EQNXTDZ($A$1,$B16,EL$1)</f>
        <v>3125.85</v>
      </c>
      <c r="EM16" s="115" cm="1">
        <f t="array" ref="EM16">_xll.EQNXTDZ($A$1,$B16,EM$1)</f>
        <v>2892.15</v>
      </c>
      <c r="EN16" s="115" cm="1">
        <f t="array" ref="EN16">_xll.EQNXTDZ($A$1,$B16,EN$1)</f>
        <v>2812.3</v>
      </c>
      <c r="EO16" s="115" cm="1">
        <f t="array" ref="EO16">_xll.EQNXTDZ($A$1,$B16,EO$1)</f>
        <v>3687</v>
      </c>
      <c r="EP16" s="115" cm="1">
        <f t="array" ref="EP16">_xll.EQNXTDZ($A$1,$B16,EP$1)</f>
        <v>4238.5</v>
      </c>
      <c r="EQ16" s="115" cm="1">
        <f t="array" ref="EQ16">_xll.EQNXTDZ($A$1,$B16,EQ$1)</f>
        <v>4738.8999999999996</v>
      </c>
      <c r="ER16" s="115" cm="1">
        <f t="array" ref="ER16">_xll.EQNXTDZ($A$1,$B16,ER$1)</f>
        <v>4267.75</v>
      </c>
      <c r="ES16" s="115" cm="1">
        <f t="array" ref="ES16">_xll.EQNXTDZ($A$1,$B16,ES$1)</f>
        <v>3942.15</v>
      </c>
      <c r="ET16" s="115" cm="1">
        <f t="array" ref="ET16">_xll.EQNXTDZ($A$1,$B16,ET$1)</f>
        <v>3908.55</v>
      </c>
      <c r="EU16" s="115" cm="1">
        <f t="array" ref="EU16">_xll.EQNXTDZ($A$1,$B16,EU$1)</f>
        <v>3444.95</v>
      </c>
      <c r="EV16" s="115" cm="1">
        <f t="array" ref="EV16">_xll.EQNXTDZ($A$1,$B16,EV$1)</f>
        <v>3591.85</v>
      </c>
      <c r="EW16" s="115" cm="1">
        <f t="array" ref="EW16">_xll.EQNXTDZ($A$1,$B16,EW$1)</f>
        <v>3405.45</v>
      </c>
      <c r="EX16" s="115" cm="1">
        <f t="array" ref="EX16">_xll.EQNXTDZ($A$1,$B16,EX$1)</f>
        <v>3416.95</v>
      </c>
      <c r="EY16" s="115" cm="1">
        <f t="array" ref="EY16">_xll.EQNXTDZ($A$1,$B16,EY$1)</f>
        <v>3052.45</v>
      </c>
      <c r="EZ16" s="115" cm="1">
        <f t="array" ref="EZ16">_xll.EQNXTDZ($A$1,$B16,EZ$1)</f>
        <v>3370.3</v>
      </c>
      <c r="FA16" s="115" cm="1">
        <f t="array" ref="FA16">_xll.EQNXTDZ($A$1,$B16,FA$1)</f>
        <v>3473.45</v>
      </c>
      <c r="FB16" s="115" cm="1">
        <f t="array" ref="FB16">_xll.EQNXTDZ($A$1,$B16,FB$1)</f>
        <v>4181</v>
      </c>
      <c r="FC16" s="115" cm="1">
        <f t="array" ref="FC16">_xll.EQNXTDZ($A$1,$B16,FC$1)</f>
        <v>4048.15</v>
      </c>
      <c r="FD16" s="115" cm="1">
        <f t="array" ref="FD16">_xll.EQNXTDZ($A$1,$B16,FD$1)</f>
        <v>4094</v>
      </c>
      <c r="FE16" s="115" cm="1">
        <f t="array" ref="FE16">_xll.EQNXTDZ($A$1,$B16,FE$1)</f>
        <v>3862.8</v>
      </c>
      <c r="FF16" s="115" cm="1">
        <f t="array" ref="FF16">_xll.EQNXTDZ($A$1,$B16,FF$1)</f>
        <v>4210.25</v>
      </c>
      <c r="FG16" s="115" cm="1">
        <f t="array" ref="FG16">_xll.EQNXTDZ($A$1,$B16,FG$1)</f>
        <v>4017.1</v>
      </c>
      <c r="FH16" s="115" cm="1">
        <f t="array" ref="FH16">_xll.EQNXTDZ($A$1,$B16,FH$1)</f>
        <v>3899.6</v>
      </c>
      <c r="FI16" s="115" cm="1">
        <f t="array" ref="FI16">_xll.EQNXTDZ($A$1,$B16,FI$1)</f>
        <v>3885.25</v>
      </c>
      <c r="FJ16" s="115" cm="1">
        <f t="array" ref="FJ16">_xll.EQNXTDZ($A$1,$B16,FJ$1)</f>
        <v>3625.55</v>
      </c>
      <c r="FK16" s="115" cm="1">
        <f t="array" ref="FK16">_xll.EQNXTDZ($A$1,$B16,FK$1)</f>
        <v>4361.3500000000004</v>
      </c>
      <c r="FL16" s="115" cm="1">
        <f t="array" ref="FL16">_xll.EQNXTDZ($A$1,$B16,FL$1)</f>
        <v>3844.7</v>
      </c>
      <c r="FM16" s="115" cm="1">
        <f t="array" ref="FM16">_xll.EQNXTDZ($A$1,$B16,FM$1)</f>
        <v>4123.3999999999996</v>
      </c>
      <c r="FN16" s="115" cm="1">
        <f t="array" ref="FN16">_xll.EQNXTDZ($A$1,$B16,FN$1)</f>
        <v>4131.7</v>
      </c>
      <c r="FO16" s="115" cm="1">
        <f t="array" ref="FO16">_xll.EQNXTDZ($A$1,$B16,FO$1)</f>
        <v>4165.75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352.06</v>
      </c>
      <c r="HQ16" s="115">
        <f>+I16</f>
        <v>339.94</v>
      </c>
      <c r="HR16" s="115">
        <f>+L16</f>
        <v>293.93</v>
      </c>
      <c r="HS16" s="115">
        <f>+O16</f>
        <v>284</v>
      </c>
      <c r="HT16" s="115">
        <f>+R16</f>
        <v>249.7</v>
      </c>
      <c r="HU16" s="115">
        <f>+U16</f>
        <v>322.79000000000002</v>
      </c>
      <c r="HV16" s="115">
        <f>+X16</f>
        <v>375.5</v>
      </c>
      <c r="HW16" s="115">
        <f>+AA16</f>
        <v>497.28</v>
      </c>
      <c r="HX16" s="115">
        <f>+AD16</f>
        <v>575.97</v>
      </c>
      <c r="HY16" s="115">
        <f>+AG16</f>
        <v>714.02</v>
      </c>
      <c r="HZ16" s="115">
        <f>+AJ16</f>
        <v>828.63</v>
      </c>
      <c r="IA16" s="115">
        <f>+AM16</f>
        <v>824.52</v>
      </c>
      <c r="IB16" s="115">
        <f>+AP16</f>
        <v>806.75</v>
      </c>
      <c r="IC16" s="115">
        <f>+AS16</f>
        <v>877.42</v>
      </c>
      <c r="ID16" s="115">
        <f>+AV16</f>
        <v>764.09</v>
      </c>
      <c r="IE16" s="115">
        <f>+AY16</f>
        <v>822.08</v>
      </c>
      <c r="IF16" s="115">
        <f>+BB16</f>
        <v>816.76</v>
      </c>
      <c r="IG16" s="115">
        <f>+BE16</f>
        <v>773.14</v>
      </c>
      <c r="IH16" s="115">
        <f>+BH16</f>
        <v>911.96</v>
      </c>
      <c r="II16" s="115">
        <f>+BK16</f>
        <v>892.68</v>
      </c>
      <c r="IJ16" s="115">
        <f>+BN16</f>
        <v>979.1</v>
      </c>
      <c r="IK16" s="115">
        <f>+BQ16</f>
        <v>1168.83</v>
      </c>
      <c r="IL16" s="115">
        <f>+BT16</f>
        <v>1033.03</v>
      </c>
      <c r="IM16" s="115">
        <f>+BW16</f>
        <v>1106.28</v>
      </c>
      <c r="IN16" s="115">
        <f>+BZ16</f>
        <v>1079.03</v>
      </c>
      <c r="IO16" s="115">
        <f>+CC16</f>
        <v>1138.25</v>
      </c>
      <c r="IP16" s="115">
        <f>+CF16</f>
        <v>1101.3399999999999</v>
      </c>
      <c r="IQ16" s="115">
        <f>+CI16</f>
        <v>975.34</v>
      </c>
      <c r="IR16" s="115">
        <f>+CL16</f>
        <v>877.07</v>
      </c>
      <c r="IS16" s="115">
        <f>+CO16</f>
        <v>939.69</v>
      </c>
      <c r="IT16" s="115">
        <f>+CR16</f>
        <v>739.82</v>
      </c>
      <c r="IU16" s="115">
        <f>+CU16</f>
        <v>715.26</v>
      </c>
      <c r="IV16" s="115">
        <f>+CX16</f>
        <v>710.68</v>
      </c>
      <c r="IW16" s="115">
        <f>+DA16</f>
        <v>907.71</v>
      </c>
      <c r="IX16" s="115">
        <f>+DD16</f>
        <v>1082.1400000000001</v>
      </c>
      <c r="IY16" s="115">
        <f>+DG16</f>
        <v>1128.25</v>
      </c>
      <c r="IZ16" s="115">
        <f>+DJ16</f>
        <v>1522.08</v>
      </c>
      <c r="JA16" s="115">
        <f>+DM16</f>
        <v>1758.09</v>
      </c>
      <c r="JB16" s="115">
        <f>+DP16</f>
        <v>1950.6</v>
      </c>
      <c r="JC16" s="115">
        <f>+DS16</f>
        <v>2290.8000000000002</v>
      </c>
      <c r="JD16" s="115">
        <f>+DV16</f>
        <v>3213.3</v>
      </c>
      <c r="JE16" s="115">
        <f>+DY16</f>
        <v>2744.5</v>
      </c>
      <c r="JF16" s="115">
        <f>+EB16</f>
        <v>2873.9</v>
      </c>
      <c r="JG16" s="115">
        <f>+EE16</f>
        <v>3099.6</v>
      </c>
      <c r="JH16" s="115">
        <f>+EH16</f>
        <v>3313.95</v>
      </c>
      <c r="JI16" s="115">
        <f>+EK16</f>
        <v>3202.2</v>
      </c>
      <c r="JJ16" s="115">
        <f>+EN16</f>
        <v>2812.3</v>
      </c>
      <c r="JK16" s="115">
        <f>EQ16</f>
        <v>4738.8999999999996</v>
      </c>
      <c r="JL16" s="115">
        <f>ET16</f>
        <v>3908.55</v>
      </c>
      <c r="JM16" s="115">
        <f>EW16</f>
        <v>3405.45</v>
      </c>
      <c r="JN16" s="115">
        <f>EZ16</f>
        <v>3370.3</v>
      </c>
      <c r="JO16" s="115">
        <f>FC16</f>
        <v>4048.15</v>
      </c>
      <c r="JP16" s="115">
        <f>FF16</f>
        <v>4210.25</v>
      </c>
      <c r="JQ16" s="115">
        <f>FI16</f>
        <v>3885.25</v>
      </c>
      <c r="JR16" s="115">
        <f>FL16</f>
        <v>3844.7</v>
      </c>
      <c r="JS16" s="115">
        <f>FO16</f>
        <v>4165.75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360</v>
      </c>
      <c r="HQ19" s="115">
        <f t="shared" ref="HQ19:JI21" si="0">+IF(HQ14=0,HQ7,HQ14)</f>
        <v>365.37</v>
      </c>
      <c r="HR19" s="115">
        <f t="shared" si="0"/>
        <v>340</v>
      </c>
      <c r="HS19" s="115">
        <f t="shared" si="0"/>
        <v>308</v>
      </c>
      <c r="HT19" s="115">
        <f t="shared" si="0"/>
        <v>293.8</v>
      </c>
      <c r="HU19" s="115">
        <f t="shared" si="0"/>
        <v>329.79</v>
      </c>
      <c r="HV19" s="115">
        <f t="shared" si="0"/>
        <v>383</v>
      </c>
      <c r="HW19" s="115">
        <f t="shared" si="0"/>
        <v>522</v>
      </c>
      <c r="HX19" s="115">
        <f t="shared" si="0"/>
        <v>607.84</v>
      </c>
      <c r="HY19" s="115">
        <f t="shared" si="0"/>
        <v>765</v>
      </c>
      <c r="HZ19" s="115">
        <f t="shared" si="0"/>
        <v>886.21</v>
      </c>
      <c r="IA19" s="115">
        <f t="shared" si="0"/>
        <v>916</v>
      </c>
      <c r="IB19" s="115">
        <f t="shared" si="0"/>
        <v>978</v>
      </c>
      <c r="IC19" s="115">
        <f t="shared" si="0"/>
        <v>879.99</v>
      </c>
      <c r="ID19" s="115">
        <f t="shared" si="0"/>
        <v>887.6</v>
      </c>
      <c r="IE19" s="115">
        <f t="shared" si="0"/>
        <v>862.97</v>
      </c>
      <c r="IF19" s="115">
        <f t="shared" si="0"/>
        <v>852</v>
      </c>
      <c r="IG19" s="115">
        <f t="shared" si="0"/>
        <v>999.6</v>
      </c>
      <c r="IH19" s="115">
        <f t="shared" si="0"/>
        <v>929.2</v>
      </c>
      <c r="II19" s="115">
        <f t="shared" si="0"/>
        <v>994.67</v>
      </c>
      <c r="IJ19" s="115">
        <f t="shared" si="0"/>
        <v>1029.8</v>
      </c>
      <c r="IK19" s="115">
        <f t="shared" si="0"/>
        <v>1192</v>
      </c>
      <c r="IL19" s="115">
        <f t="shared" si="0"/>
        <v>1183.4100000000001</v>
      </c>
      <c r="IM19" s="115">
        <f t="shared" si="0"/>
        <v>1130</v>
      </c>
      <c r="IN19" s="115">
        <f t="shared" si="0"/>
        <v>1159.99</v>
      </c>
      <c r="IO19" s="115">
        <f t="shared" si="0"/>
        <v>1144.8399999999999</v>
      </c>
      <c r="IP19" s="115">
        <f t="shared" si="0"/>
        <v>1167.26</v>
      </c>
      <c r="IQ19" s="115">
        <f t="shared" si="0"/>
        <v>1139.99</v>
      </c>
      <c r="IR19" s="115">
        <f t="shared" si="0"/>
        <v>980</v>
      </c>
      <c r="IS19" s="115">
        <f t="shared" si="0"/>
        <v>950</v>
      </c>
      <c r="IT19" s="115">
        <f t="shared" si="0"/>
        <v>990</v>
      </c>
      <c r="IU19" s="115">
        <f t="shared" si="0"/>
        <v>752</v>
      </c>
      <c r="IV19" s="115">
        <f t="shared" si="0"/>
        <v>851</v>
      </c>
      <c r="IW19" s="115">
        <f t="shared" si="0"/>
        <v>949.31</v>
      </c>
      <c r="IX19" s="115">
        <f t="shared" si="0"/>
        <v>1099.99</v>
      </c>
      <c r="IY19" s="115">
        <f t="shared" si="0"/>
        <v>1149</v>
      </c>
      <c r="IZ19" s="115">
        <f t="shared" si="0"/>
        <v>1536.76</v>
      </c>
      <c r="JA19" s="115">
        <f t="shared" si="0"/>
        <v>1773.99</v>
      </c>
      <c r="JB19" s="115">
        <f t="shared" si="0"/>
        <v>1965.4</v>
      </c>
      <c r="JC19" s="115">
        <f t="shared" si="0"/>
        <v>2489.4</v>
      </c>
      <c r="JD19" s="115">
        <f t="shared" si="0"/>
        <v>3968.75</v>
      </c>
      <c r="JE19" s="115">
        <f t="shared" si="0"/>
        <v>3420</v>
      </c>
      <c r="JF19" s="115">
        <f t="shared" si="0"/>
        <v>3135.5</v>
      </c>
      <c r="JG19" s="115">
        <f t="shared" si="0"/>
        <v>3293.5</v>
      </c>
      <c r="JH19" s="115">
        <f t="shared" si="0"/>
        <v>3719.2</v>
      </c>
      <c r="JI19" s="115">
        <f t="shared" si="0"/>
        <v>3335.7</v>
      </c>
      <c r="JJ19" s="115">
        <f t="shared" ref="JJ19:JJ21" si="1">+IF(JJ14=0,JJ7,JJ14)</f>
        <v>3433.85</v>
      </c>
      <c r="JK19" s="115">
        <f t="shared" ref="JK19" si="2">+IF(JK14=0,JK7,JK14)</f>
        <v>4950</v>
      </c>
      <c r="JL19" s="115">
        <f t="shared" ref="JL19:JM19" si="3">+IF(JL14=0,JL7,JL14)</f>
        <v>4794.8999999999996</v>
      </c>
      <c r="JM19" s="115">
        <f t="shared" si="3"/>
        <v>4079.95</v>
      </c>
      <c r="JN19" s="115">
        <f t="shared" ref="JN19:JO19" si="4">+IF(JN14=0,JN7,JN14)</f>
        <v>3737.3</v>
      </c>
      <c r="JO19" s="115">
        <f t="shared" si="4"/>
        <v>4360.7</v>
      </c>
      <c r="JP19" s="115">
        <f t="shared" ref="JP19:KH21" si="5">+IF(JP14=0,JP7,JP14)</f>
        <v>4372.7</v>
      </c>
      <c r="JQ19" s="115">
        <f t="shared" si="5"/>
        <v>4392.8500000000004</v>
      </c>
      <c r="JR19" s="115">
        <f t="shared" si="5"/>
        <v>4465</v>
      </c>
      <c r="JS19" s="115">
        <f t="shared" si="5"/>
        <v>4444.3999999999996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283</v>
      </c>
      <c r="HQ20" s="115">
        <f t="shared" si="6"/>
        <v>325</v>
      </c>
      <c r="HR20" s="115">
        <f t="shared" si="6"/>
        <v>269.8</v>
      </c>
      <c r="HS20" s="115">
        <f t="shared" si="6"/>
        <v>257.94</v>
      </c>
      <c r="HT20" s="115">
        <f t="shared" si="6"/>
        <v>220</v>
      </c>
      <c r="HU20" s="115">
        <f t="shared" si="6"/>
        <v>250.04</v>
      </c>
      <c r="HV20" s="115">
        <f t="shared" si="6"/>
        <v>293.54000000000002</v>
      </c>
      <c r="HW20" s="115">
        <f t="shared" si="6"/>
        <v>366</v>
      </c>
      <c r="HX20" s="115">
        <f t="shared" si="6"/>
        <v>500</v>
      </c>
      <c r="HY20" s="115">
        <f t="shared" si="6"/>
        <v>550.04999999999995</v>
      </c>
      <c r="HZ20" s="115">
        <f t="shared" si="6"/>
        <v>680.98</v>
      </c>
      <c r="IA20" s="115">
        <f t="shared" si="6"/>
        <v>776</v>
      </c>
      <c r="IB20" s="115">
        <f t="shared" si="6"/>
        <v>802</v>
      </c>
      <c r="IC20" s="115">
        <f t="shared" si="6"/>
        <v>745</v>
      </c>
      <c r="ID20" s="115">
        <f t="shared" si="6"/>
        <v>741.3</v>
      </c>
      <c r="IE20" s="115">
        <f t="shared" si="6"/>
        <v>754</v>
      </c>
      <c r="IF20" s="115">
        <f t="shared" si="0"/>
        <v>793.13</v>
      </c>
      <c r="IG20" s="115">
        <f t="shared" si="0"/>
        <v>756</v>
      </c>
      <c r="IH20" s="115">
        <f t="shared" si="0"/>
        <v>760.52</v>
      </c>
      <c r="II20" s="115">
        <f t="shared" si="0"/>
        <v>880</v>
      </c>
      <c r="IJ20" s="115">
        <f t="shared" si="0"/>
        <v>827.21</v>
      </c>
      <c r="IK20" s="115">
        <f t="shared" si="0"/>
        <v>952</v>
      </c>
      <c r="IL20" s="115">
        <f t="shared" si="0"/>
        <v>1030</v>
      </c>
      <c r="IM20" s="115">
        <f t="shared" si="0"/>
        <v>1040</v>
      </c>
      <c r="IN20" s="115">
        <f t="shared" si="0"/>
        <v>1035.47</v>
      </c>
      <c r="IO20" s="115">
        <f t="shared" si="0"/>
        <v>919.8</v>
      </c>
      <c r="IP20" s="115">
        <f t="shared" si="0"/>
        <v>1028.2</v>
      </c>
      <c r="IQ20" s="115">
        <f t="shared" si="0"/>
        <v>934.21</v>
      </c>
      <c r="IR20" s="115">
        <f t="shared" si="0"/>
        <v>768.2</v>
      </c>
      <c r="IS20" s="115">
        <f t="shared" si="0"/>
        <v>793.4</v>
      </c>
      <c r="IT20" s="115">
        <f t="shared" si="0"/>
        <v>641.20000000000005</v>
      </c>
      <c r="IU20" s="115">
        <f t="shared" si="0"/>
        <v>608.82000000000005</v>
      </c>
      <c r="IV20" s="115">
        <f t="shared" si="0"/>
        <v>687.4</v>
      </c>
      <c r="IW20" s="115">
        <f t="shared" si="0"/>
        <v>690</v>
      </c>
      <c r="IX20" s="115">
        <f t="shared" si="0"/>
        <v>852</v>
      </c>
      <c r="IY20" s="115">
        <f t="shared" si="0"/>
        <v>964.95</v>
      </c>
      <c r="IZ20" s="115">
        <f t="shared" si="0"/>
        <v>1065</v>
      </c>
      <c r="JA20" s="115">
        <f t="shared" si="0"/>
        <v>1416</v>
      </c>
      <c r="JB20" s="115">
        <f t="shared" si="0"/>
        <v>1600</v>
      </c>
      <c r="JC20" s="115">
        <f t="shared" si="0"/>
        <v>1913.8</v>
      </c>
      <c r="JD20" s="115">
        <f t="shared" si="0"/>
        <v>2241</v>
      </c>
      <c r="JE20" s="115">
        <f t="shared" si="0"/>
        <v>2602.5</v>
      </c>
      <c r="JF20" s="115">
        <f t="shared" si="0"/>
        <v>2554.75</v>
      </c>
      <c r="JG20" s="115">
        <f t="shared" si="0"/>
        <v>2685.9</v>
      </c>
      <c r="JH20" s="115">
        <f t="shared" si="0"/>
        <v>2928.4</v>
      </c>
      <c r="JI20" s="115">
        <f t="shared" si="0"/>
        <v>2616.0500000000002</v>
      </c>
      <c r="JJ20" s="115">
        <f t="shared" si="1"/>
        <v>2699.55</v>
      </c>
      <c r="JK20" s="115">
        <f t="shared" ref="JK20" si="7">+IF(JK15=0,JK8,JK15)</f>
        <v>2840</v>
      </c>
      <c r="JL20" s="115">
        <f t="shared" ref="JL20:JM20" si="8">+IF(JL15=0,JL8,JL15)</f>
        <v>3755</v>
      </c>
      <c r="JM20" s="115">
        <f t="shared" si="8"/>
        <v>3258.7</v>
      </c>
      <c r="JN20" s="115">
        <f t="shared" ref="JN20:JO20" si="9">+IF(JN15=0,JN8,JN15)</f>
        <v>2836.55</v>
      </c>
      <c r="JO20" s="115">
        <f t="shared" si="9"/>
        <v>2851</v>
      </c>
      <c r="JP20" s="115">
        <f t="shared" ref="JP20" si="10">+IF(JP15=0,JP8,JP15)</f>
        <v>3760.85</v>
      </c>
      <c r="JQ20" s="115">
        <f t="shared" si="5"/>
        <v>3703.05</v>
      </c>
      <c r="JR20" s="115">
        <f t="shared" si="5"/>
        <v>3519</v>
      </c>
      <c r="JS20" s="115">
        <f t="shared" si="5"/>
        <v>3686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352.06</v>
      </c>
      <c r="HQ21" s="115">
        <f t="shared" si="0"/>
        <v>339.94</v>
      </c>
      <c r="HR21" s="115">
        <f t="shared" si="0"/>
        <v>293.93</v>
      </c>
      <c r="HS21" s="115">
        <f t="shared" si="0"/>
        <v>284</v>
      </c>
      <c r="HT21" s="115">
        <f t="shared" si="0"/>
        <v>249.7</v>
      </c>
      <c r="HU21" s="115">
        <f t="shared" si="0"/>
        <v>322.79000000000002</v>
      </c>
      <c r="HV21" s="115">
        <f t="shared" si="0"/>
        <v>375.5</v>
      </c>
      <c r="HW21" s="115">
        <f t="shared" si="0"/>
        <v>497.28</v>
      </c>
      <c r="HX21" s="115">
        <f t="shared" si="0"/>
        <v>575.97</v>
      </c>
      <c r="HY21" s="115">
        <f t="shared" si="0"/>
        <v>714.02</v>
      </c>
      <c r="HZ21" s="115">
        <f t="shared" si="0"/>
        <v>828.63</v>
      </c>
      <c r="IA21" s="115">
        <f t="shared" si="0"/>
        <v>824.52</v>
      </c>
      <c r="IB21" s="115">
        <f t="shared" si="0"/>
        <v>806.75</v>
      </c>
      <c r="IC21" s="115">
        <f t="shared" si="0"/>
        <v>877.42</v>
      </c>
      <c r="ID21" s="115">
        <f t="shared" si="0"/>
        <v>764.09</v>
      </c>
      <c r="IE21" s="115">
        <f t="shared" si="0"/>
        <v>822.08</v>
      </c>
      <c r="IF21" s="115">
        <f t="shared" si="0"/>
        <v>816.76</v>
      </c>
      <c r="IG21" s="115">
        <f t="shared" si="0"/>
        <v>773.14</v>
      </c>
      <c r="IH21" s="115">
        <f t="shared" si="0"/>
        <v>911.96</v>
      </c>
      <c r="II21" s="115">
        <f t="shared" si="0"/>
        <v>892.68</v>
      </c>
      <c r="IJ21" s="115">
        <f t="shared" si="0"/>
        <v>979.1</v>
      </c>
      <c r="IK21" s="115">
        <f t="shared" si="0"/>
        <v>1168.83</v>
      </c>
      <c r="IL21" s="115">
        <f t="shared" si="0"/>
        <v>1033.03</v>
      </c>
      <c r="IM21" s="115">
        <f t="shared" si="0"/>
        <v>1106.28</v>
      </c>
      <c r="IN21" s="115">
        <f t="shared" si="0"/>
        <v>1079.03</v>
      </c>
      <c r="IO21" s="115">
        <f t="shared" si="0"/>
        <v>1138.25</v>
      </c>
      <c r="IP21" s="115">
        <f t="shared" si="0"/>
        <v>1101.3399999999999</v>
      </c>
      <c r="IQ21" s="115">
        <f t="shared" si="0"/>
        <v>975.34</v>
      </c>
      <c r="IR21" s="115">
        <f t="shared" si="0"/>
        <v>877.07</v>
      </c>
      <c r="IS21" s="115">
        <f t="shared" si="0"/>
        <v>939.69</v>
      </c>
      <c r="IT21" s="115">
        <f t="shared" si="0"/>
        <v>739.82</v>
      </c>
      <c r="IU21" s="115">
        <f t="shared" si="0"/>
        <v>715.26</v>
      </c>
      <c r="IV21" s="115">
        <f t="shared" si="0"/>
        <v>710.68</v>
      </c>
      <c r="IW21" s="115">
        <f t="shared" si="0"/>
        <v>907.71</v>
      </c>
      <c r="IX21" s="115">
        <f t="shared" si="0"/>
        <v>1082.1400000000001</v>
      </c>
      <c r="IY21" s="115">
        <f t="shared" si="0"/>
        <v>1128.25</v>
      </c>
      <c r="IZ21" s="115">
        <f t="shared" si="0"/>
        <v>1522.08</v>
      </c>
      <c r="JA21" s="115">
        <f t="shared" si="0"/>
        <v>1758.09</v>
      </c>
      <c r="JB21" s="115">
        <f t="shared" si="0"/>
        <v>1950.6</v>
      </c>
      <c r="JC21" s="115">
        <f t="shared" si="0"/>
        <v>2290.8000000000002</v>
      </c>
      <c r="JD21" s="115">
        <f t="shared" si="0"/>
        <v>3213.3</v>
      </c>
      <c r="JE21" s="115">
        <f t="shared" si="0"/>
        <v>2744.5</v>
      </c>
      <c r="JF21" s="115">
        <f t="shared" si="0"/>
        <v>2873.9</v>
      </c>
      <c r="JG21" s="115">
        <f t="shared" si="0"/>
        <v>3099.6</v>
      </c>
      <c r="JH21" s="115">
        <f t="shared" si="0"/>
        <v>3313.95</v>
      </c>
      <c r="JI21" s="115">
        <f t="shared" si="0"/>
        <v>3202.2</v>
      </c>
      <c r="JJ21" s="115">
        <f t="shared" si="1"/>
        <v>2812.3</v>
      </c>
      <c r="JK21" s="115">
        <f t="shared" ref="JK21" si="11">+IF(JK16=0,JK9,JK16)</f>
        <v>4738.8999999999996</v>
      </c>
      <c r="JL21" s="115">
        <f t="shared" ref="JL21:JM21" si="12">+IF(JL16=0,JL9,JL16)</f>
        <v>3908.55</v>
      </c>
      <c r="JM21" s="115">
        <f t="shared" si="12"/>
        <v>3405.45</v>
      </c>
      <c r="JN21" s="115">
        <f t="shared" ref="JN21:JO21" si="13">+IF(JN16=0,JN9,JN16)</f>
        <v>3370.3</v>
      </c>
      <c r="JO21" s="115">
        <f t="shared" si="13"/>
        <v>4048.15</v>
      </c>
      <c r="JP21" s="115">
        <f t="shared" ref="JP21" si="14">+IF(JP16=0,JP9,JP16)</f>
        <v>4210.25</v>
      </c>
      <c r="JQ21" s="115">
        <f t="shared" si="5"/>
        <v>3885.25</v>
      </c>
      <c r="JR21" s="115">
        <f t="shared" si="5"/>
        <v>3844.7</v>
      </c>
      <c r="JS21" s="115">
        <f t="shared" si="5"/>
        <v>4165.75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105790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426</v>
      </c>
      <c r="B6" t="s">
        <v>427</v>
      </c>
      <c r="C6" cm="1">
        <f t="array" ref="C6">_xll.EQNXTDZ($A$1,$B6,C$1)</f>
        <v>16617270</v>
      </c>
      <c r="D6" cm="1">
        <f t="array" ref="D6">_xll.EQNXTDZ($A$1,$B6,D$1)</f>
        <v>16617270</v>
      </c>
      <c r="E6" cm="1">
        <f t="array" ref="E6">_xll.EQNXTDZ($A$1,$B6,E$1)</f>
        <v>16617270</v>
      </c>
      <c r="F6" cm="1">
        <f t="array" ref="F6">_xll.EQNXTDZ($A$1,$B6,F$1)</f>
        <v>16617270</v>
      </c>
      <c r="G6" cm="1">
        <f t="array" ref="G6">_xll.EQNXTDZ($A$1,$B6,G$1)</f>
        <v>16617270</v>
      </c>
      <c r="H6" cm="1">
        <f t="array" ref="H6">_xll.EQNXTDZ($A$1,$B6,H$1)</f>
        <v>16617270</v>
      </c>
      <c r="I6" cm="1">
        <f t="array" ref="I6">_xll.EQNXTDZ($A$1,$B6,I$1)</f>
        <v>16617270</v>
      </c>
      <c r="J6" cm="1">
        <f t="array" ref="J6">_xll.EQNXTDZ($A$1,$B6,J$1)</f>
        <v>16617270</v>
      </c>
      <c r="K6" cm="1">
        <f t="array" ref="K6">_xll.EQNXTDZ($A$1,$B6,K$1)</f>
        <v>16617270</v>
      </c>
      <c r="L6" cm="1">
        <f t="array" ref="L6">_xll.EQNXTDZ($A$1,$B6,L$1)</f>
        <v>16617270</v>
      </c>
      <c r="M6" cm="1">
        <f t="array" ref="M6">_xll.EQNXTDZ($A$1,$B6,M$1)</f>
        <v>16617270</v>
      </c>
      <c r="N6" cm="1">
        <f t="array" ref="N6">_xll.EQNXTDZ($A$1,$B6,N$1)</f>
        <v>16617270</v>
      </c>
      <c r="O6" cm="1">
        <f t="array" ref="O6">_xll.EQNXTDZ($A$1,$B6,O$1)</f>
        <v>16617270</v>
      </c>
      <c r="P6" cm="1">
        <f t="array" ref="P6">_xll.EQNXTDZ($A$1,$B6,P$1)</f>
        <v>16617270</v>
      </c>
      <c r="Q6" cm="1">
        <f t="array" ref="Q6">_xll.EQNXTDZ($A$1,$B6,Q$1)</f>
        <v>16617270</v>
      </c>
      <c r="R6" cm="1">
        <f t="array" ref="R6">_xll.EQNXTDZ($A$1,$B6,R$1)</f>
        <v>16617270</v>
      </c>
      <c r="S6" cm="1">
        <f t="array" ref="S6">_xll.EQNXTDZ($A$1,$B6,S$1)</f>
        <v>16617270</v>
      </c>
      <c r="T6" cm="1">
        <f t="array" ref="T6">_xll.EQNXTDZ($A$1,$B6,T$1)</f>
        <v>16617270</v>
      </c>
      <c r="U6" cm="1">
        <f t="array" ref="U6">_xll.EQNXTDZ($A$1,$B6,U$1)</f>
        <v>16617270</v>
      </c>
      <c r="V6" cm="1">
        <f t="array" ref="V6">_xll.EQNXTDZ($A$1,$B6,V$1)</f>
        <v>16617270</v>
      </c>
      <c r="W6" cm="1">
        <f t="array" ref="W6">_xll.EQNXTDZ($A$1,$B6,W$1)</f>
        <v>16617270</v>
      </c>
      <c r="X6" cm="1">
        <f t="array" ref="X6">_xll.EQNXTDZ($A$1,$B6,X$1)</f>
        <v>16617270</v>
      </c>
      <c r="Y6" cm="1">
        <f t="array" ref="Y6">_xll.EQNXTDZ($A$1,$B6,Y$1)</f>
        <v>16617270</v>
      </c>
      <c r="Z6" cm="1">
        <f t="array" ref="Z6">_xll.EQNXTDZ($A$1,$B6,Z$1)</f>
        <v>16617270</v>
      </c>
      <c r="AA6" cm="1">
        <f t="array" ref="AA6">_xll.EQNXTDZ($A$1,$B6,AA$1)</f>
        <v>16617270</v>
      </c>
      <c r="AB6" cm="1">
        <f t="array" ref="AB6">_xll.EQNXTDZ($A$1,$B6,AB$1)</f>
        <v>16617270</v>
      </c>
      <c r="AC6" cm="1">
        <f t="array" ref="AC6">_xll.EQNXTDZ($A$1,$B6,AC$1)</f>
        <v>31260734</v>
      </c>
      <c r="AD6" cm="1">
        <f t="array" ref="AD6">_xll.EQNXTDZ($A$1,$B6,AD$1)</f>
        <v>31260734</v>
      </c>
      <c r="AE6" cm="1">
        <f t="array" ref="AE6">_xll.EQNXTDZ($A$1,$B6,AE$1)</f>
        <v>31260734</v>
      </c>
      <c r="AF6" cm="1">
        <f t="array" ref="AF6">_xll.EQNXTDZ($A$1,$B6,AF$1)</f>
        <v>31260734</v>
      </c>
      <c r="AG6" cm="1">
        <f t="array" ref="AG6">_xll.EQNXTDZ($A$1,$B6,AG$1)</f>
        <v>31260734</v>
      </c>
      <c r="AH6" cm="1">
        <f t="array" ref="AH6">_xll.EQNXTDZ($A$1,$B6,AH$1)</f>
        <v>31260734</v>
      </c>
      <c r="AI6" cm="1">
        <f t="array" ref="AI6">_xll.EQNXTDZ($A$1,$B6,AI$1)</f>
        <v>31260734</v>
      </c>
      <c r="AJ6" cm="1">
        <f t="array" ref="AJ6">_xll.EQNXTDZ($A$1,$B6,AJ$1)</f>
        <v>31260734</v>
      </c>
      <c r="AK6" cm="1">
        <f t="array" ref="AK6">_xll.EQNXTDZ($A$1,$B6,AK$1)</f>
        <v>31260734</v>
      </c>
      <c r="AL6" cm="1">
        <f t="array" ref="AL6">_xll.EQNXTDZ($A$1,$B6,AL$1)</f>
        <v>31260734</v>
      </c>
      <c r="AM6" cm="1">
        <f t="array" ref="AM6">_xll.EQNXTDZ($A$1,$B6,AM$1)</f>
        <v>31260734</v>
      </c>
      <c r="AN6" cm="1">
        <f t="array" ref="AN6">_xll.EQNXTDZ($A$1,$B6,AN$1)</f>
        <v>31260734</v>
      </c>
      <c r="AO6" cm="1">
        <f t="array" ref="AO6">_xll.EQNXTDZ($A$1,$B6,AO$1)</f>
        <v>31260734</v>
      </c>
      <c r="AP6" cm="1">
        <f t="array" ref="AP6">_xll.EQNXTDZ($A$1,$B6,AP$1)</f>
        <v>156303670</v>
      </c>
      <c r="AQ6" cm="1">
        <f t="array" ref="AQ6">_xll.EQNXTDZ($A$1,$B6,AQ$1)</f>
        <v>156303670</v>
      </c>
      <c r="AR6" cm="1">
        <f t="array" ref="AR6">_xll.EQNXTDZ($A$1,$B6,AR$1)</f>
        <v>156303670</v>
      </c>
      <c r="AS6" cm="1">
        <f t="array" ref="AS6">_xll.EQNXTDZ($A$1,$B6,AS$1)</f>
        <v>156303670</v>
      </c>
      <c r="AT6" cm="1">
        <f t="array" ref="AT6">_xll.EQNXTDZ($A$1,$B6,AT$1)</f>
        <v>156303670</v>
      </c>
      <c r="AU6" cm="1">
        <f t="array" ref="AU6">_xll.EQNXTDZ($A$1,$B6,AU$1)</f>
        <v>156303670</v>
      </c>
      <c r="AV6" cm="1">
        <f t="array" ref="AV6">_xll.EQNXTDZ($A$1,$B6,AV$1)</f>
        <v>156303670</v>
      </c>
      <c r="AW6" cm="1">
        <f t="array" ref="AW6">_xll.EQNXTDZ($A$1,$B6,AW$1)</f>
        <v>156303670</v>
      </c>
      <c r="AX6" cm="1">
        <f t="array" ref="AX6">_xll.EQNXTDZ($A$1,$B6,AX$1)</f>
        <v>156303670</v>
      </c>
      <c r="AY6" cm="1">
        <f t="array" ref="AY6">_xll.EQNXTDZ($A$1,$B6,AY$1)</f>
        <v>156303670</v>
      </c>
    </row>
    <row r="7" spans="1:51" x14ac:dyDescent="0.25">
      <c r="B7" t="s">
        <v>428</v>
      </c>
      <c r="C7" s="99">
        <f>+C6/10^7</f>
        <v>1.661727</v>
      </c>
      <c r="D7" s="99">
        <f t="shared" ref="D7:X7" si="0">+D6/10^7</f>
        <v>1.661727</v>
      </c>
      <c r="E7" s="99">
        <f t="shared" si="0"/>
        <v>1.661727</v>
      </c>
      <c r="F7" s="99">
        <f t="shared" si="0"/>
        <v>1.661727</v>
      </c>
      <c r="G7" s="99">
        <f t="shared" si="0"/>
        <v>1.661727</v>
      </c>
      <c r="H7" s="99">
        <f t="shared" si="0"/>
        <v>1.661727</v>
      </c>
      <c r="I7" s="99">
        <f t="shared" si="0"/>
        <v>1.661727</v>
      </c>
      <c r="J7" s="99">
        <f t="shared" si="0"/>
        <v>1.661727</v>
      </c>
      <c r="K7" s="99">
        <f t="shared" si="0"/>
        <v>1.661727</v>
      </c>
      <c r="L7" s="99">
        <f t="shared" si="0"/>
        <v>1.661727</v>
      </c>
      <c r="M7" s="99">
        <f t="shared" si="0"/>
        <v>1.661727</v>
      </c>
      <c r="N7" s="99">
        <f t="shared" si="0"/>
        <v>1.661727</v>
      </c>
      <c r="O7" s="99">
        <f t="shared" si="0"/>
        <v>1.661727</v>
      </c>
      <c r="P7" s="99">
        <f t="shared" si="0"/>
        <v>1.661727</v>
      </c>
      <c r="Q7" s="99">
        <f t="shared" si="0"/>
        <v>1.661727</v>
      </c>
      <c r="R7" s="99">
        <f t="shared" si="0"/>
        <v>1.661727</v>
      </c>
      <c r="S7" s="99">
        <f t="shared" si="0"/>
        <v>1.661727</v>
      </c>
      <c r="T7" s="99">
        <f t="shared" si="0"/>
        <v>1.661727</v>
      </c>
      <c r="U7" s="99">
        <f t="shared" si="0"/>
        <v>1.661727</v>
      </c>
      <c r="V7" s="99">
        <f t="shared" si="0"/>
        <v>1.661727</v>
      </c>
      <c r="W7" s="99">
        <f t="shared" si="0"/>
        <v>1.661727</v>
      </c>
      <c r="X7" s="99">
        <f t="shared" si="0"/>
        <v>1.661727</v>
      </c>
      <c r="Y7" s="99">
        <f t="shared" ref="Y7:AS7" si="1">+Y6/10^7</f>
        <v>1.661727</v>
      </c>
      <c r="Z7" s="99">
        <f t="shared" si="1"/>
        <v>1.661727</v>
      </c>
      <c r="AA7" s="99">
        <f t="shared" si="1"/>
        <v>1.661727</v>
      </c>
      <c r="AB7" s="99">
        <f t="shared" si="1"/>
        <v>1.661727</v>
      </c>
      <c r="AC7" s="99">
        <f t="shared" si="1"/>
        <v>3.1260734000000001</v>
      </c>
      <c r="AD7" s="99">
        <f t="shared" si="1"/>
        <v>3.1260734000000001</v>
      </c>
      <c r="AE7" s="99">
        <f t="shared" si="1"/>
        <v>3.1260734000000001</v>
      </c>
      <c r="AF7" s="99">
        <f t="shared" si="1"/>
        <v>3.1260734000000001</v>
      </c>
      <c r="AG7" s="99">
        <f t="shared" si="1"/>
        <v>3.1260734000000001</v>
      </c>
      <c r="AH7" s="99">
        <f t="shared" si="1"/>
        <v>3.1260734000000001</v>
      </c>
      <c r="AI7" s="99">
        <f t="shared" si="1"/>
        <v>3.1260734000000001</v>
      </c>
      <c r="AJ7" s="99">
        <f t="shared" si="1"/>
        <v>3.1260734000000001</v>
      </c>
      <c r="AK7" s="99">
        <f t="shared" si="1"/>
        <v>3.1260734000000001</v>
      </c>
      <c r="AL7" s="99">
        <f t="shared" si="1"/>
        <v>3.1260734000000001</v>
      </c>
      <c r="AM7" s="99">
        <f t="shared" si="1"/>
        <v>3.1260734000000001</v>
      </c>
      <c r="AN7" s="99">
        <f t="shared" si="1"/>
        <v>3.1260734000000001</v>
      </c>
      <c r="AO7" s="99">
        <f t="shared" si="1"/>
        <v>3.1260734000000001</v>
      </c>
      <c r="AP7" s="99">
        <f t="shared" si="1"/>
        <v>15.630367</v>
      </c>
      <c r="AQ7" s="99">
        <f t="shared" si="1"/>
        <v>15.630367</v>
      </c>
      <c r="AR7" s="99">
        <f t="shared" si="1"/>
        <v>15.630367</v>
      </c>
      <c r="AS7" s="99">
        <f t="shared" si="1"/>
        <v>15.630367</v>
      </c>
      <c r="AT7" s="99">
        <f t="shared" ref="AT7:AX7" si="2">+AT6/10^7</f>
        <v>15.630367</v>
      </c>
      <c r="AU7" s="99">
        <f t="shared" si="2"/>
        <v>15.630367</v>
      </c>
      <c r="AV7" s="99">
        <f t="shared" si="2"/>
        <v>15.630367</v>
      </c>
      <c r="AW7" s="99">
        <f t="shared" si="2"/>
        <v>15.630367</v>
      </c>
      <c r="AX7" s="99">
        <f t="shared" si="2"/>
        <v>15.630367</v>
      </c>
      <c r="AY7" s="99">
        <f t="shared" ref="AY7" si="3">+AY6/10^7</f>
        <v>15.630367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105790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534</v>
      </c>
      <c r="L2" s="169" t="s">
        <v>534</v>
      </c>
    </row>
    <row r="3" spans="1:18" x14ac:dyDescent="0.25">
      <c r="A3" s="170" t="s">
        <v>515</v>
      </c>
      <c r="B3" s="171" t="s">
        <v>516</v>
      </c>
      <c r="C3" s="171" t="s">
        <v>517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517</v>
      </c>
      <c r="N3" s="172" t="s">
        <v>516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>
        <v>42005</v>
      </c>
      <c r="B4" s="115">
        <v>717.33</v>
      </c>
      <c r="C4" s="115">
        <v>708.01</v>
      </c>
      <c r="D4" s="115">
        <v>706.6</v>
      </c>
      <c r="E4" s="115">
        <v>717.32</v>
      </c>
      <c r="F4" s="115">
        <v>3540.05</v>
      </c>
      <c r="G4">
        <v>138</v>
      </c>
      <c r="H4" s="115"/>
      <c r="I4" s="115"/>
      <c r="L4" s="169">
        <v>42005</v>
      </c>
      <c r="M4" s="115">
        <v>706.52</v>
      </c>
      <c r="N4" s="115">
        <v>720</v>
      </c>
      <c r="O4" s="115">
        <v>702.22</v>
      </c>
      <c r="P4" s="115">
        <v>720</v>
      </c>
      <c r="Q4" s="115">
        <v>3532.6</v>
      </c>
      <c r="R4">
        <v>1483</v>
      </c>
    </row>
    <row r="5" spans="1:18" x14ac:dyDescent="0.25">
      <c r="A5" s="169">
        <v>42006</v>
      </c>
      <c r="B5" s="115">
        <v>724.99</v>
      </c>
      <c r="C5" s="115">
        <v>719.57</v>
      </c>
      <c r="D5" s="115">
        <v>713.87</v>
      </c>
      <c r="E5" s="115">
        <v>715.87</v>
      </c>
      <c r="F5" s="115">
        <v>3597.85</v>
      </c>
      <c r="G5">
        <v>135</v>
      </c>
      <c r="H5" s="115"/>
      <c r="I5" s="115"/>
      <c r="L5" s="169">
        <v>42006</v>
      </c>
      <c r="M5" s="115">
        <v>717.93</v>
      </c>
      <c r="N5" s="115">
        <v>720</v>
      </c>
      <c r="O5" s="115">
        <v>710.8</v>
      </c>
      <c r="P5" s="115">
        <v>710.8</v>
      </c>
      <c r="Q5" s="115">
        <v>3589.65</v>
      </c>
      <c r="R5">
        <v>1032</v>
      </c>
    </row>
    <row r="6" spans="1:18" x14ac:dyDescent="0.25">
      <c r="A6" s="169">
        <v>42009</v>
      </c>
      <c r="B6" s="115">
        <v>720.01</v>
      </c>
      <c r="C6" s="115">
        <v>712.86</v>
      </c>
      <c r="D6" s="115">
        <v>709.14</v>
      </c>
      <c r="E6" s="115">
        <v>720</v>
      </c>
      <c r="F6" s="115">
        <v>3564.3</v>
      </c>
      <c r="G6">
        <v>162</v>
      </c>
      <c r="H6" s="115"/>
      <c r="I6" s="115"/>
      <c r="L6" s="169">
        <v>42009</v>
      </c>
      <c r="M6" s="115">
        <v>711</v>
      </c>
      <c r="N6" s="115">
        <v>722.39</v>
      </c>
      <c r="O6" s="115">
        <v>707.34</v>
      </c>
      <c r="P6" s="115">
        <v>722.01</v>
      </c>
      <c r="Q6" s="115">
        <v>3555</v>
      </c>
      <c r="R6">
        <v>6927</v>
      </c>
    </row>
    <row r="7" spans="1:18" x14ac:dyDescent="0.25">
      <c r="A7" s="169">
        <v>42010</v>
      </c>
      <c r="B7" s="115">
        <v>712.5</v>
      </c>
      <c r="C7" s="115">
        <v>700.14</v>
      </c>
      <c r="D7" s="115">
        <v>691</v>
      </c>
      <c r="E7" s="115">
        <v>712.42</v>
      </c>
      <c r="F7" s="115">
        <v>3500.7</v>
      </c>
      <c r="G7">
        <v>277</v>
      </c>
      <c r="H7" s="115"/>
      <c r="I7" s="115"/>
      <c r="L7" s="169">
        <v>42010</v>
      </c>
      <c r="M7" s="115">
        <v>698.01</v>
      </c>
      <c r="N7" s="115">
        <v>715.4</v>
      </c>
      <c r="O7" s="115">
        <v>693</v>
      </c>
      <c r="P7" s="115">
        <v>710</v>
      </c>
      <c r="Q7" s="115">
        <v>3490.05</v>
      </c>
      <c r="R7">
        <v>586</v>
      </c>
    </row>
    <row r="8" spans="1:18" x14ac:dyDescent="0.25">
      <c r="A8" s="169">
        <v>42011</v>
      </c>
      <c r="B8" s="115">
        <v>710</v>
      </c>
      <c r="C8" s="115">
        <v>698.33</v>
      </c>
      <c r="D8" s="115">
        <v>690</v>
      </c>
      <c r="E8" s="115">
        <v>705.39</v>
      </c>
      <c r="F8" s="115">
        <v>3491.65</v>
      </c>
      <c r="G8">
        <v>550</v>
      </c>
      <c r="H8" s="115"/>
      <c r="I8" s="115"/>
      <c r="L8" s="169">
        <v>42011</v>
      </c>
      <c r="M8" s="115">
        <v>694.16</v>
      </c>
      <c r="N8" s="115">
        <v>711.6</v>
      </c>
      <c r="O8" s="115">
        <v>685.8</v>
      </c>
      <c r="P8" s="115">
        <v>693</v>
      </c>
      <c r="Q8" s="115">
        <v>3470.8</v>
      </c>
      <c r="R8">
        <v>1251</v>
      </c>
    </row>
    <row r="9" spans="1:18" x14ac:dyDescent="0.25">
      <c r="A9" s="169">
        <v>42012</v>
      </c>
      <c r="B9" s="115">
        <v>710</v>
      </c>
      <c r="C9" s="115">
        <v>696.02</v>
      </c>
      <c r="D9" s="115">
        <v>691</v>
      </c>
      <c r="E9" s="115">
        <v>704.41</v>
      </c>
      <c r="F9" s="115">
        <v>3480.1</v>
      </c>
      <c r="G9">
        <v>305</v>
      </c>
      <c r="H9" s="115"/>
      <c r="I9" s="115"/>
      <c r="L9" s="169">
        <v>42012</v>
      </c>
      <c r="M9" s="115">
        <v>692.8</v>
      </c>
      <c r="N9" s="115">
        <v>718.19</v>
      </c>
      <c r="O9" s="115">
        <v>687.4</v>
      </c>
      <c r="P9" s="115">
        <v>687.4</v>
      </c>
      <c r="Q9" s="115">
        <v>3464</v>
      </c>
      <c r="R9">
        <v>1190</v>
      </c>
    </row>
    <row r="10" spans="1:18" x14ac:dyDescent="0.25">
      <c r="A10" s="169">
        <v>42013</v>
      </c>
      <c r="B10" s="115">
        <v>702</v>
      </c>
      <c r="C10" s="115">
        <v>695.1</v>
      </c>
      <c r="D10" s="115">
        <v>685.03</v>
      </c>
      <c r="E10" s="115">
        <v>695</v>
      </c>
      <c r="F10" s="115">
        <v>3475.5</v>
      </c>
      <c r="G10">
        <v>200</v>
      </c>
      <c r="H10" s="115"/>
      <c r="I10" s="115"/>
      <c r="L10" s="169">
        <v>42013</v>
      </c>
      <c r="M10" s="115">
        <v>694.66</v>
      </c>
      <c r="N10" s="115">
        <v>701.6</v>
      </c>
      <c r="O10" s="115">
        <v>684.29</v>
      </c>
      <c r="P10" s="115">
        <v>696.03</v>
      </c>
      <c r="Q10" s="115">
        <v>3473.3</v>
      </c>
      <c r="R10">
        <v>646</v>
      </c>
    </row>
    <row r="11" spans="1:18" x14ac:dyDescent="0.25">
      <c r="A11" s="169">
        <v>42016</v>
      </c>
      <c r="B11" s="115">
        <v>697.4</v>
      </c>
      <c r="C11" s="115">
        <v>693.91</v>
      </c>
      <c r="D11" s="115">
        <v>689.32</v>
      </c>
      <c r="E11" s="115">
        <v>689.32</v>
      </c>
      <c r="F11" s="115">
        <v>3469.55</v>
      </c>
      <c r="G11">
        <v>64</v>
      </c>
      <c r="H11" s="115"/>
      <c r="I11" s="115"/>
      <c r="L11" s="169">
        <v>42016</v>
      </c>
      <c r="M11" s="115">
        <v>692.05</v>
      </c>
      <c r="N11" s="115">
        <v>698.8</v>
      </c>
      <c r="O11" s="115">
        <v>684.52</v>
      </c>
      <c r="P11" s="115">
        <v>687.21</v>
      </c>
      <c r="Q11" s="115">
        <v>3460.25</v>
      </c>
      <c r="R11">
        <v>3157</v>
      </c>
    </row>
    <row r="12" spans="1:18" x14ac:dyDescent="0.25">
      <c r="A12" s="169">
        <v>42017</v>
      </c>
      <c r="B12" s="115">
        <v>707.42</v>
      </c>
      <c r="C12" s="115">
        <v>684.33</v>
      </c>
      <c r="D12" s="115">
        <v>680.98</v>
      </c>
      <c r="E12" s="115">
        <v>696.49</v>
      </c>
      <c r="F12" s="115">
        <v>3421.65</v>
      </c>
      <c r="G12">
        <v>169</v>
      </c>
      <c r="H12" s="115"/>
      <c r="I12" s="115"/>
      <c r="L12" s="169">
        <v>42017</v>
      </c>
      <c r="M12" s="115">
        <v>684.34</v>
      </c>
      <c r="N12" s="115">
        <v>708.68</v>
      </c>
      <c r="O12" s="115">
        <v>678</v>
      </c>
      <c r="P12" s="115">
        <v>697.98</v>
      </c>
      <c r="Q12" s="115">
        <v>3421.7</v>
      </c>
      <c r="R12">
        <v>1820</v>
      </c>
    </row>
    <row r="13" spans="1:18" x14ac:dyDescent="0.25">
      <c r="A13" s="169">
        <v>42018</v>
      </c>
      <c r="B13" s="115">
        <v>704.99</v>
      </c>
      <c r="C13" s="115">
        <v>692.68</v>
      </c>
      <c r="D13" s="115">
        <v>683.56</v>
      </c>
      <c r="E13" s="115">
        <v>683.72</v>
      </c>
      <c r="F13" s="115">
        <v>3463.4</v>
      </c>
      <c r="G13">
        <v>199</v>
      </c>
      <c r="H13" s="115"/>
      <c r="I13" s="115"/>
      <c r="L13" s="169">
        <v>42018</v>
      </c>
      <c r="M13" s="115">
        <v>694.76</v>
      </c>
      <c r="N13" s="115">
        <v>705</v>
      </c>
      <c r="O13" s="115">
        <v>684.2</v>
      </c>
      <c r="P13" s="115">
        <v>684.2</v>
      </c>
      <c r="Q13" s="115">
        <v>3473.8</v>
      </c>
      <c r="R13">
        <v>7281</v>
      </c>
    </row>
    <row r="14" spans="1:18" x14ac:dyDescent="0.25">
      <c r="A14" s="169">
        <v>42019</v>
      </c>
      <c r="B14" s="115">
        <v>709</v>
      </c>
      <c r="C14" s="115">
        <v>705.04</v>
      </c>
      <c r="D14" s="115">
        <v>693.8</v>
      </c>
      <c r="E14" s="115">
        <v>693.8</v>
      </c>
      <c r="F14" s="115">
        <v>3525.2</v>
      </c>
      <c r="G14">
        <v>293</v>
      </c>
      <c r="H14" s="115"/>
      <c r="I14" s="115"/>
      <c r="L14" s="169">
        <v>42019</v>
      </c>
      <c r="M14" s="115">
        <v>705.33</v>
      </c>
      <c r="N14" s="115">
        <v>710</v>
      </c>
      <c r="O14" s="115">
        <v>699.98</v>
      </c>
      <c r="P14" s="115">
        <v>699.98</v>
      </c>
      <c r="Q14" s="115">
        <v>3526.65</v>
      </c>
      <c r="R14">
        <v>1939</v>
      </c>
    </row>
    <row r="15" spans="1:18" x14ac:dyDescent="0.25">
      <c r="A15" s="169">
        <v>42020</v>
      </c>
      <c r="B15" s="115">
        <v>708.99</v>
      </c>
      <c r="C15" s="115">
        <v>706.68</v>
      </c>
      <c r="D15" s="115">
        <v>701.57</v>
      </c>
      <c r="E15" s="115">
        <v>705.42</v>
      </c>
      <c r="F15" s="115">
        <v>3533.4</v>
      </c>
      <c r="G15">
        <v>114</v>
      </c>
      <c r="H15" s="115"/>
      <c r="I15" s="115"/>
      <c r="L15" s="169">
        <v>42020</v>
      </c>
      <c r="M15" s="115">
        <v>706.87</v>
      </c>
      <c r="N15" s="115">
        <v>709.98</v>
      </c>
      <c r="O15" s="115">
        <v>696.02</v>
      </c>
      <c r="P15" s="115">
        <v>698.51</v>
      </c>
      <c r="Q15" s="115">
        <v>3534.35</v>
      </c>
      <c r="R15">
        <v>2464</v>
      </c>
    </row>
    <row r="16" spans="1:18" x14ac:dyDescent="0.25">
      <c r="A16" s="169">
        <v>42023</v>
      </c>
      <c r="B16" s="115">
        <v>712.2</v>
      </c>
      <c r="C16" s="115">
        <v>711.55</v>
      </c>
      <c r="D16" s="115">
        <v>708.18</v>
      </c>
      <c r="E16" s="115">
        <v>709.18</v>
      </c>
      <c r="F16" s="115">
        <v>3557.75</v>
      </c>
      <c r="G16">
        <v>101</v>
      </c>
      <c r="H16" s="115"/>
      <c r="I16" s="115"/>
      <c r="L16" s="169">
        <v>42023</v>
      </c>
      <c r="M16" s="115">
        <v>709.52</v>
      </c>
      <c r="N16" s="115">
        <v>715.52</v>
      </c>
      <c r="O16" s="115">
        <v>709</v>
      </c>
      <c r="P16" s="115">
        <v>709.99</v>
      </c>
      <c r="Q16" s="115">
        <v>3547.6</v>
      </c>
      <c r="R16">
        <v>1247</v>
      </c>
    </row>
    <row r="17" spans="1:18" x14ac:dyDescent="0.25">
      <c r="A17" s="169">
        <v>42024</v>
      </c>
      <c r="B17" s="115">
        <v>721.11</v>
      </c>
      <c r="C17" s="115">
        <v>714.27</v>
      </c>
      <c r="D17" s="115">
        <v>708</v>
      </c>
      <c r="E17" s="115">
        <v>716</v>
      </c>
      <c r="F17" s="115">
        <v>3571.35</v>
      </c>
      <c r="G17">
        <v>163</v>
      </c>
      <c r="H17" s="115"/>
      <c r="I17" s="115"/>
      <c r="L17" s="169">
        <v>42024</v>
      </c>
      <c r="M17" s="115">
        <v>713.41</v>
      </c>
      <c r="N17" s="115">
        <v>725</v>
      </c>
      <c r="O17" s="115">
        <v>705.27</v>
      </c>
      <c r="P17" s="115">
        <v>719.8</v>
      </c>
      <c r="Q17" s="115">
        <v>3567.05</v>
      </c>
      <c r="R17">
        <v>1959</v>
      </c>
    </row>
    <row r="18" spans="1:18" x14ac:dyDescent="0.25">
      <c r="A18" s="169">
        <v>42025</v>
      </c>
      <c r="B18" s="115">
        <v>725</v>
      </c>
      <c r="C18" s="115">
        <v>722.22</v>
      </c>
      <c r="D18" s="115">
        <v>711.09</v>
      </c>
      <c r="E18" s="115">
        <v>720</v>
      </c>
      <c r="F18" s="115">
        <v>3611.1</v>
      </c>
      <c r="G18">
        <v>1080</v>
      </c>
      <c r="H18" s="115"/>
      <c r="I18" s="115"/>
      <c r="L18" s="169">
        <v>42025</v>
      </c>
      <c r="M18" s="115">
        <v>718.91</v>
      </c>
      <c r="N18" s="115">
        <v>722</v>
      </c>
      <c r="O18" s="115">
        <v>710.21</v>
      </c>
      <c r="P18" s="115">
        <v>719</v>
      </c>
      <c r="Q18" s="115">
        <v>3594.55</v>
      </c>
      <c r="R18">
        <v>1769</v>
      </c>
    </row>
    <row r="19" spans="1:18" x14ac:dyDescent="0.25">
      <c r="A19" s="169">
        <v>42026</v>
      </c>
      <c r="B19" s="115">
        <v>728.75</v>
      </c>
      <c r="C19" s="115">
        <v>725.1</v>
      </c>
      <c r="D19" s="115">
        <v>702.62</v>
      </c>
      <c r="E19" s="115">
        <v>702.62</v>
      </c>
      <c r="F19" s="115">
        <v>3625.5</v>
      </c>
      <c r="G19">
        <v>452</v>
      </c>
      <c r="H19" s="115"/>
      <c r="I19" s="115"/>
      <c r="L19" s="169">
        <v>42026</v>
      </c>
      <c r="M19" s="115">
        <v>724.71</v>
      </c>
      <c r="N19" s="115">
        <v>728.58</v>
      </c>
      <c r="O19" s="115">
        <v>687.01</v>
      </c>
      <c r="P19" s="115">
        <v>706.68</v>
      </c>
      <c r="Q19" s="115">
        <v>3623.55</v>
      </c>
      <c r="R19">
        <v>3571</v>
      </c>
    </row>
    <row r="20" spans="1:18" x14ac:dyDescent="0.25">
      <c r="A20" s="169">
        <v>42027</v>
      </c>
      <c r="B20" s="115">
        <v>757.98</v>
      </c>
      <c r="C20" s="115">
        <v>748.87</v>
      </c>
      <c r="D20" s="115">
        <v>723</v>
      </c>
      <c r="E20" s="115">
        <v>730</v>
      </c>
      <c r="F20" s="115">
        <v>3744.35</v>
      </c>
      <c r="G20">
        <v>1090</v>
      </c>
      <c r="H20" s="115"/>
      <c r="I20" s="115"/>
      <c r="L20" s="169">
        <v>42027</v>
      </c>
      <c r="M20" s="115">
        <v>744.02</v>
      </c>
      <c r="N20" s="115">
        <v>754</v>
      </c>
      <c r="O20" s="115">
        <v>721.35</v>
      </c>
      <c r="P20" s="115">
        <v>734.13</v>
      </c>
      <c r="Q20" s="115">
        <v>3720.1</v>
      </c>
      <c r="R20">
        <v>2434</v>
      </c>
    </row>
    <row r="21" spans="1:18" x14ac:dyDescent="0.25">
      <c r="A21" s="169">
        <v>42031</v>
      </c>
      <c r="B21" s="115">
        <v>790</v>
      </c>
      <c r="C21" s="115">
        <v>773.37</v>
      </c>
      <c r="D21" s="115">
        <v>743.13</v>
      </c>
      <c r="E21" s="115">
        <v>751.93</v>
      </c>
      <c r="F21" s="115">
        <v>3866.85</v>
      </c>
      <c r="G21">
        <v>1479</v>
      </c>
      <c r="H21" s="115"/>
      <c r="I21" s="115"/>
      <c r="L21" s="169">
        <v>42031</v>
      </c>
      <c r="M21" s="115">
        <v>774.9</v>
      </c>
      <c r="N21" s="115">
        <v>784.03</v>
      </c>
      <c r="O21" s="115">
        <v>743.51</v>
      </c>
      <c r="P21" s="115">
        <v>744.02</v>
      </c>
      <c r="Q21" s="115">
        <v>3874.5</v>
      </c>
      <c r="R21">
        <v>3001</v>
      </c>
    </row>
    <row r="22" spans="1:18" x14ac:dyDescent="0.25">
      <c r="A22" s="169">
        <v>42032</v>
      </c>
      <c r="B22" s="115">
        <v>783.25</v>
      </c>
      <c r="C22" s="115">
        <v>764.01</v>
      </c>
      <c r="D22" s="115">
        <v>749.8</v>
      </c>
      <c r="E22" s="115">
        <v>778.8</v>
      </c>
      <c r="F22" s="115">
        <v>3820.05</v>
      </c>
      <c r="G22">
        <v>1552</v>
      </c>
      <c r="H22" s="115"/>
      <c r="I22" s="115"/>
      <c r="L22" s="169">
        <v>42032</v>
      </c>
      <c r="M22" s="115">
        <v>761.34</v>
      </c>
      <c r="N22" s="115">
        <v>782.38</v>
      </c>
      <c r="O22" s="115">
        <v>747.72</v>
      </c>
      <c r="P22" s="115">
        <v>782.38</v>
      </c>
      <c r="Q22" s="115">
        <v>3806.7</v>
      </c>
      <c r="R22">
        <v>3689</v>
      </c>
    </row>
    <row r="23" spans="1:18" x14ac:dyDescent="0.25">
      <c r="A23" s="169">
        <v>42033</v>
      </c>
      <c r="B23" s="115">
        <v>772.2</v>
      </c>
      <c r="C23" s="115">
        <v>764.19</v>
      </c>
      <c r="D23" s="115">
        <v>760</v>
      </c>
      <c r="E23" s="115">
        <v>765</v>
      </c>
      <c r="F23" s="115">
        <v>3820.95</v>
      </c>
      <c r="G23">
        <v>3179</v>
      </c>
      <c r="H23" s="115"/>
      <c r="I23" s="115"/>
      <c r="L23" s="169">
        <v>42033</v>
      </c>
      <c r="M23" s="115">
        <v>764.01</v>
      </c>
      <c r="N23" s="115">
        <v>774</v>
      </c>
      <c r="O23" s="115">
        <v>760</v>
      </c>
      <c r="P23" s="115">
        <v>761.34</v>
      </c>
      <c r="Q23" s="115">
        <v>3820.05</v>
      </c>
      <c r="R23">
        <v>771</v>
      </c>
    </row>
    <row r="24" spans="1:18" x14ac:dyDescent="0.25">
      <c r="A24" s="169">
        <v>42034</v>
      </c>
      <c r="B24" s="115">
        <v>777</v>
      </c>
      <c r="C24" s="115">
        <v>763.81</v>
      </c>
      <c r="D24" s="115">
        <v>755.23</v>
      </c>
      <c r="E24" s="115">
        <v>765</v>
      </c>
      <c r="F24" s="115">
        <v>3819.05</v>
      </c>
      <c r="G24">
        <v>139</v>
      </c>
      <c r="H24" s="115"/>
      <c r="I24" s="115"/>
      <c r="L24" s="169">
        <v>42034</v>
      </c>
      <c r="M24" s="115">
        <v>763.91</v>
      </c>
      <c r="N24" s="115">
        <v>772.26</v>
      </c>
      <c r="O24" s="115">
        <v>754.6</v>
      </c>
      <c r="P24" s="115">
        <v>771.89</v>
      </c>
      <c r="Q24" s="115">
        <v>3819.55</v>
      </c>
      <c r="R24">
        <v>667</v>
      </c>
    </row>
    <row r="25" spans="1:18" x14ac:dyDescent="0.25">
      <c r="A25" s="169">
        <v>42037</v>
      </c>
      <c r="B25" s="115">
        <v>766.25</v>
      </c>
      <c r="C25" s="115">
        <v>751.48</v>
      </c>
      <c r="D25" s="115">
        <v>750</v>
      </c>
      <c r="E25" s="115">
        <v>760</v>
      </c>
      <c r="F25" s="115">
        <v>3757.4</v>
      </c>
      <c r="G25">
        <v>338</v>
      </c>
      <c r="H25" s="115"/>
      <c r="I25" s="115"/>
      <c r="L25" s="169">
        <v>42037</v>
      </c>
      <c r="M25" s="115">
        <v>753.34</v>
      </c>
      <c r="N25" s="115">
        <v>763.97</v>
      </c>
      <c r="O25" s="115">
        <v>750.02</v>
      </c>
      <c r="P25" s="115">
        <v>763.97</v>
      </c>
      <c r="Q25" s="115">
        <v>3766.7</v>
      </c>
      <c r="R25">
        <v>947</v>
      </c>
    </row>
    <row r="26" spans="1:18" x14ac:dyDescent="0.25">
      <c r="A26" s="169">
        <v>42038</v>
      </c>
      <c r="B26" s="115">
        <v>788.53</v>
      </c>
      <c r="C26" s="115">
        <v>780.66</v>
      </c>
      <c r="D26" s="115">
        <v>740</v>
      </c>
      <c r="E26" s="115">
        <v>740</v>
      </c>
      <c r="F26" s="115">
        <v>3903.3</v>
      </c>
      <c r="G26">
        <v>904</v>
      </c>
      <c r="H26" s="115"/>
      <c r="I26" s="115"/>
      <c r="L26" s="169">
        <v>42038</v>
      </c>
      <c r="M26" s="115">
        <v>779.85</v>
      </c>
      <c r="N26" s="115">
        <v>793.31</v>
      </c>
      <c r="O26" s="115">
        <v>742.94</v>
      </c>
      <c r="P26" s="115">
        <v>744.31</v>
      </c>
      <c r="Q26" s="115">
        <v>3899.25</v>
      </c>
      <c r="R26">
        <v>5724</v>
      </c>
    </row>
    <row r="27" spans="1:18" x14ac:dyDescent="0.25">
      <c r="A27" s="169">
        <v>42039</v>
      </c>
      <c r="B27" s="115">
        <v>830.01</v>
      </c>
      <c r="C27" s="115">
        <v>790.83</v>
      </c>
      <c r="D27" s="115">
        <v>775.07</v>
      </c>
      <c r="E27" s="115">
        <v>775.08</v>
      </c>
      <c r="F27" s="115">
        <v>3954.15</v>
      </c>
      <c r="G27">
        <v>1697</v>
      </c>
      <c r="H27" s="115"/>
      <c r="I27" s="115"/>
      <c r="L27" s="169">
        <v>42039</v>
      </c>
      <c r="M27" s="115">
        <v>791.49</v>
      </c>
      <c r="N27" s="115">
        <v>832</v>
      </c>
      <c r="O27" s="115">
        <v>770.04</v>
      </c>
      <c r="P27" s="115">
        <v>770.04</v>
      </c>
      <c r="Q27" s="115">
        <v>3957.45</v>
      </c>
      <c r="R27">
        <v>14492</v>
      </c>
    </row>
    <row r="28" spans="1:18" x14ac:dyDescent="0.25">
      <c r="A28" s="169">
        <v>42040</v>
      </c>
      <c r="B28" s="115">
        <v>786.14</v>
      </c>
      <c r="C28" s="115">
        <v>771.12</v>
      </c>
      <c r="D28" s="115">
        <v>761.4</v>
      </c>
      <c r="E28" s="115">
        <v>785.72</v>
      </c>
      <c r="F28" s="115">
        <v>3855.6</v>
      </c>
      <c r="G28">
        <v>545</v>
      </c>
      <c r="H28" s="115"/>
      <c r="I28" s="115"/>
      <c r="L28" s="169">
        <v>42040</v>
      </c>
      <c r="M28" s="115">
        <v>771.48</v>
      </c>
      <c r="N28" s="115">
        <v>792</v>
      </c>
      <c r="O28" s="115">
        <v>757</v>
      </c>
      <c r="P28" s="115">
        <v>780</v>
      </c>
      <c r="Q28" s="115">
        <v>3857.4</v>
      </c>
      <c r="R28">
        <v>37134</v>
      </c>
    </row>
    <row r="29" spans="1:18" x14ac:dyDescent="0.25">
      <c r="A29" s="169">
        <v>42041</v>
      </c>
      <c r="B29" s="115">
        <v>773</v>
      </c>
      <c r="C29" s="115">
        <v>751.78</v>
      </c>
      <c r="D29" s="115">
        <v>745.72</v>
      </c>
      <c r="E29" s="115">
        <v>772</v>
      </c>
      <c r="F29" s="115">
        <v>3758.9</v>
      </c>
      <c r="G29">
        <v>374</v>
      </c>
      <c r="H29" s="115"/>
      <c r="I29" s="115"/>
      <c r="L29" s="169">
        <v>42041</v>
      </c>
      <c r="M29" s="115">
        <v>754.77</v>
      </c>
      <c r="N29" s="115">
        <v>774</v>
      </c>
      <c r="O29" s="115">
        <v>742.01</v>
      </c>
      <c r="P29" s="115">
        <v>757.4</v>
      </c>
      <c r="Q29" s="115">
        <v>3773.85</v>
      </c>
      <c r="R29">
        <v>1574</v>
      </c>
    </row>
    <row r="30" spans="1:18" x14ac:dyDescent="0.25">
      <c r="A30" s="169">
        <v>42044</v>
      </c>
      <c r="B30" s="115">
        <v>747</v>
      </c>
      <c r="C30" s="115">
        <v>728.34</v>
      </c>
      <c r="D30" s="115">
        <v>725.64</v>
      </c>
      <c r="E30" s="115">
        <v>747</v>
      </c>
      <c r="F30" s="115">
        <v>3641.7</v>
      </c>
      <c r="G30">
        <v>442</v>
      </c>
      <c r="H30" s="115"/>
      <c r="I30" s="115"/>
      <c r="L30" s="169">
        <v>42044</v>
      </c>
      <c r="M30" s="115">
        <v>730.08</v>
      </c>
      <c r="N30" s="115">
        <v>748.03</v>
      </c>
      <c r="O30" s="115">
        <v>726</v>
      </c>
      <c r="P30" s="115">
        <v>748.03</v>
      </c>
      <c r="Q30" s="115">
        <v>3650.4</v>
      </c>
      <c r="R30">
        <v>1314</v>
      </c>
    </row>
    <row r="31" spans="1:18" x14ac:dyDescent="0.25">
      <c r="A31" s="169">
        <v>42045</v>
      </c>
      <c r="B31" s="115">
        <v>744</v>
      </c>
      <c r="C31" s="115">
        <v>727.53</v>
      </c>
      <c r="D31" s="115">
        <v>720</v>
      </c>
      <c r="E31" s="115">
        <v>737.8</v>
      </c>
      <c r="F31" s="115">
        <v>3637.65</v>
      </c>
      <c r="G31">
        <v>276</v>
      </c>
      <c r="H31" s="115"/>
      <c r="I31" s="115"/>
      <c r="L31" s="169">
        <v>42045</v>
      </c>
      <c r="M31" s="115">
        <v>726.01</v>
      </c>
      <c r="N31" s="115">
        <v>747</v>
      </c>
      <c r="O31" s="115">
        <v>723.01</v>
      </c>
      <c r="P31" s="115">
        <v>725.01</v>
      </c>
      <c r="Q31" s="115">
        <v>3630.05</v>
      </c>
      <c r="R31">
        <v>1338</v>
      </c>
    </row>
    <row r="32" spans="1:18" x14ac:dyDescent="0.25">
      <c r="A32" s="169">
        <v>42046</v>
      </c>
      <c r="B32" s="115">
        <v>759</v>
      </c>
      <c r="C32" s="115">
        <v>748.47</v>
      </c>
      <c r="D32" s="115">
        <v>726.15</v>
      </c>
      <c r="E32" s="115">
        <v>735</v>
      </c>
      <c r="F32" s="115">
        <v>3742.35</v>
      </c>
      <c r="G32">
        <v>855</v>
      </c>
      <c r="H32" s="115"/>
      <c r="I32" s="115"/>
      <c r="L32" s="169">
        <v>42046</v>
      </c>
      <c r="M32" s="115">
        <v>746.07</v>
      </c>
      <c r="N32" s="115">
        <v>757.8</v>
      </c>
      <c r="O32" s="115">
        <v>726.23</v>
      </c>
      <c r="P32" s="115">
        <v>737.94</v>
      </c>
      <c r="Q32" s="115">
        <v>3730.35</v>
      </c>
      <c r="R32">
        <v>2735</v>
      </c>
    </row>
    <row r="33" spans="1:18" x14ac:dyDescent="0.25">
      <c r="A33" s="169">
        <v>42047</v>
      </c>
      <c r="B33" s="115">
        <v>764</v>
      </c>
      <c r="C33" s="115">
        <v>759.79</v>
      </c>
      <c r="D33" s="115">
        <v>750</v>
      </c>
      <c r="E33" s="115">
        <v>752</v>
      </c>
      <c r="F33" s="115">
        <v>3798.95</v>
      </c>
      <c r="G33">
        <v>350</v>
      </c>
      <c r="H33" s="115"/>
      <c r="I33" s="115"/>
      <c r="L33" s="169">
        <v>42047</v>
      </c>
      <c r="M33" s="115">
        <v>760.11</v>
      </c>
      <c r="N33" s="115">
        <v>764</v>
      </c>
      <c r="O33" s="115">
        <v>746</v>
      </c>
      <c r="P33" s="115">
        <v>746</v>
      </c>
      <c r="Q33" s="115">
        <v>3800.55</v>
      </c>
      <c r="R33">
        <v>1843</v>
      </c>
    </row>
    <row r="34" spans="1:18" x14ac:dyDescent="0.25">
      <c r="A34" s="169">
        <v>42048</v>
      </c>
      <c r="B34" s="115">
        <v>769.19</v>
      </c>
      <c r="C34" s="115">
        <v>763.03</v>
      </c>
      <c r="D34" s="115">
        <v>752.15</v>
      </c>
      <c r="E34" s="115">
        <v>760.21</v>
      </c>
      <c r="F34" s="115">
        <v>3815.15</v>
      </c>
      <c r="G34">
        <v>238</v>
      </c>
      <c r="H34" s="115"/>
      <c r="I34" s="115"/>
      <c r="L34" s="169">
        <v>42048</v>
      </c>
      <c r="M34" s="115">
        <v>761.43</v>
      </c>
      <c r="N34" s="115">
        <v>770.02</v>
      </c>
      <c r="O34" s="115">
        <v>753.05</v>
      </c>
      <c r="P34" s="115">
        <v>761.99</v>
      </c>
      <c r="Q34" s="115">
        <v>3807.15</v>
      </c>
      <c r="R34">
        <v>3104</v>
      </c>
    </row>
    <row r="35" spans="1:18" x14ac:dyDescent="0.25">
      <c r="A35" s="169">
        <v>42051</v>
      </c>
      <c r="B35" s="115">
        <v>783.94</v>
      </c>
      <c r="C35" s="115">
        <v>780.79</v>
      </c>
      <c r="D35" s="115">
        <v>761.24</v>
      </c>
      <c r="E35" s="115">
        <v>770</v>
      </c>
      <c r="F35" s="115">
        <v>3903.95</v>
      </c>
      <c r="G35">
        <v>575</v>
      </c>
      <c r="H35" s="115"/>
      <c r="I35" s="115"/>
      <c r="L35" s="169">
        <v>42051</v>
      </c>
      <c r="M35" s="115">
        <v>781.91</v>
      </c>
      <c r="N35" s="115">
        <v>788</v>
      </c>
      <c r="O35" s="115">
        <v>752.2</v>
      </c>
      <c r="P35" s="115">
        <v>777.8</v>
      </c>
      <c r="Q35" s="115">
        <v>3909.55</v>
      </c>
      <c r="R35">
        <v>2205</v>
      </c>
    </row>
    <row r="36" spans="1:18" x14ac:dyDescent="0.25">
      <c r="A36" s="169">
        <v>42053</v>
      </c>
      <c r="B36" s="115">
        <v>791.53</v>
      </c>
      <c r="C36" s="115">
        <v>771.63</v>
      </c>
      <c r="D36" s="115">
        <v>770.4</v>
      </c>
      <c r="E36" s="115">
        <v>790</v>
      </c>
      <c r="F36" s="115">
        <v>3858.15</v>
      </c>
      <c r="G36">
        <v>470</v>
      </c>
      <c r="H36" s="115"/>
      <c r="I36" s="115"/>
      <c r="L36" s="169">
        <v>42053</v>
      </c>
      <c r="M36" s="115">
        <v>772.51</v>
      </c>
      <c r="N36" s="115">
        <v>790.01</v>
      </c>
      <c r="O36" s="115">
        <v>766.43</v>
      </c>
      <c r="P36" s="115">
        <v>770.5</v>
      </c>
      <c r="Q36" s="115">
        <v>3862.55</v>
      </c>
      <c r="R36">
        <v>916</v>
      </c>
    </row>
    <row r="37" spans="1:18" x14ac:dyDescent="0.25">
      <c r="A37" s="169">
        <v>42054</v>
      </c>
      <c r="B37" s="115">
        <v>792</v>
      </c>
      <c r="C37" s="115">
        <v>786.46</v>
      </c>
      <c r="D37" s="115">
        <v>759.6</v>
      </c>
      <c r="E37" s="115">
        <v>776.88</v>
      </c>
      <c r="F37" s="115">
        <v>3932.3</v>
      </c>
      <c r="G37">
        <v>237</v>
      </c>
      <c r="H37" s="115"/>
      <c r="I37" s="115"/>
      <c r="L37" s="169">
        <v>42054</v>
      </c>
      <c r="M37" s="115">
        <v>781.96</v>
      </c>
      <c r="N37" s="115">
        <v>789.6</v>
      </c>
      <c r="O37" s="115">
        <v>760.2</v>
      </c>
      <c r="P37" s="115">
        <v>773</v>
      </c>
      <c r="Q37" s="115">
        <v>3909.8</v>
      </c>
      <c r="R37">
        <v>926</v>
      </c>
    </row>
    <row r="38" spans="1:18" x14ac:dyDescent="0.25">
      <c r="A38" s="169">
        <v>42055</v>
      </c>
      <c r="B38" s="115">
        <v>790</v>
      </c>
      <c r="C38" s="115">
        <v>782.25</v>
      </c>
      <c r="D38" s="115">
        <v>780</v>
      </c>
      <c r="E38" s="115">
        <v>781</v>
      </c>
      <c r="F38" s="115">
        <v>3911.25</v>
      </c>
      <c r="G38">
        <v>227</v>
      </c>
      <c r="H38" s="115"/>
      <c r="I38" s="115"/>
      <c r="L38" s="169">
        <v>42055</v>
      </c>
      <c r="M38" s="115">
        <v>784.33</v>
      </c>
      <c r="N38" s="115">
        <v>789.6</v>
      </c>
      <c r="O38" s="115">
        <v>776.2</v>
      </c>
      <c r="P38" s="115">
        <v>787</v>
      </c>
      <c r="Q38" s="115">
        <v>3921.65</v>
      </c>
      <c r="R38">
        <v>2229</v>
      </c>
    </row>
    <row r="39" spans="1:18" x14ac:dyDescent="0.25">
      <c r="A39" s="169">
        <v>42058</v>
      </c>
      <c r="B39" s="115">
        <v>791.64</v>
      </c>
      <c r="C39" s="115">
        <v>776.62</v>
      </c>
      <c r="D39" s="115">
        <v>773.2</v>
      </c>
      <c r="E39" s="115">
        <v>791.64</v>
      </c>
      <c r="F39" s="115">
        <v>3883.1</v>
      </c>
      <c r="G39">
        <v>325</v>
      </c>
      <c r="H39" s="115"/>
      <c r="I39" s="115"/>
      <c r="L39" s="169">
        <v>42058</v>
      </c>
      <c r="M39" s="115">
        <v>772.97</v>
      </c>
      <c r="N39" s="115">
        <v>789.66</v>
      </c>
      <c r="O39" s="115">
        <v>772</v>
      </c>
      <c r="P39" s="115">
        <v>788.02</v>
      </c>
      <c r="Q39" s="115">
        <v>3864.85</v>
      </c>
      <c r="R39">
        <v>3703</v>
      </c>
    </row>
    <row r="40" spans="1:18" x14ac:dyDescent="0.25">
      <c r="A40" s="169">
        <v>42059</v>
      </c>
      <c r="B40" s="115">
        <v>778</v>
      </c>
      <c r="C40" s="115">
        <v>768.54</v>
      </c>
      <c r="D40" s="115">
        <v>764</v>
      </c>
      <c r="E40" s="115">
        <v>777.98</v>
      </c>
      <c r="F40" s="115">
        <v>3842.7</v>
      </c>
      <c r="G40">
        <v>170</v>
      </c>
      <c r="H40" s="115"/>
      <c r="I40" s="115"/>
      <c r="L40" s="169">
        <v>42059</v>
      </c>
      <c r="M40" s="115">
        <v>770.42</v>
      </c>
      <c r="N40" s="115">
        <v>782.99</v>
      </c>
      <c r="O40" s="115">
        <v>762.48</v>
      </c>
      <c r="P40" s="115">
        <v>762.82</v>
      </c>
      <c r="Q40" s="115">
        <v>3852.1</v>
      </c>
      <c r="R40">
        <v>1030</v>
      </c>
    </row>
    <row r="41" spans="1:18" x14ac:dyDescent="0.25">
      <c r="A41" s="169">
        <v>42060</v>
      </c>
      <c r="B41" s="115">
        <v>782</v>
      </c>
      <c r="C41" s="115">
        <v>761.34</v>
      </c>
      <c r="D41" s="115">
        <v>761</v>
      </c>
      <c r="E41" s="115">
        <v>766.85</v>
      </c>
      <c r="F41" s="115">
        <v>3806.7</v>
      </c>
      <c r="G41">
        <v>19089</v>
      </c>
      <c r="H41" s="115"/>
      <c r="I41" s="115"/>
      <c r="L41" s="169">
        <v>42060</v>
      </c>
      <c r="M41" s="115">
        <v>761.48</v>
      </c>
      <c r="N41" s="115">
        <v>782.2</v>
      </c>
      <c r="O41" s="115">
        <v>761</v>
      </c>
      <c r="P41" s="115">
        <v>777.99</v>
      </c>
      <c r="Q41" s="115">
        <v>3807.4</v>
      </c>
      <c r="R41">
        <v>18293</v>
      </c>
    </row>
    <row r="42" spans="1:18" x14ac:dyDescent="0.25">
      <c r="A42" s="169">
        <v>42061</v>
      </c>
      <c r="B42" s="115">
        <v>806</v>
      </c>
      <c r="C42" s="115">
        <v>790.24</v>
      </c>
      <c r="D42" s="115">
        <v>774</v>
      </c>
      <c r="E42" s="115">
        <v>780</v>
      </c>
      <c r="F42" s="115">
        <v>3951.2</v>
      </c>
      <c r="G42">
        <v>892</v>
      </c>
      <c r="H42" s="115"/>
      <c r="I42" s="115"/>
      <c r="L42" s="169">
        <v>42061</v>
      </c>
      <c r="M42" s="115">
        <v>795.3</v>
      </c>
      <c r="N42" s="115">
        <v>807.8</v>
      </c>
      <c r="O42" s="115">
        <v>780</v>
      </c>
      <c r="P42" s="115">
        <v>780</v>
      </c>
      <c r="Q42" s="115">
        <v>3976.5</v>
      </c>
      <c r="R42">
        <v>4188</v>
      </c>
    </row>
    <row r="43" spans="1:18" x14ac:dyDescent="0.25">
      <c r="A43" s="169">
        <v>42062</v>
      </c>
      <c r="B43" s="115">
        <v>790.14</v>
      </c>
      <c r="C43" s="115">
        <v>782.23</v>
      </c>
      <c r="D43" s="115">
        <v>780.46</v>
      </c>
      <c r="E43" s="115">
        <v>786.84</v>
      </c>
      <c r="F43" s="115">
        <v>3911.15</v>
      </c>
      <c r="G43">
        <v>229</v>
      </c>
      <c r="H43" s="115"/>
      <c r="I43" s="115"/>
      <c r="L43" s="169">
        <v>42062</v>
      </c>
      <c r="M43" s="115">
        <v>782.19</v>
      </c>
      <c r="N43" s="115">
        <v>797.99</v>
      </c>
      <c r="O43" s="115">
        <v>780.22</v>
      </c>
      <c r="P43" s="115">
        <v>792</v>
      </c>
      <c r="Q43" s="115">
        <v>3910.95</v>
      </c>
      <c r="R43">
        <v>830</v>
      </c>
    </row>
    <row r="44" spans="1:18" x14ac:dyDescent="0.25">
      <c r="A44" s="169">
        <v>42063</v>
      </c>
      <c r="B44" s="115">
        <v>799.78</v>
      </c>
      <c r="C44" s="115">
        <v>797.28</v>
      </c>
      <c r="D44" s="115">
        <v>785.48</v>
      </c>
      <c r="E44" s="115">
        <v>789.61</v>
      </c>
      <c r="F44" s="115">
        <v>3986.4</v>
      </c>
      <c r="G44">
        <v>269</v>
      </c>
      <c r="H44" s="115"/>
      <c r="I44" s="115"/>
      <c r="L44" s="169">
        <v>42063</v>
      </c>
      <c r="M44" s="115">
        <v>798.85</v>
      </c>
      <c r="N44" s="115">
        <v>800.02</v>
      </c>
      <c r="O44" s="115">
        <v>784.01</v>
      </c>
      <c r="P44" s="115">
        <v>784.77</v>
      </c>
      <c r="Q44" s="115">
        <v>3994.25</v>
      </c>
      <c r="R44">
        <v>904</v>
      </c>
    </row>
    <row r="45" spans="1:18" x14ac:dyDescent="0.25">
      <c r="A45" s="169">
        <v>42065</v>
      </c>
      <c r="B45" s="115">
        <v>821.99</v>
      </c>
      <c r="C45" s="115">
        <v>801.57</v>
      </c>
      <c r="D45" s="115">
        <v>794</v>
      </c>
      <c r="E45" s="115">
        <v>798.44</v>
      </c>
      <c r="F45" s="115">
        <v>4007.85</v>
      </c>
      <c r="G45">
        <v>1546</v>
      </c>
      <c r="H45" s="115"/>
      <c r="I45" s="115"/>
      <c r="L45" s="169">
        <v>42065</v>
      </c>
      <c r="M45" s="115">
        <v>809.66</v>
      </c>
      <c r="N45" s="115">
        <v>828.4</v>
      </c>
      <c r="O45" s="115">
        <v>780.21</v>
      </c>
      <c r="P45" s="115">
        <v>780.41</v>
      </c>
      <c r="Q45" s="115">
        <v>4048.3</v>
      </c>
      <c r="R45">
        <v>8638</v>
      </c>
    </row>
    <row r="46" spans="1:18" x14ac:dyDescent="0.25">
      <c r="A46" s="169">
        <v>42066</v>
      </c>
      <c r="B46" s="115">
        <v>860</v>
      </c>
      <c r="C46" s="115">
        <v>834.52</v>
      </c>
      <c r="D46" s="115">
        <v>804.26</v>
      </c>
      <c r="E46" s="115">
        <v>813.02</v>
      </c>
      <c r="F46" s="115">
        <v>4172.6000000000004</v>
      </c>
      <c r="G46">
        <v>1290</v>
      </c>
      <c r="H46" s="115"/>
      <c r="I46" s="115"/>
      <c r="L46" s="169">
        <v>42066</v>
      </c>
      <c r="M46" s="115">
        <v>847.34</v>
      </c>
      <c r="N46" s="115">
        <v>883.26</v>
      </c>
      <c r="O46" s="115">
        <v>803.51</v>
      </c>
      <c r="P46" s="115">
        <v>810</v>
      </c>
      <c r="Q46" s="115">
        <v>4236.7</v>
      </c>
      <c r="R46">
        <v>6566</v>
      </c>
    </row>
    <row r="47" spans="1:18" x14ac:dyDescent="0.25">
      <c r="A47" s="169">
        <v>42067</v>
      </c>
      <c r="B47" s="115">
        <v>886.21</v>
      </c>
      <c r="C47" s="115">
        <v>846.08</v>
      </c>
      <c r="D47" s="115">
        <v>840.01</v>
      </c>
      <c r="E47" s="115">
        <v>879</v>
      </c>
      <c r="F47" s="115">
        <v>4230.3999999999996</v>
      </c>
      <c r="G47">
        <v>2231</v>
      </c>
      <c r="H47" s="115"/>
      <c r="I47" s="115"/>
      <c r="L47" s="169">
        <v>42067</v>
      </c>
      <c r="M47" s="115">
        <v>842.06</v>
      </c>
      <c r="N47" s="115">
        <v>890</v>
      </c>
      <c r="O47" s="115">
        <v>836.02</v>
      </c>
      <c r="P47" s="115">
        <v>840.2</v>
      </c>
      <c r="Q47" s="115">
        <v>4210.3</v>
      </c>
      <c r="R47">
        <v>37099</v>
      </c>
    </row>
    <row r="48" spans="1:18" x14ac:dyDescent="0.25">
      <c r="A48" s="169">
        <v>42068</v>
      </c>
      <c r="B48" s="115">
        <v>852.4</v>
      </c>
      <c r="C48" s="115">
        <v>840.74</v>
      </c>
      <c r="D48" s="115">
        <v>832</v>
      </c>
      <c r="E48" s="115">
        <v>845</v>
      </c>
      <c r="F48" s="115">
        <v>4203.7</v>
      </c>
      <c r="G48">
        <v>408</v>
      </c>
      <c r="H48" s="115"/>
      <c r="I48" s="115"/>
      <c r="L48" s="169">
        <v>42068</v>
      </c>
      <c r="M48" s="115">
        <v>844.24</v>
      </c>
      <c r="N48" s="115">
        <v>855.59</v>
      </c>
      <c r="O48" s="115">
        <v>830.2</v>
      </c>
      <c r="P48" s="115">
        <v>849.4</v>
      </c>
      <c r="Q48" s="115">
        <v>4221.2</v>
      </c>
      <c r="R48">
        <v>850</v>
      </c>
    </row>
    <row r="49" spans="1:18" x14ac:dyDescent="0.25">
      <c r="A49" s="169">
        <v>42072</v>
      </c>
      <c r="B49" s="115">
        <v>867</v>
      </c>
      <c r="C49" s="115">
        <v>860.83</v>
      </c>
      <c r="D49" s="115">
        <v>820</v>
      </c>
      <c r="E49" s="115">
        <v>835.82</v>
      </c>
      <c r="F49" s="115">
        <v>4304.1499999999996</v>
      </c>
      <c r="G49">
        <v>608</v>
      </c>
      <c r="H49" s="115"/>
      <c r="I49" s="115"/>
      <c r="L49" s="169">
        <v>42072</v>
      </c>
      <c r="M49" s="115">
        <v>861</v>
      </c>
      <c r="N49" s="115">
        <v>876</v>
      </c>
      <c r="O49" s="115">
        <v>833.02</v>
      </c>
      <c r="P49" s="115">
        <v>842</v>
      </c>
      <c r="Q49" s="115">
        <v>4305</v>
      </c>
      <c r="R49">
        <v>2833</v>
      </c>
    </row>
    <row r="50" spans="1:18" x14ac:dyDescent="0.25">
      <c r="A50" s="169">
        <v>42073</v>
      </c>
      <c r="B50" s="115">
        <v>875</v>
      </c>
      <c r="C50" s="115">
        <v>821.95</v>
      </c>
      <c r="D50" s="115">
        <v>814.01</v>
      </c>
      <c r="E50" s="115">
        <v>864.99</v>
      </c>
      <c r="F50" s="115">
        <v>4109.75</v>
      </c>
      <c r="G50">
        <v>701</v>
      </c>
      <c r="H50" s="115"/>
      <c r="I50" s="115"/>
      <c r="L50" s="169">
        <v>42073</v>
      </c>
      <c r="M50" s="115">
        <v>820.76</v>
      </c>
      <c r="N50" s="115">
        <v>876.98</v>
      </c>
      <c r="O50" s="115">
        <v>816</v>
      </c>
      <c r="P50" s="115">
        <v>873</v>
      </c>
      <c r="Q50" s="115">
        <v>4103.8</v>
      </c>
      <c r="R50">
        <v>3987</v>
      </c>
    </row>
    <row r="51" spans="1:18" x14ac:dyDescent="0.25">
      <c r="A51" s="169">
        <v>42074</v>
      </c>
      <c r="B51" s="115">
        <v>840.2</v>
      </c>
      <c r="C51" s="115">
        <v>823.45</v>
      </c>
      <c r="D51" s="115">
        <v>817.4</v>
      </c>
      <c r="E51" s="115">
        <v>827</v>
      </c>
      <c r="F51" s="115">
        <v>4117.25</v>
      </c>
      <c r="G51">
        <v>470</v>
      </c>
      <c r="H51" s="115"/>
      <c r="I51" s="115"/>
      <c r="L51" s="169">
        <v>42074</v>
      </c>
      <c r="M51" s="115">
        <v>825.32</v>
      </c>
      <c r="N51" s="115">
        <v>845</v>
      </c>
      <c r="O51" s="115">
        <v>820</v>
      </c>
      <c r="P51" s="115">
        <v>823.2</v>
      </c>
      <c r="Q51" s="115">
        <v>4126.6000000000004</v>
      </c>
      <c r="R51">
        <v>1057</v>
      </c>
    </row>
    <row r="52" spans="1:18" x14ac:dyDescent="0.25">
      <c r="A52" s="169">
        <v>42075</v>
      </c>
      <c r="B52" s="115">
        <v>847.04</v>
      </c>
      <c r="C52" s="115">
        <v>835.32</v>
      </c>
      <c r="D52" s="115">
        <v>822.2</v>
      </c>
      <c r="E52" s="115">
        <v>822.9</v>
      </c>
      <c r="F52" s="115">
        <v>4176.6000000000004</v>
      </c>
      <c r="G52">
        <v>493</v>
      </c>
      <c r="H52" s="115"/>
      <c r="I52" s="115"/>
      <c r="L52" s="169">
        <v>42075</v>
      </c>
      <c r="M52" s="115">
        <v>838.45</v>
      </c>
      <c r="N52" s="115">
        <v>849.58</v>
      </c>
      <c r="O52" s="115">
        <v>823</v>
      </c>
      <c r="P52" s="115">
        <v>838.54</v>
      </c>
      <c r="Q52" s="115">
        <v>4192.25</v>
      </c>
      <c r="R52">
        <v>2208</v>
      </c>
    </row>
    <row r="53" spans="1:18" x14ac:dyDescent="0.25">
      <c r="A53" s="169">
        <v>42076</v>
      </c>
      <c r="B53" s="115">
        <v>845.74</v>
      </c>
      <c r="C53" s="115">
        <v>831.14</v>
      </c>
      <c r="D53" s="115">
        <v>827</v>
      </c>
      <c r="E53" s="115">
        <v>844</v>
      </c>
      <c r="F53" s="115">
        <v>4155.7</v>
      </c>
      <c r="G53">
        <v>9224</v>
      </c>
      <c r="H53" s="115"/>
      <c r="I53" s="115"/>
      <c r="L53" s="169">
        <v>42076</v>
      </c>
      <c r="M53" s="115">
        <v>840.3</v>
      </c>
      <c r="N53" s="115">
        <v>848.56</v>
      </c>
      <c r="O53" s="115">
        <v>828.71</v>
      </c>
      <c r="P53" s="115">
        <v>840</v>
      </c>
      <c r="Q53" s="115">
        <v>4201.5</v>
      </c>
      <c r="R53">
        <v>1698</v>
      </c>
    </row>
    <row r="54" spans="1:18" x14ac:dyDescent="0.25">
      <c r="A54" s="169">
        <v>42079</v>
      </c>
      <c r="B54" s="115">
        <v>826.4</v>
      </c>
      <c r="C54" s="115">
        <v>809.66</v>
      </c>
      <c r="D54" s="115">
        <v>802.69</v>
      </c>
      <c r="E54" s="115">
        <v>826.4</v>
      </c>
      <c r="F54" s="115">
        <v>4048.3</v>
      </c>
      <c r="G54">
        <v>278</v>
      </c>
      <c r="H54" s="115"/>
      <c r="I54" s="115"/>
      <c r="L54" s="169">
        <v>42079</v>
      </c>
      <c r="M54" s="115">
        <v>812.95</v>
      </c>
      <c r="N54" s="115">
        <v>840.01</v>
      </c>
      <c r="O54" s="115">
        <v>805.74</v>
      </c>
      <c r="P54" s="115">
        <v>840.01</v>
      </c>
      <c r="Q54" s="115">
        <v>4064.75</v>
      </c>
      <c r="R54">
        <v>1752</v>
      </c>
    </row>
    <row r="55" spans="1:18" x14ac:dyDescent="0.25">
      <c r="A55" s="169">
        <v>42080</v>
      </c>
      <c r="B55" s="115">
        <v>821</v>
      </c>
      <c r="C55" s="115">
        <v>802.1</v>
      </c>
      <c r="D55" s="115">
        <v>790.01</v>
      </c>
      <c r="E55" s="115">
        <v>821</v>
      </c>
      <c r="F55" s="115">
        <v>4010.5</v>
      </c>
      <c r="G55">
        <v>506</v>
      </c>
      <c r="H55" s="115"/>
      <c r="I55" s="115"/>
      <c r="L55" s="169">
        <v>42080</v>
      </c>
      <c r="M55" s="115">
        <v>800.6</v>
      </c>
      <c r="N55" s="115">
        <v>827.75</v>
      </c>
      <c r="O55" s="115">
        <v>787.1</v>
      </c>
      <c r="P55" s="115">
        <v>813.2</v>
      </c>
      <c r="Q55" s="115">
        <v>4003</v>
      </c>
      <c r="R55">
        <v>2660</v>
      </c>
    </row>
    <row r="56" spans="1:18" x14ac:dyDescent="0.25">
      <c r="A56" s="169">
        <v>42081</v>
      </c>
      <c r="B56" s="115">
        <v>806</v>
      </c>
      <c r="C56" s="115">
        <v>804.11</v>
      </c>
      <c r="D56" s="115">
        <v>800</v>
      </c>
      <c r="E56" s="115">
        <v>800.21</v>
      </c>
      <c r="F56" s="115">
        <v>4020.55</v>
      </c>
      <c r="G56">
        <v>20190</v>
      </c>
      <c r="H56" s="115"/>
      <c r="I56" s="115"/>
      <c r="L56" s="169">
        <v>42081</v>
      </c>
      <c r="M56" s="115">
        <v>805.02</v>
      </c>
      <c r="N56" s="115">
        <v>809.74</v>
      </c>
      <c r="O56" s="115">
        <v>793.82</v>
      </c>
      <c r="P56" s="115">
        <v>794</v>
      </c>
      <c r="Q56" s="115">
        <v>4025.1</v>
      </c>
      <c r="R56">
        <v>13467</v>
      </c>
    </row>
    <row r="57" spans="1:18" x14ac:dyDescent="0.25">
      <c r="A57" s="169">
        <v>42082</v>
      </c>
      <c r="B57" s="115">
        <v>839.4</v>
      </c>
      <c r="C57" s="115">
        <v>836.49</v>
      </c>
      <c r="D57" s="115">
        <v>804</v>
      </c>
      <c r="E57" s="115">
        <v>804</v>
      </c>
      <c r="F57" s="115">
        <v>4182.45</v>
      </c>
      <c r="G57">
        <v>263</v>
      </c>
      <c r="H57" s="115"/>
      <c r="I57" s="115"/>
      <c r="L57" s="169">
        <v>42082</v>
      </c>
      <c r="M57" s="115">
        <v>834.39</v>
      </c>
      <c r="N57" s="115">
        <v>839.4</v>
      </c>
      <c r="O57" s="115">
        <v>812.32</v>
      </c>
      <c r="P57" s="115">
        <v>820</v>
      </c>
      <c r="Q57" s="115">
        <v>4171.95</v>
      </c>
      <c r="R57">
        <v>1355</v>
      </c>
    </row>
    <row r="58" spans="1:18" x14ac:dyDescent="0.25">
      <c r="A58" s="169">
        <v>42083</v>
      </c>
      <c r="B58" s="115">
        <v>835</v>
      </c>
      <c r="C58" s="115">
        <v>817.64</v>
      </c>
      <c r="D58" s="115">
        <v>814.2</v>
      </c>
      <c r="E58" s="115">
        <v>832.42</v>
      </c>
      <c r="F58" s="115">
        <v>4088.2</v>
      </c>
      <c r="G58">
        <v>149</v>
      </c>
      <c r="H58" s="115"/>
      <c r="I58" s="115"/>
      <c r="L58" s="169">
        <v>42083</v>
      </c>
      <c r="M58" s="115">
        <v>821.27</v>
      </c>
      <c r="N58" s="115">
        <v>840</v>
      </c>
      <c r="O58" s="115">
        <v>813</v>
      </c>
      <c r="P58" s="115">
        <v>840</v>
      </c>
      <c r="Q58" s="115">
        <v>4106.3500000000004</v>
      </c>
      <c r="R58">
        <v>894</v>
      </c>
    </row>
    <row r="59" spans="1:18" x14ac:dyDescent="0.25">
      <c r="A59" s="169">
        <v>42086</v>
      </c>
      <c r="B59" s="115">
        <v>839.97</v>
      </c>
      <c r="C59" s="115">
        <v>830.94</v>
      </c>
      <c r="D59" s="115">
        <v>813</v>
      </c>
      <c r="E59" s="115">
        <v>817.6</v>
      </c>
      <c r="F59" s="115">
        <v>4154.7</v>
      </c>
      <c r="G59">
        <v>364</v>
      </c>
      <c r="H59" s="115"/>
      <c r="I59" s="115"/>
      <c r="L59" s="169">
        <v>42086</v>
      </c>
      <c r="M59" s="115">
        <v>832.92</v>
      </c>
      <c r="N59" s="115">
        <v>839</v>
      </c>
      <c r="O59" s="115">
        <v>807.92</v>
      </c>
      <c r="P59" s="115">
        <v>835</v>
      </c>
      <c r="Q59" s="115">
        <v>4164.6000000000004</v>
      </c>
      <c r="R59">
        <v>1396</v>
      </c>
    </row>
    <row r="60" spans="1:18" x14ac:dyDescent="0.25">
      <c r="A60" s="169">
        <v>42087</v>
      </c>
      <c r="B60" s="115">
        <v>828.51</v>
      </c>
      <c r="C60" s="115">
        <v>803.86</v>
      </c>
      <c r="D60" s="115">
        <v>790</v>
      </c>
      <c r="E60" s="115">
        <v>827.38</v>
      </c>
      <c r="F60" s="115">
        <v>4019.3</v>
      </c>
      <c r="G60">
        <v>321</v>
      </c>
      <c r="H60" s="115"/>
      <c r="I60" s="115"/>
      <c r="L60" s="169">
        <v>42087</v>
      </c>
      <c r="M60" s="115">
        <v>803.43</v>
      </c>
      <c r="N60" s="115">
        <v>839.6</v>
      </c>
      <c r="O60" s="115">
        <v>786</v>
      </c>
      <c r="P60" s="115">
        <v>830</v>
      </c>
      <c r="Q60" s="115">
        <v>4017.15</v>
      </c>
      <c r="R60">
        <v>6637</v>
      </c>
    </row>
    <row r="61" spans="1:18" x14ac:dyDescent="0.25">
      <c r="A61" s="169">
        <v>42088</v>
      </c>
      <c r="B61" s="115">
        <v>802</v>
      </c>
      <c r="C61" s="115">
        <v>790.42</v>
      </c>
      <c r="D61" s="115">
        <v>788.05</v>
      </c>
      <c r="E61" s="115">
        <v>802</v>
      </c>
      <c r="F61" s="115">
        <v>3952.1</v>
      </c>
      <c r="G61">
        <v>215</v>
      </c>
      <c r="H61" s="115"/>
      <c r="I61" s="115"/>
      <c r="L61" s="169">
        <v>42088</v>
      </c>
      <c r="M61" s="115">
        <v>790.02</v>
      </c>
      <c r="N61" s="115">
        <v>817.8</v>
      </c>
      <c r="O61" s="115">
        <v>786.2</v>
      </c>
      <c r="P61" s="115">
        <v>817.8</v>
      </c>
      <c r="Q61" s="115">
        <v>3950.1</v>
      </c>
      <c r="R61">
        <v>2739</v>
      </c>
    </row>
    <row r="62" spans="1:18" x14ac:dyDescent="0.25">
      <c r="A62" s="169">
        <v>42089</v>
      </c>
      <c r="B62" s="115">
        <v>784</v>
      </c>
      <c r="C62" s="115">
        <v>776.71</v>
      </c>
      <c r="D62" s="115">
        <v>766</v>
      </c>
      <c r="E62" s="115">
        <v>784</v>
      </c>
      <c r="F62" s="115">
        <v>3883.55</v>
      </c>
      <c r="G62">
        <v>643</v>
      </c>
      <c r="H62" s="115"/>
      <c r="I62" s="115"/>
      <c r="L62" s="169">
        <v>42089</v>
      </c>
      <c r="M62" s="115">
        <v>779.54</v>
      </c>
      <c r="N62" s="115">
        <v>790.6</v>
      </c>
      <c r="O62" s="115">
        <v>766.2</v>
      </c>
      <c r="P62" s="115">
        <v>774</v>
      </c>
      <c r="Q62" s="115">
        <v>3897.7</v>
      </c>
      <c r="R62">
        <v>3866</v>
      </c>
    </row>
    <row r="63" spans="1:18" x14ac:dyDescent="0.25">
      <c r="A63" s="169">
        <v>42090</v>
      </c>
      <c r="B63" s="115">
        <v>804.33</v>
      </c>
      <c r="C63" s="115">
        <v>795.39</v>
      </c>
      <c r="D63" s="115">
        <v>786</v>
      </c>
      <c r="E63" s="115">
        <v>787</v>
      </c>
      <c r="F63" s="115">
        <v>3976.95</v>
      </c>
      <c r="G63">
        <v>1068</v>
      </c>
      <c r="H63" s="115"/>
      <c r="I63" s="115"/>
      <c r="L63" s="169">
        <v>42090</v>
      </c>
      <c r="M63" s="115">
        <v>785.41</v>
      </c>
      <c r="N63" s="115">
        <v>804.95</v>
      </c>
      <c r="O63" s="115">
        <v>780</v>
      </c>
      <c r="P63" s="115">
        <v>795</v>
      </c>
      <c r="Q63" s="115">
        <v>3927.05</v>
      </c>
      <c r="R63">
        <v>2103</v>
      </c>
    </row>
    <row r="64" spans="1:18" x14ac:dyDescent="0.25">
      <c r="A64" s="169">
        <v>42093</v>
      </c>
      <c r="B64" s="115">
        <v>826.99</v>
      </c>
      <c r="C64" s="115">
        <v>814.56</v>
      </c>
      <c r="D64" s="115">
        <v>784.5</v>
      </c>
      <c r="E64" s="115">
        <v>797.56</v>
      </c>
      <c r="F64" s="115">
        <v>4072.8</v>
      </c>
      <c r="G64">
        <v>470</v>
      </c>
      <c r="H64" s="115"/>
      <c r="I64" s="115"/>
      <c r="L64" s="169">
        <v>42093</v>
      </c>
      <c r="M64" s="115">
        <v>814.71</v>
      </c>
      <c r="N64" s="115">
        <v>819.78</v>
      </c>
      <c r="O64" s="115">
        <v>782.28</v>
      </c>
      <c r="P64" s="115">
        <v>790</v>
      </c>
      <c r="Q64" s="115">
        <v>4073.55</v>
      </c>
      <c r="R64">
        <v>2831</v>
      </c>
    </row>
    <row r="65" spans="1:18" x14ac:dyDescent="0.25">
      <c r="A65" s="169">
        <v>42094</v>
      </c>
      <c r="B65" s="115">
        <v>844.98</v>
      </c>
      <c r="C65" s="115">
        <v>828.63</v>
      </c>
      <c r="D65" s="115">
        <v>810</v>
      </c>
      <c r="E65" s="115">
        <v>814.8</v>
      </c>
      <c r="F65" s="115">
        <v>4143.1499999999996</v>
      </c>
      <c r="G65">
        <v>1933</v>
      </c>
      <c r="H65" s="115"/>
      <c r="I65" s="115"/>
      <c r="L65" s="169">
        <v>42094</v>
      </c>
      <c r="M65" s="115">
        <v>834.65</v>
      </c>
      <c r="N65" s="115">
        <v>847.93</v>
      </c>
      <c r="O65" s="115">
        <v>809.99</v>
      </c>
      <c r="P65" s="115">
        <v>830</v>
      </c>
      <c r="Q65" s="115">
        <v>4173.25</v>
      </c>
      <c r="R65">
        <v>6186</v>
      </c>
    </row>
    <row r="66" spans="1:18" x14ac:dyDescent="0.25">
      <c r="A66" s="169">
        <v>42095</v>
      </c>
      <c r="B66" s="115">
        <v>873.98</v>
      </c>
      <c r="C66" s="115">
        <v>870.24</v>
      </c>
      <c r="D66" s="115">
        <v>830</v>
      </c>
      <c r="E66" s="115">
        <v>830</v>
      </c>
      <c r="F66" s="115">
        <v>4351.2</v>
      </c>
      <c r="G66">
        <v>529</v>
      </c>
      <c r="H66" s="115"/>
      <c r="I66" s="115"/>
      <c r="L66" s="169">
        <v>42095</v>
      </c>
      <c r="M66" s="115">
        <v>869.11</v>
      </c>
      <c r="N66" s="115">
        <v>873.96</v>
      </c>
      <c r="O66" s="115">
        <v>826.42</v>
      </c>
      <c r="P66" s="115">
        <v>826.42</v>
      </c>
      <c r="Q66" s="115">
        <v>4345.55</v>
      </c>
      <c r="R66">
        <v>1781</v>
      </c>
    </row>
    <row r="67" spans="1:18" x14ac:dyDescent="0.25">
      <c r="A67" s="169">
        <v>42100</v>
      </c>
      <c r="B67" s="115">
        <v>883.11</v>
      </c>
      <c r="C67" s="115">
        <v>874.24</v>
      </c>
      <c r="D67" s="115">
        <v>869</v>
      </c>
      <c r="E67" s="115">
        <v>869</v>
      </c>
      <c r="F67" s="115">
        <v>4371.2</v>
      </c>
      <c r="G67">
        <v>312</v>
      </c>
      <c r="H67" s="115"/>
      <c r="I67" s="115"/>
      <c r="L67" s="169">
        <v>42100</v>
      </c>
      <c r="M67" s="115">
        <v>879.14</v>
      </c>
      <c r="N67" s="115">
        <v>884</v>
      </c>
      <c r="O67" s="115">
        <v>852.22</v>
      </c>
      <c r="P67" s="115">
        <v>867.7</v>
      </c>
      <c r="Q67" s="115">
        <v>4395.7</v>
      </c>
      <c r="R67">
        <v>2029</v>
      </c>
    </row>
    <row r="68" spans="1:18" x14ac:dyDescent="0.25">
      <c r="A68" s="169">
        <v>42101</v>
      </c>
      <c r="B68" s="115">
        <v>900.99</v>
      </c>
      <c r="C68" s="115">
        <v>888.08</v>
      </c>
      <c r="D68" s="115">
        <v>867.65</v>
      </c>
      <c r="E68" s="115">
        <v>876.4</v>
      </c>
      <c r="F68" s="115">
        <v>4440.3999999999996</v>
      </c>
      <c r="G68">
        <v>514</v>
      </c>
      <c r="H68" s="115"/>
      <c r="I68" s="115"/>
      <c r="L68" s="169">
        <v>42101</v>
      </c>
      <c r="M68" s="115">
        <v>897.46</v>
      </c>
      <c r="N68" s="115">
        <v>900</v>
      </c>
      <c r="O68" s="115">
        <v>861.22</v>
      </c>
      <c r="P68" s="115">
        <v>870.47</v>
      </c>
      <c r="Q68" s="115">
        <v>4487.3</v>
      </c>
      <c r="R68">
        <v>2270</v>
      </c>
    </row>
    <row r="69" spans="1:18" x14ac:dyDescent="0.25">
      <c r="A69" s="169">
        <v>42102</v>
      </c>
      <c r="B69" s="115">
        <v>916</v>
      </c>
      <c r="C69" s="115">
        <v>879.56</v>
      </c>
      <c r="D69" s="115">
        <v>874.01</v>
      </c>
      <c r="E69" s="115">
        <v>885.2</v>
      </c>
      <c r="F69" s="115">
        <v>4397.8</v>
      </c>
      <c r="G69">
        <v>3794</v>
      </c>
      <c r="H69" s="115"/>
      <c r="I69" s="115"/>
      <c r="L69" s="169">
        <v>42102</v>
      </c>
      <c r="M69" s="115">
        <v>879.65</v>
      </c>
      <c r="N69" s="115">
        <v>919.8</v>
      </c>
      <c r="O69" s="115">
        <v>871.2</v>
      </c>
      <c r="P69" s="115">
        <v>887.21</v>
      </c>
      <c r="Q69" s="115">
        <v>4398.25</v>
      </c>
      <c r="R69">
        <v>1809</v>
      </c>
    </row>
    <row r="70" spans="1:18" x14ac:dyDescent="0.25">
      <c r="A70" s="169">
        <v>42103</v>
      </c>
      <c r="B70" s="115">
        <v>893.08</v>
      </c>
      <c r="C70" s="115">
        <v>883.09</v>
      </c>
      <c r="D70" s="115">
        <v>869.63</v>
      </c>
      <c r="E70" s="115">
        <v>880</v>
      </c>
      <c r="F70" s="115">
        <v>4415.45</v>
      </c>
      <c r="G70">
        <v>650</v>
      </c>
      <c r="H70" s="115"/>
      <c r="I70" s="115"/>
      <c r="L70" s="169">
        <v>42103</v>
      </c>
      <c r="M70" s="115">
        <v>884.11</v>
      </c>
      <c r="N70" s="115">
        <v>894</v>
      </c>
      <c r="O70" s="115">
        <v>868.6</v>
      </c>
      <c r="P70" s="115">
        <v>879.65</v>
      </c>
      <c r="Q70" s="115">
        <v>4420.55</v>
      </c>
      <c r="R70">
        <v>1044</v>
      </c>
    </row>
    <row r="71" spans="1:18" x14ac:dyDescent="0.25">
      <c r="A71" s="169">
        <v>42104</v>
      </c>
      <c r="B71" s="115">
        <v>897.78</v>
      </c>
      <c r="C71" s="115">
        <v>893.41</v>
      </c>
      <c r="D71" s="115">
        <v>879.2</v>
      </c>
      <c r="E71" s="115">
        <v>881</v>
      </c>
      <c r="F71" s="115">
        <v>4467.05</v>
      </c>
      <c r="G71">
        <v>83</v>
      </c>
      <c r="H71" s="115"/>
      <c r="I71" s="115"/>
      <c r="L71" s="169">
        <v>42104</v>
      </c>
      <c r="M71" s="115">
        <v>897.33</v>
      </c>
      <c r="N71" s="115">
        <v>900</v>
      </c>
      <c r="O71" s="115">
        <v>875.6</v>
      </c>
      <c r="P71" s="115">
        <v>876</v>
      </c>
      <c r="Q71" s="115">
        <v>4486.6499999999996</v>
      </c>
      <c r="R71">
        <v>1643</v>
      </c>
    </row>
    <row r="72" spans="1:18" x14ac:dyDescent="0.25">
      <c r="A72" s="169">
        <v>42107</v>
      </c>
      <c r="B72" s="115">
        <v>906.39</v>
      </c>
      <c r="C72" s="115">
        <v>898.88</v>
      </c>
      <c r="D72" s="115">
        <v>888</v>
      </c>
      <c r="E72" s="115">
        <v>899.8</v>
      </c>
      <c r="F72" s="115">
        <v>4494.3999999999996</v>
      </c>
      <c r="G72">
        <v>516</v>
      </c>
      <c r="H72" s="115"/>
      <c r="I72" s="115"/>
      <c r="L72" s="169">
        <v>42107</v>
      </c>
      <c r="M72" s="115">
        <v>898.21</v>
      </c>
      <c r="N72" s="115">
        <v>906.8</v>
      </c>
      <c r="O72" s="115">
        <v>882.34</v>
      </c>
      <c r="P72" s="115">
        <v>882.34</v>
      </c>
      <c r="Q72" s="115">
        <v>4491.05</v>
      </c>
      <c r="R72">
        <v>1098</v>
      </c>
    </row>
    <row r="73" spans="1:18" x14ac:dyDescent="0.25">
      <c r="A73" s="169">
        <v>42109</v>
      </c>
      <c r="B73" s="115">
        <v>907.03</v>
      </c>
      <c r="C73" s="115">
        <v>899.26</v>
      </c>
      <c r="D73" s="115">
        <v>873.2</v>
      </c>
      <c r="E73" s="115">
        <v>894.15</v>
      </c>
      <c r="F73" s="115">
        <v>4496.3</v>
      </c>
      <c r="G73">
        <v>2672</v>
      </c>
      <c r="H73" s="115"/>
      <c r="I73" s="115"/>
      <c r="L73" s="169">
        <v>42109</v>
      </c>
      <c r="M73" s="115">
        <v>900.25</v>
      </c>
      <c r="N73" s="115">
        <v>905</v>
      </c>
      <c r="O73" s="115">
        <v>887.48</v>
      </c>
      <c r="P73" s="115">
        <v>889.2</v>
      </c>
      <c r="Q73" s="115">
        <v>4501.25</v>
      </c>
      <c r="R73">
        <v>1440</v>
      </c>
    </row>
    <row r="74" spans="1:18" x14ac:dyDescent="0.25">
      <c r="A74" s="169">
        <v>42110</v>
      </c>
      <c r="B74" s="115">
        <v>900.84</v>
      </c>
      <c r="C74" s="115">
        <v>891.61</v>
      </c>
      <c r="D74" s="115">
        <v>886.69</v>
      </c>
      <c r="E74" s="115">
        <v>898</v>
      </c>
      <c r="F74" s="115">
        <v>4458.05</v>
      </c>
      <c r="G74">
        <v>2414</v>
      </c>
      <c r="H74" s="115"/>
      <c r="I74" s="115"/>
      <c r="L74" s="169">
        <v>42110</v>
      </c>
      <c r="M74" s="115">
        <v>888.64</v>
      </c>
      <c r="N74" s="115">
        <v>905.6</v>
      </c>
      <c r="O74" s="115">
        <v>886.01</v>
      </c>
      <c r="P74" s="115">
        <v>890.21</v>
      </c>
      <c r="Q74" s="115">
        <v>4443.2</v>
      </c>
      <c r="R74">
        <v>7494</v>
      </c>
    </row>
    <row r="75" spans="1:18" x14ac:dyDescent="0.25">
      <c r="A75" s="169">
        <v>42111</v>
      </c>
      <c r="B75" s="115">
        <v>892.8</v>
      </c>
      <c r="C75" s="115">
        <v>876.37</v>
      </c>
      <c r="D75" s="115">
        <v>871.46</v>
      </c>
      <c r="E75" s="115">
        <v>883.6</v>
      </c>
      <c r="F75" s="115">
        <v>4381.8500000000004</v>
      </c>
      <c r="G75">
        <v>207</v>
      </c>
      <c r="H75" s="115"/>
      <c r="I75" s="115"/>
      <c r="L75" s="169">
        <v>42111</v>
      </c>
      <c r="M75" s="115">
        <v>872.14</v>
      </c>
      <c r="N75" s="115">
        <v>898.6</v>
      </c>
      <c r="O75" s="115">
        <v>870</v>
      </c>
      <c r="P75" s="115">
        <v>885</v>
      </c>
      <c r="Q75" s="115">
        <v>4360.7</v>
      </c>
      <c r="R75">
        <v>474</v>
      </c>
    </row>
    <row r="76" spans="1:18" x14ac:dyDescent="0.25">
      <c r="A76" s="169">
        <v>42114</v>
      </c>
      <c r="B76" s="115">
        <v>879.91</v>
      </c>
      <c r="C76" s="115">
        <v>858.8</v>
      </c>
      <c r="D76" s="115">
        <v>842.32</v>
      </c>
      <c r="E76" s="115">
        <v>870</v>
      </c>
      <c r="F76" s="115">
        <v>4294</v>
      </c>
      <c r="G76">
        <v>597</v>
      </c>
      <c r="H76" s="115"/>
      <c r="I76" s="115"/>
      <c r="L76" s="169">
        <v>42114</v>
      </c>
      <c r="M76" s="115">
        <v>856.24</v>
      </c>
      <c r="N76" s="115">
        <v>882</v>
      </c>
      <c r="O76" s="115">
        <v>844</v>
      </c>
      <c r="P76" s="115">
        <v>870</v>
      </c>
      <c r="Q76" s="115">
        <v>4281.2</v>
      </c>
      <c r="R76">
        <v>2919</v>
      </c>
    </row>
    <row r="77" spans="1:18" x14ac:dyDescent="0.25">
      <c r="A77" s="169">
        <v>42115</v>
      </c>
      <c r="B77" s="115">
        <v>869.78</v>
      </c>
      <c r="C77" s="115">
        <v>862.78</v>
      </c>
      <c r="D77" s="115">
        <v>848.94</v>
      </c>
      <c r="E77" s="115">
        <v>848.94</v>
      </c>
      <c r="F77" s="115">
        <v>4313.8999999999996</v>
      </c>
      <c r="G77">
        <v>376</v>
      </c>
      <c r="H77" s="115"/>
      <c r="I77" s="115"/>
      <c r="L77" s="169">
        <v>42115</v>
      </c>
      <c r="M77" s="115">
        <v>863.52</v>
      </c>
      <c r="N77" s="115">
        <v>873</v>
      </c>
      <c r="O77" s="115">
        <v>847</v>
      </c>
      <c r="P77" s="115">
        <v>852</v>
      </c>
      <c r="Q77" s="115">
        <v>4317.6000000000004</v>
      </c>
      <c r="R77">
        <v>20559</v>
      </c>
    </row>
    <row r="78" spans="1:18" x14ac:dyDescent="0.25">
      <c r="A78" s="169">
        <v>42116</v>
      </c>
      <c r="B78" s="115">
        <v>872.4</v>
      </c>
      <c r="C78" s="115">
        <v>844.97</v>
      </c>
      <c r="D78" s="115">
        <v>842</v>
      </c>
      <c r="E78" s="115">
        <v>856</v>
      </c>
      <c r="F78" s="115">
        <v>4224.8500000000004</v>
      </c>
      <c r="G78">
        <v>322</v>
      </c>
      <c r="H78" s="115"/>
      <c r="I78" s="115"/>
      <c r="L78" s="169">
        <v>42116</v>
      </c>
      <c r="M78" s="115">
        <v>840.36</v>
      </c>
      <c r="N78" s="115">
        <v>875</v>
      </c>
      <c r="O78" s="115">
        <v>840</v>
      </c>
      <c r="P78" s="115">
        <v>853.39</v>
      </c>
      <c r="Q78" s="115">
        <v>4201.8</v>
      </c>
      <c r="R78">
        <v>3485</v>
      </c>
    </row>
    <row r="79" spans="1:18" x14ac:dyDescent="0.25">
      <c r="A79" s="169">
        <v>42117</v>
      </c>
      <c r="B79" s="115">
        <v>856</v>
      </c>
      <c r="C79" s="115">
        <v>830.23</v>
      </c>
      <c r="D79" s="115">
        <v>816.5</v>
      </c>
      <c r="E79" s="115">
        <v>856</v>
      </c>
      <c r="F79" s="115">
        <v>4151.1499999999996</v>
      </c>
      <c r="G79">
        <v>523</v>
      </c>
      <c r="H79" s="115"/>
      <c r="I79" s="115"/>
      <c r="L79" s="169">
        <v>42117</v>
      </c>
      <c r="M79" s="115">
        <v>828.14</v>
      </c>
      <c r="N79" s="115">
        <v>866.58</v>
      </c>
      <c r="O79" s="115">
        <v>799.08</v>
      </c>
      <c r="P79" s="115">
        <v>850</v>
      </c>
      <c r="Q79" s="115">
        <v>4140.7</v>
      </c>
      <c r="R79">
        <v>7758</v>
      </c>
    </row>
    <row r="80" spans="1:18" x14ac:dyDescent="0.25">
      <c r="A80" s="169">
        <v>42118</v>
      </c>
      <c r="B80" s="115">
        <v>855</v>
      </c>
      <c r="C80" s="115">
        <v>817.57</v>
      </c>
      <c r="D80" s="115">
        <v>814</v>
      </c>
      <c r="E80" s="115">
        <v>836.2</v>
      </c>
      <c r="F80" s="115">
        <v>4087.85</v>
      </c>
      <c r="G80">
        <v>928</v>
      </c>
      <c r="H80" s="115"/>
      <c r="I80" s="115"/>
      <c r="L80" s="169">
        <v>42118</v>
      </c>
      <c r="M80" s="115">
        <v>819.66</v>
      </c>
      <c r="N80" s="115">
        <v>851</v>
      </c>
      <c r="O80" s="115">
        <v>816</v>
      </c>
      <c r="P80" s="115">
        <v>830.01</v>
      </c>
      <c r="Q80" s="115">
        <v>4098.3</v>
      </c>
      <c r="R80">
        <v>2642</v>
      </c>
    </row>
    <row r="81" spans="1:18" x14ac:dyDescent="0.25">
      <c r="A81" s="169">
        <v>42121</v>
      </c>
      <c r="B81" s="115">
        <v>810</v>
      </c>
      <c r="C81" s="115">
        <v>798.35</v>
      </c>
      <c r="D81" s="115">
        <v>795.21</v>
      </c>
      <c r="E81" s="115">
        <v>810</v>
      </c>
      <c r="F81" s="115">
        <v>3991.75</v>
      </c>
      <c r="G81">
        <v>226</v>
      </c>
      <c r="H81" s="115"/>
      <c r="I81" s="115"/>
      <c r="L81" s="169">
        <v>42121</v>
      </c>
      <c r="M81" s="115">
        <v>803.95</v>
      </c>
      <c r="N81" s="115">
        <v>826</v>
      </c>
      <c r="O81" s="115">
        <v>793.14</v>
      </c>
      <c r="P81" s="115">
        <v>826</v>
      </c>
      <c r="Q81" s="115">
        <v>4019.75</v>
      </c>
      <c r="R81">
        <v>3243</v>
      </c>
    </row>
    <row r="82" spans="1:18" x14ac:dyDescent="0.25">
      <c r="A82" s="169">
        <v>42122</v>
      </c>
      <c r="B82" s="115">
        <v>803.8</v>
      </c>
      <c r="C82" s="115">
        <v>800.08</v>
      </c>
      <c r="D82" s="115">
        <v>790</v>
      </c>
      <c r="E82" s="115">
        <v>792.44</v>
      </c>
      <c r="F82" s="115">
        <v>4000.4</v>
      </c>
      <c r="G82">
        <v>1157</v>
      </c>
      <c r="H82" s="115"/>
      <c r="I82" s="115"/>
      <c r="L82" s="169">
        <v>42122</v>
      </c>
      <c r="M82" s="115">
        <v>803.31</v>
      </c>
      <c r="N82" s="115">
        <v>810</v>
      </c>
      <c r="O82" s="115">
        <v>795</v>
      </c>
      <c r="P82" s="115">
        <v>799.57</v>
      </c>
      <c r="Q82" s="115">
        <v>4016.55</v>
      </c>
      <c r="R82">
        <v>3002</v>
      </c>
    </row>
    <row r="83" spans="1:18" x14ac:dyDescent="0.25">
      <c r="A83" s="169">
        <v>42123</v>
      </c>
      <c r="B83" s="115">
        <v>827.99</v>
      </c>
      <c r="C83" s="115">
        <v>799.55</v>
      </c>
      <c r="D83" s="115">
        <v>796</v>
      </c>
      <c r="E83" s="115">
        <v>804.03</v>
      </c>
      <c r="F83" s="115">
        <v>3997.75</v>
      </c>
      <c r="G83">
        <v>890</v>
      </c>
      <c r="H83" s="115"/>
      <c r="I83" s="115"/>
      <c r="L83" s="169">
        <v>42123</v>
      </c>
      <c r="M83" s="115">
        <v>798.54</v>
      </c>
      <c r="N83" s="115">
        <v>828</v>
      </c>
      <c r="O83" s="115">
        <v>793</v>
      </c>
      <c r="P83" s="115">
        <v>806.85</v>
      </c>
      <c r="Q83" s="115">
        <v>3992.7</v>
      </c>
      <c r="R83">
        <v>2503</v>
      </c>
    </row>
    <row r="84" spans="1:18" x14ac:dyDescent="0.25">
      <c r="A84" s="169">
        <v>42124</v>
      </c>
      <c r="B84" s="115">
        <v>802.89</v>
      </c>
      <c r="C84" s="115">
        <v>800.57</v>
      </c>
      <c r="D84" s="115">
        <v>789.8</v>
      </c>
      <c r="E84" s="115">
        <v>794.01</v>
      </c>
      <c r="F84" s="115">
        <v>4002.85</v>
      </c>
      <c r="G84">
        <v>211</v>
      </c>
      <c r="H84" s="115"/>
      <c r="I84" s="115"/>
      <c r="L84" s="169">
        <v>42124</v>
      </c>
      <c r="M84" s="115">
        <v>797.08</v>
      </c>
      <c r="N84" s="115">
        <v>799.8</v>
      </c>
      <c r="O84" s="115">
        <v>786.61</v>
      </c>
      <c r="P84" s="115">
        <v>793.61</v>
      </c>
      <c r="Q84" s="115">
        <v>3985.4</v>
      </c>
      <c r="R84">
        <v>350</v>
      </c>
    </row>
    <row r="85" spans="1:18" x14ac:dyDescent="0.25">
      <c r="A85" s="169">
        <v>42128</v>
      </c>
      <c r="B85" s="115">
        <v>813</v>
      </c>
      <c r="C85" s="115">
        <v>803.67</v>
      </c>
      <c r="D85" s="115">
        <v>799.37</v>
      </c>
      <c r="E85" s="115">
        <v>800</v>
      </c>
      <c r="F85" s="115">
        <v>4018.35</v>
      </c>
      <c r="G85">
        <v>299</v>
      </c>
      <c r="H85" s="115"/>
      <c r="I85" s="115"/>
      <c r="L85" s="169">
        <v>42128</v>
      </c>
      <c r="M85" s="115">
        <v>808.26</v>
      </c>
      <c r="N85" s="115">
        <v>815.99</v>
      </c>
      <c r="O85" s="115">
        <v>793.01</v>
      </c>
      <c r="P85" s="115">
        <v>796.99</v>
      </c>
      <c r="Q85" s="115">
        <v>4041.3</v>
      </c>
      <c r="R85">
        <v>5813</v>
      </c>
    </row>
    <row r="86" spans="1:18" x14ac:dyDescent="0.25">
      <c r="A86" s="169">
        <v>42129</v>
      </c>
      <c r="B86" s="115">
        <v>820.4</v>
      </c>
      <c r="C86" s="115">
        <v>809.8</v>
      </c>
      <c r="D86" s="115">
        <v>806.6</v>
      </c>
      <c r="E86" s="115">
        <v>820</v>
      </c>
      <c r="F86" s="115">
        <v>4049</v>
      </c>
      <c r="G86">
        <v>114</v>
      </c>
      <c r="H86" s="115"/>
      <c r="I86" s="115"/>
      <c r="L86" s="169">
        <v>42129</v>
      </c>
      <c r="M86" s="115">
        <v>808.49</v>
      </c>
      <c r="N86" s="115">
        <v>837.8</v>
      </c>
      <c r="O86" s="115">
        <v>800.5</v>
      </c>
      <c r="P86" s="115">
        <v>837.8</v>
      </c>
      <c r="Q86" s="115">
        <v>4042.45</v>
      </c>
      <c r="R86">
        <v>10926</v>
      </c>
    </row>
    <row r="87" spans="1:18" x14ac:dyDescent="0.25">
      <c r="A87" s="169">
        <v>42130</v>
      </c>
      <c r="B87" s="115">
        <v>822.38</v>
      </c>
      <c r="C87" s="115">
        <v>787.78</v>
      </c>
      <c r="D87" s="115">
        <v>786</v>
      </c>
      <c r="E87" s="115">
        <v>803.35</v>
      </c>
      <c r="F87" s="115">
        <v>3938.9</v>
      </c>
      <c r="G87">
        <v>571</v>
      </c>
      <c r="H87" s="115"/>
      <c r="I87" s="115"/>
      <c r="L87" s="169">
        <v>42130</v>
      </c>
      <c r="M87" s="115">
        <v>790.14</v>
      </c>
      <c r="N87" s="115">
        <v>829.99</v>
      </c>
      <c r="O87" s="115">
        <v>790</v>
      </c>
      <c r="P87" s="115">
        <v>800.4</v>
      </c>
      <c r="Q87" s="115">
        <v>3950.7</v>
      </c>
      <c r="R87">
        <v>25814</v>
      </c>
    </row>
    <row r="88" spans="1:18" x14ac:dyDescent="0.25">
      <c r="A88" s="169">
        <v>42131</v>
      </c>
      <c r="B88" s="115">
        <v>809.97</v>
      </c>
      <c r="C88" s="115">
        <v>791.39</v>
      </c>
      <c r="D88" s="115">
        <v>787.59</v>
      </c>
      <c r="E88" s="115">
        <v>788.48</v>
      </c>
      <c r="F88" s="115">
        <v>3956.95</v>
      </c>
      <c r="G88">
        <v>446</v>
      </c>
      <c r="H88" s="115"/>
      <c r="I88" s="115"/>
      <c r="L88" s="169">
        <v>42131</v>
      </c>
      <c r="M88" s="115">
        <v>791.05</v>
      </c>
      <c r="N88" s="115">
        <v>808.87</v>
      </c>
      <c r="O88" s="115">
        <v>780</v>
      </c>
      <c r="P88" s="115">
        <v>780</v>
      </c>
      <c r="Q88" s="115">
        <v>3955.25</v>
      </c>
      <c r="R88">
        <v>1330</v>
      </c>
    </row>
    <row r="89" spans="1:18" x14ac:dyDescent="0.25">
      <c r="A89" s="169">
        <v>42132</v>
      </c>
      <c r="B89" s="115">
        <v>872.27</v>
      </c>
      <c r="C89" s="115">
        <v>818.37</v>
      </c>
      <c r="D89" s="115">
        <v>778</v>
      </c>
      <c r="E89" s="115">
        <v>793.46</v>
      </c>
      <c r="F89" s="115">
        <v>4091.85</v>
      </c>
      <c r="G89">
        <v>1163</v>
      </c>
      <c r="H89" s="115"/>
      <c r="I89" s="115"/>
      <c r="L89" s="169">
        <v>42132</v>
      </c>
      <c r="M89" s="115">
        <v>820.18</v>
      </c>
      <c r="N89" s="115">
        <v>879.8</v>
      </c>
      <c r="O89" s="115">
        <v>776</v>
      </c>
      <c r="P89" s="115">
        <v>790.6</v>
      </c>
      <c r="Q89" s="115">
        <v>4100.8999999999996</v>
      </c>
      <c r="R89">
        <v>6762</v>
      </c>
    </row>
    <row r="90" spans="1:18" x14ac:dyDescent="0.25">
      <c r="A90" s="169">
        <v>42135</v>
      </c>
      <c r="B90" s="115">
        <v>822</v>
      </c>
      <c r="C90" s="115">
        <v>815.36</v>
      </c>
      <c r="D90" s="115">
        <v>809.23</v>
      </c>
      <c r="E90" s="115">
        <v>810</v>
      </c>
      <c r="F90" s="115">
        <v>4076.8</v>
      </c>
      <c r="G90">
        <v>227</v>
      </c>
      <c r="H90" s="115"/>
      <c r="I90" s="115"/>
      <c r="L90" s="169">
        <v>42135</v>
      </c>
      <c r="M90" s="115">
        <v>814.49</v>
      </c>
      <c r="N90" s="115">
        <v>828</v>
      </c>
      <c r="O90" s="115">
        <v>808.02</v>
      </c>
      <c r="P90" s="115">
        <v>823.57</v>
      </c>
      <c r="Q90" s="115">
        <v>4072.45</v>
      </c>
      <c r="R90">
        <v>502</v>
      </c>
    </row>
    <row r="91" spans="1:18" x14ac:dyDescent="0.25">
      <c r="A91" s="169">
        <v>42136</v>
      </c>
      <c r="B91" s="115">
        <v>836</v>
      </c>
      <c r="C91" s="115">
        <v>814.01</v>
      </c>
      <c r="D91" s="115">
        <v>807.03</v>
      </c>
      <c r="E91" s="115">
        <v>830</v>
      </c>
      <c r="F91" s="115">
        <v>4070.05</v>
      </c>
      <c r="G91">
        <v>824</v>
      </c>
      <c r="H91" s="115"/>
      <c r="I91" s="115"/>
      <c r="L91" s="169">
        <v>42136</v>
      </c>
      <c r="M91" s="115">
        <v>812.64</v>
      </c>
      <c r="N91" s="115">
        <v>839.99</v>
      </c>
      <c r="O91" s="115">
        <v>807.09</v>
      </c>
      <c r="P91" s="115">
        <v>839.99</v>
      </c>
      <c r="Q91" s="115">
        <v>4063.2</v>
      </c>
      <c r="R91">
        <v>2411</v>
      </c>
    </row>
    <row r="92" spans="1:18" x14ac:dyDescent="0.25">
      <c r="A92" s="169">
        <v>42137</v>
      </c>
      <c r="B92" s="115">
        <v>821.9</v>
      </c>
      <c r="C92" s="115">
        <v>810.39</v>
      </c>
      <c r="D92" s="115">
        <v>787.1</v>
      </c>
      <c r="E92" s="115">
        <v>814</v>
      </c>
      <c r="F92" s="115">
        <v>4051.95</v>
      </c>
      <c r="G92">
        <v>281</v>
      </c>
      <c r="H92" s="115"/>
      <c r="I92" s="115"/>
      <c r="L92" s="169">
        <v>42137</v>
      </c>
      <c r="M92" s="115">
        <v>812.99</v>
      </c>
      <c r="N92" s="115">
        <v>823.37</v>
      </c>
      <c r="O92" s="115">
        <v>810</v>
      </c>
      <c r="P92" s="115">
        <v>812.01</v>
      </c>
      <c r="Q92" s="115">
        <v>4064.95</v>
      </c>
      <c r="R92">
        <v>6575</v>
      </c>
    </row>
    <row r="93" spans="1:18" x14ac:dyDescent="0.25">
      <c r="A93" s="169">
        <v>42138</v>
      </c>
      <c r="B93" s="115">
        <v>826.91</v>
      </c>
      <c r="C93" s="115">
        <v>819.58</v>
      </c>
      <c r="D93" s="115">
        <v>810</v>
      </c>
      <c r="E93" s="115">
        <v>810</v>
      </c>
      <c r="F93" s="115">
        <v>4097.8999999999996</v>
      </c>
      <c r="G93">
        <v>50</v>
      </c>
      <c r="H93" s="115"/>
      <c r="I93" s="115"/>
      <c r="L93" s="169">
        <v>42138</v>
      </c>
      <c r="M93" s="115">
        <v>823.86</v>
      </c>
      <c r="N93" s="115">
        <v>829.8</v>
      </c>
      <c r="O93" s="115">
        <v>809.75</v>
      </c>
      <c r="P93" s="115">
        <v>820.19</v>
      </c>
      <c r="Q93" s="115">
        <v>4119.3</v>
      </c>
      <c r="R93">
        <v>2241</v>
      </c>
    </row>
    <row r="94" spans="1:18" x14ac:dyDescent="0.25">
      <c r="A94" s="169">
        <v>42139</v>
      </c>
      <c r="B94" s="115">
        <v>846.03</v>
      </c>
      <c r="C94" s="115">
        <v>828.03</v>
      </c>
      <c r="D94" s="115">
        <v>819.8</v>
      </c>
      <c r="E94" s="115">
        <v>830</v>
      </c>
      <c r="F94" s="115">
        <v>4140.1499999999996</v>
      </c>
      <c r="G94">
        <v>23664</v>
      </c>
      <c r="H94" s="115"/>
      <c r="I94" s="115"/>
      <c r="L94" s="169">
        <v>42139</v>
      </c>
      <c r="M94" s="115">
        <v>826.69</v>
      </c>
      <c r="N94" s="115">
        <v>860</v>
      </c>
      <c r="O94" s="115">
        <v>815.3</v>
      </c>
      <c r="P94" s="115">
        <v>830.77</v>
      </c>
      <c r="Q94" s="115">
        <v>4133.45</v>
      </c>
      <c r="R94">
        <v>2134</v>
      </c>
    </row>
    <row r="95" spans="1:18" x14ac:dyDescent="0.25">
      <c r="A95" s="169">
        <v>42142</v>
      </c>
      <c r="B95" s="115">
        <v>848.04</v>
      </c>
      <c r="C95" s="115">
        <v>835.97</v>
      </c>
      <c r="D95" s="115">
        <v>821.4</v>
      </c>
      <c r="E95" s="115">
        <v>834.86</v>
      </c>
      <c r="F95" s="115">
        <v>4179.8500000000004</v>
      </c>
      <c r="G95">
        <v>356</v>
      </c>
      <c r="H95" s="115"/>
      <c r="I95" s="115"/>
      <c r="L95" s="169">
        <v>42142</v>
      </c>
      <c r="M95" s="115">
        <v>838.66</v>
      </c>
      <c r="N95" s="115">
        <v>845.33</v>
      </c>
      <c r="O95" s="115">
        <v>821.1</v>
      </c>
      <c r="P95" s="115">
        <v>832</v>
      </c>
      <c r="Q95" s="115">
        <v>4193.3</v>
      </c>
      <c r="R95">
        <v>69739</v>
      </c>
    </row>
    <row r="96" spans="1:18" x14ac:dyDescent="0.25">
      <c r="A96" s="169">
        <v>42143</v>
      </c>
      <c r="B96" s="115">
        <v>847.8</v>
      </c>
      <c r="C96" s="115">
        <v>838.99</v>
      </c>
      <c r="D96" s="115">
        <v>837.18</v>
      </c>
      <c r="E96" s="115">
        <v>839.22</v>
      </c>
      <c r="F96" s="115">
        <v>4194.95</v>
      </c>
      <c r="G96">
        <v>34</v>
      </c>
      <c r="H96" s="115"/>
      <c r="I96" s="115"/>
      <c r="L96" s="169">
        <v>42143</v>
      </c>
      <c r="M96" s="115">
        <v>838.88</v>
      </c>
      <c r="N96" s="115">
        <v>848</v>
      </c>
      <c r="O96" s="115">
        <v>833.27</v>
      </c>
      <c r="P96" s="115">
        <v>834.97</v>
      </c>
      <c r="Q96" s="115">
        <v>4194.3999999999996</v>
      </c>
      <c r="R96">
        <v>16034</v>
      </c>
    </row>
    <row r="97" spans="1:18" x14ac:dyDescent="0.25">
      <c r="A97" s="169">
        <v>42144</v>
      </c>
      <c r="B97" s="115">
        <v>837.86</v>
      </c>
      <c r="C97" s="115">
        <v>819.81</v>
      </c>
      <c r="D97" s="115">
        <v>815.8</v>
      </c>
      <c r="E97" s="115">
        <v>837.86</v>
      </c>
      <c r="F97" s="115">
        <v>4099.05</v>
      </c>
      <c r="G97">
        <v>159</v>
      </c>
      <c r="H97" s="115"/>
      <c r="I97" s="115"/>
      <c r="L97" s="169">
        <v>42144</v>
      </c>
      <c r="M97" s="115">
        <v>817.59</v>
      </c>
      <c r="N97" s="115">
        <v>853.98</v>
      </c>
      <c r="O97" s="115">
        <v>814</v>
      </c>
      <c r="P97" s="115">
        <v>849.6</v>
      </c>
      <c r="Q97" s="115">
        <v>4087.95</v>
      </c>
      <c r="R97">
        <v>10594</v>
      </c>
    </row>
    <row r="98" spans="1:18" x14ac:dyDescent="0.25">
      <c r="A98" s="169">
        <v>42145</v>
      </c>
      <c r="B98" s="115">
        <v>829.28</v>
      </c>
      <c r="C98" s="115">
        <v>814.71</v>
      </c>
      <c r="D98" s="115">
        <v>808</v>
      </c>
      <c r="E98" s="115">
        <v>820</v>
      </c>
      <c r="F98" s="115">
        <v>4073.55</v>
      </c>
      <c r="G98">
        <v>299</v>
      </c>
      <c r="H98" s="115"/>
      <c r="I98" s="115"/>
      <c r="L98" s="169">
        <v>42145</v>
      </c>
      <c r="M98" s="115">
        <v>815.05</v>
      </c>
      <c r="N98" s="115">
        <v>828.17</v>
      </c>
      <c r="O98" s="115">
        <v>810</v>
      </c>
      <c r="P98" s="115">
        <v>819.19</v>
      </c>
      <c r="Q98" s="115">
        <v>4075.25</v>
      </c>
      <c r="R98">
        <v>478</v>
      </c>
    </row>
    <row r="99" spans="1:18" x14ac:dyDescent="0.25">
      <c r="A99" s="169">
        <v>42146</v>
      </c>
      <c r="B99" s="115">
        <v>823.71</v>
      </c>
      <c r="C99" s="115">
        <v>814.27</v>
      </c>
      <c r="D99" s="115">
        <v>812.8</v>
      </c>
      <c r="E99" s="115">
        <v>814.92</v>
      </c>
      <c r="F99" s="115">
        <v>4071.35</v>
      </c>
      <c r="G99">
        <v>186</v>
      </c>
      <c r="H99" s="115"/>
      <c r="I99" s="115"/>
      <c r="L99" s="169">
        <v>42146</v>
      </c>
      <c r="M99" s="115">
        <v>815.87</v>
      </c>
      <c r="N99" s="115">
        <v>824.4</v>
      </c>
      <c r="O99" s="115">
        <v>808.39</v>
      </c>
      <c r="P99" s="115">
        <v>808.39</v>
      </c>
      <c r="Q99" s="115">
        <v>4079.35</v>
      </c>
      <c r="R99">
        <v>206</v>
      </c>
    </row>
    <row r="100" spans="1:18" x14ac:dyDescent="0.25">
      <c r="A100" s="169">
        <v>42149</v>
      </c>
      <c r="B100" s="115">
        <v>828.52</v>
      </c>
      <c r="C100" s="115">
        <v>809.28</v>
      </c>
      <c r="D100" s="115">
        <v>800.2</v>
      </c>
      <c r="E100" s="115">
        <v>815</v>
      </c>
      <c r="F100" s="115">
        <v>4046.4</v>
      </c>
      <c r="G100">
        <v>90</v>
      </c>
      <c r="H100" s="115"/>
      <c r="I100" s="115"/>
      <c r="L100" s="169">
        <v>42149</v>
      </c>
      <c r="M100" s="115">
        <v>808.22</v>
      </c>
      <c r="N100" s="115">
        <v>837.8</v>
      </c>
      <c r="O100" s="115">
        <v>802.67</v>
      </c>
      <c r="P100" s="115">
        <v>812.29</v>
      </c>
      <c r="Q100" s="115">
        <v>4041.1</v>
      </c>
      <c r="R100">
        <v>27828</v>
      </c>
    </row>
    <row r="101" spans="1:18" x14ac:dyDescent="0.25">
      <c r="A101" s="169">
        <v>42150</v>
      </c>
      <c r="B101" s="115">
        <v>817.04</v>
      </c>
      <c r="C101" s="115">
        <v>806.15</v>
      </c>
      <c r="D101" s="115">
        <v>804.2</v>
      </c>
      <c r="E101" s="115">
        <v>806.2</v>
      </c>
      <c r="F101" s="115">
        <v>4030.75</v>
      </c>
      <c r="G101">
        <v>49</v>
      </c>
      <c r="H101" s="115"/>
      <c r="I101" s="115"/>
      <c r="L101" s="169">
        <v>42150</v>
      </c>
      <c r="M101" s="115">
        <v>807.14</v>
      </c>
      <c r="N101" s="115">
        <v>820</v>
      </c>
      <c r="O101" s="115">
        <v>804.2</v>
      </c>
      <c r="P101" s="115">
        <v>804.2</v>
      </c>
      <c r="Q101" s="115">
        <v>4035.7</v>
      </c>
      <c r="R101">
        <v>450</v>
      </c>
    </row>
    <row r="102" spans="1:18" x14ac:dyDescent="0.25">
      <c r="A102" s="169">
        <v>42151</v>
      </c>
      <c r="B102" s="115">
        <v>835</v>
      </c>
      <c r="C102" s="115">
        <v>830.56</v>
      </c>
      <c r="D102" s="115">
        <v>803.43</v>
      </c>
      <c r="E102" s="115">
        <v>803.43</v>
      </c>
      <c r="F102" s="115">
        <v>4152.8</v>
      </c>
      <c r="G102">
        <v>47</v>
      </c>
      <c r="H102" s="115"/>
      <c r="I102" s="115"/>
      <c r="L102" s="169">
        <v>42151</v>
      </c>
      <c r="M102" s="115">
        <v>828.88</v>
      </c>
      <c r="N102" s="115">
        <v>835</v>
      </c>
      <c r="O102" s="115">
        <v>800</v>
      </c>
      <c r="P102" s="115">
        <v>809.77</v>
      </c>
      <c r="Q102" s="115">
        <v>4144.3999999999996</v>
      </c>
      <c r="R102">
        <v>1030</v>
      </c>
    </row>
    <row r="103" spans="1:18" x14ac:dyDescent="0.25">
      <c r="A103" s="169">
        <v>42152</v>
      </c>
      <c r="B103" s="115">
        <v>840.2</v>
      </c>
      <c r="C103" s="115">
        <v>810.24</v>
      </c>
      <c r="D103" s="115">
        <v>809.01</v>
      </c>
      <c r="E103" s="115">
        <v>833.74</v>
      </c>
      <c r="F103" s="115">
        <v>4051.2</v>
      </c>
      <c r="G103">
        <v>128</v>
      </c>
      <c r="H103" s="115"/>
      <c r="I103" s="115"/>
      <c r="L103" s="169">
        <v>42152</v>
      </c>
      <c r="M103" s="115">
        <v>813.11</v>
      </c>
      <c r="N103" s="115">
        <v>841.21</v>
      </c>
      <c r="O103" s="115">
        <v>811.3</v>
      </c>
      <c r="P103" s="115">
        <v>830.2</v>
      </c>
      <c r="Q103" s="115">
        <v>4065.55</v>
      </c>
      <c r="R103">
        <v>720</v>
      </c>
    </row>
    <row r="104" spans="1:18" x14ac:dyDescent="0.25">
      <c r="A104" s="169">
        <v>42153</v>
      </c>
      <c r="B104" s="115">
        <v>830</v>
      </c>
      <c r="C104" s="115">
        <v>823.23</v>
      </c>
      <c r="D104" s="115">
        <v>811.96</v>
      </c>
      <c r="E104" s="115">
        <v>811.96</v>
      </c>
      <c r="F104" s="115">
        <v>4116.1499999999996</v>
      </c>
      <c r="G104">
        <v>60</v>
      </c>
      <c r="H104" s="115"/>
      <c r="I104" s="115"/>
      <c r="L104" s="169">
        <v>42153</v>
      </c>
      <c r="M104" s="115">
        <v>819.8</v>
      </c>
      <c r="N104" s="115">
        <v>831.6</v>
      </c>
      <c r="O104" s="115">
        <v>805.65</v>
      </c>
      <c r="P104" s="115">
        <v>820.01</v>
      </c>
      <c r="Q104" s="115">
        <v>4099</v>
      </c>
      <c r="R104">
        <v>1285</v>
      </c>
    </row>
    <row r="105" spans="1:18" x14ac:dyDescent="0.25">
      <c r="A105" s="169">
        <v>42156</v>
      </c>
      <c r="B105" s="115">
        <v>827.29</v>
      </c>
      <c r="C105" s="115">
        <v>823.2</v>
      </c>
      <c r="D105" s="115">
        <v>813.61</v>
      </c>
      <c r="E105" s="115">
        <v>824.1</v>
      </c>
      <c r="F105" s="115">
        <v>4116</v>
      </c>
      <c r="G105">
        <v>155</v>
      </c>
      <c r="H105" s="115"/>
      <c r="I105" s="115"/>
      <c r="L105" s="169">
        <v>42156</v>
      </c>
      <c r="M105" s="115">
        <v>815.65</v>
      </c>
      <c r="N105" s="115">
        <v>826</v>
      </c>
      <c r="O105" s="115">
        <v>811.2</v>
      </c>
      <c r="P105" s="115">
        <v>821.95</v>
      </c>
      <c r="Q105" s="115">
        <v>4078.25</v>
      </c>
      <c r="R105">
        <v>417</v>
      </c>
    </row>
    <row r="106" spans="1:18" x14ac:dyDescent="0.25">
      <c r="A106" s="169">
        <v>42157</v>
      </c>
      <c r="B106" s="115">
        <v>839.79</v>
      </c>
      <c r="C106" s="115">
        <v>819.28</v>
      </c>
      <c r="D106" s="115">
        <v>810</v>
      </c>
      <c r="E106" s="115">
        <v>812</v>
      </c>
      <c r="F106" s="115">
        <v>4096.3999999999996</v>
      </c>
      <c r="G106">
        <v>583</v>
      </c>
      <c r="H106" s="115"/>
      <c r="I106" s="115"/>
      <c r="L106" s="169">
        <v>42157</v>
      </c>
      <c r="M106" s="115">
        <v>815.5</v>
      </c>
      <c r="N106" s="115">
        <v>831.53</v>
      </c>
      <c r="O106" s="115">
        <v>805</v>
      </c>
      <c r="P106" s="115">
        <v>818.8</v>
      </c>
      <c r="Q106" s="115">
        <v>4077.5</v>
      </c>
      <c r="R106">
        <v>1178</v>
      </c>
    </row>
    <row r="107" spans="1:18" x14ac:dyDescent="0.25">
      <c r="A107" s="169">
        <v>42158</v>
      </c>
      <c r="B107" s="115">
        <v>816.82</v>
      </c>
      <c r="C107" s="115">
        <v>810.16</v>
      </c>
      <c r="D107" s="115">
        <v>804</v>
      </c>
      <c r="E107" s="115">
        <v>810.98</v>
      </c>
      <c r="F107" s="115">
        <v>4050.8</v>
      </c>
      <c r="G107">
        <v>162</v>
      </c>
      <c r="H107" s="115"/>
      <c r="I107" s="115"/>
      <c r="L107" s="169">
        <v>42158</v>
      </c>
      <c r="M107" s="115">
        <v>808.49</v>
      </c>
      <c r="N107" s="115">
        <v>835</v>
      </c>
      <c r="O107" s="115">
        <v>800.1</v>
      </c>
      <c r="P107" s="115">
        <v>835</v>
      </c>
      <c r="Q107" s="115">
        <v>4042.45</v>
      </c>
      <c r="R107">
        <v>1556</v>
      </c>
    </row>
    <row r="108" spans="1:18" x14ac:dyDescent="0.25">
      <c r="A108" s="169">
        <v>42159</v>
      </c>
      <c r="B108" s="115">
        <v>807.4</v>
      </c>
      <c r="C108" s="115">
        <v>803.38</v>
      </c>
      <c r="D108" s="115">
        <v>794.4</v>
      </c>
      <c r="E108" s="115">
        <v>802.2</v>
      </c>
      <c r="F108" s="115">
        <v>4016.9</v>
      </c>
      <c r="G108">
        <v>349</v>
      </c>
      <c r="H108" s="115"/>
      <c r="I108" s="115"/>
      <c r="L108" s="169">
        <v>42159</v>
      </c>
      <c r="M108" s="115">
        <v>800.95</v>
      </c>
      <c r="N108" s="115">
        <v>808.6</v>
      </c>
      <c r="O108" s="115">
        <v>794.88</v>
      </c>
      <c r="P108" s="115">
        <v>794.89</v>
      </c>
      <c r="Q108" s="115">
        <v>4004.75</v>
      </c>
      <c r="R108">
        <v>684</v>
      </c>
    </row>
    <row r="109" spans="1:18" x14ac:dyDescent="0.25">
      <c r="A109" s="169">
        <v>42160</v>
      </c>
      <c r="B109" s="115">
        <v>812</v>
      </c>
      <c r="C109" s="115">
        <v>804.6</v>
      </c>
      <c r="D109" s="115">
        <v>801</v>
      </c>
      <c r="E109" s="115">
        <v>801.26</v>
      </c>
      <c r="F109" s="115">
        <v>4023</v>
      </c>
      <c r="G109">
        <v>98</v>
      </c>
      <c r="H109" s="115"/>
      <c r="I109" s="115"/>
      <c r="L109" s="169">
        <v>42160</v>
      </c>
      <c r="M109" s="115">
        <v>807.16</v>
      </c>
      <c r="N109" s="115">
        <v>818.58</v>
      </c>
      <c r="O109" s="115">
        <v>800.24</v>
      </c>
      <c r="P109" s="115">
        <v>800.25</v>
      </c>
      <c r="Q109" s="115">
        <v>4035.8</v>
      </c>
      <c r="R109">
        <v>225</v>
      </c>
    </row>
    <row r="110" spans="1:18" x14ac:dyDescent="0.25">
      <c r="A110" s="169">
        <v>42163</v>
      </c>
      <c r="B110" s="115">
        <v>815.59</v>
      </c>
      <c r="C110" s="115">
        <v>792.06</v>
      </c>
      <c r="D110" s="115">
        <v>784</v>
      </c>
      <c r="E110" s="115">
        <v>815.59</v>
      </c>
      <c r="F110" s="115">
        <v>3960.3</v>
      </c>
      <c r="G110">
        <v>238</v>
      </c>
      <c r="H110" s="115"/>
      <c r="I110" s="115"/>
      <c r="L110" s="169">
        <v>42163</v>
      </c>
      <c r="M110" s="115">
        <v>792.39</v>
      </c>
      <c r="N110" s="115">
        <v>818.91</v>
      </c>
      <c r="O110" s="115">
        <v>782.42</v>
      </c>
      <c r="P110" s="115">
        <v>818.91</v>
      </c>
      <c r="Q110" s="115">
        <v>3961.95</v>
      </c>
      <c r="R110">
        <v>49174</v>
      </c>
    </row>
    <row r="111" spans="1:18" x14ac:dyDescent="0.25">
      <c r="A111" s="169">
        <v>42164</v>
      </c>
      <c r="B111" s="115">
        <v>805.8</v>
      </c>
      <c r="C111" s="115">
        <v>799.2</v>
      </c>
      <c r="D111" s="115">
        <v>786</v>
      </c>
      <c r="E111" s="115">
        <v>796.81</v>
      </c>
      <c r="F111" s="115">
        <v>3996</v>
      </c>
      <c r="G111">
        <v>210</v>
      </c>
      <c r="H111" s="115"/>
      <c r="I111" s="115"/>
      <c r="L111" s="169">
        <v>42164</v>
      </c>
      <c r="M111" s="115">
        <v>802.7</v>
      </c>
      <c r="N111" s="115">
        <v>808</v>
      </c>
      <c r="O111" s="115">
        <v>788</v>
      </c>
      <c r="P111" s="115">
        <v>788.02</v>
      </c>
      <c r="Q111" s="115">
        <v>4013.5</v>
      </c>
      <c r="R111">
        <v>347</v>
      </c>
    </row>
    <row r="112" spans="1:18" x14ac:dyDescent="0.25">
      <c r="A112" s="169">
        <v>42165</v>
      </c>
      <c r="B112" s="115">
        <v>818</v>
      </c>
      <c r="C112" s="115">
        <v>805</v>
      </c>
      <c r="D112" s="115">
        <v>790</v>
      </c>
      <c r="E112" s="115">
        <v>794.97</v>
      </c>
      <c r="F112" s="115">
        <v>4025</v>
      </c>
      <c r="G112">
        <v>390</v>
      </c>
      <c r="H112" s="115"/>
      <c r="I112" s="115"/>
      <c r="L112" s="169">
        <v>42165</v>
      </c>
      <c r="M112" s="115">
        <v>802.94</v>
      </c>
      <c r="N112" s="115">
        <v>820</v>
      </c>
      <c r="O112" s="115">
        <v>771.44</v>
      </c>
      <c r="P112" s="115">
        <v>795</v>
      </c>
      <c r="Q112" s="115">
        <v>4014.7</v>
      </c>
      <c r="R112">
        <v>4781</v>
      </c>
    </row>
    <row r="113" spans="1:18" x14ac:dyDescent="0.25">
      <c r="A113" s="169">
        <v>42166</v>
      </c>
      <c r="B113" s="115">
        <v>819.98</v>
      </c>
      <c r="C113" s="115">
        <v>812.52</v>
      </c>
      <c r="D113" s="115">
        <v>802</v>
      </c>
      <c r="E113" s="115">
        <v>806.12</v>
      </c>
      <c r="F113" s="115">
        <v>4062.6</v>
      </c>
      <c r="G113">
        <v>235</v>
      </c>
      <c r="H113" s="115"/>
      <c r="I113" s="115"/>
      <c r="L113" s="169">
        <v>42166</v>
      </c>
      <c r="M113" s="115">
        <v>810.2</v>
      </c>
      <c r="N113" s="115">
        <v>819.6</v>
      </c>
      <c r="O113" s="115">
        <v>792.25</v>
      </c>
      <c r="P113" s="115">
        <v>802.39</v>
      </c>
      <c r="Q113" s="115">
        <v>4051</v>
      </c>
      <c r="R113">
        <v>898</v>
      </c>
    </row>
    <row r="114" spans="1:18" x14ac:dyDescent="0.25">
      <c r="A114" s="169">
        <v>42167</v>
      </c>
      <c r="B114" s="115">
        <v>817.79</v>
      </c>
      <c r="C114" s="115">
        <v>811.58</v>
      </c>
      <c r="D114" s="115">
        <v>807.81</v>
      </c>
      <c r="E114" s="115">
        <v>816.26</v>
      </c>
      <c r="F114" s="115">
        <v>4057.9</v>
      </c>
      <c r="G114">
        <v>59</v>
      </c>
      <c r="H114" s="115"/>
      <c r="I114" s="115"/>
      <c r="L114" s="169">
        <v>42167</v>
      </c>
      <c r="M114" s="115">
        <v>812.71</v>
      </c>
      <c r="N114" s="115">
        <v>819.8</v>
      </c>
      <c r="O114" s="115">
        <v>792.54</v>
      </c>
      <c r="P114" s="115">
        <v>810.4</v>
      </c>
      <c r="Q114" s="115">
        <v>4063.55</v>
      </c>
      <c r="R114">
        <v>2256</v>
      </c>
    </row>
    <row r="115" spans="1:18" x14ac:dyDescent="0.25">
      <c r="A115" s="169">
        <v>42170</v>
      </c>
      <c r="B115" s="115">
        <v>814.4</v>
      </c>
      <c r="C115" s="115">
        <v>806.49</v>
      </c>
      <c r="D115" s="115">
        <v>800.2</v>
      </c>
      <c r="E115" s="115">
        <v>806</v>
      </c>
      <c r="F115" s="115">
        <v>4032.45</v>
      </c>
      <c r="G115">
        <v>5086</v>
      </c>
      <c r="H115" s="115"/>
      <c r="I115" s="115"/>
      <c r="L115" s="169">
        <v>42170</v>
      </c>
      <c r="M115" s="115">
        <v>810</v>
      </c>
      <c r="N115" s="115">
        <v>819.99</v>
      </c>
      <c r="O115" s="115">
        <v>795</v>
      </c>
      <c r="P115" s="115">
        <v>801.01</v>
      </c>
      <c r="Q115" s="115">
        <v>4050</v>
      </c>
      <c r="R115">
        <v>11475</v>
      </c>
    </row>
    <row r="116" spans="1:18" x14ac:dyDescent="0.25">
      <c r="A116" s="169">
        <v>42171</v>
      </c>
      <c r="B116" s="115">
        <v>808.12</v>
      </c>
      <c r="C116" s="115">
        <v>789.9</v>
      </c>
      <c r="D116" s="115">
        <v>776</v>
      </c>
      <c r="E116" s="115">
        <v>808</v>
      </c>
      <c r="F116" s="115">
        <v>3949.5</v>
      </c>
      <c r="G116">
        <v>289</v>
      </c>
      <c r="H116" s="115"/>
      <c r="I116" s="115"/>
      <c r="L116" s="169">
        <v>42171</v>
      </c>
      <c r="M116" s="115">
        <v>788.82</v>
      </c>
      <c r="N116" s="115">
        <v>818</v>
      </c>
      <c r="O116" s="115">
        <v>777.67</v>
      </c>
      <c r="P116" s="115">
        <v>818</v>
      </c>
      <c r="Q116" s="115">
        <v>3944.1</v>
      </c>
      <c r="R116">
        <v>2187</v>
      </c>
    </row>
    <row r="117" spans="1:18" x14ac:dyDescent="0.25">
      <c r="A117" s="169">
        <v>42172</v>
      </c>
      <c r="B117" s="115">
        <v>815.37</v>
      </c>
      <c r="C117" s="115">
        <v>802</v>
      </c>
      <c r="D117" s="115">
        <v>790</v>
      </c>
      <c r="E117" s="115">
        <v>802.99</v>
      </c>
      <c r="F117" s="115">
        <v>4010</v>
      </c>
      <c r="G117">
        <v>222</v>
      </c>
      <c r="H117" s="115"/>
      <c r="I117" s="115"/>
      <c r="L117" s="169">
        <v>42172</v>
      </c>
      <c r="M117" s="115">
        <v>807.81</v>
      </c>
      <c r="N117" s="115">
        <v>813</v>
      </c>
      <c r="O117" s="115">
        <v>793</v>
      </c>
      <c r="P117" s="115">
        <v>800.67</v>
      </c>
      <c r="Q117" s="115">
        <v>4039.05</v>
      </c>
      <c r="R117">
        <v>824</v>
      </c>
    </row>
    <row r="118" spans="1:18" x14ac:dyDescent="0.25">
      <c r="A118" s="169">
        <v>42173</v>
      </c>
      <c r="B118" s="115">
        <v>819.99</v>
      </c>
      <c r="C118" s="115">
        <v>819.53</v>
      </c>
      <c r="D118" s="115">
        <v>805.88</v>
      </c>
      <c r="E118" s="115">
        <v>809.21</v>
      </c>
      <c r="F118" s="115">
        <v>4097.6499999999996</v>
      </c>
      <c r="G118">
        <v>93</v>
      </c>
      <c r="H118" s="115"/>
      <c r="I118" s="115"/>
      <c r="L118" s="169">
        <v>42173</v>
      </c>
      <c r="M118" s="115">
        <v>818.72</v>
      </c>
      <c r="N118" s="115">
        <v>829.99</v>
      </c>
      <c r="O118" s="115">
        <v>808</v>
      </c>
      <c r="P118" s="115">
        <v>818.39</v>
      </c>
      <c r="Q118" s="115">
        <v>4093.6</v>
      </c>
      <c r="R118">
        <v>362</v>
      </c>
    </row>
    <row r="119" spans="1:18" x14ac:dyDescent="0.25">
      <c r="A119" s="169">
        <v>42174</v>
      </c>
      <c r="B119" s="115">
        <v>821.74</v>
      </c>
      <c r="C119" s="115">
        <v>813.97</v>
      </c>
      <c r="D119" s="115">
        <v>805.19</v>
      </c>
      <c r="E119" s="115">
        <v>821.74</v>
      </c>
      <c r="F119" s="115">
        <v>4069.85</v>
      </c>
      <c r="G119">
        <v>101</v>
      </c>
      <c r="H119" s="115"/>
      <c r="I119" s="115"/>
      <c r="L119" s="169">
        <v>42174</v>
      </c>
      <c r="M119" s="115">
        <v>808.85</v>
      </c>
      <c r="N119" s="115">
        <v>824.3</v>
      </c>
      <c r="O119" s="115">
        <v>802.4</v>
      </c>
      <c r="P119" s="115">
        <v>814.61</v>
      </c>
      <c r="Q119" s="115">
        <v>4044.25</v>
      </c>
      <c r="R119">
        <v>399</v>
      </c>
    </row>
    <row r="120" spans="1:18" x14ac:dyDescent="0.25">
      <c r="A120" s="169">
        <v>42177</v>
      </c>
      <c r="B120" s="115">
        <v>820.47</v>
      </c>
      <c r="C120" s="115">
        <v>818.85</v>
      </c>
      <c r="D120" s="115">
        <v>808.94</v>
      </c>
      <c r="E120" s="115">
        <v>811.82</v>
      </c>
      <c r="F120" s="115">
        <v>4094.25</v>
      </c>
      <c r="G120">
        <v>175</v>
      </c>
      <c r="H120" s="115"/>
      <c r="I120" s="115"/>
      <c r="L120" s="169">
        <v>42177</v>
      </c>
      <c r="M120" s="115">
        <v>819.25</v>
      </c>
      <c r="N120" s="115">
        <v>823.8</v>
      </c>
      <c r="O120" s="115">
        <v>804.02</v>
      </c>
      <c r="P120" s="115">
        <v>823.79</v>
      </c>
      <c r="Q120" s="115">
        <v>4096.25</v>
      </c>
      <c r="R120">
        <v>810</v>
      </c>
    </row>
    <row r="121" spans="1:18" x14ac:dyDescent="0.25">
      <c r="A121" s="169">
        <v>42178</v>
      </c>
      <c r="B121" s="115">
        <v>837.73</v>
      </c>
      <c r="C121" s="115">
        <v>823.8</v>
      </c>
      <c r="D121" s="115">
        <v>815.96</v>
      </c>
      <c r="E121" s="115">
        <v>825.99</v>
      </c>
      <c r="F121" s="115">
        <v>4119</v>
      </c>
      <c r="G121">
        <v>349</v>
      </c>
      <c r="H121" s="115"/>
      <c r="I121" s="115"/>
      <c r="L121" s="169">
        <v>42178</v>
      </c>
      <c r="M121" s="115">
        <v>821.92</v>
      </c>
      <c r="N121" s="115">
        <v>837</v>
      </c>
      <c r="O121" s="115">
        <v>812</v>
      </c>
      <c r="P121" s="115">
        <v>819.99</v>
      </c>
      <c r="Q121" s="115">
        <v>4109.6000000000004</v>
      </c>
      <c r="R121">
        <v>1340</v>
      </c>
    </row>
    <row r="122" spans="1:18" x14ac:dyDescent="0.25">
      <c r="A122" s="169">
        <v>42179</v>
      </c>
      <c r="B122" s="115">
        <v>826</v>
      </c>
      <c r="C122" s="115">
        <v>823.89</v>
      </c>
      <c r="D122" s="115">
        <v>811.33</v>
      </c>
      <c r="E122" s="115">
        <v>818.92</v>
      </c>
      <c r="F122" s="115">
        <v>4119.45</v>
      </c>
      <c r="G122">
        <v>153</v>
      </c>
      <c r="H122" s="115"/>
      <c r="I122" s="115"/>
      <c r="L122" s="169">
        <v>42179</v>
      </c>
      <c r="M122" s="115">
        <v>814.66</v>
      </c>
      <c r="N122" s="115">
        <v>829.21</v>
      </c>
      <c r="O122" s="115">
        <v>810.21</v>
      </c>
      <c r="P122" s="115">
        <v>828.45</v>
      </c>
      <c r="Q122" s="115">
        <v>4073.3</v>
      </c>
      <c r="R122">
        <v>7859</v>
      </c>
    </row>
    <row r="123" spans="1:18" x14ac:dyDescent="0.25">
      <c r="A123" s="169">
        <v>42180</v>
      </c>
      <c r="B123" s="115">
        <v>836.78</v>
      </c>
      <c r="C123" s="115">
        <v>823.09</v>
      </c>
      <c r="D123" s="115">
        <v>815</v>
      </c>
      <c r="E123" s="115">
        <v>815</v>
      </c>
      <c r="F123" s="115">
        <v>4115.45</v>
      </c>
      <c r="G123">
        <v>78</v>
      </c>
      <c r="H123" s="115"/>
      <c r="I123" s="115"/>
      <c r="L123" s="169">
        <v>42180</v>
      </c>
      <c r="M123" s="115">
        <v>818.58</v>
      </c>
      <c r="N123" s="115">
        <v>836.59</v>
      </c>
      <c r="O123" s="115">
        <v>804.4</v>
      </c>
      <c r="P123" s="115">
        <v>804.4</v>
      </c>
      <c r="Q123" s="115">
        <v>4092.9</v>
      </c>
      <c r="R123">
        <v>235</v>
      </c>
    </row>
    <row r="124" spans="1:18" x14ac:dyDescent="0.25">
      <c r="A124" s="169">
        <v>42181</v>
      </c>
      <c r="B124" s="115">
        <v>836</v>
      </c>
      <c r="C124" s="115">
        <v>831.48</v>
      </c>
      <c r="D124" s="115">
        <v>814.4</v>
      </c>
      <c r="E124" s="115">
        <v>814.4</v>
      </c>
      <c r="F124" s="115">
        <v>4157.3999999999996</v>
      </c>
      <c r="G124">
        <v>64</v>
      </c>
      <c r="H124" s="115"/>
      <c r="I124" s="115"/>
      <c r="L124" s="169">
        <v>42181</v>
      </c>
      <c r="M124" s="115">
        <v>832.68</v>
      </c>
      <c r="N124" s="115">
        <v>835.8</v>
      </c>
      <c r="O124" s="115">
        <v>815.06</v>
      </c>
      <c r="P124" s="115">
        <v>825</v>
      </c>
      <c r="Q124" s="115">
        <v>4163.3999999999996</v>
      </c>
      <c r="R124">
        <v>477</v>
      </c>
    </row>
    <row r="125" spans="1:18" x14ac:dyDescent="0.25">
      <c r="A125" s="169">
        <v>42184</v>
      </c>
      <c r="B125" s="115">
        <v>819.14</v>
      </c>
      <c r="C125" s="115">
        <v>819.01</v>
      </c>
      <c r="D125" s="115">
        <v>809.99</v>
      </c>
      <c r="E125" s="115">
        <v>810</v>
      </c>
      <c r="F125" s="115">
        <v>4095.05</v>
      </c>
      <c r="G125">
        <v>32</v>
      </c>
      <c r="H125" s="115"/>
      <c r="I125" s="115"/>
      <c r="L125" s="169">
        <v>42184</v>
      </c>
      <c r="M125" s="115">
        <v>827.36</v>
      </c>
      <c r="N125" s="115">
        <v>831.6</v>
      </c>
      <c r="O125" s="115">
        <v>813.57</v>
      </c>
      <c r="P125" s="115">
        <v>831.6</v>
      </c>
      <c r="Q125" s="115">
        <v>4136.8</v>
      </c>
      <c r="R125">
        <v>104</v>
      </c>
    </row>
    <row r="126" spans="1:18" x14ac:dyDescent="0.25">
      <c r="A126" s="169">
        <v>42185</v>
      </c>
      <c r="B126" s="115">
        <v>826.61</v>
      </c>
      <c r="C126" s="115">
        <v>824.52</v>
      </c>
      <c r="D126" s="115">
        <v>822.1</v>
      </c>
      <c r="E126" s="115">
        <v>824</v>
      </c>
      <c r="F126" s="115">
        <v>4122.6000000000004</v>
      </c>
      <c r="G126">
        <v>48</v>
      </c>
      <c r="H126" s="115"/>
      <c r="I126" s="115"/>
      <c r="L126" s="169">
        <v>42185</v>
      </c>
      <c r="M126" s="115">
        <v>823.72</v>
      </c>
      <c r="N126" s="115">
        <v>829.39</v>
      </c>
      <c r="O126" s="115">
        <v>820.28</v>
      </c>
      <c r="P126" s="115">
        <v>822.95</v>
      </c>
      <c r="Q126" s="115">
        <v>4118.6000000000004</v>
      </c>
      <c r="R126">
        <v>181</v>
      </c>
    </row>
    <row r="127" spans="1:18" x14ac:dyDescent="0.25">
      <c r="A127" s="169">
        <v>42186</v>
      </c>
      <c r="B127" s="115">
        <v>839.52</v>
      </c>
      <c r="C127" s="115">
        <v>838.13</v>
      </c>
      <c r="D127" s="115">
        <v>824.51</v>
      </c>
      <c r="E127" s="115">
        <v>827.68</v>
      </c>
      <c r="F127" s="115">
        <v>4190.6499999999996</v>
      </c>
      <c r="G127">
        <v>74</v>
      </c>
      <c r="H127" s="115"/>
      <c r="I127" s="115"/>
      <c r="L127" s="169">
        <v>42186</v>
      </c>
      <c r="M127" s="115">
        <v>837.16</v>
      </c>
      <c r="N127" s="115">
        <v>838.8</v>
      </c>
      <c r="O127" s="115">
        <v>822.41</v>
      </c>
      <c r="P127" s="115">
        <v>830.99</v>
      </c>
      <c r="Q127" s="115">
        <v>4185.8</v>
      </c>
      <c r="R127">
        <v>550</v>
      </c>
    </row>
    <row r="128" spans="1:18" x14ac:dyDescent="0.25">
      <c r="A128" s="169">
        <v>42187</v>
      </c>
      <c r="B128" s="115">
        <v>844.4</v>
      </c>
      <c r="C128" s="115">
        <v>834.11</v>
      </c>
      <c r="D128" s="115">
        <v>831.94</v>
      </c>
      <c r="E128" s="115">
        <v>833.06</v>
      </c>
      <c r="F128" s="115">
        <v>4170.55</v>
      </c>
      <c r="G128">
        <v>215</v>
      </c>
      <c r="H128" s="115"/>
      <c r="I128" s="115"/>
      <c r="L128" s="169">
        <v>42187</v>
      </c>
      <c r="M128" s="115">
        <v>839.98</v>
      </c>
      <c r="N128" s="115">
        <v>844.2</v>
      </c>
      <c r="O128" s="115">
        <v>820.21</v>
      </c>
      <c r="P128" s="115">
        <v>825.01</v>
      </c>
      <c r="Q128" s="115">
        <v>4199.8999999999996</v>
      </c>
      <c r="R128">
        <v>6295</v>
      </c>
    </row>
    <row r="129" spans="1:18" x14ac:dyDescent="0.25">
      <c r="A129" s="169">
        <v>42188</v>
      </c>
      <c r="B129" s="115">
        <v>859.8</v>
      </c>
      <c r="C129" s="115">
        <v>852.78</v>
      </c>
      <c r="D129" s="115">
        <v>835.44</v>
      </c>
      <c r="E129" s="115">
        <v>847.71</v>
      </c>
      <c r="F129" s="115">
        <v>4263.8999999999996</v>
      </c>
      <c r="G129">
        <v>156</v>
      </c>
      <c r="H129" s="115"/>
      <c r="I129" s="115"/>
      <c r="L129" s="169">
        <v>42188</v>
      </c>
      <c r="M129" s="115">
        <v>850.77</v>
      </c>
      <c r="N129" s="115">
        <v>856.8</v>
      </c>
      <c r="O129" s="115">
        <v>830</v>
      </c>
      <c r="P129" s="115">
        <v>847.75</v>
      </c>
      <c r="Q129" s="115">
        <v>4253.8500000000004</v>
      </c>
      <c r="R129">
        <v>16773</v>
      </c>
    </row>
    <row r="130" spans="1:18" x14ac:dyDescent="0.25">
      <c r="A130" s="169">
        <v>42191</v>
      </c>
      <c r="B130" s="115">
        <v>842.58</v>
      </c>
      <c r="C130" s="115">
        <v>839.83</v>
      </c>
      <c r="D130" s="115">
        <v>820</v>
      </c>
      <c r="E130" s="115">
        <v>841.65</v>
      </c>
      <c r="F130" s="115">
        <v>4199.1499999999996</v>
      </c>
      <c r="G130">
        <v>351</v>
      </c>
      <c r="H130" s="115"/>
      <c r="I130" s="115"/>
      <c r="L130" s="169">
        <v>42191</v>
      </c>
      <c r="M130" s="115">
        <v>839.92</v>
      </c>
      <c r="N130" s="115">
        <v>843</v>
      </c>
      <c r="O130" s="115">
        <v>818.2</v>
      </c>
      <c r="P130" s="115">
        <v>839.71</v>
      </c>
      <c r="Q130" s="115">
        <v>4199.6000000000004</v>
      </c>
      <c r="R130">
        <v>2730</v>
      </c>
    </row>
    <row r="131" spans="1:18" x14ac:dyDescent="0.25">
      <c r="A131" s="169">
        <v>42192</v>
      </c>
      <c r="B131" s="115">
        <v>852</v>
      </c>
      <c r="C131" s="115">
        <v>850.92</v>
      </c>
      <c r="D131" s="115">
        <v>841.6</v>
      </c>
      <c r="E131" s="115">
        <v>851.17</v>
      </c>
      <c r="F131" s="115">
        <v>4254.6000000000004</v>
      </c>
      <c r="G131">
        <v>211</v>
      </c>
      <c r="H131" s="115"/>
      <c r="I131" s="115"/>
      <c r="L131" s="169">
        <v>42192</v>
      </c>
      <c r="M131" s="115">
        <v>853.41</v>
      </c>
      <c r="N131" s="115">
        <v>859</v>
      </c>
      <c r="O131" s="115">
        <v>839.48</v>
      </c>
      <c r="P131" s="115">
        <v>849.79</v>
      </c>
      <c r="Q131" s="115">
        <v>4267.05</v>
      </c>
      <c r="R131">
        <v>573</v>
      </c>
    </row>
    <row r="132" spans="1:18" x14ac:dyDescent="0.25">
      <c r="A132" s="169">
        <v>42193</v>
      </c>
      <c r="B132" s="115">
        <v>890</v>
      </c>
      <c r="C132" s="115">
        <v>864.95</v>
      </c>
      <c r="D132" s="115">
        <v>841.02</v>
      </c>
      <c r="E132" s="115">
        <v>841.02</v>
      </c>
      <c r="F132" s="115">
        <v>4324.75</v>
      </c>
      <c r="G132">
        <v>404</v>
      </c>
      <c r="H132" s="115"/>
      <c r="I132" s="115"/>
      <c r="L132" s="169">
        <v>42193</v>
      </c>
      <c r="M132" s="115">
        <v>867.3</v>
      </c>
      <c r="N132" s="115">
        <v>889.97</v>
      </c>
      <c r="O132" s="115">
        <v>824.41</v>
      </c>
      <c r="P132" s="115">
        <v>845</v>
      </c>
      <c r="Q132" s="115">
        <v>4336.5</v>
      </c>
      <c r="R132">
        <v>2044</v>
      </c>
    </row>
    <row r="133" spans="1:18" x14ac:dyDescent="0.25">
      <c r="A133" s="169">
        <v>42194</v>
      </c>
      <c r="B133" s="115">
        <v>889.6</v>
      </c>
      <c r="C133" s="115">
        <v>862.97</v>
      </c>
      <c r="D133" s="115">
        <v>850</v>
      </c>
      <c r="E133" s="115">
        <v>871.2</v>
      </c>
      <c r="F133" s="115">
        <v>4314.8500000000004</v>
      </c>
      <c r="G133">
        <v>295</v>
      </c>
      <c r="H133" s="115"/>
      <c r="I133" s="115"/>
      <c r="L133" s="169">
        <v>42194</v>
      </c>
      <c r="M133" s="115">
        <v>863.99</v>
      </c>
      <c r="N133" s="115">
        <v>875.59</v>
      </c>
      <c r="O133" s="115">
        <v>853.01</v>
      </c>
      <c r="P133" s="115">
        <v>875.59</v>
      </c>
      <c r="Q133" s="115">
        <v>4319.95</v>
      </c>
      <c r="R133">
        <v>297</v>
      </c>
    </row>
    <row r="134" spans="1:18" x14ac:dyDescent="0.25">
      <c r="A134" s="169">
        <v>42195</v>
      </c>
      <c r="B134" s="115">
        <v>867.2</v>
      </c>
      <c r="C134" s="115">
        <v>852.27</v>
      </c>
      <c r="D134" s="115">
        <v>850</v>
      </c>
      <c r="E134" s="115">
        <v>867.01</v>
      </c>
      <c r="F134" s="115">
        <v>4261.3500000000004</v>
      </c>
      <c r="G134">
        <v>141</v>
      </c>
      <c r="H134" s="115"/>
      <c r="I134" s="115"/>
      <c r="L134" s="169">
        <v>42195</v>
      </c>
      <c r="M134" s="115">
        <v>853.98</v>
      </c>
      <c r="N134" s="115">
        <v>888</v>
      </c>
      <c r="O134" s="115">
        <v>850</v>
      </c>
      <c r="P134" s="115">
        <v>888</v>
      </c>
      <c r="Q134" s="115">
        <v>4269.8999999999996</v>
      </c>
      <c r="R134">
        <v>396</v>
      </c>
    </row>
    <row r="135" spans="1:18" x14ac:dyDescent="0.25">
      <c r="A135" s="169">
        <v>42198</v>
      </c>
      <c r="B135" s="115">
        <v>856</v>
      </c>
      <c r="C135" s="115">
        <v>847.73</v>
      </c>
      <c r="D135" s="115">
        <v>830</v>
      </c>
      <c r="E135" s="115">
        <v>855.91</v>
      </c>
      <c r="F135" s="115">
        <v>4238.6499999999996</v>
      </c>
      <c r="G135">
        <v>455</v>
      </c>
      <c r="H135" s="115"/>
      <c r="I135" s="115"/>
      <c r="L135" s="169">
        <v>42198</v>
      </c>
      <c r="M135" s="115">
        <v>853.79</v>
      </c>
      <c r="N135" s="115">
        <v>872.59</v>
      </c>
      <c r="O135" s="115">
        <v>828.2</v>
      </c>
      <c r="P135" s="115">
        <v>854.74</v>
      </c>
      <c r="Q135" s="115">
        <v>4268.95</v>
      </c>
      <c r="R135">
        <v>2392</v>
      </c>
    </row>
    <row r="136" spans="1:18" x14ac:dyDescent="0.25">
      <c r="A136" s="169">
        <v>42199</v>
      </c>
      <c r="B136" s="115">
        <v>860</v>
      </c>
      <c r="C136" s="115">
        <v>852.15</v>
      </c>
      <c r="D136" s="115">
        <v>848.61</v>
      </c>
      <c r="E136" s="115">
        <v>860</v>
      </c>
      <c r="F136" s="115">
        <v>4260.75</v>
      </c>
      <c r="G136">
        <v>164</v>
      </c>
      <c r="H136" s="115"/>
      <c r="I136" s="115"/>
      <c r="L136" s="169">
        <v>42199</v>
      </c>
      <c r="M136" s="115">
        <v>855.98</v>
      </c>
      <c r="N136" s="115">
        <v>875.53</v>
      </c>
      <c r="O136" s="115">
        <v>848.53</v>
      </c>
      <c r="P136" s="115">
        <v>849.29</v>
      </c>
      <c r="Q136" s="115">
        <v>4279.8999999999996</v>
      </c>
      <c r="R136">
        <v>546</v>
      </c>
    </row>
    <row r="137" spans="1:18" x14ac:dyDescent="0.25">
      <c r="A137" s="169">
        <v>42200</v>
      </c>
      <c r="B137" s="115">
        <v>860</v>
      </c>
      <c r="C137" s="115">
        <v>843.01</v>
      </c>
      <c r="D137" s="115">
        <v>834.4</v>
      </c>
      <c r="E137" s="115">
        <v>860</v>
      </c>
      <c r="F137" s="115">
        <v>4215.05</v>
      </c>
      <c r="G137">
        <v>767</v>
      </c>
      <c r="H137" s="115"/>
      <c r="I137" s="115"/>
      <c r="L137" s="169">
        <v>42200</v>
      </c>
      <c r="M137" s="115">
        <v>843.19</v>
      </c>
      <c r="N137" s="115">
        <v>860.01</v>
      </c>
      <c r="O137" s="115">
        <v>833</v>
      </c>
      <c r="P137" s="115">
        <v>858</v>
      </c>
      <c r="Q137" s="115">
        <v>4215.95</v>
      </c>
      <c r="R137">
        <v>40475</v>
      </c>
    </row>
    <row r="138" spans="1:18" x14ac:dyDescent="0.25">
      <c r="A138" s="169">
        <v>42201</v>
      </c>
      <c r="B138" s="115">
        <v>859.48</v>
      </c>
      <c r="C138" s="115">
        <v>838.69</v>
      </c>
      <c r="D138" s="115">
        <v>833.01</v>
      </c>
      <c r="E138" s="115">
        <v>859.48</v>
      </c>
      <c r="F138" s="115">
        <v>4193.45</v>
      </c>
      <c r="G138">
        <v>252</v>
      </c>
      <c r="H138" s="115"/>
      <c r="I138" s="115"/>
      <c r="L138" s="169">
        <v>42201</v>
      </c>
      <c r="M138" s="115">
        <v>837.38</v>
      </c>
      <c r="N138" s="115">
        <v>857.7</v>
      </c>
      <c r="O138" s="115">
        <v>822.94</v>
      </c>
      <c r="P138" s="115">
        <v>847.06</v>
      </c>
      <c r="Q138" s="115">
        <v>4186.8999999999996</v>
      </c>
      <c r="R138">
        <v>3792</v>
      </c>
    </row>
    <row r="139" spans="1:18" x14ac:dyDescent="0.25">
      <c r="A139" s="169">
        <v>42202</v>
      </c>
      <c r="B139" s="115">
        <v>879</v>
      </c>
      <c r="C139" s="115">
        <v>863.99</v>
      </c>
      <c r="D139" s="115">
        <v>853.6</v>
      </c>
      <c r="E139" s="115">
        <v>859.62</v>
      </c>
      <c r="F139" s="115">
        <v>4319.95</v>
      </c>
      <c r="G139">
        <v>642</v>
      </c>
      <c r="H139" s="115"/>
      <c r="I139" s="115"/>
      <c r="L139" s="169">
        <v>42202</v>
      </c>
      <c r="M139" s="115">
        <v>866.22</v>
      </c>
      <c r="N139" s="115">
        <v>880</v>
      </c>
      <c r="O139" s="115">
        <v>850</v>
      </c>
      <c r="P139" s="115">
        <v>852</v>
      </c>
      <c r="Q139" s="115">
        <v>4331.1000000000004</v>
      </c>
      <c r="R139">
        <v>20407</v>
      </c>
    </row>
    <row r="140" spans="1:18" x14ac:dyDescent="0.25">
      <c r="A140" s="169">
        <v>42205</v>
      </c>
      <c r="B140" s="115">
        <v>895.84</v>
      </c>
      <c r="C140" s="115">
        <v>876.56</v>
      </c>
      <c r="D140" s="115">
        <v>863.99</v>
      </c>
      <c r="E140" s="115">
        <v>870.8</v>
      </c>
      <c r="F140" s="115">
        <v>4382.8</v>
      </c>
      <c r="G140">
        <v>1044</v>
      </c>
      <c r="H140" s="115"/>
      <c r="I140" s="115"/>
      <c r="L140" s="169">
        <v>42205</v>
      </c>
      <c r="M140" s="115">
        <v>879.53</v>
      </c>
      <c r="N140" s="115">
        <v>897.4</v>
      </c>
      <c r="O140" s="115">
        <v>856.8</v>
      </c>
      <c r="P140" s="115">
        <v>856.8</v>
      </c>
      <c r="Q140" s="115">
        <v>4397.6499999999996</v>
      </c>
      <c r="R140">
        <v>3880</v>
      </c>
    </row>
    <row r="141" spans="1:18" x14ac:dyDescent="0.25">
      <c r="A141" s="169">
        <v>42206</v>
      </c>
      <c r="B141" s="115">
        <v>898.2</v>
      </c>
      <c r="C141" s="115">
        <v>890.26</v>
      </c>
      <c r="D141" s="115">
        <v>882.08</v>
      </c>
      <c r="E141" s="115">
        <v>887.53</v>
      </c>
      <c r="F141" s="115">
        <v>4451.3</v>
      </c>
      <c r="G141">
        <v>263</v>
      </c>
      <c r="H141" s="115"/>
      <c r="I141" s="115"/>
      <c r="L141" s="169">
        <v>42206</v>
      </c>
      <c r="M141" s="115">
        <v>888.73</v>
      </c>
      <c r="N141" s="115">
        <v>896</v>
      </c>
      <c r="O141" s="115">
        <v>879.4</v>
      </c>
      <c r="P141" s="115">
        <v>879.41</v>
      </c>
      <c r="Q141" s="115">
        <v>4443.6499999999996</v>
      </c>
      <c r="R141">
        <v>2041</v>
      </c>
    </row>
    <row r="142" spans="1:18" x14ac:dyDescent="0.25">
      <c r="A142" s="169">
        <v>42207</v>
      </c>
      <c r="B142" s="115">
        <v>904.78</v>
      </c>
      <c r="C142" s="115">
        <v>898.81</v>
      </c>
      <c r="D142" s="115">
        <v>880.52</v>
      </c>
      <c r="E142" s="115">
        <v>880.53</v>
      </c>
      <c r="F142" s="115">
        <v>4494.05</v>
      </c>
      <c r="G142">
        <v>602</v>
      </c>
      <c r="H142" s="115"/>
      <c r="I142" s="115"/>
      <c r="L142" s="169">
        <v>42207</v>
      </c>
      <c r="M142" s="115">
        <v>900.72</v>
      </c>
      <c r="N142" s="115">
        <v>905</v>
      </c>
      <c r="O142" s="115">
        <v>873.43</v>
      </c>
      <c r="P142" s="115">
        <v>894.4</v>
      </c>
      <c r="Q142" s="115">
        <v>4503.6000000000004</v>
      </c>
      <c r="R142">
        <v>1641</v>
      </c>
    </row>
    <row r="143" spans="1:18" x14ac:dyDescent="0.25">
      <c r="A143" s="169">
        <v>42208</v>
      </c>
      <c r="B143" s="115">
        <v>920</v>
      </c>
      <c r="C143" s="115">
        <v>903.25</v>
      </c>
      <c r="D143" s="115">
        <v>896.01</v>
      </c>
      <c r="E143" s="115">
        <v>899.12</v>
      </c>
      <c r="F143" s="115">
        <v>4516.25</v>
      </c>
      <c r="G143">
        <v>521</v>
      </c>
      <c r="H143" s="115"/>
      <c r="I143" s="115"/>
      <c r="L143" s="169">
        <v>42208</v>
      </c>
      <c r="M143" s="115">
        <v>906.55</v>
      </c>
      <c r="N143" s="115">
        <v>916.1</v>
      </c>
      <c r="O143" s="115">
        <v>890.19</v>
      </c>
      <c r="P143" s="115">
        <v>890.19</v>
      </c>
      <c r="Q143" s="115">
        <v>4532.75</v>
      </c>
      <c r="R143">
        <v>5243</v>
      </c>
    </row>
    <row r="144" spans="1:18" x14ac:dyDescent="0.25">
      <c r="A144" s="169">
        <v>42209</v>
      </c>
      <c r="B144" s="115">
        <v>912</v>
      </c>
      <c r="C144" s="115">
        <v>909.5</v>
      </c>
      <c r="D144" s="115">
        <v>899</v>
      </c>
      <c r="E144" s="115">
        <v>906.01</v>
      </c>
      <c r="F144" s="115">
        <v>4547.5</v>
      </c>
      <c r="G144">
        <v>233</v>
      </c>
      <c r="H144" s="115"/>
      <c r="I144" s="115"/>
      <c r="L144" s="169">
        <v>42209</v>
      </c>
      <c r="M144" s="115">
        <v>905.21</v>
      </c>
      <c r="N144" s="115">
        <v>924.8</v>
      </c>
      <c r="O144" s="115">
        <v>899</v>
      </c>
      <c r="P144" s="115">
        <v>913.04</v>
      </c>
      <c r="Q144" s="115">
        <v>4526.05</v>
      </c>
      <c r="R144">
        <v>1384</v>
      </c>
    </row>
    <row r="145" spans="1:18" x14ac:dyDescent="0.25">
      <c r="A145" s="169">
        <v>42212</v>
      </c>
      <c r="B145" s="115">
        <v>910.91</v>
      </c>
      <c r="C145" s="115">
        <v>898.24</v>
      </c>
      <c r="D145" s="115">
        <v>887.32</v>
      </c>
      <c r="E145" s="115">
        <v>910.59</v>
      </c>
      <c r="F145" s="115">
        <v>4491.2</v>
      </c>
      <c r="G145">
        <v>257</v>
      </c>
      <c r="H145" s="115"/>
      <c r="I145" s="115"/>
      <c r="L145" s="169">
        <v>42212</v>
      </c>
      <c r="M145" s="115">
        <v>899.66</v>
      </c>
      <c r="N145" s="115">
        <v>916.4</v>
      </c>
      <c r="O145" s="115">
        <v>884.01</v>
      </c>
      <c r="P145" s="115">
        <v>893.6</v>
      </c>
      <c r="Q145" s="115">
        <v>4498.3</v>
      </c>
      <c r="R145">
        <v>1741</v>
      </c>
    </row>
    <row r="146" spans="1:18" x14ac:dyDescent="0.25">
      <c r="A146" s="169">
        <v>42213</v>
      </c>
      <c r="B146" s="115">
        <v>910</v>
      </c>
      <c r="C146" s="115">
        <v>905.7</v>
      </c>
      <c r="D146" s="115">
        <v>893</v>
      </c>
      <c r="E146" s="115">
        <v>900</v>
      </c>
      <c r="F146" s="115">
        <v>4528.5</v>
      </c>
      <c r="G146">
        <v>45</v>
      </c>
      <c r="H146" s="115"/>
      <c r="I146" s="115"/>
      <c r="L146" s="169">
        <v>42213</v>
      </c>
      <c r="M146" s="115">
        <v>907.98</v>
      </c>
      <c r="N146" s="115">
        <v>909.74</v>
      </c>
      <c r="O146" s="115">
        <v>892.61</v>
      </c>
      <c r="P146" s="115">
        <v>909.74</v>
      </c>
      <c r="Q146" s="115">
        <v>4539.8999999999996</v>
      </c>
      <c r="R146">
        <v>1091</v>
      </c>
    </row>
    <row r="147" spans="1:18" x14ac:dyDescent="0.25">
      <c r="A147" s="169">
        <v>42214</v>
      </c>
      <c r="B147" s="115">
        <v>908</v>
      </c>
      <c r="C147" s="115">
        <v>902.48</v>
      </c>
      <c r="D147" s="115">
        <v>892</v>
      </c>
      <c r="E147" s="115">
        <v>902.77</v>
      </c>
      <c r="F147" s="115">
        <v>4512.3999999999996</v>
      </c>
      <c r="G147">
        <v>78</v>
      </c>
      <c r="H147" s="115"/>
      <c r="I147" s="115"/>
      <c r="L147" s="169">
        <v>42214</v>
      </c>
      <c r="M147" s="115">
        <v>902.44</v>
      </c>
      <c r="N147" s="115">
        <v>910</v>
      </c>
      <c r="O147" s="115">
        <v>889.64</v>
      </c>
      <c r="P147" s="115">
        <v>899.97</v>
      </c>
      <c r="Q147" s="115">
        <v>4512.2</v>
      </c>
      <c r="R147">
        <v>506</v>
      </c>
    </row>
    <row r="148" spans="1:18" x14ac:dyDescent="0.25">
      <c r="A148" s="169">
        <v>42215</v>
      </c>
      <c r="B148" s="115">
        <v>902.81</v>
      </c>
      <c r="C148" s="115">
        <v>894.64</v>
      </c>
      <c r="D148" s="115">
        <v>890.01</v>
      </c>
      <c r="E148" s="115">
        <v>899.53</v>
      </c>
      <c r="F148" s="115">
        <v>4473.2</v>
      </c>
      <c r="G148">
        <v>236</v>
      </c>
      <c r="H148" s="115"/>
      <c r="I148" s="115"/>
      <c r="L148" s="169">
        <v>42215</v>
      </c>
      <c r="M148" s="115">
        <v>894.2</v>
      </c>
      <c r="N148" s="115">
        <v>908.99</v>
      </c>
      <c r="O148" s="115">
        <v>888</v>
      </c>
      <c r="P148" s="115">
        <v>900.9</v>
      </c>
      <c r="Q148" s="115">
        <v>4471</v>
      </c>
      <c r="R148">
        <v>6820</v>
      </c>
    </row>
    <row r="149" spans="1:18" x14ac:dyDescent="0.25">
      <c r="A149" s="169">
        <v>42216</v>
      </c>
      <c r="B149" s="115">
        <v>960</v>
      </c>
      <c r="C149" s="115">
        <v>936.27</v>
      </c>
      <c r="D149" s="115">
        <v>894.2</v>
      </c>
      <c r="E149" s="115">
        <v>906</v>
      </c>
      <c r="F149" s="115">
        <v>4681.3500000000004</v>
      </c>
      <c r="G149">
        <v>1314</v>
      </c>
      <c r="H149" s="115"/>
      <c r="I149" s="115"/>
      <c r="L149" s="169">
        <v>42216</v>
      </c>
      <c r="M149" s="115">
        <v>947.23</v>
      </c>
      <c r="N149" s="115">
        <v>984</v>
      </c>
      <c r="O149" s="115">
        <v>894.4</v>
      </c>
      <c r="P149" s="115">
        <v>909.96</v>
      </c>
      <c r="Q149" s="115">
        <v>4736.1499999999996</v>
      </c>
      <c r="R149">
        <v>41155</v>
      </c>
    </row>
    <row r="150" spans="1:18" x14ac:dyDescent="0.25">
      <c r="A150" s="169">
        <v>42219</v>
      </c>
      <c r="B150" s="115">
        <v>964.52</v>
      </c>
      <c r="C150" s="115">
        <v>950.21</v>
      </c>
      <c r="D150" s="115">
        <v>938</v>
      </c>
      <c r="E150" s="115">
        <v>950.2</v>
      </c>
      <c r="F150" s="115">
        <v>4751.05</v>
      </c>
      <c r="G150">
        <v>1266</v>
      </c>
      <c r="H150" s="115"/>
      <c r="I150" s="115"/>
      <c r="L150" s="169">
        <v>42219</v>
      </c>
      <c r="M150" s="115">
        <v>955.56</v>
      </c>
      <c r="N150" s="115">
        <v>970</v>
      </c>
      <c r="O150" s="115">
        <v>926.74</v>
      </c>
      <c r="P150" s="115">
        <v>930.2</v>
      </c>
      <c r="Q150" s="115">
        <v>4777.8</v>
      </c>
      <c r="R150">
        <v>2767</v>
      </c>
    </row>
    <row r="151" spans="1:18" x14ac:dyDescent="0.25">
      <c r="A151" s="169">
        <v>42220</v>
      </c>
      <c r="B151" s="115">
        <v>955.2</v>
      </c>
      <c r="C151" s="115">
        <v>937.8</v>
      </c>
      <c r="D151" s="115">
        <v>930</v>
      </c>
      <c r="E151" s="115">
        <v>955</v>
      </c>
      <c r="F151" s="115">
        <v>4689</v>
      </c>
      <c r="G151">
        <v>1296</v>
      </c>
      <c r="H151" s="115"/>
      <c r="I151" s="115"/>
      <c r="L151" s="169">
        <v>42220</v>
      </c>
      <c r="M151" s="115">
        <v>939.66</v>
      </c>
      <c r="N151" s="115">
        <v>968.58</v>
      </c>
      <c r="O151" s="115">
        <v>930.26</v>
      </c>
      <c r="P151" s="115">
        <v>955.4</v>
      </c>
      <c r="Q151" s="115">
        <v>4698.3</v>
      </c>
      <c r="R151">
        <v>3299</v>
      </c>
    </row>
    <row r="152" spans="1:18" x14ac:dyDescent="0.25">
      <c r="A152" s="169">
        <v>42221</v>
      </c>
      <c r="B152" s="115">
        <v>960</v>
      </c>
      <c r="C152" s="115">
        <v>956.52</v>
      </c>
      <c r="D152" s="115">
        <v>945</v>
      </c>
      <c r="E152" s="115">
        <v>950</v>
      </c>
      <c r="F152" s="115">
        <v>4782.6000000000004</v>
      </c>
      <c r="G152">
        <v>247</v>
      </c>
      <c r="H152" s="115"/>
      <c r="I152" s="115"/>
      <c r="L152" s="169">
        <v>42221</v>
      </c>
      <c r="M152" s="115">
        <v>956.64</v>
      </c>
      <c r="N152" s="115">
        <v>963</v>
      </c>
      <c r="O152" s="115">
        <v>940</v>
      </c>
      <c r="P152" s="115">
        <v>953.59</v>
      </c>
      <c r="Q152" s="115">
        <v>4783.2</v>
      </c>
      <c r="R152">
        <v>1233</v>
      </c>
    </row>
    <row r="153" spans="1:18" x14ac:dyDescent="0.25">
      <c r="A153" s="169">
        <v>42222</v>
      </c>
      <c r="B153" s="115">
        <v>963.3</v>
      </c>
      <c r="C153" s="115">
        <v>944.17</v>
      </c>
      <c r="D153" s="115">
        <v>943.21</v>
      </c>
      <c r="E153" s="115">
        <v>963.3</v>
      </c>
      <c r="F153" s="115">
        <v>4720.8500000000004</v>
      </c>
      <c r="G153">
        <v>144</v>
      </c>
      <c r="H153" s="115"/>
      <c r="I153" s="115"/>
      <c r="L153" s="169">
        <v>42222</v>
      </c>
      <c r="M153" s="115">
        <v>946.36</v>
      </c>
      <c r="N153" s="115">
        <v>960</v>
      </c>
      <c r="O153" s="115">
        <v>942.2</v>
      </c>
      <c r="P153" s="115">
        <v>956.6</v>
      </c>
      <c r="Q153" s="115">
        <v>4731.8</v>
      </c>
      <c r="R153">
        <v>2548</v>
      </c>
    </row>
    <row r="154" spans="1:18" x14ac:dyDescent="0.25">
      <c r="A154" s="169">
        <v>42223</v>
      </c>
      <c r="B154" s="115">
        <v>956</v>
      </c>
      <c r="C154" s="115">
        <v>944.64</v>
      </c>
      <c r="D154" s="115">
        <v>944</v>
      </c>
      <c r="E154" s="115">
        <v>955.85</v>
      </c>
      <c r="F154" s="115">
        <v>4723.2</v>
      </c>
      <c r="G154">
        <v>194</v>
      </c>
      <c r="H154" s="115"/>
      <c r="I154" s="115"/>
      <c r="L154" s="169">
        <v>42223</v>
      </c>
      <c r="M154" s="115">
        <v>946.95</v>
      </c>
      <c r="N154" s="115">
        <v>957.78</v>
      </c>
      <c r="O154" s="115">
        <v>941.02</v>
      </c>
      <c r="P154" s="115">
        <v>957.2</v>
      </c>
      <c r="Q154" s="115">
        <v>4734.75</v>
      </c>
      <c r="R154">
        <v>418</v>
      </c>
    </row>
    <row r="155" spans="1:18" x14ac:dyDescent="0.25">
      <c r="A155" s="169">
        <v>42226</v>
      </c>
      <c r="B155" s="115">
        <v>978</v>
      </c>
      <c r="C155" s="115">
        <v>960.91</v>
      </c>
      <c r="D155" s="115">
        <v>944.1</v>
      </c>
      <c r="E155" s="115">
        <v>944.1</v>
      </c>
      <c r="F155" s="115">
        <v>4804.55</v>
      </c>
      <c r="G155">
        <v>1626</v>
      </c>
      <c r="H155" s="115"/>
      <c r="I155" s="115"/>
      <c r="L155" s="169">
        <v>42226</v>
      </c>
      <c r="M155" s="115">
        <v>959.86</v>
      </c>
      <c r="N155" s="115">
        <v>978</v>
      </c>
      <c r="O155" s="115">
        <v>946.8</v>
      </c>
      <c r="P155" s="115">
        <v>946.8</v>
      </c>
      <c r="Q155" s="115">
        <v>4799.3</v>
      </c>
      <c r="R155">
        <v>3227</v>
      </c>
    </row>
    <row r="156" spans="1:18" x14ac:dyDescent="0.25">
      <c r="A156" s="169">
        <v>42227</v>
      </c>
      <c r="B156" s="115">
        <v>960.8</v>
      </c>
      <c r="C156" s="115">
        <v>947.23</v>
      </c>
      <c r="D156" s="115">
        <v>945</v>
      </c>
      <c r="E156" s="115">
        <v>960.8</v>
      </c>
      <c r="F156" s="115">
        <v>4736.1499999999996</v>
      </c>
      <c r="G156">
        <v>187</v>
      </c>
      <c r="H156" s="115"/>
      <c r="I156" s="115"/>
      <c r="L156" s="169">
        <v>42227</v>
      </c>
      <c r="M156" s="115">
        <v>945.14</v>
      </c>
      <c r="N156" s="115">
        <v>963.99</v>
      </c>
      <c r="O156" s="115">
        <v>940</v>
      </c>
      <c r="P156" s="115">
        <v>960</v>
      </c>
      <c r="Q156" s="115">
        <v>4725.7</v>
      </c>
      <c r="R156">
        <v>350</v>
      </c>
    </row>
    <row r="157" spans="1:18" x14ac:dyDescent="0.25">
      <c r="A157" s="169">
        <v>42228</v>
      </c>
      <c r="B157" s="115">
        <v>948.23</v>
      </c>
      <c r="C157" s="115">
        <v>916.07</v>
      </c>
      <c r="D157" s="115">
        <v>909.56</v>
      </c>
      <c r="E157" s="115">
        <v>940</v>
      </c>
      <c r="F157" s="115">
        <v>4580.3500000000004</v>
      </c>
      <c r="G157">
        <v>383</v>
      </c>
      <c r="H157" s="115"/>
      <c r="I157" s="115"/>
      <c r="L157" s="169">
        <v>42228</v>
      </c>
      <c r="M157" s="115">
        <v>922.64</v>
      </c>
      <c r="N157" s="115">
        <v>948.8</v>
      </c>
      <c r="O157" s="115">
        <v>910</v>
      </c>
      <c r="P157" s="115">
        <v>932.2</v>
      </c>
      <c r="Q157" s="115">
        <v>4613.2</v>
      </c>
      <c r="R157">
        <v>899</v>
      </c>
    </row>
    <row r="158" spans="1:18" x14ac:dyDescent="0.25">
      <c r="A158" s="169">
        <v>42229</v>
      </c>
      <c r="B158" s="115">
        <v>938</v>
      </c>
      <c r="C158" s="115">
        <v>934.35</v>
      </c>
      <c r="D158" s="115">
        <v>915.98</v>
      </c>
      <c r="E158" s="115">
        <v>930</v>
      </c>
      <c r="F158" s="115">
        <v>4671.75</v>
      </c>
      <c r="G158">
        <v>120</v>
      </c>
      <c r="H158" s="115"/>
      <c r="I158" s="115"/>
      <c r="L158" s="169">
        <v>42229</v>
      </c>
      <c r="M158" s="115">
        <v>930.27</v>
      </c>
      <c r="N158" s="115">
        <v>937.8</v>
      </c>
      <c r="O158" s="115">
        <v>915.2</v>
      </c>
      <c r="P158" s="115">
        <v>922.64</v>
      </c>
      <c r="Q158" s="115">
        <v>4651.3500000000004</v>
      </c>
      <c r="R158">
        <v>2206</v>
      </c>
    </row>
    <row r="159" spans="1:18" x14ac:dyDescent="0.25">
      <c r="A159" s="169">
        <v>42230</v>
      </c>
      <c r="B159" s="115">
        <v>949.59</v>
      </c>
      <c r="C159" s="115">
        <v>942.17</v>
      </c>
      <c r="D159" s="115">
        <v>920.4</v>
      </c>
      <c r="E159" s="115">
        <v>940.52</v>
      </c>
      <c r="F159" s="115">
        <v>4710.8500000000004</v>
      </c>
      <c r="G159">
        <v>224</v>
      </c>
      <c r="H159" s="115"/>
      <c r="I159" s="115"/>
      <c r="L159" s="169">
        <v>42230</v>
      </c>
      <c r="M159" s="115">
        <v>942.34</v>
      </c>
      <c r="N159" s="115">
        <v>948.2</v>
      </c>
      <c r="O159" s="115">
        <v>924.28</v>
      </c>
      <c r="P159" s="115">
        <v>943</v>
      </c>
      <c r="Q159" s="115">
        <v>4711.7</v>
      </c>
      <c r="R159">
        <v>572</v>
      </c>
    </row>
    <row r="160" spans="1:18" x14ac:dyDescent="0.25">
      <c r="A160" s="169">
        <v>42233</v>
      </c>
      <c r="B160" s="115">
        <v>942</v>
      </c>
      <c r="C160" s="115">
        <v>936.48</v>
      </c>
      <c r="D160" s="115">
        <v>922.57</v>
      </c>
      <c r="E160" s="115">
        <v>931.77</v>
      </c>
      <c r="F160" s="115">
        <v>4682.3999999999996</v>
      </c>
      <c r="G160">
        <v>226</v>
      </c>
      <c r="H160" s="115"/>
      <c r="I160" s="115"/>
      <c r="L160" s="169">
        <v>42233</v>
      </c>
      <c r="M160" s="115">
        <v>932.73</v>
      </c>
      <c r="N160" s="115">
        <v>945</v>
      </c>
      <c r="O160" s="115">
        <v>925</v>
      </c>
      <c r="P160" s="115">
        <v>925.01</v>
      </c>
      <c r="Q160" s="115">
        <v>4663.6499999999996</v>
      </c>
      <c r="R160">
        <v>935</v>
      </c>
    </row>
    <row r="161" spans="1:18" x14ac:dyDescent="0.25">
      <c r="A161" s="169">
        <v>42234</v>
      </c>
      <c r="B161" s="115">
        <v>948</v>
      </c>
      <c r="C161" s="115">
        <v>939.86</v>
      </c>
      <c r="D161" s="115">
        <v>930.6</v>
      </c>
      <c r="E161" s="115">
        <v>937.32</v>
      </c>
      <c r="F161" s="115">
        <v>4699.3</v>
      </c>
      <c r="G161">
        <v>197</v>
      </c>
      <c r="H161" s="115"/>
      <c r="I161" s="115"/>
      <c r="L161" s="169">
        <v>42234</v>
      </c>
      <c r="M161" s="115">
        <v>938.47</v>
      </c>
      <c r="N161" s="115">
        <v>948</v>
      </c>
      <c r="O161" s="115">
        <v>932.6</v>
      </c>
      <c r="P161" s="115">
        <v>944.79</v>
      </c>
      <c r="Q161" s="115">
        <v>4692.3500000000004</v>
      </c>
      <c r="R161">
        <v>373</v>
      </c>
    </row>
    <row r="162" spans="1:18" x14ac:dyDescent="0.25">
      <c r="A162" s="169">
        <v>42235</v>
      </c>
      <c r="B162" s="115">
        <v>950</v>
      </c>
      <c r="C162" s="115">
        <v>947.2</v>
      </c>
      <c r="D162" s="115">
        <v>934.72</v>
      </c>
      <c r="E162" s="115">
        <v>940</v>
      </c>
      <c r="F162" s="115">
        <v>4736</v>
      </c>
      <c r="G162">
        <v>562</v>
      </c>
      <c r="H162" s="115"/>
      <c r="I162" s="115"/>
      <c r="L162" s="169">
        <v>42235</v>
      </c>
      <c r="M162" s="115">
        <v>948.57</v>
      </c>
      <c r="N162" s="115">
        <v>950</v>
      </c>
      <c r="O162" s="115">
        <v>922</v>
      </c>
      <c r="P162" s="115">
        <v>949</v>
      </c>
      <c r="Q162" s="115">
        <v>4742.8500000000004</v>
      </c>
      <c r="R162">
        <v>22870</v>
      </c>
    </row>
    <row r="163" spans="1:18" x14ac:dyDescent="0.25">
      <c r="A163" s="169">
        <v>42236</v>
      </c>
      <c r="B163" s="115">
        <v>947.76</v>
      </c>
      <c r="C163" s="115">
        <v>940.67</v>
      </c>
      <c r="D163" s="115">
        <v>937.55</v>
      </c>
      <c r="E163" s="115">
        <v>942.6</v>
      </c>
      <c r="F163" s="115">
        <v>4703.3500000000004</v>
      </c>
      <c r="G163">
        <v>102</v>
      </c>
      <c r="H163" s="115"/>
      <c r="I163" s="115"/>
      <c r="L163" s="169">
        <v>42236</v>
      </c>
      <c r="M163" s="115">
        <v>935.91</v>
      </c>
      <c r="N163" s="115">
        <v>950</v>
      </c>
      <c r="O163" s="115">
        <v>932.2</v>
      </c>
      <c r="P163" s="115">
        <v>948.57</v>
      </c>
      <c r="Q163" s="115">
        <v>4679.55</v>
      </c>
      <c r="R163">
        <v>754</v>
      </c>
    </row>
    <row r="164" spans="1:18" x14ac:dyDescent="0.25">
      <c r="A164" s="169">
        <v>42237</v>
      </c>
      <c r="B164" s="115">
        <v>941.54</v>
      </c>
      <c r="C164" s="115">
        <v>928.71</v>
      </c>
      <c r="D164" s="115">
        <v>925.21</v>
      </c>
      <c r="E164" s="115">
        <v>937.33</v>
      </c>
      <c r="F164" s="115">
        <v>4643.55</v>
      </c>
      <c r="G164">
        <v>148</v>
      </c>
      <c r="H164" s="115"/>
      <c r="I164" s="115"/>
      <c r="L164" s="169">
        <v>42237</v>
      </c>
      <c r="M164" s="115">
        <v>930.83</v>
      </c>
      <c r="N164" s="115">
        <v>945</v>
      </c>
      <c r="O164" s="115">
        <v>928</v>
      </c>
      <c r="P164" s="115">
        <v>929</v>
      </c>
      <c r="Q164" s="115">
        <v>4654.1499999999996</v>
      </c>
      <c r="R164">
        <v>2015</v>
      </c>
    </row>
    <row r="165" spans="1:18" x14ac:dyDescent="0.25">
      <c r="A165" s="169">
        <v>42240</v>
      </c>
      <c r="B165" s="115">
        <v>920</v>
      </c>
      <c r="C165" s="115">
        <v>886.53</v>
      </c>
      <c r="D165" s="115">
        <v>875</v>
      </c>
      <c r="E165" s="115">
        <v>919.4</v>
      </c>
      <c r="F165" s="115">
        <v>4432.6499999999996</v>
      </c>
      <c r="G165">
        <v>811</v>
      </c>
      <c r="H165" s="115"/>
      <c r="I165" s="115"/>
      <c r="L165" s="169">
        <v>42240</v>
      </c>
      <c r="M165" s="115">
        <v>890.09</v>
      </c>
      <c r="N165" s="115">
        <v>930.83</v>
      </c>
      <c r="O165" s="115">
        <v>870.09</v>
      </c>
      <c r="P165" s="115">
        <v>930.83</v>
      </c>
      <c r="Q165" s="115">
        <v>4450.45</v>
      </c>
      <c r="R165">
        <v>24745</v>
      </c>
    </row>
    <row r="166" spans="1:18" x14ac:dyDescent="0.25">
      <c r="A166" s="169">
        <v>42241</v>
      </c>
      <c r="B166" s="115">
        <v>893.92</v>
      </c>
      <c r="C166" s="115">
        <v>867.33</v>
      </c>
      <c r="D166" s="115">
        <v>812.04</v>
      </c>
      <c r="E166" s="115">
        <v>812.04</v>
      </c>
      <c r="F166" s="115">
        <v>4336.6499999999996</v>
      </c>
      <c r="G166">
        <v>1488</v>
      </c>
      <c r="H166" s="115"/>
      <c r="I166" s="115"/>
      <c r="L166" s="169">
        <v>42241</v>
      </c>
      <c r="M166" s="115">
        <v>854.95</v>
      </c>
      <c r="N166" s="115">
        <v>929.8</v>
      </c>
      <c r="O166" s="115">
        <v>840.4</v>
      </c>
      <c r="P166" s="115">
        <v>891.6</v>
      </c>
      <c r="Q166" s="115">
        <v>4274.75</v>
      </c>
      <c r="R166">
        <v>17173</v>
      </c>
    </row>
    <row r="167" spans="1:18" x14ac:dyDescent="0.25">
      <c r="A167" s="169">
        <v>42242</v>
      </c>
      <c r="B167" s="115">
        <v>858</v>
      </c>
      <c r="C167" s="115">
        <v>847.2</v>
      </c>
      <c r="D167" s="115">
        <v>840.42</v>
      </c>
      <c r="E167" s="115">
        <v>855</v>
      </c>
      <c r="F167" s="115">
        <v>4236</v>
      </c>
      <c r="G167">
        <v>205</v>
      </c>
      <c r="H167" s="115"/>
      <c r="I167" s="115"/>
      <c r="L167" s="169">
        <v>42242</v>
      </c>
      <c r="M167" s="115">
        <v>845.73</v>
      </c>
      <c r="N167" s="115">
        <v>875.6</v>
      </c>
      <c r="O167" s="115">
        <v>835</v>
      </c>
      <c r="P167" s="115">
        <v>846</v>
      </c>
      <c r="Q167" s="115">
        <v>4228.6499999999996</v>
      </c>
      <c r="R167">
        <v>5609</v>
      </c>
    </row>
    <row r="168" spans="1:18" x14ac:dyDescent="0.25">
      <c r="A168" s="169">
        <v>42243</v>
      </c>
      <c r="B168" s="115">
        <v>861.07</v>
      </c>
      <c r="C168" s="115">
        <v>843.84</v>
      </c>
      <c r="D168" s="115">
        <v>841.92</v>
      </c>
      <c r="E168" s="115">
        <v>851.8</v>
      </c>
      <c r="F168" s="115">
        <v>4219.2</v>
      </c>
      <c r="G168">
        <v>272</v>
      </c>
      <c r="H168" s="115"/>
      <c r="I168" s="115"/>
      <c r="L168" s="169">
        <v>42243</v>
      </c>
      <c r="M168" s="115">
        <v>847.3</v>
      </c>
      <c r="N168" s="115">
        <v>874.8</v>
      </c>
      <c r="O168" s="115">
        <v>840</v>
      </c>
      <c r="P168" s="115">
        <v>874.8</v>
      </c>
      <c r="Q168" s="115">
        <v>4236.5</v>
      </c>
      <c r="R168">
        <v>5766</v>
      </c>
    </row>
    <row r="169" spans="1:18" x14ac:dyDescent="0.25">
      <c r="A169" s="169">
        <v>42244</v>
      </c>
      <c r="B169" s="115">
        <v>852.47</v>
      </c>
      <c r="C169" s="115">
        <v>839.12</v>
      </c>
      <c r="D169" s="115">
        <v>836</v>
      </c>
      <c r="E169" s="115">
        <v>847</v>
      </c>
      <c r="F169" s="115">
        <v>4195.6000000000004</v>
      </c>
      <c r="G169">
        <v>572</v>
      </c>
      <c r="H169" s="115"/>
      <c r="I169" s="115"/>
      <c r="L169" s="169">
        <v>42244</v>
      </c>
      <c r="M169" s="115">
        <v>836.99</v>
      </c>
      <c r="N169" s="115">
        <v>849.96</v>
      </c>
      <c r="O169" s="115">
        <v>830.21</v>
      </c>
      <c r="P169" s="115">
        <v>849.41</v>
      </c>
      <c r="Q169" s="115">
        <v>4184.95</v>
      </c>
      <c r="R169">
        <v>12605</v>
      </c>
    </row>
    <row r="170" spans="1:18" x14ac:dyDescent="0.25">
      <c r="A170" s="169">
        <v>42247</v>
      </c>
      <c r="B170" s="115">
        <v>849.48</v>
      </c>
      <c r="C170" s="115">
        <v>836.62</v>
      </c>
      <c r="D170" s="115">
        <v>823</v>
      </c>
      <c r="E170" s="115">
        <v>847.6</v>
      </c>
      <c r="F170" s="115">
        <v>4183.1000000000004</v>
      </c>
      <c r="G170">
        <v>158</v>
      </c>
      <c r="H170" s="115"/>
      <c r="I170" s="115"/>
      <c r="L170" s="169">
        <v>42247</v>
      </c>
      <c r="M170" s="115">
        <v>837.09</v>
      </c>
      <c r="N170" s="115">
        <v>846.99</v>
      </c>
      <c r="O170" s="115">
        <v>820</v>
      </c>
      <c r="P170" s="115">
        <v>836.8</v>
      </c>
      <c r="Q170" s="115">
        <v>4185.45</v>
      </c>
      <c r="R170">
        <v>17241</v>
      </c>
    </row>
    <row r="171" spans="1:18" x14ac:dyDescent="0.25">
      <c r="A171" s="169">
        <v>42248</v>
      </c>
      <c r="B171" s="115">
        <v>844.14</v>
      </c>
      <c r="C171" s="115">
        <v>814.29</v>
      </c>
      <c r="D171" s="115">
        <v>802</v>
      </c>
      <c r="E171" s="115">
        <v>840.8</v>
      </c>
      <c r="F171" s="115">
        <v>4071.45</v>
      </c>
      <c r="G171">
        <v>444</v>
      </c>
      <c r="H171" s="115"/>
      <c r="I171" s="115"/>
      <c r="L171" s="169">
        <v>42248</v>
      </c>
      <c r="M171" s="115">
        <v>829.17</v>
      </c>
      <c r="N171" s="115">
        <v>851.01</v>
      </c>
      <c r="O171" s="115">
        <v>800</v>
      </c>
      <c r="P171" s="115">
        <v>836.8</v>
      </c>
      <c r="Q171" s="115">
        <v>4145.8500000000004</v>
      </c>
      <c r="R171">
        <v>47881</v>
      </c>
    </row>
    <row r="172" spans="1:18" x14ac:dyDescent="0.25">
      <c r="A172" s="169">
        <v>42249</v>
      </c>
      <c r="B172" s="115">
        <v>890</v>
      </c>
      <c r="C172" s="115">
        <v>879.13</v>
      </c>
      <c r="D172" s="115">
        <v>813.6</v>
      </c>
      <c r="E172" s="115">
        <v>816.21</v>
      </c>
      <c r="F172" s="115">
        <v>4395.6499999999996</v>
      </c>
      <c r="G172">
        <v>791</v>
      </c>
      <c r="H172" s="115"/>
      <c r="I172" s="115"/>
      <c r="L172" s="169">
        <v>42249</v>
      </c>
      <c r="M172" s="115">
        <v>875.94</v>
      </c>
      <c r="N172" s="115">
        <v>893.99</v>
      </c>
      <c r="O172" s="115">
        <v>812</v>
      </c>
      <c r="P172" s="115">
        <v>821.01</v>
      </c>
      <c r="Q172" s="115">
        <v>4379.7</v>
      </c>
      <c r="R172">
        <v>4911</v>
      </c>
    </row>
    <row r="173" spans="1:18" x14ac:dyDescent="0.25">
      <c r="A173" s="169">
        <v>42250</v>
      </c>
      <c r="B173" s="115">
        <v>882</v>
      </c>
      <c r="C173" s="115">
        <v>879.75</v>
      </c>
      <c r="D173" s="115">
        <v>866.55</v>
      </c>
      <c r="E173" s="115">
        <v>875.3</v>
      </c>
      <c r="F173" s="115">
        <v>4398.75</v>
      </c>
      <c r="G173">
        <v>128</v>
      </c>
      <c r="H173" s="115"/>
      <c r="I173" s="115"/>
      <c r="L173" s="169">
        <v>42250</v>
      </c>
      <c r="M173" s="115">
        <v>876.65</v>
      </c>
      <c r="N173" s="115">
        <v>893.8</v>
      </c>
      <c r="O173" s="115">
        <v>860</v>
      </c>
      <c r="P173" s="115">
        <v>893.8</v>
      </c>
      <c r="Q173" s="115">
        <v>4383.25</v>
      </c>
      <c r="R173">
        <v>2270</v>
      </c>
    </row>
    <row r="174" spans="1:18" x14ac:dyDescent="0.25">
      <c r="A174" s="169">
        <v>42251</v>
      </c>
      <c r="B174" s="115">
        <v>882.5</v>
      </c>
      <c r="C174" s="115">
        <v>862.81</v>
      </c>
      <c r="D174" s="115">
        <v>847.8</v>
      </c>
      <c r="E174" s="115">
        <v>870.2</v>
      </c>
      <c r="F174" s="115">
        <v>4314.05</v>
      </c>
      <c r="G174">
        <v>301</v>
      </c>
      <c r="H174" s="115"/>
      <c r="I174" s="115"/>
      <c r="L174" s="169">
        <v>42251</v>
      </c>
      <c r="M174" s="115">
        <v>858.54</v>
      </c>
      <c r="N174" s="115">
        <v>880</v>
      </c>
      <c r="O174" s="115">
        <v>840.01</v>
      </c>
      <c r="P174" s="115">
        <v>861.4</v>
      </c>
      <c r="Q174" s="115">
        <v>4292.7</v>
      </c>
      <c r="R174">
        <v>2346</v>
      </c>
    </row>
    <row r="175" spans="1:18" x14ac:dyDescent="0.25">
      <c r="A175" s="169">
        <v>42254</v>
      </c>
      <c r="B175" s="115">
        <v>850</v>
      </c>
      <c r="C175" s="115">
        <v>835.99</v>
      </c>
      <c r="D175" s="115">
        <v>830.01</v>
      </c>
      <c r="E175" s="115">
        <v>850</v>
      </c>
      <c r="F175" s="115">
        <v>4179.95</v>
      </c>
      <c r="G175">
        <v>457</v>
      </c>
      <c r="H175" s="115"/>
      <c r="I175" s="115"/>
      <c r="L175" s="169">
        <v>42254</v>
      </c>
      <c r="M175" s="115">
        <v>832.01</v>
      </c>
      <c r="N175" s="115">
        <v>858.4</v>
      </c>
      <c r="O175" s="115">
        <v>826.78</v>
      </c>
      <c r="P175" s="115">
        <v>858</v>
      </c>
      <c r="Q175" s="115">
        <v>4160.05</v>
      </c>
      <c r="R175">
        <v>556</v>
      </c>
    </row>
    <row r="176" spans="1:18" x14ac:dyDescent="0.25">
      <c r="A176" s="169">
        <v>42255</v>
      </c>
      <c r="B176" s="115">
        <v>840.59</v>
      </c>
      <c r="C176" s="115">
        <v>824.16</v>
      </c>
      <c r="D176" s="115">
        <v>812</v>
      </c>
      <c r="E176" s="115">
        <v>830</v>
      </c>
      <c r="F176" s="115">
        <v>4120.8</v>
      </c>
      <c r="G176">
        <v>992</v>
      </c>
      <c r="H176" s="115"/>
      <c r="I176" s="115"/>
      <c r="L176" s="169">
        <v>42255</v>
      </c>
      <c r="M176" s="115">
        <v>825.65</v>
      </c>
      <c r="N176" s="115">
        <v>837.79</v>
      </c>
      <c r="O176" s="115">
        <v>821.02</v>
      </c>
      <c r="P176" s="115">
        <v>822.2</v>
      </c>
      <c r="Q176" s="115">
        <v>4128.25</v>
      </c>
      <c r="R176">
        <v>1957</v>
      </c>
    </row>
    <row r="177" spans="1:18" x14ac:dyDescent="0.25">
      <c r="A177" s="169">
        <v>42256</v>
      </c>
      <c r="B177" s="115">
        <v>840</v>
      </c>
      <c r="C177" s="115">
        <v>830.53</v>
      </c>
      <c r="D177" s="115">
        <v>825.01</v>
      </c>
      <c r="E177" s="115">
        <v>840</v>
      </c>
      <c r="F177" s="115">
        <v>4152.6499999999996</v>
      </c>
      <c r="G177">
        <v>171</v>
      </c>
      <c r="H177" s="115"/>
      <c r="I177" s="115"/>
      <c r="L177" s="169">
        <v>42256</v>
      </c>
      <c r="M177" s="115">
        <v>828.42</v>
      </c>
      <c r="N177" s="115">
        <v>845.58</v>
      </c>
      <c r="O177" s="115">
        <v>822.22</v>
      </c>
      <c r="P177" s="115">
        <v>838</v>
      </c>
      <c r="Q177" s="115">
        <v>4142.1000000000004</v>
      </c>
      <c r="R177">
        <v>51202</v>
      </c>
    </row>
    <row r="178" spans="1:18" x14ac:dyDescent="0.25">
      <c r="A178" s="169">
        <v>42257</v>
      </c>
      <c r="B178" s="115">
        <v>829</v>
      </c>
      <c r="C178" s="115">
        <v>821.77</v>
      </c>
      <c r="D178" s="115">
        <v>813</v>
      </c>
      <c r="E178" s="115">
        <v>820.4</v>
      </c>
      <c r="F178" s="115">
        <v>4108.8500000000004</v>
      </c>
      <c r="G178">
        <v>35093</v>
      </c>
      <c r="H178" s="115"/>
      <c r="I178" s="115"/>
      <c r="L178" s="169">
        <v>42257</v>
      </c>
      <c r="M178" s="115">
        <v>823.78</v>
      </c>
      <c r="N178" s="115">
        <v>828</v>
      </c>
      <c r="O178" s="115">
        <v>810.62</v>
      </c>
      <c r="P178" s="115">
        <v>820.4</v>
      </c>
      <c r="Q178" s="115">
        <v>4118.8999999999996</v>
      </c>
      <c r="R178">
        <v>726</v>
      </c>
    </row>
    <row r="179" spans="1:18" x14ac:dyDescent="0.25">
      <c r="A179" s="169">
        <v>42258</v>
      </c>
      <c r="B179" s="115">
        <v>831.13</v>
      </c>
      <c r="C179" s="115">
        <v>823.9</v>
      </c>
      <c r="D179" s="115">
        <v>823.6</v>
      </c>
      <c r="E179" s="115">
        <v>830</v>
      </c>
      <c r="F179" s="115">
        <v>4119.5</v>
      </c>
      <c r="G179">
        <v>196</v>
      </c>
      <c r="H179" s="115"/>
      <c r="I179" s="115"/>
      <c r="L179" s="169">
        <v>42258</v>
      </c>
      <c r="M179" s="115">
        <v>822.37</v>
      </c>
      <c r="N179" s="115">
        <v>830</v>
      </c>
      <c r="O179" s="115">
        <v>820</v>
      </c>
      <c r="P179" s="115">
        <v>829.99</v>
      </c>
      <c r="Q179" s="115">
        <v>4111.8500000000004</v>
      </c>
      <c r="R179">
        <v>835</v>
      </c>
    </row>
    <row r="180" spans="1:18" x14ac:dyDescent="0.25">
      <c r="A180" s="169">
        <v>42261</v>
      </c>
      <c r="B180" s="115">
        <v>850.01</v>
      </c>
      <c r="C180" s="115">
        <v>821.89</v>
      </c>
      <c r="D180" s="115">
        <v>810.2</v>
      </c>
      <c r="E180" s="115">
        <v>821.01</v>
      </c>
      <c r="F180" s="115">
        <v>4109.45</v>
      </c>
      <c r="G180">
        <v>1218</v>
      </c>
      <c r="H180" s="115"/>
      <c r="I180" s="115"/>
      <c r="L180" s="169">
        <v>42261</v>
      </c>
      <c r="M180" s="115">
        <v>818.36</v>
      </c>
      <c r="N180" s="115">
        <v>854.47</v>
      </c>
      <c r="O180" s="115">
        <v>807.74</v>
      </c>
      <c r="P180" s="115">
        <v>821.61</v>
      </c>
      <c r="Q180" s="115">
        <v>4091.8</v>
      </c>
      <c r="R180">
        <v>26944</v>
      </c>
    </row>
    <row r="181" spans="1:18" x14ac:dyDescent="0.25">
      <c r="A181" s="169">
        <v>42262</v>
      </c>
      <c r="B181" s="115">
        <v>827.99</v>
      </c>
      <c r="C181" s="115">
        <v>823.67</v>
      </c>
      <c r="D181" s="115">
        <v>819.4</v>
      </c>
      <c r="E181" s="115">
        <v>820</v>
      </c>
      <c r="F181" s="115">
        <v>4118.3500000000004</v>
      </c>
      <c r="G181">
        <v>56</v>
      </c>
      <c r="H181" s="115"/>
      <c r="I181" s="115"/>
      <c r="L181" s="169">
        <v>42262</v>
      </c>
      <c r="M181" s="115">
        <v>823.89</v>
      </c>
      <c r="N181" s="115">
        <v>829.7</v>
      </c>
      <c r="O181" s="115">
        <v>816.3</v>
      </c>
      <c r="P181" s="115">
        <v>828.24</v>
      </c>
      <c r="Q181" s="115">
        <v>4119.45</v>
      </c>
      <c r="R181">
        <v>461</v>
      </c>
    </row>
    <row r="182" spans="1:18" x14ac:dyDescent="0.25">
      <c r="A182" s="169">
        <v>42263</v>
      </c>
      <c r="B182" s="115">
        <v>830</v>
      </c>
      <c r="C182" s="115">
        <v>828.27</v>
      </c>
      <c r="D182" s="115">
        <v>823.4</v>
      </c>
      <c r="E182" s="115">
        <v>827.05</v>
      </c>
      <c r="F182" s="115">
        <v>4141.3500000000004</v>
      </c>
      <c r="G182">
        <v>44</v>
      </c>
      <c r="H182" s="115"/>
      <c r="I182" s="115"/>
      <c r="L182" s="169">
        <v>42263</v>
      </c>
      <c r="M182" s="115">
        <v>827.98</v>
      </c>
      <c r="N182" s="115">
        <v>836.22</v>
      </c>
      <c r="O182" s="115">
        <v>823.2</v>
      </c>
      <c r="P182" s="115">
        <v>829.92</v>
      </c>
      <c r="Q182" s="115">
        <v>4139.8999999999996</v>
      </c>
      <c r="R182">
        <v>228</v>
      </c>
    </row>
    <row r="183" spans="1:18" x14ac:dyDescent="0.25">
      <c r="A183" s="169">
        <v>42265</v>
      </c>
      <c r="B183" s="115">
        <v>847.14</v>
      </c>
      <c r="C183" s="115">
        <v>824.57</v>
      </c>
      <c r="D183" s="115">
        <v>820</v>
      </c>
      <c r="E183" s="115">
        <v>839.4</v>
      </c>
      <c r="F183" s="115">
        <v>4122.8500000000004</v>
      </c>
      <c r="G183">
        <v>203</v>
      </c>
      <c r="H183" s="115"/>
      <c r="I183" s="115"/>
      <c r="L183" s="169">
        <v>42265</v>
      </c>
      <c r="M183" s="115">
        <v>827.3</v>
      </c>
      <c r="N183" s="115">
        <v>847.7</v>
      </c>
      <c r="O183" s="115">
        <v>826.01</v>
      </c>
      <c r="P183" s="115">
        <v>829.08</v>
      </c>
      <c r="Q183" s="115">
        <v>4136.5</v>
      </c>
      <c r="R183">
        <v>1323</v>
      </c>
    </row>
    <row r="184" spans="1:18" x14ac:dyDescent="0.25">
      <c r="A184" s="169">
        <v>42268</v>
      </c>
      <c r="B184" s="115">
        <v>850.26</v>
      </c>
      <c r="C184" s="115">
        <v>841.36</v>
      </c>
      <c r="D184" s="115">
        <v>830.2</v>
      </c>
      <c r="E184" s="115">
        <v>832.8</v>
      </c>
      <c r="F184" s="115">
        <v>4206.8</v>
      </c>
      <c r="G184">
        <v>70</v>
      </c>
      <c r="H184" s="115"/>
      <c r="I184" s="115"/>
      <c r="L184" s="169">
        <v>42268</v>
      </c>
      <c r="M184" s="115">
        <v>840.47</v>
      </c>
      <c r="N184" s="115">
        <v>848</v>
      </c>
      <c r="O184" s="115">
        <v>827.4</v>
      </c>
      <c r="P184" s="115">
        <v>829.08</v>
      </c>
      <c r="Q184" s="115">
        <v>4202.3500000000004</v>
      </c>
      <c r="R184">
        <v>703</v>
      </c>
    </row>
    <row r="185" spans="1:18" x14ac:dyDescent="0.25">
      <c r="A185" s="169">
        <v>42269</v>
      </c>
      <c r="B185" s="115">
        <v>855.2</v>
      </c>
      <c r="C185" s="115">
        <v>826.71</v>
      </c>
      <c r="D185" s="115">
        <v>820</v>
      </c>
      <c r="E185" s="115">
        <v>850</v>
      </c>
      <c r="F185" s="115">
        <v>4133.55</v>
      </c>
      <c r="G185">
        <v>368</v>
      </c>
      <c r="H185" s="115"/>
      <c r="I185" s="115"/>
      <c r="L185" s="169">
        <v>42269</v>
      </c>
      <c r="M185" s="115">
        <v>832.73</v>
      </c>
      <c r="N185" s="115">
        <v>853.9</v>
      </c>
      <c r="O185" s="115">
        <v>826</v>
      </c>
      <c r="P185" s="115">
        <v>850</v>
      </c>
      <c r="Q185" s="115">
        <v>4163.6499999999996</v>
      </c>
      <c r="R185">
        <v>955</v>
      </c>
    </row>
    <row r="186" spans="1:18" x14ac:dyDescent="0.25">
      <c r="A186" s="169">
        <v>42270</v>
      </c>
      <c r="B186" s="115">
        <v>846</v>
      </c>
      <c r="C186" s="115">
        <v>841.67</v>
      </c>
      <c r="D186" s="115">
        <v>830</v>
      </c>
      <c r="E186" s="115">
        <v>832.45</v>
      </c>
      <c r="F186" s="115">
        <v>4208.3500000000004</v>
      </c>
      <c r="G186">
        <v>285</v>
      </c>
      <c r="H186" s="115"/>
      <c r="I186" s="115"/>
      <c r="L186" s="169">
        <v>42270</v>
      </c>
      <c r="M186" s="115">
        <v>839.75</v>
      </c>
      <c r="N186" s="115">
        <v>842</v>
      </c>
      <c r="O186" s="115">
        <v>820.8</v>
      </c>
      <c r="P186" s="115">
        <v>824.4</v>
      </c>
      <c r="Q186" s="115">
        <v>4198.75</v>
      </c>
      <c r="R186">
        <v>278</v>
      </c>
    </row>
    <row r="187" spans="1:18" x14ac:dyDescent="0.25">
      <c r="A187" s="169">
        <v>42271</v>
      </c>
      <c r="B187" s="115">
        <v>838.66</v>
      </c>
      <c r="C187" s="115">
        <v>837.16</v>
      </c>
      <c r="D187" s="115">
        <v>830.86</v>
      </c>
      <c r="E187" s="115">
        <v>837</v>
      </c>
      <c r="F187" s="115">
        <v>4185.8</v>
      </c>
      <c r="G187">
        <v>78</v>
      </c>
      <c r="H187" s="115"/>
      <c r="I187" s="115"/>
      <c r="L187" s="169">
        <v>42271</v>
      </c>
      <c r="M187" s="115">
        <v>837.87</v>
      </c>
      <c r="N187" s="115">
        <v>847.99</v>
      </c>
      <c r="O187" s="115">
        <v>832.4</v>
      </c>
      <c r="P187" s="115">
        <v>847.99</v>
      </c>
      <c r="Q187" s="115">
        <v>4189.3500000000004</v>
      </c>
      <c r="R187">
        <v>269</v>
      </c>
    </row>
    <row r="188" spans="1:18" x14ac:dyDescent="0.25">
      <c r="A188" s="169">
        <v>42275</v>
      </c>
      <c r="B188" s="115">
        <v>840</v>
      </c>
      <c r="C188" s="115">
        <v>831</v>
      </c>
      <c r="D188" s="115">
        <v>827.71</v>
      </c>
      <c r="E188" s="115">
        <v>840</v>
      </c>
      <c r="F188" s="115">
        <v>4155</v>
      </c>
      <c r="G188">
        <v>512</v>
      </c>
      <c r="H188" s="115"/>
      <c r="I188" s="115"/>
      <c r="L188" s="169">
        <v>42275</v>
      </c>
      <c r="M188" s="115">
        <v>830.43</v>
      </c>
      <c r="N188" s="115">
        <v>840.02</v>
      </c>
      <c r="O188" s="115">
        <v>828.2</v>
      </c>
      <c r="P188" s="115">
        <v>837.87</v>
      </c>
      <c r="Q188" s="115">
        <v>4152.1499999999996</v>
      </c>
      <c r="R188">
        <v>809</v>
      </c>
    </row>
    <row r="189" spans="1:18" x14ac:dyDescent="0.25">
      <c r="A189" s="169">
        <v>42276</v>
      </c>
      <c r="B189" s="115">
        <v>820</v>
      </c>
      <c r="C189" s="115">
        <v>807.28</v>
      </c>
      <c r="D189" s="115">
        <v>802.22</v>
      </c>
      <c r="E189" s="115">
        <v>820</v>
      </c>
      <c r="F189" s="115">
        <v>4036.4</v>
      </c>
      <c r="G189">
        <v>313</v>
      </c>
      <c r="H189" s="115"/>
      <c r="I189" s="115"/>
      <c r="L189" s="169">
        <v>42276</v>
      </c>
      <c r="M189" s="115">
        <v>802.23</v>
      </c>
      <c r="N189" s="115">
        <v>831.8</v>
      </c>
      <c r="O189" s="115">
        <v>802</v>
      </c>
      <c r="P189" s="115">
        <v>831.8</v>
      </c>
      <c r="Q189" s="115">
        <v>4011.15</v>
      </c>
      <c r="R189">
        <v>19383</v>
      </c>
    </row>
    <row r="190" spans="1:18" x14ac:dyDescent="0.25">
      <c r="A190" s="169">
        <v>42277</v>
      </c>
      <c r="B190" s="115">
        <v>814</v>
      </c>
      <c r="C190" s="115">
        <v>806.75</v>
      </c>
      <c r="D190" s="115">
        <v>804.02</v>
      </c>
      <c r="E190" s="115">
        <v>813.8</v>
      </c>
      <c r="F190" s="115">
        <v>4033.75</v>
      </c>
      <c r="G190">
        <v>218</v>
      </c>
      <c r="H190" s="115"/>
      <c r="I190" s="115"/>
      <c r="L190" s="169">
        <v>42277</v>
      </c>
      <c r="M190" s="115">
        <v>806.99</v>
      </c>
      <c r="N190" s="115">
        <v>817.6</v>
      </c>
      <c r="O190" s="115">
        <v>804</v>
      </c>
      <c r="P190" s="115">
        <v>805.1</v>
      </c>
      <c r="Q190" s="115">
        <v>4034.95</v>
      </c>
      <c r="R190">
        <v>19267</v>
      </c>
    </row>
    <row r="191" spans="1:18" x14ac:dyDescent="0.25">
      <c r="A191" s="169">
        <v>42278</v>
      </c>
      <c r="B191" s="115">
        <v>828</v>
      </c>
      <c r="C191" s="115">
        <v>822.73</v>
      </c>
      <c r="D191" s="115">
        <v>818.2</v>
      </c>
      <c r="E191" s="115">
        <v>819.04</v>
      </c>
      <c r="F191" s="115">
        <v>4113.6499999999996</v>
      </c>
      <c r="G191">
        <v>109</v>
      </c>
      <c r="H191" s="115"/>
      <c r="I191" s="115"/>
      <c r="L191" s="169">
        <v>42278</v>
      </c>
      <c r="M191" s="115">
        <v>820.91</v>
      </c>
      <c r="N191" s="115">
        <v>829.8</v>
      </c>
      <c r="O191" s="115">
        <v>806.99</v>
      </c>
      <c r="P191" s="115">
        <v>806.99</v>
      </c>
      <c r="Q191" s="115">
        <v>4104.55</v>
      </c>
      <c r="R191">
        <v>1238</v>
      </c>
    </row>
    <row r="192" spans="1:18" x14ac:dyDescent="0.25">
      <c r="A192" s="169">
        <v>42282</v>
      </c>
      <c r="B192" s="115">
        <v>857.6</v>
      </c>
      <c r="C192" s="115">
        <v>847.95</v>
      </c>
      <c r="D192" s="115">
        <v>824</v>
      </c>
      <c r="E192" s="115">
        <v>824</v>
      </c>
      <c r="F192" s="115">
        <v>4239.75</v>
      </c>
      <c r="G192">
        <v>61</v>
      </c>
      <c r="H192" s="115"/>
      <c r="I192" s="115"/>
      <c r="L192" s="169">
        <v>42282</v>
      </c>
      <c r="M192" s="115">
        <v>849.23</v>
      </c>
      <c r="N192" s="115">
        <v>855</v>
      </c>
      <c r="O192" s="115">
        <v>824</v>
      </c>
      <c r="P192" s="115">
        <v>824</v>
      </c>
      <c r="Q192" s="115">
        <v>4246.1499999999996</v>
      </c>
      <c r="R192">
        <v>897</v>
      </c>
    </row>
    <row r="193" spans="1:18" x14ac:dyDescent="0.25">
      <c r="A193" s="169">
        <v>42283</v>
      </c>
      <c r="B193" s="115">
        <v>858.91</v>
      </c>
      <c r="C193" s="115">
        <v>837.93</v>
      </c>
      <c r="D193" s="115">
        <v>828.91</v>
      </c>
      <c r="E193" s="115">
        <v>857.89</v>
      </c>
      <c r="F193" s="115">
        <v>4189.6499999999996</v>
      </c>
      <c r="G193">
        <v>126</v>
      </c>
      <c r="H193" s="115"/>
      <c r="I193" s="115"/>
      <c r="L193" s="169">
        <v>42283</v>
      </c>
      <c r="M193" s="115">
        <v>833.52</v>
      </c>
      <c r="N193" s="115">
        <v>859.7</v>
      </c>
      <c r="O193" s="115">
        <v>823.76</v>
      </c>
      <c r="P193" s="115">
        <v>859.69</v>
      </c>
      <c r="Q193" s="115">
        <v>4167.6000000000004</v>
      </c>
      <c r="R193">
        <v>884</v>
      </c>
    </row>
    <row r="194" spans="1:18" x14ac:dyDescent="0.25">
      <c r="A194" s="169">
        <v>42284</v>
      </c>
      <c r="B194" s="115">
        <v>868.76</v>
      </c>
      <c r="C194" s="115">
        <v>859.79</v>
      </c>
      <c r="D194" s="115">
        <v>836</v>
      </c>
      <c r="E194" s="115">
        <v>837</v>
      </c>
      <c r="F194" s="115">
        <v>4298.95</v>
      </c>
      <c r="G194">
        <v>176</v>
      </c>
      <c r="H194" s="115"/>
      <c r="I194" s="115"/>
      <c r="L194" s="169">
        <v>42284</v>
      </c>
      <c r="M194" s="115">
        <v>854.83</v>
      </c>
      <c r="N194" s="115">
        <v>872.56</v>
      </c>
      <c r="O194" s="115">
        <v>832</v>
      </c>
      <c r="P194" s="115">
        <v>834</v>
      </c>
      <c r="Q194" s="115">
        <v>4274.1499999999996</v>
      </c>
      <c r="R194">
        <v>1263</v>
      </c>
    </row>
    <row r="195" spans="1:18" x14ac:dyDescent="0.25">
      <c r="A195" s="169">
        <v>42285</v>
      </c>
      <c r="B195" s="115">
        <v>857.23</v>
      </c>
      <c r="C195" s="115">
        <v>825.84</v>
      </c>
      <c r="D195" s="115">
        <v>821.02</v>
      </c>
      <c r="E195" s="115">
        <v>856</v>
      </c>
      <c r="F195" s="115">
        <v>4129.2</v>
      </c>
      <c r="G195">
        <v>221</v>
      </c>
      <c r="H195" s="115"/>
      <c r="I195" s="115"/>
      <c r="L195" s="169">
        <v>42285</v>
      </c>
      <c r="M195" s="115">
        <v>820.33</v>
      </c>
      <c r="N195" s="115">
        <v>869.4</v>
      </c>
      <c r="O195" s="115">
        <v>815.54</v>
      </c>
      <c r="P195" s="115">
        <v>851.01</v>
      </c>
      <c r="Q195" s="115">
        <v>4101.6499999999996</v>
      </c>
      <c r="R195">
        <v>24810</v>
      </c>
    </row>
    <row r="196" spans="1:18" x14ac:dyDescent="0.25">
      <c r="A196" s="169">
        <v>42286</v>
      </c>
      <c r="B196" s="115">
        <v>838.49</v>
      </c>
      <c r="C196" s="115">
        <v>807.46</v>
      </c>
      <c r="D196" s="115">
        <v>800</v>
      </c>
      <c r="E196" s="115">
        <v>828</v>
      </c>
      <c r="F196" s="115">
        <v>4037.3</v>
      </c>
      <c r="G196">
        <v>81828</v>
      </c>
      <c r="H196" s="115"/>
      <c r="I196" s="115"/>
      <c r="L196" s="169">
        <v>42286</v>
      </c>
      <c r="M196" s="115">
        <v>806.44</v>
      </c>
      <c r="N196" s="115">
        <v>840</v>
      </c>
      <c r="O196" s="115">
        <v>802.02</v>
      </c>
      <c r="P196" s="115">
        <v>830.58</v>
      </c>
      <c r="Q196" s="115">
        <v>4032.2</v>
      </c>
      <c r="R196">
        <v>33036</v>
      </c>
    </row>
    <row r="197" spans="1:18" x14ac:dyDescent="0.25">
      <c r="A197" s="169">
        <v>42289</v>
      </c>
      <c r="B197" s="115">
        <v>819.79</v>
      </c>
      <c r="C197" s="115">
        <v>802.68</v>
      </c>
      <c r="D197" s="115">
        <v>798.5</v>
      </c>
      <c r="E197" s="115">
        <v>817.6</v>
      </c>
      <c r="F197" s="115">
        <v>4013.4</v>
      </c>
      <c r="G197">
        <v>186</v>
      </c>
      <c r="H197" s="115"/>
      <c r="I197" s="115"/>
      <c r="L197" s="169">
        <v>42289</v>
      </c>
      <c r="M197" s="115">
        <v>800.14</v>
      </c>
      <c r="N197" s="115">
        <v>817</v>
      </c>
      <c r="O197" s="115">
        <v>794.01</v>
      </c>
      <c r="P197" s="115">
        <v>815.38</v>
      </c>
      <c r="Q197" s="115">
        <v>4000.7</v>
      </c>
      <c r="R197">
        <v>5657</v>
      </c>
    </row>
    <row r="198" spans="1:18" x14ac:dyDescent="0.25">
      <c r="A198" s="169">
        <v>42290</v>
      </c>
      <c r="B198" s="115">
        <v>833.9</v>
      </c>
      <c r="C198" s="115">
        <v>827.06</v>
      </c>
      <c r="D198" s="115">
        <v>802.39</v>
      </c>
      <c r="E198" s="115">
        <v>803.32</v>
      </c>
      <c r="F198" s="115">
        <v>4135.3</v>
      </c>
      <c r="G198">
        <v>406</v>
      </c>
      <c r="H198" s="115"/>
      <c r="I198" s="115"/>
      <c r="L198" s="169">
        <v>42290</v>
      </c>
      <c r="M198" s="115">
        <v>824.62</v>
      </c>
      <c r="N198" s="115">
        <v>829.9</v>
      </c>
      <c r="O198" s="115">
        <v>802</v>
      </c>
      <c r="P198" s="115">
        <v>810</v>
      </c>
      <c r="Q198" s="115">
        <v>4123.1000000000004</v>
      </c>
      <c r="R198">
        <v>3270</v>
      </c>
    </row>
    <row r="199" spans="1:18" x14ac:dyDescent="0.25">
      <c r="A199" s="169">
        <v>42291</v>
      </c>
      <c r="B199" s="115">
        <v>828</v>
      </c>
      <c r="C199" s="115">
        <v>825.69</v>
      </c>
      <c r="D199" s="115">
        <v>814.98</v>
      </c>
      <c r="E199" s="115">
        <v>827.15</v>
      </c>
      <c r="F199" s="115">
        <v>4128.45</v>
      </c>
      <c r="G199">
        <v>17</v>
      </c>
      <c r="H199" s="115"/>
      <c r="I199" s="115"/>
      <c r="L199" s="169">
        <v>42291</v>
      </c>
      <c r="M199" s="115">
        <v>820.5</v>
      </c>
      <c r="N199" s="115">
        <v>824.6</v>
      </c>
      <c r="O199" s="115">
        <v>816.2</v>
      </c>
      <c r="P199" s="115">
        <v>824.33</v>
      </c>
      <c r="Q199" s="115">
        <v>4102.5</v>
      </c>
      <c r="R199">
        <v>160</v>
      </c>
    </row>
    <row r="200" spans="1:18" x14ac:dyDescent="0.25">
      <c r="A200" s="169">
        <v>42292</v>
      </c>
      <c r="B200" s="115">
        <v>818.93</v>
      </c>
      <c r="C200" s="115">
        <v>808.74</v>
      </c>
      <c r="D200" s="115">
        <v>807</v>
      </c>
      <c r="E200" s="115">
        <v>817.6</v>
      </c>
      <c r="F200" s="115">
        <v>4043.7</v>
      </c>
      <c r="G200">
        <v>102</v>
      </c>
      <c r="H200" s="115"/>
      <c r="I200" s="115"/>
      <c r="L200" s="169">
        <v>42292</v>
      </c>
      <c r="M200" s="115">
        <v>813.78</v>
      </c>
      <c r="N200" s="115">
        <v>827.01</v>
      </c>
      <c r="O200" s="115">
        <v>810</v>
      </c>
      <c r="P200" s="115">
        <v>821.6</v>
      </c>
      <c r="Q200" s="115">
        <v>4068.9</v>
      </c>
      <c r="R200">
        <v>497</v>
      </c>
    </row>
    <row r="201" spans="1:18" x14ac:dyDescent="0.25">
      <c r="A201" s="169">
        <v>42293</v>
      </c>
      <c r="B201" s="115">
        <v>814</v>
      </c>
      <c r="C201" s="115">
        <v>805.87</v>
      </c>
      <c r="D201" s="115">
        <v>805</v>
      </c>
      <c r="E201" s="115">
        <v>814</v>
      </c>
      <c r="F201" s="115">
        <v>4029.35</v>
      </c>
      <c r="G201">
        <v>15</v>
      </c>
      <c r="H201" s="115"/>
      <c r="I201" s="115"/>
      <c r="L201" s="169">
        <v>42293</v>
      </c>
      <c r="M201" s="115">
        <v>807.51</v>
      </c>
      <c r="N201" s="115">
        <v>819.78</v>
      </c>
      <c r="O201" s="115">
        <v>804.19</v>
      </c>
      <c r="P201" s="115">
        <v>819.78</v>
      </c>
      <c r="Q201" s="115">
        <v>4037.55</v>
      </c>
      <c r="R201">
        <v>773</v>
      </c>
    </row>
    <row r="202" spans="1:18" x14ac:dyDescent="0.25">
      <c r="A202" s="169">
        <v>42296</v>
      </c>
      <c r="B202" s="115">
        <v>812.57</v>
      </c>
      <c r="C202" s="115">
        <v>806.88</v>
      </c>
      <c r="D202" s="115">
        <v>804.6</v>
      </c>
      <c r="E202" s="115">
        <v>808</v>
      </c>
      <c r="F202" s="115">
        <v>4034.4</v>
      </c>
      <c r="G202">
        <v>162</v>
      </c>
      <c r="H202" s="115"/>
      <c r="I202" s="115"/>
      <c r="L202" s="169">
        <v>42296</v>
      </c>
      <c r="M202" s="115">
        <v>805.87</v>
      </c>
      <c r="N202" s="115">
        <v>817.8</v>
      </c>
      <c r="O202" s="115">
        <v>804</v>
      </c>
      <c r="P202" s="115">
        <v>808.6</v>
      </c>
      <c r="Q202" s="115">
        <v>4029.35</v>
      </c>
      <c r="R202">
        <v>775</v>
      </c>
    </row>
    <row r="203" spans="1:18" x14ac:dyDescent="0.25">
      <c r="A203" s="169">
        <v>42297</v>
      </c>
      <c r="B203" s="115">
        <v>814.61</v>
      </c>
      <c r="C203" s="115">
        <v>803.37</v>
      </c>
      <c r="D203" s="115">
        <v>801.2</v>
      </c>
      <c r="E203" s="115">
        <v>806.99</v>
      </c>
      <c r="F203" s="115">
        <v>4016.85</v>
      </c>
      <c r="G203">
        <v>20290</v>
      </c>
      <c r="H203" s="115"/>
      <c r="I203" s="115"/>
      <c r="L203" s="169">
        <v>42297</v>
      </c>
      <c r="M203" s="115">
        <v>804.57</v>
      </c>
      <c r="N203" s="115">
        <v>811.99</v>
      </c>
      <c r="O203" s="115">
        <v>800</v>
      </c>
      <c r="P203" s="115">
        <v>800.72</v>
      </c>
      <c r="Q203" s="115">
        <v>4022.85</v>
      </c>
      <c r="R203">
        <v>11033</v>
      </c>
    </row>
    <row r="204" spans="1:18" x14ac:dyDescent="0.25">
      <c r="A204" s="169">
        <v>42298</v>
      </c>
      <c r="B204" s="115">
        <v>815.15</v>
      </c>
      <c r="C204" s="115">
        <v>807.74</v>
      </c>
      <c r="D204" s="115">
        <v>803.24</v>
      </c>
      <c r="E204" s="115">
        <v>814</v>
      </c>
      <c r="F204" s="115">
        <v>4038.7</v>
      </c>
      <c r="G204">
        <v>306</v>
      </c>
      <c r="H204" s="115"/>
      <c r="I204" s="115"/>
      <c r="L204" s="169">
        <v>42298</v>
      </c>
      <c r="M204" s="115">
        <v>802.44</v>
      </c>
      <c r="N204" s="115">
        <v>813.98</v>
      </c>
      <c r="O204" s="115">
        <v>798.02</v>
      </c>
      <c r="P204" s="115">
        <v>812.1</v>
      </c>
      <c r="Q204" s="115">
        <v>4012.2</v>
      </c>
      <c r="R204">
        <v>21576</v>
      </c>
    </row>
    <row r="205" spans="1:18" x14ac:dyDescent="0.25">
      <c r="A205" s="169">
        <v>42300</v>
      </c>
      <c r="B205" s="115">
        <v>822.52</v>
      </c>
      <c r="C205" s="115">
        <v>803.28</v>
      </c>
      <c r="D205" s="115">
        <v>799.8</v>
      </c>
      <c r="E205" s="115">
        <v>822.52</v>
      </c>
      <c r="F205" s="115">
        <v>4016.4</v>
      </c>
      <c r="G205">
        <v>368</v>
      </c>
      <c r="H205" s="115"/>
      <c r="I205" s="115"/>
      <c r="L205" s="169">
        <v>42300</v>
      </c>
      <c r="M205" s="115">
        <v>804.91</v>
      </c>
      <c r="N205" s="115">
        <v>816.82</v>
      </c>
      <c r="O205" s="115">
        <v>802.1</v>
      </c>
      <c r="P205" s="115">
        <v>805</v>
      </c>
      <c r="Q205" s="115">
        <v>4024.55</v>
      </c>
      <c r="R205">
        <v>11796</v>
      </c>
    </row>
    <row r="206" spans="1:18" x14ac:dyDescent="0.25">
      <c r="A206" s="169">
        <v>42303</v>
      </c>
      <c r="B206" s="115">
        <v>810</v>
      </c>
      <c r="C206" s="115">
        <v>808.4</v>
      </c>
      <c r="D206" s="115">
        <v>788.82</v>
      </c>
      <c r="E206" s="115">
        <v>808</v>
      </c>
      <c r="F206" s="115">
        <v>4042</v>
      </c>
      <c r="G206">
        <v>184</v>
      </c>
      <c r="H206" s="115"/>
      <c r="I206" s="115"/>
      <c r="L206" s="169">
        <v>42303</v>
      </c>
      <c r="M206" s="115">
        <v>810.7</v>
      </c>
      <c r="N206" s="115">
        <v>814.8</v>
      </c>
      <c r="O206" s="115">
        <v>804</v>
      </c>
      <c r="P206" s="115">
        <v>814.8</v>
      </c>
      <c r="Q206" s="115">
        <v>4053.5</v>
      </c>
      <c r="R206">
        <v>549</v>
      </c>
    </row>
    <row r="207" spans="1:18" x14ac:dyDescent="0.25">
      <c r="A207" s="169">
        <v>42304</v>
      </c>
      <c r="B207" s="115">
        <v>824</v>
      </c>
      <c r="C207" s="115">
        <v>807.8</v>
      </c>
      <c r="D207" s="115">
        <v>803.71</v>
      </c>
      <c r="E207" s="115">
        <v>808.05</v>
      </c>
      <c r="F207" s="115">
        <v>4039</v>
      </c>
      <c r="G207">
        <v>94</v>
      </c>
      <c r="H207" s="115"/>
      <c r="I207" s="115"/>
      <c r="L207" s="169">
        <v>42304</v>
      </c>
      <c r="M207" s="115">
        <v>812.23</v>
      </c>
      <c r="N207" s="115">
        <v>829</v>
      </c>
      <c r="O207" s="115">
        <v>807.21</v>
      </c>
      <c r="P207" s="115">
        <v>815.95</v>
      </c>
      <c r="Q207" s="115">
        <v>4061.15</v>
      </c>
      <c r="R207">
        <v>6351</v>
      </c>
    </row>
    <row r="208" spans="1:18" x14ac:dyDescent="0.25">
      <c r="A208" s="169">
        <v>42305</v>
      </c>
      <c r="B208" s="115">
        <v>819</v>
      </c>
      <c r="C208" s="115">
        <v>814.57</v>
      </c>
      <c r="D208" s="115">
        <v>812</v>
      </c>
      <c r="E208" s="115">
        <v>815</v>
      </c>
      <c r="F208" s="115">
        <v>4072.85</v>
      </c>
      <c r="G208">
        <v>118</v>
      </c>
      <c r="H208" s="115"/>
      <c r="I208" s="115"/>
      <c r="L208" s="169">
        <v>42305</v>
      </c>
      <c r="M208" s="115">
        <v>814.01</v>
      </c>
      <c r="N208" s="115">
        <v>819</v>
      </c>
      <c r="O208" s="115">
        <v>810</v>
      </c>
      <c r="P208" s="115">
        <v>810</v>
      </c>
      <c r="Q208" s="115">
        <v>4070.05</v>
      </c>
      <c r="R208">
        <v>473</v>
      </c>
    </row>
    <row r="209" spans="1:18" x14ac:dyDescent="0.25">
      <c r="A209" s="169">
        <v>42306</v>
      </c>
      <c r="B209" s="115">
        <v>823.53</v>
      </c>
      <c r="C209" s="115">
        <v>821.54</v>
      </c>
      <c r="D209" s="115">
        <v>817.74</v>
      </c>
      <c r="E209" s="115">
        <v>823.53</v>
      </c>
      <c r="F209" s="115">
        <v>4107.7</v>
      </c>
      <c r="G209">
        <v>139</v>
      </c>
      <c r="H209" s="115"/>
      <c r="I209" s="115"/>
      <c r="L209" s="169">
        <v>42306</v>
      </c>
      <c r="M209" s="115">
        <v>817.43</v>
      </c>
      <c r="N209" s="115">
        <v>820.2</v>
      </c>
      <c r="O209" s="115">
        <v>806.02</v>
      </c>
      <c r="P209" s="115">
        <v>806.02</v>
      </c>
      <c r="Q209" s="115">
        <v>4087.15</v>
      </c>
      <c r="R209">
        <v>2941</v>
      </c>
    </row>
    <row r="210" spans="1:18" x14ac:dyDescent="0.25">
      <c r="A210" s="169">
        <v>42307</v>
      </c>
      <c r="B210" s="115">
        <v>830.2</v>
      </c>
      <c r="C210" s="115">
        <v>824.89</v>
      </c>
      <c r="D210" s="115">
        <v>815</v>
      </c>
      <c r="E210" s="115">
        <v>820.6</v>
      </c>
      <c r="F210" s="115">
        <v>4124.45</v>
      </c>
      <c r="G210">
        <v>78</v>
      </c>
      <c r="H210" s="115"/>
      <c r="I210" s="115"/>
      <c r="L210" s="169">
        <v>42307</v>
      </c>
      <c r="M210" s="115">
        <v>829.61</v>
      </c>
      <c r="N210" s="115">
        <v>832</v>
      </c>
      <c r="O210" s="115">
        <v>808.2</v>
      </c>
      <c r="P210" s="115">
        <v>808.2</v>
      </c>
      <c r="Q210" s="115">
        <v>4148.05</v>
      </c>
      <c r="R210">
        <v>1167</v>
      </c>
    </row>
    <row r="211" spans="1:18" x14ac:dyDescent="0.25">
      <c r="A211" s="169">
        <v>42310</v>
      </c>
      <c r="B211" s="115">
        <v>832.12</v>
      </c>
      <c r="C211" s="115">
        <v>812.64</v>
      </c>
      <c r="D211" s="115">
        <v>806.7</v>
      </c>
      <c r="E211" s="115">
        <v>832.12</v>
      </c>
      <c r="F211" s="115">
        <v>4063.2</v>
      </c>
      <c r="G211">
        <v>163</v>
      </c>
      <c r="H211" s="115"/>
      <c r="I211" s="115"/>
      <c r="L211" s="169">
        <v>42310</v>
      </c>
      <c r="M211" s="115">
        <v>812.8</v>
      </c>
      <c r="N211" s="115">
        <v>829.78</v>
      </c>
      <c r="O211" s="115">
        <v>809</v>
      </c>
      <c r="P211" s="115">
        <v>829.78</v>
      </c>
      <c r="Q211" s="115">
        <v>4064</v>
      </c>
      <c r="R211">
        <v>767</v>
      </c>
    </row>
    <row r="212" spans="1:18" x14ac:dyDescent="0.25">
      <c r="A212" s="169">
        <v>42311</v>
      </c>
      <c r="B212" s="115">
        <v>824.99</v>
      </c>
      <c r="C212" s="115">
        <v>823.33</v>
      </c>
      <c r="D212" s="115">
        <v>819</v>
      </c>
      <c r="E212" s="115">
        <v>819</v>
      </c>
      <c r="F212" s="115">
        <v>4116.6499999999996</v>
      </c>
      <c r="G212">
        <v>39</v>
      </c>
      <c r="H212" s="115"/>
      <c r="I212" s="115"/>
      <c r="L212" s="169">
        <v>42311</v>
      </c>
      <c r="M212" s="115">
        <v>819.24</v>
      </c>
      <c r="N212" s="115">
        <v>829.8</v>
      </c>
      <c r="O212" s="115">
        <v>813</v>
      </c>
      <c r="P212" s="115">
        <v>813</v>
      </c>
      <c r="Q212" s="115">
        <v>4096.2</v>
      </c>
      <c r="R212">
        <v>627</v>
      </c>
    </row>
    <row r="213" spans="1:18" x14ac:dyDescent="0.25">
      <c r="A213" s="169">
        <v>42312</v>
      </c>
      <c r="B213" s="115">
        <v>832.74</v>
      </c>
      <c r="C213" s="115">
        <v>816.63</v>
      </c>
      <c r="D213" s="115">
        <v>810.41</v>
      </c>
      <c r="E213" s="115">
        <v>832.54</v>
      </c>
      <c r="F213" s="115">
        <v>4083.15</v>
      </c>
      <c r="G213">
        <v>64</v>
      </c>
      <c r="H213" s="115"/>
      <c r="I213" s="115"/>
      <c r="L213" s="169">
        <v>42312</v>
      </c>
      <c r="M213" s="115">
        <v>818.35</v>
      </c>
      <c r="N213" s="115">
        <v>828.54</v>
      </c>
      <c r="O213" s="115">
        <v>813</v>
      </c>
      <c r="P213" s="115">
        <v>828.54</v>
      </c>
      <c r="Q213" s="115">
        <v>4091.75</v>
      </c>
      <c r="R213">
        <v>695</v>
      </c>
    </row>
    <row r="214" spans="1:18" x14ac:dyDescent="0.25">
      <c r="A214" s="169">
        <v>42313</v>
      </c>
      <c r="B214" s="115">
        <v>804</v>
      </c>
      <c r="C214" s="115">
        <v>772.84</v>
      </c>
      <c r="D214" s="115">
        <v>745</v>
      </c>
      <c r="E214" s="115">
        <v>804</v>
      </c>
      <c r="F214" s="115">
        <v>3864.2</v>
      </c>
      <c r="G214">
        <v>1162167</v>
      </c>
      <c r="H214" s="115"/>
      <c r="I214" s="115"/>
      <c r="L214" s="169">
        <v>42313</v>
      </c>
      <c r="M214" s="115">
        <v>786.95</v>
      </c>
      <c r="N214" s="115">
        <v>818.4</v>
      </c>
      <c r="O214" s="115">
        <v>760.2</v>
      </c>
      <c r="P214" s="115">
        <v>818.4</v>
      </c>
      <c r="Q214" s="115">
        <v>3934.75</v>
      </c>
      <c r="R214">
        <v>34307</v>
      </c>
    </row>
    <row r="215" spans="1:18" x14ac:dyDescent="0.25">
      <c r="A215" s="169">
        <v>42314</v>
      </c>
      <c r="B215" s="115">
        <v>823.49</v>
      </c>
      <c r="C215" s="115">
        <v>791.31</v>
      </c>
      <c r="D215" s="115">
        <v>787</v>
      </c>
      <c r="E215" s="115">
        <v>800</v>
      </c>
      <c r="F215" s="115">
        <v>3956.55</v>
      </c>
      <c r="G215">
        <v>3089</v>
      </c>
      <c r="H215" s="115"/>
      <c r="I215" s="115"/>
      <c r="L215" s="169">
        <v>42314</v>
      </c>
      <c r="M215" s="115">
        <v>789.68</v>
      </c>
      <c r="N215" s="115">
        <v>824.6</v>
      </c>
      <c r="O215" s="115">
        <v>782.01</v>
      </c>
      <c r="P215" s="115">
        <v>800.8</v>
      </c>
      <c r="Q215" s="115">
        <v>3948.4</v>
      </c>
      <c r="R215">
        <v>35728</v>
      </c>
    </row>
    <row r="216" spans="1:18" x14ac:dyDescent="0.25">
      <c r="A216" s="169">
        <v>42317</v>
      </c>
      <c r="B216" s="115">
        <v>791.4</v>
      </c>
      <c r="C216" s="115">
        <v>776.38</v>
      </c>
      <c r="D216" s="115">
        <v>769.8</v>
      </c>
      <c r="E216" s="115">
        <v>780</v>
      </c>
      <c r="F216" s="115">
        <v>3881.9</v>
      </c>
      <c r="G216">
        <v>286</v>
      </c>
      <c r="H216" s="115"/>
      <c r="I216" s="115"/>
      <c r="L216" s="169">
        <v>42317</v>
      </c>
      <c r="M216" s="115">
        <v>780.37</v>
      </c>
      <c r="N216" s="115">
        <v>797.94</v>
      </c>
      <c r="O216" s="115">
        <v>768</v>
      </c>
      <c r="P216" s="115">
        <v>789.6</v>
      </c>
      <c r="Q216" s="115">
        <v>3901.85</v>
      </c>
      <c r="R216">
        <v>1803</v>
      </c>
    </row>
    <row r="217" spans="1:18" x14ac:dyDescent="0.25">
      <c r="A217" s="169">
        <v>42318</v>
      </c>
      <c r="B217" s="115">
        <v>798</v>
      </c>
      <c r="C217" s="115">
        <v>787.46</v>
      </c>
      <c r="D217" s="115">
        <v>766</v>
      </c>
      <c r="E217" s="115">
        <v>780.4</v>
      </c>
      <c r="F217" s="115">
        <v>3937.3</v>
      </c>
      <c r="G217">
        <v>613</v>
      </c>
      <c r="H217" s="115"/>
      <c r="I217" s="115"/>
      <c r="L217" s="169">
        <v>42318</v>
      </c>
      <c r="M217" s="115">
        <v>794.02</v>
      </c>
      <c r="N217" s="115">
        <v>799.79</v>
      </c>
      <c r="O217" s="115">
        <v>750</v>
      </c>
      <c r="P217" s="115">
        <v>795</v>
      </c>
      <c r="Q217" s="115">
        <v>3970.1</v>
      </c>
      <c r="R217">
        <v>95113</v>
      </c>
    </row>
    <row r="218" spans="1:18" x14ac:dyDescent="0.25">
      <c r="A218" s="169">
        <v>42319</v>
      </c>
      <c r="B218" s="115">
        <v>832.8</v>
      </c>
      <c r="C218" s="115">
        <v>800.18</v>
      </c>
      <c r="D218" s="115">
        <v>794.4</v>
      </c>
      <c r="E218" s="115">
        <v>832.8</v>
      </c>
      <c r="F218" s="115">
        <v>4000.9</v>
      </c>
      <c r="G218">
        <v>97</v>
      </c>
      <c r="H218" s="115"/>
      <c r="I218" s="115"/>
      <c r="L218" s="169">
        <v>42319</v>
      </c>
      <c r="M218" s="115">
        <v>800.2</v>
      </c>
      <c r="N218" s="115">
        <v>809.59</v>
      </c>
      <c r="O218" s="115">
        <v>794.24</v>
      </c>
      <c r="P218" s="115">
        <v>809.59</v>
      </c>
      <c r="Q218" s="115">
        <v>4001</v>
      </c>
      <c r="R218">
        <v>465</v>
      </c>
    </row>
    <row r="219" spans="1:18" x14ac:dyDescent="0.25">
      <c r="A219" s="169">
        <v>42321</v>
      </c>
      <c r="B219" s="115">
        <v>804</v>
      </c>
      <c r="C219" s="115">
        <v>787.75</v>
      </c>
      <c r="D219" s="115">
        <v>779.8</v>
      </c>
      <c r="E219" s="115">
        <v>804</v>
      </c>
      <c r="F219" s="115">
        <v>3938.75</v>
      </c>
      <c r="G219">
        <v>86</v>
      </c>
      <c r="H219" s="115"/>
      <c r="I219" s="115"/>
      <c r="L219" s="169">
        <v>42321</v>
      </c>
      <c r="M219" s="115">
        <v>784.8</v>
      </c>
      <c r="N219" s="115">
        <v>805.01</v>
      </c>
      <c r="O219" s="115">
        <v>776.4</v>
      </c>
      <c r="P219" s="115">
        <v>800.2</v>
      </c>
      <c r="Q219" s="115">
        <v>3924</v>
      </c>
      <c r="R219">
        <v>1250</v>
      </c>
    </row>
    <row r="220" spans="1:18" x14ac:dyDescent="0.25">
      <c r="A220" s="169">
        <v>42324</v>
      </c>
      <c r="B220" s="115">
        <v>786.3</v>
      </c>
      <c r="C220" s="115">
        <v>781.24</v>
      </c>
      <c r="D220" s="115">
        <v>771</v>
      </c>
      <c r="E220" s="115">
        <v>778.01</v>
      </c>
      <c r="F220" s="115">
        <v>3906.2</v>
      </c>
      <c r="G220">
        <v>96</v>
      </c>
      <c r="H220" s="115"/>
      <c r="I220" s="115"/>
      <c r="L220" s="169">
        <v>42324</v>
      </c>
      <c r="M220" s="115">
        <v>776.41</v>
      </c>
      <c r="N220" s="115">
        <v>796.87</v>
      </c>
      <c r="O220" s="115">
        <v>764</v>
      </c>
      <c r="P220" s="115">
        <v>796.86</v>
      </c>
      <c r="Q220" s="115">
        <v>3882.05</v>
      </c>
      <c r="R220">
        <v>2333</v>
      </c>
    </row>
    <row r="221" spans="1:18" x14ac:dyDescent="0.25">
      <c r="A221" s="169">
        <v>42325</v>
      </c>
      <c r="B221" s="115">
        <v>780</v>
      </c>
      <c r="C221" s="115">
        <v>767.6</v>
      </c>
      <c r="D221" s="115">
        <v>766.91</v>
      </c>
      <c r="E221" s="115">
        <v>776.2</v>
      </c>
      <c r="F221" s="115">
        <v>3838</v>
      </c>
      <c r="G221">
        <v>274</v>
      </c>
      <c r="H221" s="115"/>
      <c r="I221" s="115"/>
      <c r="L221" s="169">
        <v>42325</v>
      </c>
      <c r="M221" s="115">
        <v>765.74</v>
      </c>
      <c r="N221" s="115">
        <v>796</v>
      </c>
      <c r="O221" s="115">
        <v>763</v>
      </c>
      <c r="P221" s="115">
        <v>776.4</v>
      </c>
      <c r="Q221" s="115">
        <v>3828.7</v>
      </c>
      <c r="R221">
        <v>1497</v>
      </c>
    </row>
    <row r="222" spans="1:18" x14ac:dyDescent="0.25">
      <c r="A222" s="169">
        <v>42326</v>
      </c>
      <c r="B222" s="115">
        <v>788.49</v>
      </c>
      <c r="C222" s="115">
        <v>787.91</v>
      </c>
      <c r="D222" s="115">
        <v>770.01</v>
      </c>
      <c r="E222" s="115">
        <v>771.8</v>
      </c>
      <c r="F222" s="115">
        <v>3939.55</v>
      </c>
      <c r="G222">
        <v>100</v>
      </c>
      <c r="H222" s="115"/>
      <c r="I222" s="115"/>
      <c r="L222" s="169">
        <v>42326</v>
      </c>
      <c r="M222" s="115">
        <v>785.8</v>
      </c>
      <c r="N222" s="115">
        <v>789.8</v>
      </c>
      <c r="O222" s="115">
        <v>768</v>
      </c>
      <c r="P222" s="115">
        <v>773.99</v>
      </c>
      <c r="Q222" s="115">
        <v>3929</v>
      </c>
      <c r="R222">
        <v>1583</v>
      </c>
    </row>
    <row r="223" spans="1:18" x14ac:dyDescent="0.25">
      <c r="A223" s="169">
        <v>42327</v>
      </c>
      <c r="B223" s="115">
        <v>792.8</v>
      </c>
      <c r="C223" s="115">
        <v>790.62</v>
      </c>
      <c r="D223" s="115">
        <v>783.3</v>
      </c>
      <c r="E223" s="115">
        <v>788.4</v>
      </c>
      <c r="F223" s="115">
        <v>3953.1</v>
      </c>
      <c r="G223">
        <v>67</v>
      </c>
      <c r="H223" s="115"/>
      <c r="I223" s="115"/>
      <c r="L223" s="169">
        <v>42327</v>
      </c>
      <c r="M223" s="115">
        <v>790.21</v>
      </c>
      <c r="N223" s="115">
        <v>793.99</v>
      </c>
      <c r="O223" s="115">
        <v>776.01</v>
      </c>
      <c r="P223" s="115">
        <v>793.99</v>
      </c>
      <c r="Q223" s="115">
        <v>3951.05</v>
      </c>
      <c r="R223">
        <v>409</v>
      </c>
    </row>
    <row r="224" spans="1:18" x14ac:dyDescent="0.25">
      <c r="A224" s="169">
        <v>42328</v>
      </c>
      <c r="B224" s="115">
        <v>802.76</v>
      </c>
      <c r="C224" s="115">
        <v>792.38</v>
      </c>
      <c r="D224" s="115">
        <v>788.4</v>
      </c>
      <c r="E224" s="115">
        <v>788.4</v>
      </c>
      <c r="F224" s="115">
        <v>3961.9</v>
      </c>
      <c r="G224">
        <v>304</v>
      </c>
      <c r="H224" s="115"/>
      <c r="I224" s="115"/>
      <c r="L224" s="169">
        <v>42328</v>
      </c>
      <c r="M224" s="115">
        <v>793.72</v>
      </c>
      <c r="N224" s="115">
        <v>802.81</v>
      </c>
      <c r="O224" s="115">
        <v>782.43</v>
      </c>
      <c r="P224" s="115">
        <v>790.2</v>
      </c>
      <c r="Q224" s="115">
        <v>3968.6</v>
      </c>
      <c r="R224">
        <v>1215</v>
      </c>
    </row>
    <row r="225" spans="1:18" x14ac:dyDescent="0.25">
      <c r="A225" s="169">
        <v>42331</v>
      </c>
      <c r="B225" s="115">
        <v>792.78</v>
      </c>
      <c r="C225" s="115">
        <v>780.82</v>
      </c>
      <c r="D225" s="115">
        <v>770.23</v>
      </c>
      <c r="E225" s="115">
        <v>791.01</v>
      </c>
      <c r="F225" s="115">
        <v>3904.1</v>
      </c>
      <c r="G225">
        <v>1243</v>
      </c>
      <c r="H225" s="115"/>
      <c r="I225" s="115"/>
      <c r="L225" s="169">
        <v>42331</v>
      </c>
      <c r="M225" s="115">
        <v>776.52</v>
      </c>
      <c r="N225" s="115">
        <v>805</v>
      </c>
      <c r="O225" s="115">
        <v>769.99</v>
      </c>
      <c r="P225" s="115">
        <v>796</v>
      </c>
      <c r="Q225" s="115">
        <v>3882.6</v>
      </c>
      <c r="R225">
        <v>1033</v>
      </c>
    </row>
    <row r="226" spans="1:18" x14ac:dyDescent="0.25">
      <c r="A226" s="169">
        <v>42332</v>
      </c>
      <c r="B226" s="115">
        <v>782.8</v>
      </c>
      <c r="C226" s="115">
        <v>782.08</v>
      </c>
      <c r="D226" s="115">
        <v>775</v>
      </c>
      <c r="E226" s="115">
        <v>780.01</v>
      </c>
      <c r="F226" s="115">
        <v>3910.4</v>
      </c>
      <c r="G226">
        <v>71</v>
      </c>
      <c r="H226" s="115"/>
      <c r="I226" s="115"/>
      <c r="L226" s="169">
        <v>42332</v>
      </c>
      <c r="M226" s="115">
        <v>778.54</v>
      </c>
      <c r="N226" s="115">
        <v>782</v>
      </c>
      <c r="O226" s="115">
        <v>774.32</v>
      </c>
      <c r="P226" s="115">
        <v>776.4</v>
      </c>
      <c r="Q226" s="115">
        <v>3892.7</v>
      </c>
      <c r="R226">
        <v>4733</v>
      </c>
    </row>
    <row r="227" spans="1:18" x14ac:dyDescent="0.25">
      <c r="A227" s="169">
        <v>42334</v>
      </c>
      <c r="B227" s="115">
        <v>784.58</v>
      </c>
      <c r="C227" s="115">
        <v>780.05</v>
      </c>
      <c r="D227" s="115">
        <v>779.79</v>
      </c>
      <c r="E227" s="115">
        <v>783</v>
      </c>
      <c r="F227" s="115">
        <v>3900.25</v>
      </c>
      <c r="G227">
        <v>162</v>
      </c>
      <c r="H227" s="115"/>
      <c r="I227" s="115"/>
      <c r="L227" s="169">
        <v>42334</v>
      </c>
      <c r="M227" s="115">
        <v>777.57</v>
      </c>
      <c r="N227" s="115">
        <v>786</v>
      </c>
      <c r="O227" s="115">
        <v>772.4</v>
      </c>
      <c r="P227" s="115">
        <v>778.41</v>
      </c>
      <c r="Q227" s="115">
        <v>3887.85</v>
      </c>
      <c r="R227">
        <v>623</v>
      </c>
    </row>
    <row r="228" spans="1:18" x14ac:dyDescent="0.25">
      <c r="A228" s="169">
        <v>42335</v>
      </c>
      <c r="B228" s="115">
        <v>791.3</v>
      </c>
      <c r="C228" s="115">
        <v>789.86</v>
      </c>
      <c r="D228" s="115">
        <v>780.18</v>
      </c>
      <c r="E228" s="115">
        <v>780.18</v>
      </c>
      <c r="F228" s="115">
        <v>3949.3</v>
      </c>
      <c r="G228">
        <v>35</v>
      </c>
      <c r="H228" s="115"/>
      <c r="I228" s="115"/>
      <c r="L228" s="169">
        <v>42335</v>
      </c>
      <c r="M228" s="115">
        <v>788</v>
      </c>
      <c r="N228" s="115">
        <v>797.89</v>
      </c>
      <c r="O228" s="115">
        <v>779</v>
      </c>
      <c r="P228" s="115">
        <v>788.01</v>
      </c>
      <c r="Q228" s="115">
        <v>3940</v>
      </c>
      <c r="R228">
        <v>402</v>
      </c>
    </row>
    <row r="229" spans="1:18" x14ac:dyDescent="0.25">
      <c r="A229" s="169">
        <v>42338</v>
      </c>
      <c r="B229" s="115">
        <v>809.96</v>
      </c>
      <c r="C229" s="115">
        <v>796.86</v>
      </c>
      <c r="D229" s="115">
        <v>791.39</v>
      </c>
      <c r="E229" s="115">
        <v>791.39</v>
      </c>
      <c r="F229" s="115">
        <v>3984.3</v>
      </c>
      <c r="G229">
        <v>97</v>
      </c>
      <c r="H229" s="115"/>
      <c r="I229" s="115"/>
      <c r="L229" s="169">
        <v>42338</v>
      </c>
      <c r="M229" s="115">
        <v>796.62</v>
      </c>
      <c r="N229" s="115">
        <v>808</v>
      </c>
      <c r="O229" s="115">
        <v>773.6</v>
      </c>
      <c r="P229" s="115">
        <v>774.99</v>
      </c>
      <c r="Q229" s="115">
        <v>3983.1</v>
      </c>
      <c r="R229">
        <v>976</v>
      </c>
    </row>
    <row r="230" spans="1:18" x14ac:dyDescent="0.25">
      <c r="A230" s="169">
        <v>42339</v>
      </c>
      <c r="B230" s="115">
        <v>797.68</v>
      </c>
      <c r="C230" s="115">
        <v>790.61</v>
      </c>
      <c r="D230" s="115">
        <v>786</v>
      </c>
      <c r="E230" s="115">
        <v>794.01</v>
      </c>
      <c r="F230" s="115">
        <v>3953.05</v>
      </c>
      <c r="G230">
        <v>179</v>
      </c>
      <c r="H230" s="115"/>
      <c r="I230" s="115"/>
      <c r="L230" s="169">
        <v>42339</v>
      </c>
      <c r="M230" s="115">
        <v>790.09</v>
      </c>
      <c r="N230" s="115">
        <v>799.6</v>
      </c>
      <c r="O230" s="115">
        <v>779</v>
      </c>
      <c r="P230" s="115">
        <v>796.6</v>
      </c>
      <c r="Q230" s="115">
        <v>3950.45</v>
      </c>
      <c r="R230">
        <v>3142</v>
      </c>
    </row>
    <row r="231" spans="1:18" x14ac:dyDescent="0.25">
      <c r="A231" s="169">
        <v>42340</v>
      </c>
      <c r="B231" s="115">
        <v>815.75</v>
      </c>
      <c r="C231" s="115">
        <v>811.41</v>
      </c>
      <c r="D231" s="115">
        <v>790</v>
      </c>
      <c r="E231" s="115">
        <v>790.21</v>
      </c>
      <c r="F231" s="115">
        <v>4057.05</v>
      </c>
      <c r="G231">
        <v>245</v>
      </c>
      <c r="H231" s="115"/>
      <c r="I231" s="115"/>
      <c r="L231" s="169">
        <v>42340</v>
      </c>
      <c r="M231" s="115">
        <v>811.54</v>
      </c>
      <c r="N231" s="115">
        <v>815.69</v>
      </c>
      <c r="O231" s="115">
        <v>790</v>
      </c>
      <c r="P231" s="115">
        <v>793</v>
      </c>
      <c r="Q231" s="115">
        <v>4057.7</v>
      </c>
      <c r="R231">
        <v>1168</v>
      </c>
    </row>
    <row r="232" spans="1:18" x14ac:dyDescent="0.25">
      <c r="A232" s="169">
        <v>42341</v>
      </c>
      <c r="B232" s="115">
        <v>817.99</v>
      </c>
      <c r="C232" s="115">
        <v>814.09</v>
      </c>
      <c r="D232" s="115">
        <v>803.21</v>
      </c>
      <c r="E232" s="115">
        <v>808.41</v>
      </c>
      <c r="F232" s="115">
        <v>4070.45</v>
      </c>
      <c r="G232">
        <v>583</v>
      </c>
      <c r="H232" s="115"/>
      <c r="I232" s="115"/>
      <c r="L232" s="169">
        <v>42341</v>
      </c>
      <c r="M232" s="115">
        <v>813.98</v>
      </c>
      <c r="N232" s="115">
        <v>818</v>
      </c>
      <c r="O232" s="115">
        <v>802.01</v>
      </c>
      <c r="P232" s="115">
        <v>802.01</v>
      </c>
      <c r="Q232" s="115">
        <v>4069.9</v>
      </c>
      <c r="R232">
        <v>2291</v>
      </c>
    </row>
    <row r="233" spans="1:18" x14ac:dyDescent="0.25">
      <c r="A233" s="169">
        <v>42342</v>
      </c>
      <c r="B233" s="115">
        <v>840.8</v>
      </c>
      <c r="C233" s="115">
        <v>834.84</v>
      </c>
      <c r="D233" s="115">
        <v>802</v>
      </c>
      <c r="E233" s="115">
        <v>802</v>
      </c>
      <c r="F233" s="115">
        <v>4174.2</v>
      </c>
      <c r="G233">
        <v>134</v>
      </c>
      <c r="H233" s="115"/>
      <c r="I233" s="115"/>
      <c r="L233" s="169">
        <v>42342</v>
      </c>
      <c r="M233" s="115">
        <v>831.64</v>
      </c>
      <c r="N233" s="115">
        <v>840.8</v>
      </c>
      <c r="O233" s="115">
        <v>798</v>
      </c>
      <c r="P233" s="115">
        <v>798</v>
      </c>
      <c r="Q233" s="115">
        <v>4158.2</v>
      </c>
      <c r="R233">
        <v>2307</v>
      </c>
    </row>
    <row r="234" spans="1:18" x14ac:dyDescent="0.25">
      <c r="A234" s="169">
        <v>42345</v>
      </c>
      <c r="B234" s="115">
        <v>834</v>
      </c>
      <c r="C234" s="115">
        <v>824.55</v>
      </c>
      <c r="D234" s="115">
        <v>823</v>
      </c>
      <c r="E234" s="115">
        <v>827.57</v>
      </c>
      <c r="F234" s="115">
        <v>4122.75</v>
      </c>
      <c r="G234">
        <v>47</v>
      </c>
      <c r="H234" s="115"/>
      <c r="I234" s="115"/>
      <c r="L234" s="169">
        <v>42345</v>
      </c>
      <c r="M234" s="115">
        <v>826.38</v>
      </c>
      <c r="N234" s="115">
        <v>844.8</v>
      </c>
      <c r="O234" s="115">
        <v>815.99</v>
      </c>
      <c r="P234" s="115">
        <v>815.99</v>
      </c>
      <c r="Q234" s="115">
        <v>4131.8999999999996</v>
      </c>
      <c r="R234">
        <v>1412</v>
      </c>
    </row>
    <row r="235" spans="1:18" x14ac:dyDescent="0.25">
      <c r="A235" s="169">
        <v>42346</v>
      </c>
      <c r="B235" s="115">
        <v>826</v>
      </c>
      <c r="C235" s="115">
        <v>803.3</v>
      </c>
      <c r="D235" s="115">
        <v>803</v>
      </c>
      <c r="E235" s="115">
        <v>826</v>
      </c>
      <c r="F235" s="115">
        <v>4016.5</v>
      </c>
      <c r="G235">
        <v>71</v>
      </c>
      <c r="H235" s="115"/>
      <c r="I235" s="115"/>
      <c r="L235" s="169">
        <v>42346</v>
      </c>
      <c r="M235" s="115">
        <v>807.13</v>
      </c>
      <c r="N235" s="115">
        <v>828.48</v>
      </c>
      <c r="O235" s="115">
        <v>803.82</v>
      </c>
      <c r="P235" s="115">
        <v>818</v>
      </c>
      <c r="Q235" s="115">
        <v>4035.65</v>
      </c>
      <c r="R235">
        <v>2003</v>
      </c>
    </row>
    <row r="236" spans="1:18" x14ac:dyDescent="0.25">
      <c r="A236" s="169">
        <v>42347</v>
      </c>
      <c r="B236" s="115">
        <v>804</v>
      </c>
      <c r="C236" s="115">
        <v>802.04</v>
      </c>
      <c r="D236" s="115">
        <v>787.71</v>
      </c>
      <c r="E236" s="115">
        <v>801.4</v>
      </c>
      <c r="F236" s="115">
        <v>4010.2</v>
      </c>
      <c r="G236">
        <v>34</v>
      </c>
      <c r="H236" s="115"/>
      <c r="I236" s="115"/>
      <c r="L236" s="169">
        <v>42347</v>
      </c>
      <c r="M236" s="115">
        <v>800.15</v>
      </c>
      <c r="N236" s="115">
        <v>814</v>
      </c>
      <c r="O236" s="115">
        <v>788</v>
      </c>
      <c r="P236" s="115">
        <v>807</v>
      </c>
      <c r="Q236" s="115">
        <v>4000.75</v>
      </c>
      <c r="R236">
        <v>1607</v>
      </c>
    </row>
    <row r="237" spans="1:18" x14ac:dyDescent="0.25">
      <c r="A237" s="169">
        <v>42348</v>
      </c>
      <c r="B237" s="115">
        <v>806</v>
      </c>
      <c r="C237" s="115">
        <v>802</v>
      </c>
      <c r="D237" s="115">
        <v>799.6</v>
      </c>
      <c r="E237" s="115">
        <v>806</v>
      </c>
      <c r="F237" s="115">
        <v>4010</v>
      </c>
      <c r="G237">
        <v>549</v>
      </c>
      <c r="H237" s="115"/>
      <c r="I237" s="115"/>
      <c r="L237" s="169">
        <v>42348</v>
      </c>
      <c r="M237" s="115">
        <v>801.5</v>
      </c>
      <c r="N237" s="115">
        <v>819.59</v>
      </c>
      <c r="O237" s="115">
        <v>798</v>
      </c>
      <c r="P237" s="115">
        <v>808.01</v>
      </c>
      <c r="Q237" s="115">
        <v>4007.5</v>
      </c>
      <c r="R237">
        <v>2133</v>
      </c>
    </row>
    <row r="238" spans="1:18" x14ac:dyDescent="0.25">
      <c r="A238" s="169">
        <v>42349</v>
      </c>
      <c r="B238" s="115">
        <v>828.8</v>
      </c>
      <c r="C238" s="115">
        <v>801.07</v>
      </c>
      <c r="D238" s="115">
        <v>798</v>
      </c>
      <c r="E238" s="115">
        <v>826</v>
      </c>
      <c r="F238" s="115">
        <v>4005.35</v>
      </c>
      <c r="G238">
        <v>96</v>
      </c>
      <c r="H238" s="115"/>
      <c r="I238" s="115"/>
      <c r="L238" s="169">
        <v>42349</v>
      </c>
      <c r="M238" s="115">
        <v>801.11</v>
      </c>
      <c r="N238" s="115">
        <v>811.68</v>
      </c>
      <c r="O238" s="115">
        <v>794</v>
      </c>
      <c r="P238" s="115">
        <v>806.79</v>
      </c>
      <c r="Q238" s="115">
        <v>4005.55</v>
      </c>
      <c r="R238">
        <v>1750</v>
      </c>
    </row>
    <row r="239" spans="1:18" x14ac:dyDescent="0.25">
      <c r="A239" s="169">
        <v>42352</v>
      </c>
      <c r="B239" s="115">
        <v>823.19</v>
      </c>
      <c r="C239" s="115">
        <v>817.83</v>
      </c>
      <c r="D239" s="115">
        <v>802</v>
      </c>
      <c r="E239" s="115">
        <v>807</v>
      </c>
      <c r="F239" s="115">
        <v>4089.15</v>
      </c>
      <c r="G239">
        <v>1540</v>
      </c>
      <c r="H239" s="115"/>
      <c r="I239" s="115"/>
      <c r="L239" s="169">
        <v>42352</v>
      </c>
      <c r="M239" s="115">
        <v>823.15</v>
      </c>
      <c r="N239" s="115">
        <v>830</v>
      </c>
      <c r="O239" s="115">
        <v>792</v>
      </c>
      <c r="P239" s="115">
        <v>808.02</v>
      </c>
      <c r="Q239" s="115">
        <v>4115.75</v>
      </c>
      <c r="R239">
        <v>1802</v>
      </c>
    </row>
    <row r="240" spans="1:18" x14ac:dyDescent="0.25">
      <c r="A240" s="169">
        <v>42353</v>
      </c>
      <c r="B240" s="115">
        <v>850</v>
      </c>
      <c r="C240" s="115">
        <v>838.11</v>
      </c>
      <c r="D240" s="115">
        <v>824</v>
      </c>
      <c r="E240" s="115">
        <v>824</v>
      </c>
      <c r="F240" s="115">
        <v>4190.55</v>
      </c>
      <c r="G240">
        <v>380</v>
      </c>
      <c r="H240" s="115"/>
      <c r="I240" s="115"/>
      <c r="L240" s="169">
        <v>42353</v>
      </c>
      <c r="M240" s="115">
        <v>842.24</v>
      </c>
      <c r="N240" s="115">
        <v>857.52</v>
      </c>
      <c r="O240" s="115">
        <v>812</v>
      </c>
      <c r="P240" s="115">
        <v>824.01</v>
      </c>
      <c r="Q240" s="115">
        <v>4211.2</v>
      </c>
      <c r="R240">
        <v>1964</v>
      </c>
    </row>
    <row r="241" spans="1:18" x14ac:dyDescent="0.25">
      <c r="A241" s="169">
        <v>42354</v>
      </c>
      <c r="B241" s="115">
        <v>856</v>
      </c>
      <c r="C241" s="115">
        <v>832.81</v>
      </c>
      <c r="D241" s="115">
        <v>826.2</v>
      </c>
      <c r="E241" s="115">
        <v>850</v>
      </c>
      <c r="F241" s="115">
        <v>4164.05</v>
      </c>
      <c r="G241">
        <v>1792</v>
      </c>
      <c r="H241" s="115"/>
      <c r="I241" s="115"/>
      <c r="L241" s="169">
        <v>42354</v>
      </c>
      <c r="M241" s="115">
        <v>833.56</v>
      </c>
      <c r="N241" s="115">
        <v>859.35</v>
      </c>
      <c r="O241" s="115">
        <v>822</v>
      </c>
      <c r="P241" s="115">
        <v>844.01</v>
      </c>
      <c r="Q241" s="115">
        <v>4167.8</v>
      </c>
      <c r="R241">
        <v>2497</v>
      </c>
    </row>
    <row r="242" spans="1:18" x14ac:dyDescent="0.25">
      <c r="A242" s="169">
        <v>42355</v>
      </c>
      <c r="B242" s="115">
        <v>837</v>
      </c>
      <c r="C242" s="115">
        <v>835.05</v>
      </c>
      <c r="D242" s="115">
        <v>829</v>
      </c>
      <c r="E242" s="115">
        <v>832</v>
      </c>
      <c r="F242" s="115">
        <v>4175.25</v>
      </c>
      <c r="G242">
        <v>98</v>
      </c>
      <c r="H242" s="115"/>
      <c r="I242" s="115"/>
      <c r="L242" s="169">
        <v>42355</v>
      </c>
      <c r="M242" s="115">
        <v>832.97</v>
      </c>
      <c r="N242" s="115">
        <v>843.01</v>
      </c>
      <c r="O242" s="115">
        <v>829.96</v>
      </c>
      <c r="P242" s="115">
        <v>843.01</v>
      </c>
      <c r="Q242" s="115">
        <v>4164.8500000000004</v>
      </c>
      <c r="R242">
        <v>14432</v>
      </c>
    </row>
    <row r="243" spans="1:18" x14ac:dyDescent="0.25">
      <c r="A243" s="169">
        <v>42356</v>
      </c>
      <c r="B243" s="115">
        <v>854.93</v>
      </c>
      <c r="C243" s="115">
        <v>845.55</v>
      </c>
      <c r="D243" s="115">
        <v>830.2</v>
      </c>
      <c r="E243" s="115">
        <v>837.2</v>
      </c>
      <c r="F243" s="115">
        <v>4227.75</v>
      </c>
      <c r="G243">
        <v>7182</v>
      </c>
      <c r="H243" s="115"/>
      <c r="I243" s="115"/>
      <c r="L243" s="169">
        <v>42356</v>
      </c>
      <c r="M243" s="115">
        <v>848.25</v>
      </c>
      <c r="N243" s="115">
        <v>854.09</v>
      </c>
      <c r="O243" s="115">
        <v>825.39</v>
      </c>
      <c r="P243" s="115">
        <v>825.39</v>
      </c>
      <c r="Q243" s="115">
        <v>4241.25</v>
      </c>
      <c r="R243">
        <v>3612</v>
      </c>
    </row>
    <row r="244" spans="1:18" x14ac:dyDescent="0.25">
      <c r="A244" s="169">
        <v>42359</v>
      </c>
      <c r="B244" s="115">
        <v>875</v>
      </c>
      <c r="C244" s="115">
        <v>857.18</v>
      </c>
      <c r="D244" s="115">
        <v>847.24</v>
      </c>
      <c r="E244" s="115">
        <v>856</v>
      </c>
      <c r="F244" s="115">
        <v>4285.8999999999996</v>
      </c>
      <c r="G244">
        <v>493</v>
      </c>
      <c r="H244" s="115"/>
      <c r="I244" s="115"/>
      <c r="L244" s="169">
        <v>42359</v>
      </c>
      <c r="M244" s="115">
        <v>855.13</v>
      </c>
      <c r="N244" s="115">
        <v>875</v>
      </c>
      <c r="O244" s="115">
        <v>843</v>
      </c>
      <c r="P244" s="115">
        <v>860</v>
      </c>
      <c r="Q244" s="115">
        <v>4275.6499999999996</v>
      </c>
      <c r="R244">
        <v>4002</v>
      </c>
    </row>
    <row r="245" spans="1:18" x14ac:dyDescent="0.25">
      <c r="A245" s="169">
        <v>42360</v>
      </c>
      <c r="B245" s="115">
        <v>870.88</v>
      </c>
      <c r="C245" s="115">
        <v>844.24</v>
      </c>
      <c r="D245" s="115">
        <v>842.4</v>
      </c>
      <c r="E245" s="115">
        <v>870.87</v>
      </c>
      <c r="F245" s="115">
        <v>4221.2</v>
      </c>
      <c r="G245">
        <v>52</v>
      </c>
      <c r="H245" s="115"/>
      <c r="I245" s="115"/>
      <c r="L245" s="169">
        <v>42360</v>
      </c>
      <c r="M245" s="115">
        <v>845.19</v>
      </c>
      <c r="N245" s="115">
        <v>862.5</v>
      </c>
      <c r="O245" s="115">
        <v>845</v>
      </c>
      <c r="P245" s="115">
        <v>862.5</v>
      </c>
      <c r="Q245" s="115">
        <v>4225.95</v>
      </c>
      <c r="R245">
        <v>674</v>
      </c>
    </row>
    <row r="246" spans="1:18" x14ac:dyDescent="0.25">
      <c r="A246" s="169">
        <v>42361</v>
      </c>
      <c r="B246" s="115">
        <v>860</v>
      </c>
      <c r="C246" s="115">
        <v>854.83</v>
      </c>
      <c r="D246" s="115">
        <v>851.63</v>
      </c>
      <c r="E246" s="115">
        <v>860</v>
      </c>
      <c r="F246" s="115">
        <v>4274.1499999999996</v>
      </c>
      <c r="G246">
        <v>225</v>
      </c>
      <c r="H246" s="115"/>
      <c r="I246" s="115"/>
      <c r="L246" s="169">
        <v>42361</v>
      </c>
      <c r="M246" s="115">
        <v>854.18</v>
      </c>
      <c r="N246" s="115">
        <v>860</v>
      </c>
      <c r="O246" s="115">
        <v>846</v>
      </c>
      <c r="P246" s="115">
        <v>859.99</v>
      </c>
      <c r="Q246" s="115">
        <v>4270.8999999999996</v>
      </c>
      <c r="R246">
        <v>3820</v>
      </c>
    </row>
    <row r="247" spans="1:18" x14ac:dyDescent="0.25">
      <c r="A247" s="169">
        <v>42362</v>
      </c>
      <c r="B247" s="115">
        <v>871.6</v>
      </c>
      <c r="C247" s="115">
        <v>861.2</v>
      </c>
      <c r="D247" s="115">
        <v>855.61</v>
      </c>
      <c r="E247" s="115">
        <v>857</v>
      </c>
      <c r="F247" s="115">
        <v>4306</v>
      </c>
      <c r="G247">
        <v>176</v>
      </c>
      <c r="H247" s="115"/>
      <c r="I247" s="115"/>
      <c r="L247" s="169">
        <v>42362</v>
      </c>
      <c r="M247" s="115">
        <v>863.29</v>
      </c>
      <c r="N247" s="115">
        <v>875</v>
      </c>
      <c r="O247" s="115">
        <v>850.4</v>
      </c>
      <c r="P247" s="115">
        <v>857.01</v>
      </c>
      <c r="Q247" s="115">
        <v>4316.45</v>
      </c>
      <c r="R247">
        <v>2074</v>
      </c>
    </row>
    <row r="248" spans="1:18" x14ac:dyDescent="0.25">
      <c r="A248" s="169">
        <v>42366</v>
      </c>
      <c r="B248" s="115">
        <v>868</v>
      </c>
      <c r="C248" s="115">
        <v>859.95</v>
      </c>
      <c r="D248" s="115">
        <v>846</v>
      </c>
      <c r="E248" s="115">
        <v>852.53</v>
      </c>
      <c r="F248" s="115">
        <v>4299.75</v>
      </c>
      <c r="G248">
        <v>79</v>
      </c>
      <c r="H248" s="115"/>
      <c r="I248" s="115"/>
      <c r="L248" s="169">
        <v>42366</v>
      </c>
      <c r="M248" s="115">
        <v>863.88</v>
      </c>
      <c r="N248" s="115">
        <v>871.53</v>
      </c>
      <c r="O248" s="115">
        <v>852.99</v>
      </c>
      <c r="P248" s="115">
        <v>870.41</v>
      </c>
      <c r="Q248" s="115">
        <v>4319.3999999999996</v>
      </c>
      <c r="R248">
        <v>898</v>
      </c>
    </row>
    <row r="249" spans="1:18" x14ac:dyDescent="0.25">
      <c r="A249" s="169">
        <v>42367</v>
      </c>
      <c r="B249" s="115">
        <v>877.6</v>
      </c>
      <c r="C249" s="115">
        <v>873.03</v>
      </c>
      <c r="D249" s="115">
        <v>857.6</v>
      </c>
      <c r="E249" s="115">
        <v>860</v>
      </c>
      <c r="F249" s="115">
        <v>4365.1499999999996</v>
      </c>
      <c r="G249">
        <v>109</v>
      </c>
      <c r="H249" s="115"/>
      <c r="I249" s="115"/>
      <c r="L249" s="169">
        <v>42367</v>
      </c>
      <c r="M249" s="115">
        <v>871.12</v>
      </c>
      <c r="N249" s="115">
        <v>881</v>
      </c>
      <c r="O249" s="115">
        <v>854</v>
      </c>
      <c r="P249" s="115">
        <v>865</v>
      </c>
      <c r="Q249" s="115">
        <v>4355.6000000000004</v>
      </c>
      <c r="R249">
        <v>1036</v>
      </c>
    </row>
    <row r="250" spans="1:18" x14ac:dyDescent="0.25">
      <c r="A250" s="169">
        <v>42368</v>
      </c>
      <c r="B250" s="115">
        <v>879.19</v>
      </c>
      <c r="C250" s="115">
        <v>873.2</v>
      </c>
      <c r="D250" s="115">
        <v>857</v>
      </c>
      <c r="E250" s="115">
        <v>878</v>
      </c>
      <c r="F250" s="115">
        <v>4366</v>
      </c>
      <c r="G250">
        <v>450</v>
      </c>
      <c r="H250" s="115"/>
      <c r="I250" s="115"/>
      <c r="L250" s="169">
        <v>42368</v>
      </c>
      <c r="M250" s="115">
        <v>877.1</v>
      </c>
      <c r="N250" s="115">
        <v>880.01</v>
      </c>
      <c r="O250" s="115">
        <v>853.05</v>
      </c>
      <c r="P250" s="115">
        <v>880</v>
      </c>
      <c r="Q250" s="115">
        <v>4385.5</v>
      </c>
      <c r="R250">
        <v>1808</v>
      </c>
    </row>
    <row r="251" spans="1:18" x14ac:dyDescent="0.25">
      <c r="A251" s="169">
        <v>42369</v>
      </c>
      <c r="B251" s="115">
        <v>879.99</v>
      </c>
      <c r="C251" s="115">
        <v>877.42</v>
      </c>
      <c r="D251" s="115">
        <v>864</v>
      </c>
      <c r="E251" s="115">
        <v>872</v>
      </c>
      <c r="F251" s="115">
        <v>4387.1000000000004</v>
      </c>
      <c r="G251">
        <v>87</v>
      </c>
      <c r="H251" s="115"/>
      <c r="I251" s="115"/>
      <c r="L251" s="169">
        <v>42369</v>
      </c>
      <c r="M251" s="115">
        <v>880.26</v>
      </c>
      <c r="N251" s="115">
        <v>883</v>
      </c>
      <c r="O251" s="115">
        <v>859.99</v>
      </c>
      <c r="P251" s="115">
        <v>880</v>
      </c>
      <c r="Q251" s="115">
        <v>4401.3</v>
      </c>
      <c r="R251">
        <v>3607</v>
      </c>
    </row>
    <row r="252" spans="1:18" x14ac:dyDescent="0.25">
      <c r="A252" s="169">
        <v>42370</v>
      </c>
      <c r="B252" s="115">
        <v>873.66</v>
      </c>
      <c r="C252" s="115">
        <v>865.89</v>
      </c>
      <c r="D252" s="115">
        <v>865</v>
      </c>
      <c r="E252" s="115">
        <v>873.66</v>
      </c>
      <c r="F252" s="115">
        <v>4329.45</v>
      </c>
      <c r="G252">
        <v>21</v>
      </c>
      <c r="H252" s="115"/>
      <c r="I252" s="115"/>
      <c r="L252" s="169">
        <v>42370</v>
      </c>
      <c r="M252" s="115">
        <v>863.99</v>
      </c>
      <c r="N252" s="115">
        <v>880.4</v>
      </c>
      <c r="O252" s="115">
        <v>860</v>
      </c>
      <c r="P252" s="115">
        <v>880.4</v>
      </c>
      <c r="Q252" s="115">
        <v>4319.95</v>
      </c>
      <c r="R252">
        <v>1743</v>
      </c>
    </row>
    <row r="253" spans="1:18" x14ac:dyDescent="0.25">
      <c r="A253" s="169">
        <v>42373</v>
      </c>
      <c r="B253" s="115">
        <v>887.6</v>
      </c>
      <c r="C253" s="115">
        <v>854</v>
      </c>
      <c r="D253" s="115">
        <v>850.2</v>
      </c>
      <c r="E253" s="115">
        <v>887.6</v>
      </c>
      <c r="F253" s="115">
        <v>4270</v>
      </c>
      <c r="G253">
        <v>60</v>
      </c>
      <c r="H253" s="115"/>
      <c r="I253" s="115"/>
      <c r="L253" s="169">
        <v>42373</v>
      </c>
      <c r="M253" s="115">
        <v>852.66</v>
      </c>
      <c r="N253" s="115">
        <v>863.02</v>
      </c>
      <c r="O253" s="115">
        <v>850.42</v>
      </c>
      <c r="P253" s="115">
        <v>863.02</v>
      </c>
      <c r="Q253" s="115">
        <v>4263.3</v>
      </c>
      <c r="R253">
        <v>1003</v>
      </c>
    </row>
    <row r="254" spans="1:18" x14ac:dyDescent="0.25">
      <c r="A254" s="169">
        <v>42374</v>
      </c>
      <c r="B254" s="115">
        <v>855.2</v>
      </c>
      <c r="C254" s="115">
        <v>855.2</v>
      </c>
      <c r="D254" s="115">
        <v>844</v>
      </c>
      <c r="E254" s="115">
        <v>852</v>
      </c>
      <c r="F254" s="115">
        <v>4276</v>
      </c>
      <c r="G254">
        <v>42</v>
      </c>
      <c r="H254" s="115"/>
      <c r="I254" s="115"/>
      <c r="L254" s="169">
        <v>42374</v>
      </c>
      <c r="M254" s="115">
        <v>852.94</v>
      </c>
      <c r="N254" s="115">
        <v>862</v>
      </c>
      <c r="O254" s="115">
        <v>841.61</v>
      </c>
      <c r="P254" s="115">
        <v>842.43</v>
      </c>
      <c r="Q254" s="115">
        <v>4264.7</v>
      </c>
      <c r="R254">
        <v>1153</v>
      </c>
    </row>
    <row r="255" spans="1:18" x14ac:dyDescent="0.25">
      <c r="A255" s="169">
        <v>42375</v>
      </c>
      <c r="B255" s="115">
        <v>855.18</v>
      </c>
      <c r="C255" s="115">
        <v>826.77</v>
      </c>
      <c r="D255" s="115">
        <v>824</v>
      </c>
      <c r="E255" s="115">
        <v>850</v>
      </c>
      <c r="F255" s="115">
        <v>4133.8500000000004</v>
      </c>
      <c r="G255">
        <v>69</v>
      </c>
      <c r="H255" s="115"/>
      <c r="I255" s="115"/>
      <c r="L255" s="169">
        <v>42375</v>
      </c>
      <c r="M255" s="115">
        <v>825.71</v>
      </c>
      <c r="N255" s="115">
        <v>855.05</v>
      </c>
      <c r="O255" s="115">
        <v>820.03</v>
      </c>
      <c r="P255" s="115">
        <v>843.05</v>
      </c>
      <c r="Q255" s="115">
        <v>4128.55</v>
      </c>
      <c r="R255">
        <v>1936</v>
      </c>
    </row>
    <row r="256" spans="1:18" x14ac:dyDescent="0.25">
      <c r="A256" s="169">
        <v>42376</v>
      </c>
      <c r="B256" s="115">
        <v>822.2</v>
      </c>
      <c r="C256" s="115">
        <v>804.53</v>
      </c>
      <c r="D256" s="115">
        <v>804.4</v>
      </c>
      <c r="E256" s="115">
        <v>822.2</v>
      </c>
      <c r="F256" s="115">
        <v>4022.65</v>
      </c>
      <c r="G256">
        <v>103</v>
      </c>
      <c r="H256" s="115"/>
      <c r="I256" s="115"/>
      <c r="L256" s="169">
        <v>42376</v>
      </c>
      <c r="M256" s="115">
        <v>808.75</v>
      </c>
      <c r="N256" s="115">
        <v>825.71</v>
      </c>
      <c r="O256" s="115">
        <v>800</v>
      </c>
      <c r="P256" s="115">
        <v>825.71</v>
      </c>
      <c r="Q256" s="115">
        <v>4043.75</v>
      </c>
      <c r="R256">
        <v>3120</v>
      </c>
    </row>
    <row r="257" spans="1:18" x14ac:dyDescent="0.25">
      <c r="A257" s="169">
        <v>42377</v>
      </c>
      <c r="B257" s="115">
        <v>808.2</v>
      </c>
      <c r="C257" s="115">
        <v>796.26</v>
      </c>
      <c r="D257" s="115">
        <v>791.42</v>
      </c>
      <c r="E257" s="115">
        <v>808.2</v>
      </c>
      <c r="F257" s="115">
        <v>3981.3</v>
      </c>
      <c r="G257">
        <v>301</v>
      </c>
      <c r="H257" s="115"/>
      <c r="I257" s="115"/>
      <c r="L257" s="169">
        <v>42377</v>
      </c>
      <c r="M257" s="115">
        <v>798.5</v>
      </c>
      <c r="N257" s="115">
        <v>822.9</v>
      </c>
      <c r="O257" s="115">
        <v>788.8</v>
      </c>
      <c r="P257" s="115">
        <v>810.61</v>
      </c>
      <c r="Q257" s="115">
        <v>3992.5</v>
      </c>
      <c r="R257">
        <v>3183</v>
      </c>
    </row>
    <row r="258" spans="1:18" x14ac:dyDescent="0.25">
      <c r="A258" s="169">
        <v>42380</v>
      </c>
      <c r="B258" s="115">
        <v>796.4</v>
      </c>
      <c r="C258" s="115">
        <v>789.27</v>
      </c>
      <c r="D258" s="115">
        <v>780.34</v>
      </c>
      <c r="E258" s="115">
        <v>796.4</v>
      </c>
      <c r="F258" s="115">
        <v>3946.35</v>
      </c>
      <c r="G258">
        <v>128</v>
      </c>
      <c r="H258" s="115"/>
      <c r="I258" s="115"/>
      <c r="L258" s="169">
        <v>42380</v>
      </c>
      <c r="M258" s="115">
        <v>788.98</v>
      </c>
      <c r="N258" s="115">
        <v>819.8</v>
      </c>
      <c r="O258" s="115">
        <v>780.2</v>
      </c>
      <c r="P258" s="115">
        <v>819.8</v>
      </c>
      <c r="Q258" s="115">
        <v>3944.9</v>
      </c>
      <c r="R258">
        <v>2000</v>
      </c>
    </row>
    <row r="259" spans="1:18" x14ac:dyDescent="0.25">
      <c r="A259" s="169">
        <v>42381</v>
      </c>
      <c r="B259" s="115">
        <v>802</v>
      </c>
      <c r="C259" s="115">
        <v>793</v>
      </c>
      <c r="D259" s="115">
        <v>785</v>
      </c>
      <c r="E259" s="115">
        <v>795.79</v>
      </c>
      <c r="F259" s="115">
        <v>3965</v>
      </c>
      <c r="G259">
        <v>152</v>
      </c>
      <c r="H259" s="115"/>
      <c r="I259" s="115"/>
      <c r="L259" s="169">
        <v>42381</v>
      </c>
      <c r="M259" s="115">
        <v>786.51</v>
      </c>
      <c r="N259" s="115">
        <v>798</v>
      </c>
      <c r="O259" s="115">
        <v>776.2</v>
      </c>
      <c r="P259" s="115">
        <v>789.2</v>
      </c>
      <c r="Q259" s="115">
        <v>3932.55</v>
      </c>
      <c r="R259">
        <v>535</v>
      </c>
    </row>
    <row r="260" spans="1:18" x14ac:dyDescent="0.25">
      <c r="A260" s="169">
        <v>42382</v>
      </c>
      <c r="B260" s="115">
        <v>792.6</v>
      </c>
      <c r="C260" s="115">
        <v>788.2</v>
      </c>
      <c r="D260" s="115">
        <v>779</v>
      </c>
      <c r="E260" s="115">
        <v>792</v>
      </c>
      <c r="F260" s="115">
        <v>3941</v>
      </c>
      <c r="G260">
        <v>67</v>
      </c>
      <c r="H260" s="115"/>
      <c r="I260" s="115"/>
      <c r="L260" s="169">
        <v>42382</v>
      </c>
      <c r="M260" s="115">
        <v>783.1</v>
      </c>
      <c r="N260" s="115">
        <v>793.96</v>
      </c>
      <c r="O260" s="115">
        <v>772.2</v>
      </c>
      <c r="P260" s="115">
        <v>786.63</v>
      </c>
      <c r="Q260" s="115">
        <v>3915.5</v>
      </c>
      <c r="R260">
        <v>9686</v>
      </c>
    </row>
    <row r="261" spans="1:18" x14ac:dyDescent="0.25">
      <c r="A261" s="169">
        <v>42383</v>
      </c>
      <c r="B261" s="115">
        <v>778</v>
      </c>
      <c r="C261" s="115">
        <v>776.4</v>
      </c>
      <c r="D261" s="115">
        <v>776.4</v>
      </c>
      <c r="E261" s="115">
        <v>778</v>
      </c>
      <c r="F261" s="115">
        <v>3882</v>
      </c>
      <c r="G261">
        <v>11</v>
      </c>
      <c r="H261" s="115"/>
      <c r="I261" s="115"/>
      <c r="L261" s="169">
        <v>42383</v>
      </c>
      <c r="M261" s="115">
        <v>782.89</v>
      </c>
      <c r="N261" s="115">
        <v>784.79</v>
      </c>
      <c r="O261" s="115">
        <v>770</v>
      </c>
      <c r="P261" s="115">
        <v>775</v>
      </c>
      <c r="Q261" s="115">
        <v>3914.45</v>
      </c>
      <c r="R261">
        <v>683</v>
      </c>
    </row>
    <row r="262" spans="1:18" x14ac:dyDescent="0.25">
      <c r="A262" s="169">
        <v>42384</v>
      </c>
      <c r="B262" s="115">
        <v>790</v>
      </c>
      <c r="C262" s="115">
        <v>778</v>
      </c>
      <c r="D262" s="115">
        <v>774.99</v>
      </c>
      <c r="E262" s="115">
        <v>788.4</v>
      </c>
      <c r="F262" s="115">
        <v>3890</v>
      </c>
      <c r="G262">
        <v>167</v>
      </c>
      <c r="H262" s="115"/>
      <c r="I262" s="115"/>
      <c r="L262" s="169">
        <v>42384</v>
      </c>
      <c r="M262" s="115">
        <v>778.41</v>
      </c>
      <c r="N262" s="115">
        <v>790</v>
      </c>
      <c r="O262" s="115">
        <v>773</v>
      </c>
      <c r="P262" s="115">
        <v>790</v>
      </c>
      <c r="Q262" s="115">
        <v>3892.05</v>
      </c>
      <c r="R262">
        <v>1490</v>
      </c>
    </row>
    <row r="263" spans="1:18" x14ac:dyDescent="0.25">
      <c r="A263" s="169">
        <v>42387</v>
      </c>
      <c r="B263" s="115">
        <v>795</v>
      </c>
      <c r="C263" s="115">
        <v>788.69</v>
      </c>
      <c r="D263" s="115">
        <v>765.34</v>
      </c>
      <c r="E263" s="115">
        <v>772</v>
      </c>
      <c r="F263" s="115">
        <v>3943.45</v>
      </c>
      <c r="G263">
        <v>17821</v>
      </c>
      <c r="H263" s="115"/>
      <c r="I263" s="115"/>
      <c r="L263" s="169">
        <v>42387</v>
      </c>
      <c r="M263" s="115">
        <v>788.01</v>
      </c>
      <c r="N263" s="115">
        <v>797.99</v>
      </c>
      <c r="O263" s="115">
        <v>763</v>
      </c>
      <c r="P263" s="115">
        <v>770.69</v>
      </c>
      <c r="Q263" s="115">
        <v>3940.05</v>
      </c>
      <c r="R263">
        <v>31717</v>
      </c>
    </row>
    <row r="264" spans="1:18" x14ac:dyDescent="0.25">
      <c r="A264" s="169">
        <v>42388</v>
      </c>
      <c r="B264" s="115">
        <v>784.2</v>
      </c>
      <c r="C264" s="115">
        <v>771.86</v>
      </c>
      <c r="D264" s="115">
        <v>770</v>
      </c>
      <c r="E264" s="115">
        <v>784.2</v>
      </c>
      <c r="F264" s="115">
        <v>3859.3</v>
      </c>
      <c r="G264">
        <v>51</v>
      </c>
      <c r="H264" s="115"/>
      <c r="I264" s="115"/>
      <c r="L264" s="169">
        <v>42388</v>
      </c>
      <c r="M264" s="115">
        <v>771.6</v>
      </c>
      <c r="N264" s="115">
        <v>796</v>
      </c>
      <c r="O264" s="115">
        <v>768</v>
      </c>
      <c r="P264" s="115">
        <v>796</v>
      </c>
      <c r="Q264" s="115">
        <v>3858</v>
      </c>
      <c r="R264">
        <v>11734</v>
      </c>
    </row>
    <row r="265" spans="1:18" x14ac:dyDescent="0.25">
      <c r="A265" s="169">
        <v>42389</v>
      </c>
      <c r="B265" s="115">
        <v>770</v>
      </c>
      <c r="C265" s="115">
        <v>758.94</v>
      </c>
      <c r="D265" s="115">
        <v>755</v>
      </c>
      <c r="E265" s="115">
        <v>770</v>
      </c>
      <c r="F265" s="115">
        <v>3794.7</v>
      </c>
      <c r="G265">
        <v>99</v>
      </c>
      <c r="H265" s="115"/>
      <c r="I265" s="115"/>
      <c r="L265" s="169">
        <v>42389</v>
      </c>
      <c r="M265" s="115">
        <v>757.58</v>
      </c>
      <c r="N265" s="115">
        <v>783.8</v>
      </c>
      <c r="O265" s="115">
        <v>753.23</v>
      </c>
      <c r="P265" s="115">
        <v>783.8</v>
      </c>
      <c r="Q265" s="115">
        <v>3787.9</v>
      </c>
      <c r="R265">
        <v>3585</v>
      </c>
    </row>
    <row r="266" spans="1:18" x14ac:dyDescent="0.25">
      <c r="A266" s="169">
        <v>42390</v>
      </c>
      <c r="B266" s="115">
        <v>770</v>
      </c>
      <c r="C266" s="115">
        <v>755.01</v>
      </c>
      <c r="D266" s="115">
        <v>755</v>
      </c>
      <c r="E266" s="115">
        <v>770</v>
      </c>
      <c r="F266" s="115">
        <v>3775.05</v>
      </c>
      <c r="G266">
        <v>350</v>
      </c>
      <c r="H266" s="115"/>
      <c r="I266" s="115"/>
      <c r="L266" s="169">
        <v>42390</v>
      </c>
      <c r="M266" s="115">
        <v>757.67</v>
      </c>
      <c r="N266" s="115">
        <v>775</v>
      </c>
      <c r="O266" s="115">
        <v>754.2</v>
      </c>
      <c r="P266" s="115">
        <v>769.91</v>
      </c>
      <c r="Q266" s="115">
        <v>3788.35</v>
      </c>
      <c r="R266">
        <v>10721</v>
      </c>
    </row>
    <row r="267" spans="1:18" x14ac:dyDescent="0.25">
      <c r="A267" s="169">
        <v>42391</v>
      </c>
      <c r="B267" s="115">
        <v>782</v>
      </c>
      <c r="C267" s="115">
        <v>782</v>
      </c>
      <c r="D267" s="115">
        <v>764</v>
      </c>
      <c r="E267" s="115">
        <v>766</v>
      </c>
      <c r="F267" s="115">
        <v>3910</v>
      </c>
      <c r="G267">
        <v>73</v>
      </c>
      <c r="H267" s="115"/>
      <c r="I267" s="115"/>
      <c r="L267" s="169">
        <v>42391</v>
      </c>
      <c r="M267" s="115">
        <v>781.03</v>
      </c>
      <c r="N267" s="115">
        <v>789</v>
      </c>
      <c r="O267" s="115">
        <v>758</v>
      </c>
      <c r="P267" s="115">
        <v>764</v>
      </c>
      <c r="Q267" s="115">
        <v>3905.15</v>
      </c>
      <c r="R267">
        <v>5361</v>
      </c>
    </row>
    <row r="268" spans="1:18" x14ac:dyDescent="0.25">
      <c r="A268" s="169">
        <v>42394</v>
      </c>
      <c r="B268" s="115">
        <v>790</v>
      </c>
      <c r="C268" s="115">
        <v>784.36</v>
      </c>
      <c r="D268" s="115">
        <v>782.05</v>
      </c>
      <c r="E268" s="115">
        <v>790</v>
      </c>
      <c r="F268" s="115">
        <v>3921.8</v>
      </c>
      <c r="G268">
        <v>8551</v>
      </c>
      <c r="H268" s="115"/>
      <c r="I268" s="115"/>
      <c r="L268" s="169">
        <v>42394</v>
      </c>
      <c r="M268" s="115">
        <v>785</v>
      </c>
      <c r="N268" s="115">
        <v>790</v>
      </c>
      <c r="O268" s="115">
        <v>773.2</v>
      </c>
      <c r="P268" s="115">
        <v>773.2</v>
      </c>
      <c r="Q268" s="115">
        <v>3925</v>
      </c>
      <c r="R268">
        <v>6333</v>
      </c>
    </row>
    <row r="269" spans="1:18" x14ac:dyDescent="0.25">
      <c r="A269" s="169">
        <v>42396</v>
      </c>
      <c r="B269" s="115">
        <v>784.36</v>
      </c>
      <c r="C269" s="115">
        <v>783.98</v>
      </c>
      <c r="D269" s="115">
        <v>770</v>
      </c>
      <c r="E269" s="115">
        <v>784.36</v>
      </c>
      <c r="F269" s="115">
        <v>3919.9</v>
      </c>
      <c r="G269">
        <v>7084</v>
      </c>
      <c r="H269" s="115"/>
      <c r="I269" s="115"/>
      <c r="L269" s="169">
        <v>42396</v>
      </c>
      <c r="M269" s="115">
        <v>780.47</v>
      </c>
      <c r="N269" s="115">
        <v>790</v>
      </c>
      <c r="O269" s="115">
        <v>771.02</v>
      </c>
      <c r="P269" s="115">
        <v>786.83</v>
      </c>
      <c r="Q269" s="115">
        <v>3902.35</v>
      </c>
      <c r="R269">
        <v>2552</v>
      </c>
    </row>
    <row r="270" spans="1:18" x14ac:dyDescent="0.25">
      <c r="A270" s="169">
        <v>42397</v>
      </c>
      <c r="B270" s="115">
        <v>792</v>
      </c>
      <c r="C270" s="115">
        <v>791.46</v>
      </c>
      <c r="D270" s="115">
        <v>783.4</v>
      </c>
      <c r="E270" s="115">
        <v>783.4</v>
      </c>
      <c r="F270" s="115">
        <v>3957.3</v>
      </c>
      <c r="G270">
        <v>194</v>
      </c>
      <c r="H270" s="115"/>
      <c r="I270" s="115"/>
      <c r="L270" s="169">
        <v>42397</v>
      </c>
      <c r="M270" s="115">
        <v>785.4</v>
      </c>
      <c r="N270" s="115">
        <v>792</v>
      </c>
      <c r="O270" s="115">
        <v>780.2</v>
      </c>
      <c r="P270" s="115">
        <v>783</v>
      </c>
      <c r="Q270" s="115">
        <v>3927</v>
      </c>
      <c r="R270">
        <v>1419</v>
      </c>
    </row>
    <row r="271" spans="1:18" x14ac:dyDescent="0.25">
      <c r="A271" s="169">
        <v>42398</v>
      </c>
      <c r="B271" s="115">
        <v>796.7</v>
      </c>
      <c r="C271" s="115">
        <v>790.62</v>
      </c>
      <c r="D271" s="115">
        <v>775.64</v>
      </c>
      <c r="E271" s="115">
        <v>792.99</v>
      </c>
      <c r="F271" s="115">
        <v>3953.1</v>
      </c>
      <c r="G271">
        <v>1080</v>
      </c>
      <c r="H271" s="115"/>
      <c r="I271" s="115"/>
      <c r="L271" s="169">
        <v>42398</v>
      </c>
      <c r="M271" s="115">
        <v>792.84</v>
      </c>
      <c r="N271" s="115">
        <v>798.99</v>
      </c>
      <c r="O271" s="115">
        <v>785</v>
      </c>
      <c r="P271" s="115">
        <v>790.1</v>
      </c>
      <c r="Q271" s="115">
        <v>3964.2</v>
      </c>
      <c r="R271">
        <v>793</v>
      </c>
    </row>
    <row r="272" spans="1:18" x14ac:dyDescent="0.25">
      <c r="A272" s="169">
        <v>42401</v>
      </c>
      <c r="B272" s="115">
        <v>802</v>
      </c>
      <c r="C272" s="115">
        <v>795.29</v>
      </c>
      <c r="D272" s="115">
        <v>795</v>
      </c>
      <c r="E272" s="115">
        <v>802</v>
      </c>
      <c r="F272" s="115">
        <v>3976.45</v>
      </c>
      <c r="G272">
        <v>76</v>
      </c>
      <c r="H272" s="115"/>
      <c r="I272" s="115"/>
      <c r="L272" s="169">
        <v>42401</v>
      </c>
      <c r="M272" s="115">
        <v>793.38</v>
      </c>
      <c r="N272" s="115">
        <v>802</v>
      </c>
      <c r="O272" s="115">
        <v>792.81</v>
      </c>
      <c r="P272" s="115">
        <v>796.8</v>
      </c>
      <c r="Q272" s="115">
        <v>3966.9</v>
      </c>
      <c r="R272">
        <v>5062</v>
      </c>
    </row>
    <row r="273" spans="1:18" x14ac:dyDescent="0.25">
      <c r="A273" s="169">
        <v>42402</v>
      </c>
      <c r="B273" s="115">
        <v>798</v>
      </c>
      <c r="C273" s="115">
        <v>783.61</v>
      </c>
      <c r="D273" s="115">
        <v>783</v>
      </c>
      <c r="E273" s="115">
        <v>789.4</v>
      </c>
      <c r="F273" s="115">
        <v>3918.05</v>
      </c>
      <c r="G273">
        <v>1109</v>
      </c>
      <c r="H273" s="115"/>
      <c r="I273" s="115"/>
      <c r="L273" s="169">
        <v>42402</v>
      </c>
      <c r="M273" s="115">
        <v>784.01</v>
      </c>
      <c r="N273" s="115">
        <v>796.61</v>
      </c>
      <c r="O273" s="115">
        <v>783</v>
      </c>
      <c r="P273" s="115">
        <v>793.6</v>
      </c>
      <c r="Q273" s="115">
        <v>3920.05</v>
      </c>
      <c r="R273">
        <v>571</v>
      </c>
    </row>
    <row r="274" spans="1:18" x14ac:dyDescent="0.25">
      <c r="A274" s="169">
        <v>42403</v>
      </c>
      <c r="B274" s="115">
        <v>789</v>
      </c>
      <c r="C274" s="115">
        <v>778</v>
      </c>
      <c r="D274" s="115">
        <v>775</v>
      </c>
      <c r="E274" s="115">
        <v>783</v>
      </c>
      <c r="F274" s="115">
        <v>3890</v>
      </c>
      <c r="G274">
        <v>418</v>
      </c>
      <c r="H274" s="115"/>
      <c r="I274" s="115"/>
      <c r="L274" s="169">
        <v>42403</v>
      </c>
      <c r="M274" s="115">
        <v>778.98</v>
      </c>
      <c r="N274" s="115">
        <v>793.99</v>
      </c>
      <c r="O274" s="115">
        <v>774.53</v>
      </c>
      <c r="P274" s="115">
        <v>783.02</v>
      </c>
      <c r="Q274" s="115">
        <v>3894.9</v>
      </c>
      <c r="R274">
        <v>442</v>
      </c>
    </row>
    <row r="275" spans="1:18" x14ac:dyDescent="0.25">
      <c r="A275" s="169">
        <v>42404</v>
      </c>
      <c r="B275" s="115">
        <v>783.49</v>
      </c>
      <c r="C275" s="115">
        <v>765.43</v>
      </c>
      <c r="D275" s="115">
        <v>764.1</v>
      </c>
      <c r="E275" s="115">
        <v>779.8</v>
      </c>
      <c r="F275" s="115">
        <v>3827.15</v>
      </c>
      <c r="G275">
        <v>37</v>
      </c>
      <c r="H275" s="115"/>
      <c r="I275" s="115"/>
      <c r="L275" s="169">
        <v>42404</v>
      </c>
      <c r="M275" s="115">
        <v>761.82</v>
      </c>
      <c r="N275" s="115">
        <v>796.8</v>
      </c>
      <c r="O275" s="115">
        <v>758</v>
      </c>
      <c r="P275" s="115">
        <v>796.8</v>
      </c>
      <c r="Q275" s="115">
        <v>3809.1</v>
      </c>
      <c r="R275">
        <v>736</v>
      </c>
    </row>
    <row r="276" spans="1:18" x14ac:dyDescent="0.25">
      <c r="A276" s="169">
        <v>42405</v>
      </c>
      <c r="B276" s="115">
        <v>795</v>
      </c>
      <c r="C276" s="115">
        <v>787.81</v>
      </c>
      <c r="D276" s="115">
        <v>762</v>
      </c>
      <c r="E276" s="115">
        <v>762</v>
      </c>
      <c r="F276" s="115">
        <v>3939.05</v>
      </c>
      <c r="G276">
        <v>58</v>
      </c>
      <c r="H276" s="115"/>
      <c r="I276" s="115"/>
      <c r="L276" s="169">
        <v>42405</v>
      </c>
      <c r="M276" s="115">
        <v>790</v>
      </c>
      <c r="N276" s="115">
        <v>799</v>
      </c>
      <c r="O276" s="115">
        <v>769.66</v>
      </c>
      <c r="P276" s="115">
        <v>773.56</v>
      </c>
      <c r="Q276" s="115">
        <v>3950</v>
      </c>
      <c r="R276">
        <v>5483</v>
      </c>
    </row>
    <row r="277" spans="1:18" x14ac:dyDescent="0.25">
      <c r="A277" s="169">
        <v>42408</v>
      </c>
      <c r="B277" s="115">
        <v>799.99</v>
      </c>
      <c r="C277" s="115">
        <v>793.3</v>
      </c>
      <c r="D277" s="115">
        <v>780</v>
      </c>
      <c r="E277" s="115">
        <v>792.2</v>
      </c>
      <c r="F277" s="115">
        <v>3966.5</v>
      </c>
      <c r="G277">
        <v>76</v>
      </c>
      <c r="H277" s="115"/>
      <c r="I277" s="115"/>
      <c r="L277" s="169">
        <v>42408</v>
      </c>
      <c r="M277" s="115">
        <v>790.04</v>
      </c>
      <c r="N277" s="115">
        <v>799</v>
      </c>
      <c r="O277" s="115">
        <v>780</v>
      </c>
      <c r="P277" s="115">
        <v>790</v>
      </c>
      <c r="Q277" s="115">
        <v>3950.2</v>
      </c>
      <c r="R277">
        <v>903</v>
      </c>
    </row>
    <row r="278" spans="1:18" x14ac:dyDescent="0.25">
      <c r="A278" s="169">
        <v>42409</v>
      </c>
      <c r="B278" s="115">
        <v>793.01</v>
      </c>
      <c r="C278" s="115">
        <v>793.01</v>
      </c>
      <c r="D278" s="115">
        <v>785.82</v>
      </c>
      <c r="E278" s="115">
        <v>785.82</v>
      </c>
      <c r="F278" s="115">
        <v>3965.05</v>
      </c>
      <c r="G278">
        <v>45</v>
      </c>
      <c r="H278" s="115"/>
      <c r="I278" s="115"/>
      <c r="L278" s="169">
        <v>42409</v>
      </c>
      <c r="M278" s="115">
        <v>797.67</v>
      </c>
      <c r="N278" s="115">
        <v>799.99</v>
      </c>
      <c r="O278" s="115">
        <v>782.22</v>
      </c>
      <c r="P278" s="115">
        <v>790</v>
      </c>
      <c r="Q278" s="115">
        <v>3988.35</v>
      </c>
      <c r="R278">
        <v>641</v>
      </c>
    </row>
    <row r="279" spans="1:18" x14ac:dyDescent="0.25">
      <c r="A279" s="169">
        <v>42410</v>
      </c>
      <c r="B279" s="115">
        <v>801.75</v>
      </c>
      <c r="C279" s="115">
        <v>796.13</v>
      </c>
      <c r="D279" s="115">
        <v>780.01</v>
      </c>
      <c r="E279" s="115">
        <v>792.31</v>
      </c>
      <c r="F279" s="115">
        <v>3980.65</v>
      </c>
      <c r="G279">
        <v>128</v>
      </c>
      <c r="H279" s="115"/>
      <c r="I279" s="115"/>
      <c r="L279" s="169">
        <v>42410</v>
      </c>
      <c r="M279" s="115">
        <v>797.51</v>
      </c>
      <c r="N279" s="115">
        <v>804.45</v>
      </c>
      <c r="O279" s="115">
        <v>786.2</v>
      </c>
      <c r="P279" s="115">
        <v>804.45</v>
      </c>
      <c r="Q279" s="115">
        <v>3987.55</v>
      </c>
      <c r="R279">
        <v>1712</v>
      </c>
    </row>
    <row r="280" spans="1:18" x14ac:dyDescent="0.25">
      <c r="A280" s="169">
        <v>42411</v>
      </c>
      <c r="B280" s="115">
        <v>788</v>
      </c>
      <c r="C280" s="115">
        <v>763.02</v>
      </c>
      <c r="D280" s="115">
        <v>760</v>
      </c>
      <c r="E280" s="115">
        <v>785.8</v>
      </c>
      <c r="F280" s="115">
        <v>3815.1</v>
      </c>
      <c r="G280">
        <v>109</v>
      </c>
      <c r="H280" s="115"/>
      <c r="I280" s="115"/>
      <c r="L280" s="169">
        <v>42411</v>
      </c>
      <c r="M280" s="115">
        <v>766.35</v>
      </c>
      <c r="N280" s="115">
        <v>799.99</v>
      </c>
      <c r="O280" s="115">
        <v>760</v>
      </c>
      <c r="P280" s="115">
        <v>797.4</v>
      </c>
      <c r="Q280" s="115">
        <v>3831.75</v>
      </c>
      <c r="R280">
        <v>2323</v>
      </c>
    </row>
    <row r="281" spans="1:18" x14ac:dyDescent="0.25">
      <c r="A281" s="169">
        <v>42412</v>
      </c>
      <c r="B281" s="115">
        <v>779</v>
      </c>
      <c r="C281" s="115">
        <v>746.6</v>
      </c>
      <c r="D281" s="115">
        <v>742</v>
      </c>
      <c r="E281" s="115">
        <v>777.19</v>
      </c>
      <c r="F281" s="115">
        <v>3733</v>
      </c>
      <c r="G281">
        <v>392</v>
      </c>
      <c r="H281" s="115"/>
      <c r="I281" s="115"/>
      <c r="L281" s="169">
        <v>42412</v>
      </c>
      <c r="M281" s="115">
        <v>752.47</v>
      </c>
      <c r="N281" s="115">
        <v>773</v>
      </c>
      <c r="O281" s="115">
        <v>740</v>
      </c>
      <c r="P281" s="115">
        <v>768.56</v>
      </c>
      <c r="Q281" s="115">
        <v>3762.35</v>
      </c>
      <c r="R281">
        <v>3701</v>
      </c>
    </row>
    <row r="282" spans="1:18" x14ac:dyDescent="0.25">
      <c r="A282" s="169">
        <v>42415</v>
      </c>
      <c r="B282" s="115">
        <v>808.82</v>
      </c>
      <c r="C282" s="115">
        <v>799.26</v>
      </c>
      <c r="D282" s="115">
        <v>770</v>
      </c>
      <c r="E282" s="115">
        <v>770</v>
      </c>
      <c r="F282" s="115">
        <v>3996.3</v>
      </c>
      <c r="G282">
        <v>183</v>
      </c>
      <c r="H282" s="115"/>
      <c r="I282" s="115"/>
      <c r="L282" s="169">
        <v>42415</v>
      </c>
      <c r="M282" s="115">
        <v>798.21</v>
      </c>
      <c r="N282" s="115">
        <v>810</v>
      </c>
      <c r="O282" s="115">
        <v>760.64</v>
      </c>
      <c r="P282" s="115">
        <v>779.8</v>
      </c>
      <c r="Q282" s="115">
        <v>3991.05</v>
      </c>
      <c r="R282">
        <v>3097</v>
      </c>
    </row>
    <row r="283" spans="1:18" x14ac:dyDescent="0.25">
      <c r="A283" s="169">
        <v>42416</v>
      </c>
      <c r="B283" s="115">
        <v>806</v>
      </c>
      <c r="C283" s="115">
        <v>800</v>
      </c>
      <c r="D283" s="115">
        <v>796</v>
      </c>
      <c r="E283" s="115">
        <v>800</v>
      </c>
      <c r="F283" s="115">
        <v>4000</v>
      </c>
      <c r="G283">
        <v>180</v>
      </c>
      <c r="H283" s="115"/>
      <c r="I283" s="115"/>
      <c r="L283" s="169">
        <v>42416</v>
      </c>
      <c r="M283" s="115">
        <v>800.68</v>
      </c>
      <c r="N283" s="115">
        <v>809.96</v>
      </c>
      <c r="O283" s="115">
        <v>797.99</v>
      </c>
      <c r="P283" s="115">
        <v>798.2</v>
      </c>
      <c r="Q283" s="115">
        <v>4003.4</v>
      </c>
      <c r="R283">
        <v>1370</v>
      </c>
    </row>
    <row r="284" spans="1:18" x14ac:dyDescent="0.25">
      <c r="A284" s="169">
        <v>42417</v>
      </c>
      <c r="B284" s="115">
        <v>819.54</v>
      </c>
      <c r="C284" s="115">
        <v>785.96</v>
      </c>
      <c r="D284" s="115">
        <v>774</v>
      </c>
      <c r="E284" s="115">
        <v>819.54</v>
      </c>
      <c r="F284" s="115">
        <v>3929.8</v>
      </c>
      <c r="G284">
        <v>309</v>
      </c>
      <c r="H284" s="115"/>
      <c r="I284" s="115"/>
      <c r="L284" s="169">
        <v>42417</v>
      </c>
      <c r="M284" s="115">
        <v>797.13</v>
      </c>
      <c r="N284" s="115">
        <v>809.99</v>
      </c>
      <c r="O284" s="115">
        <v>787.7</v>
      </c>
      <c r="P284" s="115">
        <v>809.99</v>
      </c>
      <c r="Q284" s="115">
        <v>3985.65</v>
      </c>
      <c r="R284">
        <v>790</v>
      </c>
    </row>
    <row r="285" spans="1:18" x14ac:dyDescent="0.25">
      <c r="A285" s="169">
        <v>42418</v>
      </c>
      <c r="B285" s="115">
        <v>802.2</v>
      </c>
      <c r="C285" s="115">
        <v>794.4</v>
      </c>
      <c r="D285" s="115">
        <v>778.05</v>
      </c>
      <c r="E285" s="115">
        <v>802.1</v>
      </c>
      <c r="F285" s="115">
        <v>3972</v>
      </c>
      <c r="G285">
        <v>421</v>
      </c>
      <c r="H285" s="115"/>
      <c r="I285" s="115"/>
      <c r="L285" s="169">
        <v>42418</v>
      </c>
      <c r="M285" s="115">
        <v>796.73</v>
      </c>
      <c r="N285" s="115">
        <v>811.01</v>
      </c>
      <c r="O285" s="115">
        <v>782.5</v>
      </c>
      <c r="P285" s="115">
        <v>798.39</v>
      </c>
      <c r="Q285" s="115">
        <v>3983.65</v>
      </c>
      <c r="R285">
        <v>806</v>
      </c>
    </row>
    <row r="286" spans="1:18" x14ac:dyDescent="0.25">
      <c r="A286" s="169">
        <v>42419</v>
      </c>
      <c r="B286" s="115">
        <v>794.98</v>
      </c>
      <c r="C286" s="115">
        <v>785.16</v>
      </c>
      <c r="D286" s="115">
        <v>772</v>
      </c>
      <c r="E286" s="115">
        <v>793.92</v>
      </c>
      <c r="F286" s="115">
        <v>3925.8</v>
      </c>
      <c r="G286">
        <v>77</v>
      </c>
      <c r="H286" s="115"/>
      <c r="I286" s="115"/>
      <c r="L286" s="169">
        <v>42419</v>
      </c>
      <c r="M286" s="115">
        <v>779.95</v>
      </c>
      <c r="N286" s="115">
        <v>804.01</v>
      </c>
      <c r="O286" s="115">
        <v>772</v>
      </c>
      <c r="P286" s="115">
        <v>790.99</v>
      </c>
      <c r="Q286" s="115">
        <v>3899.75</v>
      </c>
      <c r="R286">
        <v>309</v>
      </c>
    </row>
    <row r="287" spans="1:18" x14ac:dyDescent="0.25">
      <c r="A287" s="169">
        <v>42422</v>
      </c>
      <c r="B287" s="115">
        <v>800</v>
      </c>
      <c r="C287" s="115">
        <v>800</v>
      </c>
      <c r="D287" s="115">
        <v>777</v>
      </c>
      <c r="E287" s="115">
        <v>777</v>
      </c>
      <c r="F287" s="115">
        <v>4000</v>
      </c>
      <c r="G287">
        <v>11</v>
      </c>
      <c r="H287" s="115"/>
      <c r="I287" s="115"/>
      <c r="L287" s="169">
        <v>42422</v>
      </c>
      <c r="M287" s="115">
        <v>799.51</v>
      </c>
      <c r="N287" s="115">
        <v>800</v>
      </c>
      <c r="O287" s="115">
        <v>784.2</v>
      </c>
      <c r="P287" s="115">
        <v>788.24</v>
      </c>
      <c r="Q287" s="115">
        <v>3997.55</v>
      </c>
      <c r="R287">
        <v>692</v>
      </c>
    </row>
    <row r="288" spans="1:18" x14ac:dyDescent="0.25">
      <c r="A288" s="169">
        <v>42423</v>
      </c>
      <c r="B288" s="115">
        <v>802.77</v>
      </c>
      <c r="C288" s="115">
        <v>789.97</v>
      </c>
      <c r="D288" s="115">
        <v>780</v>
      </c>
      <c r="E288" s="115">
        <v>790.39</v>
      </c>
      <c r="F288" s="115">
        <v>3949.85</v>
      </c>
      <c r="G288">
        <v>40</v>
      </c>
      <c r="H288" s="115"/>
      <c r="I288" s="115"/>
      <c r="L288" s="169">
        <v>42423</v>
      </c>
      <c r="M288" s="115">
        <v>791.22</v>
      </c>
      <c r="N288" s="115">
        <v>799.8</v>
      </c>
      <c r="O288" s="115">
        <v>782.02</v>
      </c>
      <c r="P288" s="115">
        <v>799.8</v>
      </c>
      <c r="Q288" s="115">
        <v>3956.1</v>
      </c>
      <c r="R288">
        <v>181</v>
      </c>
    </row>
    <row r="289" spans="1:18" x14ac:dyDescent="0.25">
      <c r="A289" s="169">
        <v>42424</v>
      </c>
      <c r="B289" s="115">
        <v>790</v>
      </c>
      <c r="C289" s="115">
        <v>775.73</v>
      </c>
      <c r="D289" s="115">
        <v>763.69</v>
      </c>
      <c r="E289" s="115">
        <v>787.53</v>
      </c>
      <c r="F289" s="115">
        <v>3878.65</v>
      </c>
      <c r="G289">
        <v>178</v>
      </c>
      <c r="H289" s="115"/>
      <c r="I289" s="115"/>
      <c r="L289" s="169">
        <v>42424</v>
      </c>
      <c r="M289" s="115">
        <v>777</v>
      </c>
      <c r="N289" s="115">
        <v>794.95</v>
      </c>
      <c r="O289" s="115">
        <v>764.2</v>
      </c>
      <c r="P289" s="115">
        <v>794.95</v>
      </c>
      <c r="Q289" s="115">
        <v>3885</v>
      </c>
      <c r="R289">
        <v>2217</v>
      </c>
    </row>
    <row r="290" spans="1:18" x14ac:dyDescent="0.25">
      <c r="A290" s="169">
        <v>42425</v>
      </c>
      <c r="B290" s="115">
        <v>795</v>
      </c>
      <c r="C290" s="115">
        <v>772.58</v>
      </c>
      <c r="D290" s="115">
        <v>769</v>
      </c>
      <c r="E290" s="115">
        <v>780</v>
      </c>
      <c r="F290" s="115">
        <v>3862.9</v>
      </c>
      <c r="G290">
        <v>41</v>
      </c>
      <c r="H290" s="115"/>
      <c r="I290" s="115"/>
      <c r="L290" s="169">
        <v>42425</v>
      </c>
      <c r="M290" s="115">
        <v>775.43</v>
      </c>
      <c r="N290" s="115">
        <v>800.8</v>
      </c>
      <c r="O290" s="115">
        <v>771.2</v>
      </c>
      <c r="P290" s="115">
        <v>789.36</v>
      </c>
      <c r="Q290" s="115">
        <v>3877.15</v>
      </c>
      <c r="R290">
        <v>2354</v>
      </c>
    </row>
    <row r="291" spans="1:18" x14ac:dyDescent="0.25">
      <c r="A291" s="169">
        <v>42426</v>
      </c>
      <c r="B291" s="115">
        <v>777.8</v>
      </c>
      <c r="C291" s="115">
        <v>777.08</v>
      </c>
      <c r="D291" s="115">
        <v>777.08</v>
      </c>
      <c r="E291" s="115">
        <v>777.8</v>
      </c>
      <c r="F291" s="115">
        <v>3885.4</v>
      </c>
      <c r="G291">
        <v>35</v>
      </c>
      <c r="H291" s="115"/>
      <c r="I291" s="115"/>
      <c r="L291" s="169">
        <v>42426</v>
      </c>
      <c r="M291" s="115">
        <v>765.8</v>
      </c>
      <c r="N291" s="115">
        <v>785.63</v>
      </c>
      <c r="O291" s="115">
        <v>760.74</v>
      </c>
      <c r="P291" s="115">
        <v>785.63</v>
      </c>
      <c r="Q291" s="115">
        <v>3829</v>
      </c>
      <c r="R291">
        <v>441</v>
      </c>
    </row>
    <row r="292" spans="1:18" x14ac:dyDescent="0.25">
      <c r="A292" s="169">
        <v>42429</v>
      </c>
      <c r="B292" s="115">
        <v>771.74</v>
      </c>
      <c r="C292" s="115">
        <v>761.25</v>
      </c>
      <c r="D292" s="115">
        <v>758.94</v>
      </c>
      <c r="E292" s="115">
        <v>764</v>
      </c>
      <c r="F292" s="115">
        <v>3806.25</v>
      </c>
      <c r="G292">
        <v>29</v>
      </c>
      <c r="H292" s="115"/>
      <c r="I292" s="115"/>
      <c r="L292" s="169">
        <v>42429</v>
      </c>
      <c r="M292" s="115">
        <v>760.39</v>
      </c>
      <c r="N292" s="115">
        <v>775.8</v>
      </c>
      <c r="O292" s="115">
        <v>752.4</v>
      </c>
      <c r="P292" s="115">
        <v>767.8</v>
      </c>
      <c r="Q292" s="115">
        <v>3801.95</v>
      </c>
      <c r="R292">
        <v>744</v>
      </c>
    </row>
    <row r="293" spans="1:18" x14ac:dyDescent="0.25">
      <c r="A293" s="169">
        <v>42430</v>
      </c>
      <c r="B293" s="115">
        <v>788</v>
      </c>
      <c r="C293" s="115">
        <v>785</v>
      </c>
      <c r="D293" s="115">
        <v>776.8</v>
      </c>
      <c r="E293" s="115">
        <v>776.8</v>
      </c>
      <c r="F293" s="115">
        <v>3925</v>
      </c>
      <c r="G293">
        <v>11856</v>
      </c>
      <c r="H293" s="115"/>
      <c r="I293" s="115"/>
      <c r="L293" s="169">
        <v>42430</v>
      </c>
      <c r="M293" s="115">
        <v>781.86</v>
      </c>
      <c r="N293" s="115">
        <v>784.8</v>
      </c>
      <c r="O293" s="115">
        <v>767.07</v>
      </c>
      <c r="P293" s="115">
        <v>775</v>
      </c>
      <c r="Q293" s="115">
        <v>3909.3</v>
      </c>
      <c r="R293">
        <v>809</v>
      </c>
    </row>
    <row r="294" spans="1:18" x14ac:dyDescent="0.25">
      <c r="A294" s="169">
        <v>42431</v>
      </c>
      <c r="B294" s="115">
        <v>785</v>
      </c>
      <c r="C294" s="115">
        <v>765.9</v>
      </c>
      <c r="D294" s="115">
        <v>761.1</v>
      </c>
      <c r="E294" s="115">
        <v>785</v>
      </c>
      <c r="F294" s="115">
        <v>3829.5</v>
      </c>
      <c r="G294">
        <v>33</v>
      </c>
      <c r="H294" s="115"/>
      <c r="I294" s="115"/>
      <c r="L294" s="169">
        <v>42431</v>
      </c>
      <c r="M294" s="115">
        <v>763.8</v>
      </c>
      <c r="N294" s="115">
        <v>787.99</v>
      </c>
      <c r="O294" s="115">
        <v>758</v>
      </c>
      <c r="P294" s="115">
        <v>771.6</v>
      </c>
      <c r="Q294" s="115">
        <v>3819</v>
      </c>
      <c r="R294">
        <v>1136</v>
      </c>
    </row>
    <row r="295" spans="1:18" x14ac:dyDescent="0.25">
      <c r="A295" s="169">
        <v>42432</v>
      </c>
      <c r="B295" s="115">
        <v>787</v>
      </c>
      <c r="C295" s="115">
        <v>781.8</v>
      </c>
      <c r="D295" s="115">
        <v>768</v>
      </c>
      <c r="E295" s="115">
        <v>768</v>
      </c>
      <c r="F295" s="115">
        <v>3909</v>
      </c>
      <c r="G295">
        <v>300</v>
      </c>
      <c r="H295" s="115"/>
      <c r="I295" s="115"/>
      <c r="L295" s="169">
        <v>42432</v>
      </c>
      <c r="M295" s="115">
        <v>780.24</v>
      </c>
      <c r="N295" s="115">
        <v>789.8</v>
      </c>
      <c r="O295" s="115">
        <v>760</v>
      </c>
      <c r="P295" s="115">
        <v>778</v>
      </c>
      <c r="Q295" s="115">
        <v>3901.2</v>
      </c>
      <c r="R295">
        <v>2769</v>
      </c>
    </row>
    <row r="296" spans="1:18" x14ac:dyDescent="0.25">
      <c r="A296" s="169">
        <v>42433</v>
      </c>
      <c r="B296" s="115">
        <v>791.2</v>
      </c>
      <c r="C296" s="115">
        <v>777.92</v>
      </c>
      <c r="D296" s="115">
        <v>775.4</v>
      </c>
      <c r="E296" s="115">
        <v>790.15</v>
      </c>
      <c r="F296" s="115">
        <v>3889.6</v>
      </c>
      <c r="G296">
        <v>35</v>
      </c>
      <c r="H296" s="115"/>
      <c r="I296" s="115"/>
      <c r="L296" s="169">
        <v>42433</v>
      </c>
      <c r="M296" s="115">
        <v>778.83</v>
      </c>
      <c r="N296" s="115">
        <v>795</v>
      </c>
      <c r="O296" s="115">
        <v>776</v>
      </c>
      <c r="P296" s="115">
        <v>780</v>
      </c>
      <c r="Q296" s="115">
        <v>3894.15</v>
      </c>
      <c r="R296">
        <v>4041</v>
      </c>
    </row>
    <row r="297" spans="1:18" x14ac:dyDescent="0.25">
      <c r="A297" s="169">
        <v>42437</v>
      </c>
      <c r="B297" s="115">
        <v>790.8</v>
      </c>
      <c r="C297" s="115">
        <v>776.49</v>
      </c>
      <c r="D297" s="115">
        <v>770</v>
      </c>
      <c r="E297" s="115">
        <v>782.01</v>
      </c>
      <c r="F297" s="115">
        <v>3882.45</v>
      </c>
      <c r="G297">
        <v>939</v>
      </c>
      <c r="H297" s="115"/>
      <c r="I297" s="115"/>
      <c r="L297" s="169">
        <v>42437</v>
      </c>
      <c r="M297" s="115">
        <v>779.98</v>
      </c>
      <c r="N297" s="115">
        <v>794.8</v>
      </c>
      <c r="O297" s="115">
        <v>771.13</v>
      </c>
      <c r="P297" s="115">
        <v>794.8</v>
      </c>
      <c r="Q297" s="115">
        <v>3899.9</v>
      </c>
      <c r="R297">
        <v>3242</v>
      </c>
    </row>
    <row r="298" spans="1:18" x14ac:dyDescent="0.25">
      <c r="A298" s="169">
        <v>42438</v>
      </c>
      <c r="B298" s="115">
        <v>787.32</v>
      </c>
      <c r="C298" s="115">
        <v>779.92</v>
      </c>
      <c r="D298" s="115">
        <v>768</v>
      </c>
      <c r="E298" s="115">
        <v>778</v>
      </c>
      <c r="F298" s="115">
        <v>3899.6</v>
      </c>
      <c r="G298">
        <v>1501</v>
      </c>
      <c r="H298" s="115"/>
      <c r="I298" s="115"/>
      <c r="L298" s="169">
        <v>42438</v>
      </c>
      <c r="M298" s="115">
        <v>780.07</v>
      </c>
      <c r="N298" s="115">
        <v>786</v>
      </c>
      <c r="O298" s="115">
        <v>776</v>
      </c>
      <c r="P298" s="115">
        <v>786</v>
      </c>
      <c r="Q298" s="115">
        <v>3900.35</v>
      </c>
      <c r="R298">
        <v>1460</v>
      </c>
    </row>
    <row r="299" spans="1:18" x14ac:dyDescent="0.25">
      <c r="A299" s="169">
        <v>42439</v>
      </c>
      <c r="B299" s="115">
        <v>783.8</v>
      </c>
      <c r="C299" s="115">
        <v>770.51</v>
      </c>
      <c r="D299" s="115">
        <v>764.11</v>
      </c>
      <c r="E299" s="115">
        <v>780</v>
      </c>
      <c r="F299" s="115">
        <v>3852.55</v>
      </c>
      <c r="G299">
        <v>50</v>
      </c>
      <c r="H299" s="115"/>
      <c r="I299" s="115"/>
      <c r="L299" s="169">
        <v>42439</v>
      </c>
      <c r="M299" s="115">
        <v>769.97</v>
      </c>
      <c r="N299" s="115">
        <v>795</v>
      </c>
      <c r="O299" s="115">
        <v>767</v>
      </c>
      <c r="P299" s="115">
        <v>795</v>
      </c>
      <c r="Q299" s="115">
        <v>3849.85</v>
      </c>
      <c r="R299">
        <v>843</v>
      </c>
    </row>
    <row r="300" spans="1:18" x14ac:dyDescent="0.25">
      <c r="A300" s="169">
        <v>42440</v>
      </c>
      <c r="B300" s="115">
        <v>777.69</v>
      </c>
      <c r="C300" s="115">
        <v>768.26</v>
      </c>
      <c r="D300" s="115">
        <v>764</v>
      </c>
      <c r="E300" s="115">
        <v>768.2</v>
      </c>
      <c r="F300" s="115">
        <v>3841.3</v>
      </c>
      <c r="G300">
        <v>35</v>
      </c>
      <c r="H300" s="115"/>
      <c r="I300" s="115"/>
      <c r="L300" s="169">
        <v>42440</v>
      </c>
      <c r="M300" s="115">
        <v>766.44</v>
      </c>
      <c r="N300" s="115">
        <v>778.98</v>
      </c>
      <c r="O300" s="115">
        <v>762</v>
      </c>
      <c r="P300" s="115">
        <v>767.2</v>
      </c>
      <c r="Q300" s="115">
        <v>3832.2</v>
      </c>
      <c r="R300">
        <v>524</v>
      </c>
    </row>
    <row r="301" spans="1:18" x14ac:dyDescent="0.25">
      <c r="A301" s="169">
        <v>42443</v>
      </c>
      <c r="B301" s="115">
        <v>780.78</v>
      </c>
      <c r="C301" s="115">
        <v>772.7</v>
      </c>
      <c r="D301" s="115">
        <v>766.02</v>
      </c>
      <c r="E301" s="115">
        <v>779.32</v>
      </c>
      <c r="F301" s="115">
        <v>3863.5</v>
      </c>
      <c r="G301">
        <v>89</v>
      </c>
      <c r="H301" s="115"/>
      <c r="I301" s="115"/>
      <c r="L301" s="169">
        <v>42443</v>
      </c>
      <c r="M301" s="115">
        <v>770.17</v>
      </c>
      <c r="N301" s="115">
        <v>779.8</v>
      </c>
      <c r="O301" s="115">
        <v>762</v>
      </c>
      <c r="P301" s="115">
        <v>766.44</v>
      </c>
      <c r="Q301" s="115">
        <v>3850.85</v>
      </c>
      <c r="R301">
        <v>1074</v>
      </c>
    </row>
    <row r="302" spans="1:18" x14ac:dyDescent="0.25">
      <c r="A302" s="169">
        <v>42444</v>
      </c>
      <c r="B302" s="115">
        <v>785</v>
      </c>
      <c r="C302" s="115">
        <v>765.11</v>
      </c>
      <c r="D302" s="115">
        <v>762.4</v>
      </c>
      <c r="E302" s="115">
        <v>773.99</v>
      </c>
      <c r="F302" s="115">
        <v>3825.55</v>
      </c>
      <c r="G302">
        <v>110</v>
      </c>
      <c r="H302" s="115"/>
      <c r="I302" s="115"/>
      <c r="L302" s="169">
        <v>42444</v>
      </c>
      <c r="M302" s="115">
        <v>765.73</v>
      </c>
      <c r="N302" s="115">
        <v>773.6</v>
      </c>
      <c r="O302" s="115">
        <v>762.22</v>
      </c>
      <c r="P302" s="115">
        <v>763.48</v>
      </c>
      <c r="Q302" s="115">
        <v>3828.65</v>
      </c>
      <c r="R302">
        <v>720</v>
      </c>
    </row>
    <row r="303" spans="1:18" x14ac:dyDescent="0.25">
      <c r="A303" s="169">
        <v>42445</v>
      </c>
      <c r="B303" s="115">
        <v>773.57</v>
      </c>
      <c r="C303" s="115">
        <v>763.41</v>
      </c>
      <c r="D303" s="115">
        <v>760.2</v>
      </c>
      <c r="E303" s="115">
        <v>773.57</v>
      </c>
      <c r="F303" s="115">
        <v>3817.05</v>
      </c>
      <c r="G303">
        <v>15</v>
      </c>
      <c r="H303" s="115"/>
      <c r="I303" s="115"/>
      <c r="L303" s="169">
        <v>42445</v>
      </c>
      <c r="M303" s="115">
        <v>760.24</v>
      </c>
      <c r="N303" s="115">
        <v>769.57</v>
      </c>
      <c r="O303" s="115">
        <v>757.8</v>
      </c>
      <c r="P303" s="115">
        <v>764.61</v>
      </c>
      <c r="Q303" s="115">
        <v>3801.2</v>
      </c>
      <c r="R303">
        <v>740</v>
      </c>
    </row>
    <row r="304" spans="1:18" x14ac:dyDescent="0.25">
      <c r="A304" s="169">
        <v>42446</v>
      </c>
      <c r="B304" s="115">
        <v>769</v>
      </c>
      <c r="C304" s="115">
        <v>762.13</v>
      </c>
      <c r="D304" s="115">
        <v>760.2</v>
      </c>
      <c r="E304" s="115">
        <v>764</v>
      </c>
      <c r="F304" s="115">
        <v>3810.65</v>
      </c>
      <c r="G304">
        <v>41</v>
      </c>
      <c r="H304" s="115"/>
      <c r="I304" s="115"/>
      <c r="L304" s="169">
        <v>42446</v>
      </c>
      <c r="M304" s="115">
        <v>760.69</v>
      </c>
      <c r="N304" s="115">
        <v>773.71</v>
      </c>
      <c r="O304" s="115">
        <v>757.81</v>
      </c>
      <c r="P304" s="115">
        <v>762.2</v>
      </c>
      <c r="Q304" s="115">
        <v>3803.45</v>
      </c>
      <c r="R304">
        <v>837</v>
      </c>
    </row>
    <row r="305" spans="1:18" x14ac:dyDescent="0.25">
      <c r="A305" s="169">
        <v>42447</v>
      </c>
      <c r="B305" s="115">
        <v>777.98</v>
      </c>
      <c r="C305" s="115">
        <v>776</v>
      </c>
      <c r="D305" s="115">
        <v>770</v>
      </c>
      <c r="E305" s="115">
        <v>775.8</v>
      </c>
      <c r="F305" s="115">
        <v>3880</v>
      </c>
      <c r="G305">
        <v>764</v>
      </c>
      <c r="H305" s="115"/>
      <c r="I305" s="115"/>
      <c r="L305" s="169">
        <v>42447</v>
      </c>
      <c r="M305" s="115">
        <v>773.14</v>
      </c>
      <c r="N305" s="115">
        <v>778</v>
      </c>
      <c r="O305" s="115">
        <v>761</v>
      </c>
      <c r="P305" s="115">
        <v>763.89</v>
      </c>
      <c r="Q305" s="115">
        <v>3865.7</v>
      </c>
      <c r="R305">
        <v>413</v>
      </c>
    </row>
    <row r="306" spans="1:18" x14ac:dyDescent="0.25">
      <c r="A306" s="169">
        <v>42450</v>
      </c>
      <c r="B306" s="115">
        <v>782.49</v>
      </c>
      <c r="C306" s="115">
        <v>771.86</v>
      </c>
      <c r="D306" s="115">
        <v>770</v>
      </c>
      <c r="E306" s="115">
        <v>782.49</v>
      </c>
      <c r="F306" s="115">
        <v>3859.3</v>
      </c>
      <c r="G306">
        <v>35</v>
      </c>
      <c r="H306" s="115"/>
      <c r="I306" s="115"/>
      <c r="L306" s="169">
        <v>42450</v>
      </c>
      <c r="M306" s="115">
        <v>772.59</v>
      </c>
      <c r="N306" s="115">
        <v>779.51</v>
      </c>
      <c r="O306" s="115">
        <v>768.41</v>
      </c>
      <c r="P306" s="115">
        <v>779.51</v>
      </c>
      <c r="Q306" s="115">
        <v>3862.95</v>
      </c>
      <c r="R306">
        <v>719</v>
      </c>
    </row>
    <row r="307" spans="1:18" x14ac:dyDescent="0.25">
      <c r="A307" s="169">
        <v>42451</v>
      </c>
      <c r="B307" s="115">
        <v>784</v>
      </c>
      <c r="C307" s="115">
        <v>771.75</v>
      </c>
      <c r="D307" s="115">
        <v>770</v>
      </c>
      <c r="E307" s="115">
        <v>780</v>
      </c>
      <c r="F307" s="115">
        <v>3858.75</v>
      </c>
      <c r="G307">
        <v>125</v>
      </c>
      <c r="H307" s="115"/>
      <c r="I307" s="115"/>
      <c r="L307" s="169">
        <v>42451</v>
      </c>
      <c r="M307" s="115">
        <v>769.92</v>
      </c>
      <c r="N307" s="115">
        <v>783.95</v>
      </c>
      <c r="O307" s="115">
        <v>766.2</v>
      </c>
      <c r="P307" s="115">
        <v>780</v>
      </c>
      <c r="Q307" s="115">
        <v>3849.6</v>
      </c>
      <c r="R307">
        <v>11784</v>
      </c>
    </row>
    <row r="308" spans="1:18" x14ac:dyDescent="0.25">
      <c r="A308" s="169">
        <v>42452</v>
      </c>
      <c r="B308" s="115">
        <v>769</v>
      </c>
      <c r="C308" s="115">
        <v>765.49</v>
      </c>
      <c r="D308" s="115">
        <v>755.45</v>
      </c>
      <c r="E308" s="115">
        <v>764.4</v>
      </c>
      <c r="F308" s="115">
        <v>3827.45</v>
      </c>
      <c r="G308">
        <v>147</v>
      </c>
      <c r="H308" s="115"/>
      <c r="I308" s="115"/>
      <c r="L308" s="169">
        <v>42452</v>
      </c>
      <c r="M308" s="115">
        <v>759.79</v>
      </c>
      <c r="N308" s="115">
        <v>776.77</v>
      </c>
      <c r="O308" s="115">
        <v>758.4</v>
      </c>
      <c r="P308" s="115">
        <v>772.29</v>
      </c>
      <c r="Q308" s="115">
        <v>3798.95</v>
      </c>
      <c r="R308">
        <v>12100</v>
      </c>
    </row>
    <row r="309" spans="1:18" x14ac:dyDescent="0.25">
      <c r="A309" s="169">
        <v>42457</v>
      </c>
      <c r="B309" s="115">
        <v>769</v>
      </c>
      <c r="C309" s="115">
        <v>757.61</v>
      </c>
      <c r="D309" s="115">
        <v>752.21</v>
      </c>
      <c r="E309" s="115">
        <v>769</v>
      </c>
      <c r="F309" s="115">
        <v>3788.05</v>
      </c>
      <c r="G309">
        <v>45</v>
      </c>
      <c r="H309" s="115"/>
      <c r="I309" s="115"/>
      <c r="L309" s="169">
        <v>42457</v>
      </c>
      <c r="M309" s="115">
        <v>755.71</v>
      </c>
      <c r="N309" s="115">
        <v>767.99</v>
      </c>
      <c r="O309" s="115">
        <v>750.02</v>
      </c>
      <c r="P309" s="115">
        <v>767.99</v>
      </c>
      <c r="Q309" s="115">
        <v>3778.55</v>
      </c>
      <c r="R309">
        <v>4481</v>
      </c>
    </row>
    <row r="310" spans="1:18" x14ac:dyDescent="0.25">
      <c r="A310" s="169">
        <v>42458</v>
      </c>
      <c r="B310" s="115">
        <v>780</v>
      </c>
      <c r="C310" s="115">
        <v>759.17</v>
      </c>
      <c r="D310" s="115">
        <v>741.3</v>
      </c>
      <c r="E310" s="115">
        <v>769.9</v>
      </c>
      <c r="F310" s="115">
        <v>3795.85</v>
      </c>
      <c r="G310">
        <v>113</v>
      </c>
      <c r="H310" s="115"/>
      <c r="I310" s="115"/>
      <c r="L310" s="169">
        <v>42458</v>
      </c>
      <c r="M310" s="115">
        <v>757.68</v>
      </c>
      <c r="N310" s="115">
        <v>767.51</v>
      </c>
      <c r="O310" s="115">
        <v>750.3</v>
      </c>
      <c r="P310" s="115">
        <v>767.51</v>
      </c>
      <c r="Q310" s="115">
        <v>3788.4</v>
      </c>
      <c r="R310">
        <v>6873</v>
      </c>
    </row>
    <row r="311" spans="1:18" x14ac:dyDescent="0.25">
      <c r="A311" s="169">
        <v>42459</v>
      </c>
      <c r="B311" s="115">
        <v>769.6</v>
      </c>
      <c r="C311" s="115">
        <v>759.77</v>
      </c>
      <c r="D311" s="115">
        <v>754</v>
      </c>
      <c r="E311" s="115">
        <v>754</v>
      </c>
      <c r="F311" s="115">
        <v>3798.85</v>
      </c>
      <c r="G311">
        <v>77</v>
      </c>
      <c r="H311" s="115"/>
      <c r="I311" s="115"/>
      <c r="L311" s="169">
        <v>42459</v>
      </c>
      <c r="M311" s="115">
        <v>756.9</v>
      </c>
      <c r="N311" s="115">
        <v>772</v>
      </c>
      <c r="O311" s="115">
        <v>748</v>
      </c>
      <c r="P311" s="115">
        <v>768</v>
      </c>
      <c r="Q311" s="115">
        <v>3784.5</v>
      </c>
      <c r="R311">
        <v>9255</v>
      </c>
    </row>
    <row r="312" spans="1:18" x14ac:dyDescent="0.25">
      <c r="A312" s="169">
        <v>42460</v>
      </c>
      <c r="B312" s="115">
        <v>780</v>
      </c>
      <c r="C312" s="115">
        <v>764.09</v>
      </c>
      <c r="D312" s="115">
        <v>757</v>
      </c>
      <c r="E312" s="115">
        <v>780</v>
      </c>
      <c r="F312" s="115">
        <v>3820.45</v>
      </c>
      <c r="G312">
        <v>917</v>
      </c>
      <c r="H312" s="115"/>
      <c r="I312" s="115"/>
      <c r="L312" s="169">
        <v>42460</v>
      </c>
      <c r="M312" s="115">
        <v>759.56</v>
      </c>
      <c r="N312" s="115">
        <v>769.8</v>
      </c>
      <c r="O312" s="115">
        <v>754.44</v>
      </c>
      <c r="P312" s="115">
        <v>769.8</v>
      </c>
      <c r="Q312" s="115">
        <v>3797.8</v>
      </c>
      <c r="R312">
        <v>52316</v>
      </c>
    </row>
    <row r="313" spans="1:18" x14ac:dyDescent="0.25">
      <c r="A313" s="169">
        <v>42461</v>
      </c>
      <c r="B313" s="115">
        <v>767.6</v>
      </c>
      <c r="C313" s="115">
        <v>767.07</v>
      </c>
      <c r="D313" s="115">
        <v>754</v>
      </c>
      <c r="E313" s="115">
        <v>756</v>
      </c>
      <c r="F313" s="115">
        <v>3835.35</v>
      </c>
      <c r="G313">
        <v>32</v>
      </c>
      <c r="H313" s="115"/>
      <c r="I313" s="115"/>
      <c r="L313" s="169">
        <v>42461</v>
      </c>
      <c r="M313" s="115">
        <v>764.4</v>
      </c>
      <c r="N313" s="115">
        <v>765.8</v>
      </c>
      <c r="O313" s="115">
        <v>752.68</v>
      </c>
      <c r="P313" s="115">
        <v>759.4</v>
      </c>
      <c r="Q313" s="115">
        <v>3822</v>
      </c>
      <c r="R313">
        <v>93</v>
      </c>
    </row>
    <row r="314" spans="1:18" x14ac:dyDescent="0.25">
      <c r="A314" s="169">
        <v>42464</v>
      </c>
      <c r="B314" s="115">
        <v>770</v>
      </c>
      <c r="C314" s="115">
        <v>764</v>
      </c>
      <c r="D314" s="115">
        <v>758.02</v>
      </c>
      <c r="E314" s="115">
        <v>762.2</v>
      </c>
      <c r="F314" s="115">
        <v>3820</v>
      </c>
      <c r="G314">
        <v>95</v>
      </c>
      <c r="H314" s="115"/>
      <c r="I314" s="115"/>
      <c r="L314" s="169">
        <v>42464</v>
      </c>
      <c r="M314" s="115">
        <v>763.53</v>
      </c>
      <c r="N314" s="115">
        <v>771.99</v>
      </c>
      <c r="O314" s="115">
        <v>760.02</v>
      </c>
      <c r="P314" s="115">
        <v>771.99</v>
      </c>
      <c r="Q314" s="115">
        <v>3817.65</v>
      </c>
      <c r="R314">
        <v>539</v>
      </c>
    </row>
    <row r="315" spans="1:18" x14ac:dyDescent="0.25">
      <c r="A315" s="169">
        <v>42465</v>
      </c>
      <c r="B315" s="115">
        <v>782.71</v>
      </c>
      <c r="C315" s="115">
        <v>774.97</v>
      </c>
      <c r="D315" s="115">
        <v>767.6</v>
      </c>
      <c r="E315" s="115">
        <v>767.6</v>
      </c>
      <c r="F315" s="115">
        <v>3874.85</v>
      </c>
      <c r="G315">
        <v>42</v>
      </c>
      <c r="H315" s="115"/>
      <c r="I315" s="115"/>
      <c r="L315" s="169">
        <v>42465</v>
      </c>
      <c r="M315" s="115">
        <v>776.06</v>
      </c>
      <c r="N315" s="115">
        <v>784.9</v>
      </c>
      <c r="O315" s="115">
        <v>758.02</v>
      </c>
      <c r="P315" s="115">
        <v>761.28</v>
      </c>
      <c r="Q315" s="115">
        <v>3880.3</v>
      </c>
      <c r="R315">
        <v>1162</v>
      </c>
    </row>
    <row r="316" spans="1:18" x14ac:dyDescent="0.25">
      <c r="A316" s="169">
        <v>42466</v>
      </c>
      <c r="B316" s="115">
        <v>789.2</v>
      </c>
      <c r="C316" s="115">
        <v>772.43</v>
      </c>
      <c r="D316" s="115">
        <v>767.6</v>
      </c>
      <c r="E316" s="115">
        <v>780</v>
      </c>
      <c r="F316" s="115">
        <v>3862.15</v>
      </c>
      <c r="G316">
        <v>96</v>
      </c>
      <c r="H316" s="115"/>
      <c r="I316" s="115"/>
      <c r="L316" s="169">
        <v>42466</v>
      </c>
      <c r="M316" s="115">
        <v>770.89</v>
      </c>
      <c r="N316" s="115">
        <v>788.79</v>
      </c>
      <c r="O316" s="115">
        <v>760.01</v>
      </c>
      <c r="P316" s="115">
        <v>780</v>
      </c>
      <c r="Q316" s="115">
        <v>3854.45</v>
      </c>
      <c r="R316">
        <v>3731</v>
      </c>
    </row>
    <row r="317" spans="1:18" x14ac:dyDescent="0.25">
      <c r="A317" s="169">
        <v>42467</v>
      </c>
      <c r="B317" s="115">
        <v>784.98</v>
      </c>
      <c r="C317" s="115">
        <v>781.2</v>
      </c>
      <c r="D317" s="115">
        <v>781.2</v>
      </c>
      <c r="E317" s="115">
        <v>784</v>
      </c>
      <c r="F317" s="115">
        <v>3906</v>
      </c>
      <c r="G317">
        <v>11</v>
      </c>
      <c r="H317" s="115"/>
      <c r="I317" s="115"/>
      <c r="L317" s="169">
        <v>42467</v>
      </c>
      <c r="M317" s="115">
        <v>780.09</v>
      </c>
      <c r="N317" s="115">
        <v>790</v>
      </c>
      <c r="O317" s="115">
        <v>767.81</v>
      </c>
      <c r="P317" s="115">
        <v>787.8</v>
      </c>
      <c r="Q317" s="115">
        <v>3900.45</v>
      </c>
      <c r="R317">
        <v>1055</v>
      </c>
    </row>
    <row r="318" spans="1:18" x14ac:dyDescent="0.25">
      <c r="A318" s="169">
        <v>42468</v>
      </c>
      <c r="B318" s="115">
        <v>798</v>
      </c>
      <c r="C318" s="115">
        <v>795.27</v>
      </c>
      <c r="D318" s="115">
        <v>780</v>
      </c>
      <c r="E318" s="115">
        <v>780</v>
      </c>
      <c r="F318" s="115">
        <v>3976.35</v>
      </c>
      <c r="G318">
        <v>117</v>
      </c>
      <c r="H318" s="115"/>
      <c r="I318" s="115"/>
      <c r="L318" s="169">
        <v>42468</v>
      </c>
      <c r="M318" s="115">
        <v>793.33</v>
      </c>
      <c r="N318" s="115">
        <v>795</v>
      </c>
      <c r="O318" s="115">
        <v>780</v>
      </c>
      <c r="P318" s="115">
        <v>780.4</v>
      </c>
      <c r="Q318" s="115">
        <v>3966.65</v>
      </c>
      <c r="R318">
        <v>9615</v>
      </c>
    </row>
    <row r="319" spans="1:18" x14ac:dyDescent="0.25">
      <c r="A319" s="169">
        <v>42471</v>
      </c>
      <c r="B319" s="115">
        <v>809.89</v>
      </c>
      <c r="C319" s="115">
        <v>797.09</v>
      </c>
      <c r="D319" s="115">
        <v>794</v>
      </c>
      <c r="E319" s="115">
        <v>800</v>
      </c>
      <c r="F319" s="115">
        <v>3985.45</v>
      </c>
      <c r="G319">
        <v>68</v>
      </c>
      <c r="H319" s="115"/>
      <c r="I319" s="115"/>
      <c r="L319" s="169">
        <v>42471</v>
      </c>
      <c r="M319" s="115">
        <v>799.03</v>
      </c>
      <c r="N319" s="115">
        <v>807.6</v>
      </c>
      <c r="O319" s="115">
        <v>795.11</v>
      </c>
      <c r="P319" s="115">
        <v>799.8</v>
      </c>
      <c r="Q319" s="115">
        <v>3995.15</v>
      </c>
      <c r="R319">
        <v>679</v>
      </c>
    </row>
    <row r="320" spans="1:18" x14ac:dyDescent="0.25">
      <c r="A320" s="169">
        <v>42472</v>
      </c>
      <c r="B320" s="115">
        <v>809.99</v>
      </c>
      <c r="C320" s="115">
        <v>801.6</v>
      </c>
      <c r="D320" s="115">
        <v>801.6</v>
      </c>
      <c r="E320" s="115">
        <v>808</v>
      </c>
      <c r="F320" s="115">
        <v>4008</v>
      </c>
      <c r="G320">
        <v>81</v>
      </c>
      <c r="H320" s="115"/>
      <c r="I320" s="115"/>
      <c r="L320" s="169">
        <v>42472</v>
      </c>
      <c r="M320" s="115">
        <v>804.46</v>
      </c>
      <c r="N320" s="115">
        <v>807.19</v>
      </c>
      <c r="O320" s="115">
        <v>800</v>
      </c>
      <c r="P320" s="115">
        <v>800</v>
      </c>
      <c r="Q320" s="115">
        <v>4022.3</v>
      </c>
      <c r="R320">
        <v>236</v>
      </c>
    </row>
    <row r="321" spans="1:18" x14ac:dyDescent="0.25">
      <c r="A321" s="169">
        <v>42473</v>
      </c>
      <c r="B321" s="115">
        <v>804</v>
      </c>
      <c r="C321" s="115">
        <v>798.33</v>
      </c>
      <c r="D321" s="115">
        <v>797.21</v>
      </c>
      <c r="E321" s="115">
        <v>804</v>
      </c>
      <c r="F321" s="115">
        <v>3991.65</v>
      </c>
      <c r="G321">
        <v>81</v>
      </c>
      <c r="H321" s="115"/>
      <c r="I321" s="115"/>
      <c r="L321" s="169">
        <v>42473</v>
      </c>
      <c r="M321" s="115">
        <v>799.09</v>
      </c>
      <c r="N321" s="115">
        <v>807</v>
      </c>
      <c r="O321" s="115">
        <v>793.04</v>
      </c>
      <c r="P321" s="115">
        <v>805</v>
      </c>
      <c r="Q321" s="115">
        <v>3995.45</v>
      </c>
      <c r="R321">
        <v>1086</v>
      </c>
    </row>
    <row r="322" spans="1:18" x14ac:dyDescent="0.25">
      <c r="A322" s="169">
        <v>42478</v>
      </c>
      <c r="B322" s="115">
        <v>804</v>
      </c>
      <c r="C322" s="115">
        <v>787.1</v>
      </c>
      <c r="D322" s="115">
        <v>782.4</v>
      </c>
      <c r="E322" s="115">
        <v>804</v>
      </c>
      <c r="F322" s="115">
        <v>3935.5</v>
      </c>
      <c r="G322">
        <v>7192</v>
      </c>
      <c r="H322" s="115"/>
      <c r="I322" s="115"/>
      <c r="L322" s="169">
        <v>42478</v>
      </c>
      <c r="M322" s="115">
        <v>790.24</v>
      </c>
      <c r="N322" s="115">
        <v>809.8</v>
      </c>
      <c r="O322" s="115">
        <v>784.01</v>
      </c>
      <c r="P322" s="115">
        <v>804.6</v>
      </c>
      <c r="Q322" s="115">
        <v>3951.2</v>
      </c>
      <c r="R322">
        <v>5131</v>
      </c>
    </row>
    <row r="323" spans="1:18" x14ac:dyDescent="0.25">
      <c r="A323" s="169">
        <v>42480</v>
      </c>
      <c r="B323" s="115">
        <v>844</v>
      </c>
      <c r="C323" s="115">
        <v>831.3</v>
      </c>
      <c r="D323" s="115">
        <v>793</v>
      </c>
      <c r="E323" s="115">
        <v>796</v>
      </c>
      <c r="F323" s="115">
        <v>4156.5</v>
      </c>
      <c r="G323">
        <v>540</v>
      </c>
      <c r="H323" s="115"/>
      <c r="I323" s="115"/>
      <c r="L323" s="169">
        <v>42480</v>
      </c>
      <c r="M323" s="115">
        <v>832.31</v>
      </c>
      <c r="N323" s="115">
        <v>840</v>
      </c>
      <c r="O323" s="115">
        <v>790</v>
      </c>
      <c r="P323" s="115">
        <v>807.6</v>
      </c>
      <c r="Q323" s="115">
        <v>4161.55</v>
      </c>
      <c r="R323">
        <v>2455</v>
      </c>
    </row>
    <row r="324" spans="1:18" x14ac:dyDescent="0.25">
      <c r="A324" s="169">
        <v>42481</v>
      </c>
      <c r="B324" s="115">
        <v>857</v>
      </c>
      <c r="C324" s="115">
        <v>844.84</v>
      </c>
      <c r="D324" s="115">
        <v>830.2</v>
      </c>
      <c r="E324" s="115">
        <v>847.98</v>
      </c>
      <c r="F324" s="115">
        <v>4224.2</v>
      </c>
      <c r="G324">
        <v>491</v>
      </c>
      <c r="H324" s="115"/>
      <c r="I324" s="115"/>
      <c r="L324" s="169">
        <v>42481</v>
      </c>
      <c r="M324" s="115">
        <v>841.43</v>
      </c>
      <c r="N324" s="115">
        <v>859.76</v>
      </c>
      <c r="O324" s="115">
        <v>827</v>
      </c>
      <c r="P324" s="115">
        <v>827</v>
      </c>
      <c r="Q324" s="115">
        <v>4207.1499999999996</v>
      </c>
      <c r="R324">
        <v>2763</v>
      </c>
    </row>
    <row r="325" spans="1:18" x14ac:dyDescent="0.25">
      <c r="A325" s="169">
        <v>42482</v>
      </c>
      <c r="B325" s="115">
        <v>843.8</v>
      </c>
      <c r="C325" s="115">
        <v>821.8</v>
      </c>
      <c r="D325" s="115">
        <v>813.2</v>
      </c>
      <c r="E325" s="115">
        <v>835</v>
      </c>
      <c r="F325" s="115">
        <v>4109</v>
      </c>
      <c r="G325">
        <v>272</v>
      </c>
      <c r="H325" s="115"/>
      <c r="I325" s="115"/>
      <c r="L325" s="169">
        <v>42482</v>
      </c>
      <c r="M325" s="115">
        <v>817.67</v>
      </c>
      <c r="N325" s="115">
        <v>843</v>
      </c>
      <c r="O325" s="115">
        <v>811.06</v>
      </c>
      <c r="P325" s="115">
        <v>825.14</v>
      </c>
      <c r="Q325" s="115">
        <v>4088.35</v>
      </c>
      <c r="R325">
        <v>768</v>
      </c>
    </row>
    <row r="326" spans="1:18" x14ac:dyDescent="0.25">
      <c r="A326" s="169">
        <v>42485</v>
      </c>
      <c r="B326" s="115">
        <v>862.97</v>
      </c>
      <c r="C326" s="115">
        <v>829.36</v>
      </c>
      <c r="D326" s="115">
        <v>820.01</v>
      </c>
      <c r="E326" s="115">
        <v>820.01</v>
      </c>
      <c r="F326" s="115">
        <v>4146.8</v>
      </c>
      <c r="G326">
        <v>1625</v>
      </c>
      <c r="H326" s="115"/>
      <c r="I326" s="115"/>
      <c r="L326" s="169">
        <v>42485</v>
      </c>
      <c r="M326" s="115">
        <v>823.39</v>
      </c>
      <c r="N326" s="115">
        <v>858.99</v>
      </c>
      <c r="O326" s="115">
        <v>820</v>
      </c>
      <c r="P326" s="115">
        <v>845</v>
      </c>
      <c r="Q326" s="115">
        <v>4116.95</v>
      </c>
      <c r="R326">
        <v>2922</v>
      </c>
    </row>
    <row r="327" spans="1:18" x14ac:dyDescent="0.25">
      <c r="A327" s="169">
        <v>42486</v>
      </c>
      <c r="B327" s="115">
        <v>842.4</v>
      </c>
      <c r="C327" s="115">
        <v>830.91</v>
      </c>
      <c r="D327" s="115">
        <v>828.2</v>
      </c>
      <c r="E327" s="115">
        <v>830</v>
      </c>
      <c r="F327" s="115">
        <v>4154.55</v>
      </c>
      <c r="G327">
        <v>105</v>
      </c>
      <c r="H327" s="115"/>
      <c r="I327" s="115"/>
      <c r="L327" s="169">
        <v>42486</v>
      </c>
      <c r="M327" s="115">
        <v>831.67</v>
      </c>
      <c r="N327" s="115">
        <v>839.89</v>
      </c>
      <c r="O327" s="115">
        <v>825</v>
      </c>
      <c r="P327" s="115">
        <v>831.98</v>
      </c>
      <c r="Q327" s="115">
        <v>4158.3500000000004</v>
      </c>
      <c r="R327">
        <v>410</v>
      </c>
    </row>
    <row r="328" spans="1:18" x14ac:dyDescent="0.25">
      <c r="A328" s="169">
        <v>42487</v>
      </c>
      <c r="B328" s="115">
        <v>855.88</v>
      </c>
      <c r="C328" s="115">
        <v>814.21</v>
      </c>
      <c r="D328" s="115">
        <v>813.22</v>
      </c>
      <c r="E328" s="115">
        <v>842.09</v>
      </c>
      <c r="F328" s="115">
        <v>4071.05</v>
      </c>
      <c r="G328">
        <v>1125</v>
      </c>
      <c r="H328" s="115"/>
      <c r="I328" s="115"/>
      <c r="L328" s="169">
        <v>42487</v>
      </c>
      <c r="M328" s="115">
        <v>816.95</v>
      </c>
      <c r="N328" s="115">
        <v>854</v>
      </c>
      <c r="O328" s="115">
        <v>813</v>
      </c>
      <c r="P328" s="115">
        <v>838.55</v>
      </c>
      <c r="Q328" s="115">
        <v>4084.75</v>
      </c>
      <c r="R328">
        <v>14054</v>
      </c>
    </row>
    <row r="329" spans="1:18" x14ac:dyDescent="0.25">
      <c r="A329" s="169">
        <v>42488</v>
      </c>
      <c r="B329" s="115">
        <v>813.4</v>
      </c>
      <c r="C329" s="115">
        <v>787.17</v>
      </c>
      <c r="D329" s="115">
        <v>770</v>
      </c>
      <c r="E329" s="115">
        <v>813.4</v>
      </c>
      <c r="F329" s="115">
        <v>3935.85</v>
      </c>
      <c r="G329">
        <v>6685</v>
      </c>
      <c r="H329" s="115"/>
      <c r="I329" s="115"/>
      <c r="L329" s="169">
        <v>42488</v>
      </c>
      <c r="M329" s="115">
        <v>790.79</v>
      </c>
      <c r="N329" s="115">
        <v>827.55</v>
      </c>
      <c r="O329" s="115">
        <v>774</v>
      </c>
      <c r="P329" s="115">
        <v>827.55</v>
      </c>
      <c r="Q329" s="115">
        <v>3953.95</v>
      </c>
      <c r="R329">
        <v>17722</v>
      </c>
    </row>
    <row r="330" spans="1:18" x14ac:dyDescent="0.25">
      <c r="A330" s="169">
        <v>42489</v>
      </c>
      <c r="B330" s="115">
        <v>809.8</v>
      </c>
      <c r="C330" s="115">
        <v>793.84</v>
      </c>
      <c r="D330" s="115">
        <v>788.4</v>
      </c>
      <c r="E330" s="115">
        <v>796.98</v>
      </c>
      <c r="F330" s="115">
        <v>3969.2</v>
      </c>
      <c r="G330">
        <v>254</v>
      </c>
      <c r="H330" s="115"/>
      <c r="I330" s="115"/>
      <c r="L330" s="169">
        <v>42489</v>
      </c>
      <c r="M330" s="115">
        <v>793.43</v>
      </c>
      <c r="N330" s="115">
        <v>816</v>
      </c>
      <c r="O330" s="115">
        <v>787.99</v>
      </c>
      <c r="P330" s="115">
        <v>800</v>
      </c>
      <c r="Q330" s="115">
        <v>3967.15</v>
      </c>
      <c r="R330">
        <v>2450</v>
      </c>
    </row>
    <row r="331" spans="1:18" x14ac:dyDescent="0.25">
      <c r="A331" s="169">
        <v>42492</v>
      </c>
      <c r="B331" s="115">
        <v>800</v>
      </c>
      <c r="C331" s="115">
        <v>788.6</v>
      </c>
      <c r="D331" s="115">
        <v>787.17</v>
      </c>
      <c r="E331" s="115">
        <v>791.26</v>
      </c>
      <c r="F331" s="115">
        <v>3943</v>
      </c>
      <c r="G331">
        <v>335</v>
      </c>
      <c r="H331" s="115"/>
      <c r="I331" s="115"/>
      <c r="L331" s="169">
        <v>42492</v>
      </c>
      <c r="M331" s="115">
        <v>788.61</v>
      </c>
      <c r="N331" s="115">
        <v>802</v>
      </c>
      <c r="O331" s="115">
        <v>786.4</v>
      </c>
      <c r="P331" s="115">
        <v>800</v>
      </c>
      <c r="Q331" s="115">
        <v>3943.05</v>
      </c>
      <c r="R331">
        <v>7126</v>
      </c>
    </row>
    <row r="332" spans="1:18" x14ac:dyDescent="0.25">
      <c r="A332" s="169">
        <v>42493</v>
      </c>
      <c r="B332" s="115">
        <v>791</v>
      </c>
      <c r="C332" s="115">
        <v>783.11</v>
      </c>
      <c r="D332" s="115">
        <v>778</v>
      </c>
      <c r="E332" s="115">
        <v>791</v>
      </c>
      <c r="F332" s="115">
        <v>3915.55</v>
      </c>
      <c r="G332">
        <v>438</v>
      </c>
      <c r="H332" s="115"/>
      <c r="I332" s="115"/>
      <c r="L332" s="169">
        <v>42493</v>
      </c>
      <c r="M332" s="115">
        <v>783.25</v>
      </c>
      <c r="N332" s="115">
        <v>791</v>
      </c>
      <c r="O332" s="115">
        <v>778.2</v>
      </c>
      <c r="P332" s="115">
        <v>778.2</v>
      </c>
      <c r="Q332" s="115">
        <v>3916.25</v>
      </c>
      <c r="R332">
        <v>2496</v>
      </c>
    </row>
    <row r="333" spans="1:18" x14ac:dyDescent="0.25">
      <c r="A333" s="169">
        <v>42494</v>
      </c>
      <c r="B333" s="115">
        <v>795.98</v>
      </c>
      <c r="C333" s="115">
        <v>777.37</v>
      </c>
      <c r="D333" s="115">
        <v>777</v>
      </c>
      <c r="E333" s="115">
        <v>795.98</v>
      </c>
      <c r="F333" s="115">
        <v>3886.85</v>
      </c>
      <c r="G333">
        <v>5134</v>
      </c>
      <c r="H333" s="115"/>
      <c r="I333" s="115"/>
      <c r="L333" s="169">
        <v>42494</v>
      </c>
      <c r="M333" s="115">
        <v>775.68</v>
      </c>
      <c r="N333" s="115">
        <v>808</v>
      </c>
      <c r="O333" s="115">
        <v>774.2</v>
      </c>
      <c r="P333" s="115">
        <v>808</v>
      </c>
      <c r="Q333" s="115">
        <v>3878.4</v>
      </c>
      <c r="R333">
        <v>3999</v>
      </c>
    </row>
    <row r="334" spans="1:18" x14ac:dyDescent="0.25">
      <c r="A334" s="169">
        <v>42495</v>
      </c>
      <c r="B334" s="115">
        <v>793</v>
      </c>
      <c r="C334" s="115">
        <v>791.75</v>
      </c>
      <c r="D334" s="115">
        <v>770</v>
      </c>
      <c r="E334" s="115">
        <v>775</v>
      </c>
      <c r="F334" s="115">
        <v>3958.75</v>
      </c>
      <c r="G334">
        <v>30535</v>
      </c>
      <c r="H334" s="115"/>
      <c r="I334" s="115"/>
      <c r="L334" s="169">
        <v>42495</v>
      </c>
      <c r="M334" s="115">
        <v>790.98</v>
      </c>
      <c r="N334" s="115">
        <v>796</v>
      </c>
      <c r="O334" s="115">
        <v>754.01</v>
      </c>
      <c r="P334" s="115">
        <v>775.68</v>
      </c>
      <c r="Q334" s="115">
        <v>3954.9</v>
      </c>
      <c r="R334">
        <v>6285</v>
      </c>
    </row>
    <row r="335" spans="1:18" x14ac:dyDescent="0.25">
      <c r="A335" s="169">
        <v>42496</v>
      </c>
      <c r="B335" s="115">
        <v>803</v>
      </c>
      <c r="C335" s="115">
        <v>786.33</v>
      </c>
      <c r="D335" s="115">
        <v>784.77</v>
      </c>
      <c r="E335" s="115">
        <v>792.99</v>
      </c>
      <c r="F335" s="115">
        <v>3931.65</v>
      </c>
      <c r="G335">
        <v>331</v>
      </c>
      <c r="H335" s="115"/>
      <c r="I335" s="115"/>
      <c r="L335" s="169">
        <v>42496</v>
      </c>
      <c r="M335" s="115">
        <v>789.02</v>
      </c>
      <c r="N335" s="115">
        <v>804.6</v>
      </c>
      <c r="O335" s="115">
        <v>781.23</v>
      </c>
      <c r="P335" s="115">
        <v>781.23</v>
      </c>
      <c r="Q335" s="115">
        <v>3945.1</v>
      </c>
      <c r="R335">
        <v>1224</v>
      </c>
    </row>
    <row r="336" spans="1:18" x14ac:dyDescent="0.25">
      <c r="A336" s="169">
        <v>42499</v>
      </c>
      <c r="B336" s="115">
        <v>788.47</v>
      </c>
      <c r="C336" s="115">
        <v>784.08</v>
      </c>
      <c r="D336" s="115">
        <v>780.64</v>
      </c>
      <c r="E336" s="115">
        <v>788.47</v>
      </c>
      <c r="F336" s="115">
        <v>3920.4</v>
      </c>
      <c r="G336">
        <v>56</v>
      </c>
      <c r="H336" s="115"/>
      <c r="I336" s="115"/>
      <c r="L336" s="169">
        <v>42499</v>
      </c>
      <c r="M336" s="115">
        <v>782.78</v>
      </c>
      <c r="N336" s="115">
        <v>800</v>
      </c>
      <c r="O336" s="115">
        <v>780</v>
      </c>
      <c r="P336" s="115">
        <v>795</v>
      </c>
      <c r="Q336" s="115">
        <v>3913.9</v>
      </c>
      <c r="R336">
        <v>2656</v>
      </c>
    </row>
    <row r="337" spans="1:18" x14ac:dyDescent="0.25">
      <c r="A337" s="169">
        <v>42500</v>
      </c>
      <c r="B337" s="115">
        <v>792.88</v>
      </c>
      <c r="C337" s="115">
        <v>792</v>
      </c>
      <c r="D337" s="115">
        <v>780</v>
      </c>
      <c r="E337" s="115">
        <v>780</v>
      </c>
      <c r="F337" s="115">
        <v>3960</v>
      </c>
      <c r="G337">
        <v>6296</v>
      </c>
      <c r="H337" s="115"/>
      <c r="I337" s="115"/>
      <c r="L337" s="169">
        <v>42500</v>
      </c>
      <c r="M337" s="115">
        <v>789.19</v>
      </c>
      <c r="N337" s="115">
        <v>794</v>
      </c>
      <c r="O337" s="115">
        <v>771</v>
      </c>
      <c r="P337" s="115">
        <v>783</v>
      </c>
      <c r="Q337" s="115">
        <v>3945.95</v>
      </c>
      <c r="R337">
        <v>5516</v>
      </c>
    </row>
    <row r="338" spans="1:18" x14ac:dyDescent="0.25">
      <c r="A338" s="169">
        <v>42501</v>
      </c>
      <c r="B338" s="115">
        <v>799.15</v>
      </c>
      <c r="C338" s="115">
        <v>795.77</v>
      </c>
      <c r="D338" s="115">
        <v>790</v>
      </c>
      <c r="E338" s="115">
        <v>790</v>
      </c>
      <c r="F338" s="115">
        <v>3978.85</v>
      </c>
      <c r="G338">
        <v>15076</v>
      </c>
      <c r="H338" s="115"/>
      <c r="I338" s="115"/>
      <c r="L338" s="169">
        <v>42501</v>
      </c>
      <c r="M338" s="115">
        <v>790.81</v>
      </c>
      <c r="N338" s="115">
        <v>798.79</v>
      </c>
      <c r="O338" s="115">
        <v>784</v>
      </c>
      <c r="P338" s="115">
        <v>798.79</v>
      </c>
      <c r="Q338" s="115">
        <v>3954.05</v>
      </c>
      <c r="R338">
        <v>715</v>
      </c>
    </row>
    <row r="339" spans="1:18" x14ac:dyDescent="0.25">
      <c r="A339" s="169">
        <v>42502</v>
      </c>
      <c r="B339" s="115">
        <v>799.4</v>
      </c>
      <c r="C339" s="115">
        <v>794.89</v>
      </c>
      <c r="D339" s="115">
        <v>790</v>
      </c>
      <c r="E339" s="115">
        <v>790</v>
      </c>
      <c r="F339" s="115">
        <v>3974.45</v>
      </c>
      <c r="G339">
        <v>87</v>
      </c>
      <c r="H339" s="115"/>
      <c r="I339" s="115"/>
      <c r="L339" s="169">
        <v>42502</v>
      </c>
      <c r="M339" s="115">
        <v>798.98</v>
      </c>
      <c r="N339" s="115">
        <v>800</v>
      </c>
      <c r="O339" s="115">
        <v>786.48</v>
      </c>
      <c r="P339" s="115">
        <v>790</v>
      </c>
      <c r="Q339" s="115">
        <v>3994.9</v>
      </c>
      <c r="R339">
        <v>238</v>
      </c>
    </row>
    <row r="340" spans="1:18" x14ac:dyDescent="0.25">
      <c r="A340" s="169">
        <v>42503</v>
      </c>
      <c r="B340" s="115">
        <v>797</v>
      </c>
      <c r="C340" s="115">
        <v>793.82</v>
      </c>
      <c r="D340" s="115">
        <v>788</v>
      </c>
      <c r="E340" s="115">
        <v>790</v>
      </c>
      <c r="F340" s="115">
        <v>3969.1</v>
      </c>
      <c r="G340">
        <v>338</v>
      </c>
      <c r="H340" s="115"/>
      <c r="I340" s="115"/>
      <c r="L340" s="169">
        <v>42503</v>
      </c>
      <c r="M340" s="115">
        <v>789.45</v>
      </c>
      <c r="N340" s="115">
        <v>798.98</v>
      </c>
      <c r="O340" s="115">
        <v>781.72</v>
      </c>
      <c r="P340" s="115">
        <v>798.98</v>
      </c>
      <c r="Q340" s="115">
        <v>3947.25</v>
      </c>
      <c r="R340">
        <v>1920</v>
      </c>
    </row>
    <row r="341" spans="1:18" x14ac:dyDescent="0.25">
      <c r="A341" s="169">
        <v>42506</v>
      </c>
      <c r="B341" s="115">
        <v>798.02</v>
      </c>
      <c r="C341" s="115">
        <v>790</v>
      </c>
      <c r="D341" s="115">
        <v>790</v>
      </c>
      <c r="E341" s="115">
        <v>798.02</v>
      </c>
      <c r="F341" s="115">
        <v>3950</v>
      </c>
      <c r="G341">
        <v>15</v>
      </c>
      <c r="H341" s="115"/>
      <c r="I341" s="115"/>
      <c r="L341" s="169">
        <v>42506</v>
      </c>
      <c r="M341" s="115">
        <v>790.12</v>
      </c>
      <c r="N341" s="115">
        <v>797.74</v>
      </c>
      <c r="O341" s="115">
        <v>780.4</v>
      </c>
      <c r="P341" s="115">
        <v>789.45</v>
      </c>
      <c r="Q341" s="115">
        <v>3950.6</v>
      </c>
      <c r="R341">
        <v>3213</v>
      </c>
    </row>
    <row r="342" spans="1:18" x14ac:dyDescent="0.25">
      <c r="A342" s="169">
        <v>42507</v>
      </c>
      <c r="B342" s="115">
        <v>793.8</v>
      </c>
      <c r="C342" s="115">
        <v>783.48</v>
      </c>
      <c r="D342" s="115">
        <v>780</v>
      </c>
      <c r="E342" s="115">
        <v>786</v>
      </c>
      <c r="F342" s="115">
        <v>3917.4</v>
      </c>
      <c r="G342">
        <v>725</v>
      </c>
      <c r="H342" s="115"/>
      <c r="I342" s="115"/>
      <c r="L342" s="169">
        <v>42507</v>
      </c>
      <c r="M342" s="115">
        <v>783.25</v>
      </c>
      <c r="N342" s="115">
        <v>796.6</v>
      </c>
      <c r="O342" s="115">
        <v>780.2</v>
      </c>
      <c r="P342" s="115">
        <v>782.23</v>
      </c>
      <c r="Q342" s="115">
        <v>3916.25</v>
      </c>
      <c r="R342">
        <v>1633</v>
      </c>
    </row>
    <row r="343" spans="1:18" x14ac:dyDescent="0.25">
      <c r="A343" s="169">
        <v>42508</v>
      </c>
      <c r="B343" s="115">
        <v>801</v>
      </c>
      <c r="C343" s="115">
        <v>784.95</v>
      </c>
      <c r="D343" s="115">
        <v>781.2</v>
      </c>
      <c r="E343" s="115">
        <v>790.45</v>
      </c>
      <c r="F343" s="115">
        <v>3924.75</v>
      </c>
      <c r="G343">
        <v>72</v>
      </c>
      <c r="H343" s="115"/>
      <c r="I343" s="115"/>
      <c r="L343" s="169">
        <v>42508</v>
      </c>
      <c r="M343" s="115">
        <v>784.67</v>
      </c>
      <c r="N343" s="115">
        <v>802.8</v>
      </c>
      <c r="O343" s="115">
        <v>782.2</v>
      </c>
      <c r="P343" s="115">
        <v>788</v>
      </c>
      <c r="Q343" s="115">
        <v>3923.35</v>
      </c>
      <c r="R343">
        <v>1998</v>
      </c>
    </row>
    <row r="344" spans="1:18" x14ac:dyDescent="0.25">
      <c r="A344" s="169">
        <v>42509</v>
      </c>
      <c r="B344" s="115">
        <v>792.85</v>
      </c>
      <c r="C344" s="115">
        <v>788.03</v>
      </c>
      <c r="D344" s="115">
        <v>782.01</v>
      </c>
      <c r="E344" s="115">
        <v>784</v>
      </c>
      <c r="F344" s="115">
        <v>3940.15</v>
      </c>
      <c r="G344">
        <v>48</v>
      </c>
      <c r="H344" s="115"/>
      <c r="I344" s="115"/>
      <c r="L344" s="169">
        <v>42509</v>
      </c>
      <c r="M344" s="115">
        <v>784.43</v>
      </c>
      <c r="N344" s="115">
        <v>789.87</v>
      </c>
      <c r="O344" s="115">
        <v>783</v>
      </c>
      <c r="P344" s="115">
        <v>785</v>
      </c>
      <c r="Q344" s="115">
        <v>3922.15</v>
      </c>
      <c r="R344">
        <v>291</v>
      </c>
    </row>
    <row r="345" spans="1:18" x14ac:dyDescent="0.25">
      <c r="A345" s="169">
        <v>42510</v>
      </c>
      <c r="B345" s="115">
        <v>786</v>
      </c>
      <c r="C345" s="115">
        <v>778.35</v>
      </c>
      <c r="D345" s="115">
        <v>778</v>
      </c>
      <c r="E345" s="115">
        <v>786</v>
      </c>
      <c r="F345" s="115">
        <v>3891.75</v>
      </c>
      <c r="G345">
        <v>25</v>
      </c>
      <c r="H345" s="115"/>
      <c r="I345" s="115"/>
      <c r="L345" s="169">
        <v>42510</v>
      </c>
      <c r="M345" s="115">
        <v>776.88</v>
      </c>
      <c r="N345" s="115">
        <v>792.2</v>
      </c>
      <c r="O345" s="115">
        <v>774.61</v>
      </c>
      <c r="P345" s="115">
        <v>784.4</v>
      </c>
      <c r="Q345" s="115">
        <v>3884.4</v>
      </c>
      <c r="R345">
        <v>1455</v>
      </c>
    </row>
    <row r="346" spans="1:18" x14ac:dyDescent="0.25">
      <c r="A346" s="169">
        <v>42513</v>
      </c>
      <c r="B346" s="115">
        <v>785.34</v>
      </c>
      <c r="C346" s="115">
        <v>780.1</v>
      </c>
      <c r="D346" s="115">
        <v>778.4</v>
      </c>
      <c r="E346" s="115">
        <v>781</v>
      </c>
      <c r="F346" s="115">
        <v>3900.5</v>
      </c>
      <c r="G346">
        <v>51</v>
      </c>
      <c r="H346" s="115"/>
      <c r="I346" s="115"/>
      <c r="L346" s="169">
        <v>42513</v>
      </c>
      <c r="M346" s="115">
        <v>780.02</v>
      </c>
      <c r="N346" s="115">
        <v>782.37</v>
      </c>
      <c r="O346" s="115">
        <v>775.98</v>
      </c>
      <c r="P346" s="115">
        <v>781.37</v>
      </c>
      <c r="Q346" s="115">
        <v>3900.1</v>
      </c>
      <c r="R346">
        <v>638</v>
      </c>
    </row>
    <row r="347" spans="1:18" x14ac:dyDescent="0.25">
      <c r="A347" s="169">
        <v>42514</v>
      </c>
      <c r="B347" s="115">
        <v>788.77</v>
      </c>
      <c r="C347" s="115">
        <v>780.6</v>
      </c>
      <c r="D347" s="115">
        <v>774</v>
      </c>
      <c r="E347" s="115">
        <v>778</v>
      </c>
      <c r="F347" s="115">
        <v>3903</v>
      </c>
      <c r="G347">
        <v>32</v>
      </c>
      <c r="H347" s="115"/>
      <c r="I347" s="115"/>
      <c r="L347" s="169">
        <v>42514</v>
      </c>
      <c r="M347" s="115">
        <v>779.96</v>
      </c>
      <c r="N347" s="115">
        <v>791.98</v>
      </c>
      <c r="O347" s="115">
        <v>772.2</v>
      </c>
      <c r="P347" s="115">
        <v>780</v>
      </c>
      <c r="Q347" s="115">
        <v>3899.8</v>
      </c>
      <c r="R347">
        <v>155</v>
      </c>
    </row>
    <row r="348" spans="1:18" x14ac:dyDescent="0.25">
      <c r="A348" s="169">
        <v>42515</v>
      </c>
      <c r="B348" s="115">
        <v>791.98</v>
      </c>
      <c r="C348" s="115">
        <v>788</v>
      </c>
      <c r="D348" s="115">
        <v>778.81</v>
      </c>
      <c r="E348" s="115">
        <v>783</v>
      </c>
      <c r="F348" s="115">
        <v>3940</v>
      </c>
      <c r="G348">
        <v>55</v>
      </c>
      <c r="H348" s="115"/>
      <c r="I348" s="115"/>
      <c r="L348" s="169">
        <v>42515</v>
      </c>
      <c r="M348" s="115">
        <v>788.9</v>
      </c>
      <c r="N348" s="115">
        <v>792</v>
      </c>
      <c r="O348" s="115">
        <v>779.8</v>
      </c>
      <c r="P348" s="115">
        <v>779.8</v>
      </c>
      <c r="Q348" s="115">
        <v>3944.5</v>
      </c>
      <c r="R348">
        <v>628</v>
      </c>
    </row>
    <row r="349" spans="1:18" x14ac:dyDescent="0.25">
      <c r="A349" s="169">
        <v>42516</v>
      </c>
      <c r="B349" s="115">
        <v>798.5</v>
      </c>
      <c r="C349" s="115">
        <v>788.95</v>
      </c>
      <c r="D349" s="115">
        <v>782.24</v>
      </c>
      <c r="E349" s="115">
        <v>791.97</v>
      </c>
      <c r="F349" s="115">
        <v>3944.75</v>
      </c>
      <c r="G349">
        <v>128</v>
      </c>
      <c r="H349" s="115"/>
      <c r="I349" s="115"/>
      <c r="L349" s="169">
        <v>42516</v>
      </c>
      <c r="M349" s="115">
        <v>789.73</v>
      </c>
      <c r="N349" s="115">
        <v>799.8</v>
      </c>
      <c r="O349" s="115">
        <v>780</v>
      </c>
      <c r="P349" s="115">
        <v>780</v>
      </c>
      <c r="Q349" s="115">
        <v>3948.65</v>
      </c>
      <c r="R349">
        <v>1603</v>
      </c>
    </row>
    <row r="350" spans="1:18" x14ac:dyDescent="0.25">
      <c r="A350" s="169">
        <v>42517</v>
      </c>
      <c r="B350" s="115">
        <v>798</v>
      </c>
      <c r="C350" s="115">
        <v>793.83</v>
      </c>
      <c r="D350" s="115">
        <v>790</v>
      </c>
      <c r="E350" s="115">
        <v>798</v>
      </c>
      <c r="F350" s="115">
        <v>3969.15</v>
      </c>
      <c r="G350">
        <v>36</v>
      </c>
      <c r="H350" s="115"/>
      <c r="I350" s="115"/>
      <c r="L350" s="169">
        <v>42517</v>
      </c>
      <c r="M350" s="115">
        <v>791.04</v>
      </c>
      <c r="N350" s="115">
        <v>798</v>
      </c>
      <c r="O350" s="115">
        <v>789.6</v>
      </c>
      <c r="P350" s="115">
        <v>794.64</v>
      </c>
      <c r="Q350" s="115">
        <v>3955.2</v>
      </c>
      <c r="R350">
        <v>150</v>
      </c>
    </row>
    <row r="351" spans="1:18" x14ac:dyDescent="0.25">
      <c r="A351" s="169">
        <v>42520</v>
      </c>
      <c r="B351" s="115">
        <v>797.79</v>
      </c>
      <c r="C351" s="115">
        <v>793.2</v>
      </c>
      <c r="D351" s="115">
        <v>790</v>
      </c>
      <c r="E351" s="115">
        <v>790</v>
      </c>
      <c r="F351" s="115">
        <v>3966</v>
      </c>
      <c r="G351">
        <v>54</v>
      </c>
      <c r="H351" s="115"/>
      <c r="I351" s="115"/>
      <c r="L351" s="169">
        <v>42520</v>
      </c>
      <c r="M351" s="115">
        <v>791.57</v>
      </c>
      <c r="N351" s="115">
        <v>796</v>
      </c>
      <c r="O351" s="115">
        <v>785.42</v>
      </c>
      <c r="P351" s="115">
        <v>792</v>
      </c>
      <c r="Q351" s="115">
        <v>3957.85</v>
      </c>
      <c r="R351">
        <v>179</v>
      </c>
    </row>
    <row r="352" spans="1:18" x14ac:dyDescent="0.25">
      <c r="A352" s="169">
        <v>42521</v>
      </c>
      <c r="B352" s="115">
        <v>790.05</v>
      </c>
      <c r="C352" s="115">
        <v>785.39</v>
      </c>
      <c r="D352" s="115">
        <v>783.6</v>
      </c>
      <c r="E352" s="115">
        <v>784</v>
      </c>
      <c r="F352" s="115">
        <v>3926.95</v>
      </c>
      <c r="G352">
        <v>113</v>
      </c>
      <c r="H352" s="115"/>
      <c r="I352" s="115"/>
      <c r="L352" s="169">
        <v>42521</v>
      </c>
      <c r="M352" s="115">
        <v>790</v>
      </c>
      <c r="N352" s="115">
        <v>791.4</v>
      </c>
      <c r="O352" s="115">
        <v>784</v>
      </c>
      <c r="P352" s="115">
        <v>789.8</v>
      </c>
      <c r="Q352" s="115">
        <v>3950</v>
      </c>
      <c r="R352">
        <v>503</v>
      </c>
    </row>
    <row r="353" spans="1:18" x14ac:dyDescent="0.25">
      <c r="A353" s="169">
        <v>42522</v>
      </c>
      <c r="B353" s="115">
        <v>795.06</v>
      </c>
      <c r="C353" s="115">
        <v>795.06</v>
      </c>
      <c r="D353" s="115">
        <v>782.76</v>
      </c>
      <c r="E353" s="115">
        <v>782.76</v>
      </c>
      <c r="F353" s="115">
        <v>3975.3</v>
      </c>
      <c r="G353">
        <v>22</v>
      </c>
      <c r="H353" s="115"/>
      <c r="I353" s="115"/>
      <c r="L353" s="169">
        <v>42522</v>
      </c>
      <c r="M353" s="115">
        <v>790</v>
      </c>
      <c r="N353" s="115">
        <v>795.77</v>
      </c>
      <c r="O353" s="115">
        <v>780.6</v>
      </c>
      <c r="P353" s="115">
        <v>791.6</v>
      </c>
      <c r="Q353" s="115">
        <v>3950</v>
      </c>
      <c r="R353">
        <v>609</v>
      </c>
    </row>
    <row r="354" spans="1:18" x14ac:dyDescent="0.25">
      <c r="A354" s="169">
        <v>42523</v>
      </c>
      <c r="B354" s="115">
        <v>801</v>
      </c>
      <c r="C354" s="115">
        <v>790.97</v>
      </c>
      <c r="D354" s="115">
        <v>787.93</v>
      </c>
      <c r="E354" s="115">
        <v>795</v>
      </c>
      <c r="F354" s="115">
        <v>3954.85</v>
      </c>
      <c r="G354">
        <v>62</v>
      </c>
      <c r="H354" s="115"/>
      <c r="I354" s="115"/>
      <c r="L354" s="169">
        <v>42523</v>
      </c>
      <c r="M354" s="115">
        <v>789.42</v>
      </c>
      <c r="N354" s="115">
        <v>804</v>
      </c>
      <c r="O354" s="115">
        <v>783</v>
      </c>
      <c r="P354" s="115">
        <v>790</v>
      </c>
      <c r="Q354" s="115">
        <v>3947.1</v>
      </c>
      <c r="R354">
        <v>889</v>
      </c>
    </row>
    <row r="355" spans="1:18" x14ac:dyDescent="0.25">
      <c r="A355" s="169">
        <v>42524</v>
      </c>
      <c r="B355" s="115">
        <v>798</v>
      </c>
      <c r="C355" s="115">
        <v>792</v>
      </c>
      <c r="D355" s="115">
        <v>780.6</v>
      </c>
      <c r="E355" s="115">
        <v>798</v>
      </c>
      <c r="F355" s="115">
        <v>3960</v>
      </c>
      <c r="G355">
        <v>58</v>
      </c>
      <c r="H355" s="115"/>
      <c r="I355" s="115"/>
      <c r="L355" s="169">
        <v>42524</v>
      </c>
      <c r="M355" s="115">
        <v>789.55</v>
      </c>
      <c r="N355" s="115">
        <v>799.56</v>
      </c>
      <c r="O355" s="115">
        <v>785</v>
      </c>
      <c r="P355" s="115">
        <v>794</v>
      </c>
      <c r="Q355" s="115">
        <v>3947.75</v>
      </c>
      <c r="R355">
        <v>5363</v>
      </c>
    </row>
    <row r="356" spans="1:18" x14ac:dyDescent="0.25">
      <c r="A356" s="169">
        <v>42527</v>
      </c>
      <c r="B356" s="115">
        <v>800</v>
      </c>
      <c r="C356" s="115">
        <v>799.87</v>
      </c>
      <c r="D356" s="115">
        <v>784</v>
      </c>
      <c r="E356" s="115">
        <v>792.2</v>
      </c>
      <c r="F356" s="115">
        <v>3999.35</v>
      </c>
      <c r="G356">
        <v>89</v>
      </c>
      <c r="H356" s="115"/>
      <c r="I356" s="115"/>
      <c r="L356" s="169">
        <v>42527</v>
      </c>
      <c r="M356" s="115">
        <v>792.06</v>
      </c>
      <c r="N356" s="115">
        <v>802.99</v>
      </c>
      <c r="O356" s="115">
        <v>782.41</v>
      </c>
      <c r="P356" s="115">
        <v>789.56</v>
      </c>
      <c r="Q356" s="115">
        <v>3960.3</v>
      </c>
      <c r="R356">
        <v>1394</v>
      </c>
    </row>
    <row r="357" spans="1:18" x14ac:dyDescent="0.25">
      <c r="A357" s="169">
        <v>42528</v>
      </c>
      <c r="B357" s="115">
        <v>812.9</v>
      </c>
      <c r="C357" s="115">
        <v>802.82</v>
      </c>
      <c r="D357" s="115">
        <v>790.13</v>
      </c>
      <c r="E357" s="115">
        <v>799.98</v>
      </c>
      <c r="F357" s="115">
        <v>4014.1</v>
      </c>
      <c r="G357">
        <v>144</v>
      </c>
      <c r="H357" s="115"/>
      <c r="I357" s="115"/>
      <c r="L357" s="169">
        <v>42528</v>
      </c>
      <c r="M357" s="115">
        <v>808.89</v>
      </c>
      <c r="N357" s="115">
        <v>830</v>
      </c>
      <c r="O357" s="115">
        <v>792.06</v>
      </c>
      <c r="P357" s="115">
        <v>796.05</v>
      </c>
      <c r="Q357" s="115">
        <v>4044.45</v>
      </c>
      <c r="R357">
        <v>901</v>
      </c>
    </row>
    <row r="358" spans="1:18" x14ac:dyDescent="0.25">
      <c r="A358" s="169">
        <v>42529</v>
      </c>
      <c r="B358" s="115">
        <v>812.89</v>
      </c>
      <c r="C358" s="115">
        <v>800.82</v>
      </c>
      <c r="D358" s="115">
        <v>797.6</v>
      </c>
      <c r="E358" s="115">
        <v>812.89</v>
      </c>
      <c r="F358" s="115">
        <v>4004.1</v>
      </c>
      <c r="G358">
        <v>32</v>
      </c>
      <c r="H358" s="115"/>
      <c r="I358" s="115"/>
      <c r="L358" s="169">
        <v>42529</v>
      </c>
      <c r="M358" s="115">
        <v>798.24</v>
      </c>
      <c r="N358" s="115">
        <v>816</v>
      </c>
      <c r="O358" s="115">
        <v>791.65</v>
      </c>
      <c r="P358" s="115">
        <v>806</v>
      </c>
      <c r="Q358" s="115">
        <v>3991.2</v>
      </c>
      <c r="R358">
        <v>458</v>
      </c>
    </row>
    <row r="359" spans="1:18" x14ac:dyDescent="0.25">
      <c r="A359" s="169">
        <v>42530</v>
      </c>
      <c r="B359" s="115">
        <v>848.9</v>
      </c>
      <c r="C359" s="115">
        <v>811.66</v>
      </c>
      <c r="D359" s="115">
        <v>780.01</v>
      </c>
      <c r="E359" s="115">
        <v>794.2</v>
      </c>
      <c r="F359" s="115">
        <v>4058.3</v>
      </c>
      <c r="G359">
        <v>267</v>
      </c>
      <c r="H359" s="115"/>
      <c r="I359" s="115"/>
      <c r="L359" s="169">
        <v>42530</v>
      </c>
      <c r="M359" s="115">
        <v>815.59</v>
      </c>
      <c r="N359" s="115">
        <v>855</v>
      </c>
      <c r="O359" s="115">
        <v>790.6</v>
      </c>
      <c r="P359" s="115">
        <v>798.2</v>
      </c>
      <c r="Q359" s="115">
        <v>4077.95</v>
      </c>
      <c r="R359">
        <v>21425</v>
      </c>
    </row>
    <row r="360" spans="1:18" x14ac:dyDescent="0.25">
      <c r="A360" s="169">
        <v>42531</v>
      </c>
      <c r="B360" s="115">
        <v>819.99</v>
      </c>
      <c r="C360" s="115">
        <v>810.12</v>
      </c>
      <c r="D360" s="115">
        <v>806.4</v>
      </c>
      <c r="E360" s="115">
        <v>819.99</v>
      </c>
      <c r="F360" s="115">
        <v>4050.6</v>
      </c>
      <c r="G360">
        <v>98</v>
      </c>
      <c r="H360" s="115"/>
      <c r="I360" s="115"/>
      <c r="L360" s="169">
        <v>42531</v>
      </c>
      <c r="M360" s="115">
        <v>806.45</v>
      </c>
      <c r="N360" s="115">
        <v>811.06</v>
      </c>
      <c r="O360" s="115">
        <v>799.29</v>
      </c>
      <c r="P360" s="115">
        <v>799.29</v>
      </c>
      <c r="Q360" s="115">
        <v>4032.25</v>
      </c>
      <c r="R360">
        <v>290</v>
      </c>
    </row>
    <row r="361" spans="1:18" x14ac:dyDescent="0.25">
      <c r="A361" s="169">
        <v>42534</v>
      </c>
      <c r="B361" s="115">
        <v>810</v>
      </c>
      <c r="C361" s="115">
        <v>809</v>
      </c>
      <c r="D361" s="115">
        <v>804</v>
      </c>
      <c r="E361" s="115">
        <v>804</v>
      </c>
      <c r="F361" s="115">
        <v>4045</v>
      </c>
      <c r="G361">
        <v>20153</v>
      </c>
      <c r="H361" s="115"/>
      <c r="I361" s="115"/>
      <c r="L361" s="169">
        <v>42534</v>
      </c>
      <c r="M361" s="115">
        <v>809</v>
      </c>
      <c r="N361" s="115">
        <v>815.61</v>
      </c>
      <c r="O361" s="115">
        <v>801</v>
      </c>
      <c r="P361" s="115">
        <v>802.99</v>
      </c>
      <c r="Q361" s="115">
        <v>4045</v>
      </c>
      <c r="R361">
        <v>25266</v>
      </c>
    </row>
    <row r="362" spans="1:18" x14ac:dyDescent="0.25">
      <c r="A362" s="169">
        <v>42535</v>
      </c>
      <c r="B362" s="115">
        <v>820</v>
      </c>
      <c r="C362" s="115">
        <v>807.71</v>
      </c>
      <c r="D362" s="115">
        <v>804.6</v>
      </c>
      <c r="E362" s="115">
        <v>820</v>
      </c>
      <c r="F362" s="115">
        <v>4038.55</v>
      </c>
      <c r="G362">
        <v>86</v>
      </c>
      <c r="H362" s="115"/>
      <c r="I362" s="115"/>
      <c r="L362" s="169">
        <v>42535</v>
      </c>
      <c r="M362" s="115">
        <v>802.82</v>
      </c>
      <c r="N362" s="115">
        <v>830.84</v>
      </c>
      <c r="O362" s="115">
        <v>800.66</v>
      </c>
      <c r="P362" s="115">
        <v>827.79</v>
      </c>
      <c r="Q362" s="115">
        <v>4014.1</v>
      </c>
      <c r="R362">
        <v>934</v>
      </c>
    </row>
    <row r="363" spans="1:18" x14ac:dyDescent="0.25">
      <c r="A363" s="169">
        <v>42536</v>
      </c>
      <c r="B363" s="115">
        <v>818</v>
      </c>
      <c r="C363" s="115">
        <v>803.44</v>
      </c>
      <c r="D363" s="115">
        <v>800.65</v>
      </c>
      <c r="E363" s="115">
        <v>810</v>
      </c>
      <c r="F363" s="115">
        <v>4017.2</v>
      </c>
      <c r="G363">
        <v>131</v>
      </c>
      <c r="H363" s="115"/>
      <c r="I363" s="115"/>
      <c r="L363" s="169">
        <v>42536</v>
      </c>
      <c r="M363" s="115">
        <v>802.7</v>
      </c>
      <c r="N363" s="115">
        <v>817.98</v>
      </c>
      <c r="O363" s="115">
        <v>797</v>
      </c>
      <c r="P363" s="115">
        <v>803.01</v>
      </c>
      <c r="Q363" s="115">
        <v>4013.5</v>
      </c>
      <c r="R363">
        <v>3223</v>
      </c>
    </row>
    <row r="364" spans="1:18" x14ac:dyDescent="0.25">
      <c r="A364" s="169">
        <v>42537</v>
      </c>
      <c r="B364" s="115">
        <v>812.41</v>
      </c>
      <c r="C364" s="115">
        <v>799.19</v>
      </c>
      <c r="D364" s="115">
        <v>796.01</v>
      </c>
      <c r="E364" s="115">
        <v>812.41</v>
      </c>
      <c r="F364" s="115">
        <v>3995.95</v>
      </c>
      <c r="G364">
        <v>145</v>
      </c>
      <c r="H364" s="115"/>
      <c r="I364" s="115"/>
      <c r="L364" s="169">
        <v>42537</v>
      </c>
      <c r="M364" s="115">
        <v>796.15</v>
      </c>
      <c r="N364" s="115">
        <v>813.97</v>
      </c>
      <c r="O364" s="115">
        <v>793.1</v>
      </c>
      <c r="P364" s="115">
        <v>805.01</v>
      </c>
      <c r="Q364" s="115">
        <v>3980.75</v>
      </c>
      <c r="R364">
        <v>1664</v>
      </c>
    </row>
    <row r="365" spans="1:18" x14ac:dyDescent="0.25">
      <c r="A365" s="169">
        <v>42538</v>
      </c>
      <c r="B365" s="115">
        <v>808.99</v>
      </c>
      <c r="C365" s="115">
        <v>790.21</v>
      </c>
      <c r="D365" s="115">
        <v>790.21</v>
      </c>
      <c r="E365" s="115">
        <v>808.99</v>
      </c>
      <c r="F365" s="115">
        <v>3951.05</v>
      </c>
      <c r="G365">
        <v>52</v>
      </c>
      <c r="H365" s="115"/>
      <c r="I365" s="115"/>
      <c r="L365" s="169">
        <v>42538</v>
      </c>
      <c r="M365" s="115">
        <v>796.82</v>
      </c>
      <c r="N365" s="115">
        <v>806.54</v>
      </c>
      <c r="O365" s="115">
        <v>792.01</v>
      </c>
      <c r="P365" s="115">
        <v>800.8</v>
      </c>
      <c r="Q365" s="115">
        <v>3984.1</v>
      </c>
      <c r="R365">
        <v>519</v>
      </c>
    </row>
    <row r="366" spans="1:18" x14ac:dyDescent="0.25">
      <c r="A366" s="169">
        <v>42541</v>
      </c>
      <c r="B366" s="115">
        <v>807</v>
      </c>
      <c r="C366" s="115">
        <v>794.39</v>
      </c>
      <c r="D366" s="115">
        <v>792</v>
      </c>
      <c r="E366" s="115">
        <v>804</v>
      </c>
      <c r="F366" s="115">
        <v>3971.95</v>
      </c>
      <c r="G366">
        <v>94</v>
      </c>
      <c r="H366" s="115"/>
      <c r="I366" s="115"/>
      <c r="L366" s="169">
        <v>42541</v>
      </c>
      <c r="M366" s="115">
        <v>791.85</v>
      </c>
      <c r="N366" s="115">
        <v>802.01</v>
      </c>
      <c r="O366" s="115">
        <v>790</v>
      </c>
      <c r="P366" s="115">
        <v>797.21</v>
      </c>
      <c r="Q366" s="115">
        <v>3959.25</v>
      </c>
      <c r="R366">
        <v>393</v>
      </c>
    </row>
    <row r="367" spans="1:18" x14ac:dyDescent="0.25">
      <c r="A367" s="169">
        <v>42542</v>
      </c>
      <c r="B367" s="115">
        <v>801.79</v>
      </c>
      <c r="C367" s="115">
        <v>791.74</v>
      </c>
      <c r="D367" s="115">
        <v>782.23</v>
      </c>
      <c r="E367" s="115">
        <v>801.79</v>
      </c>
      <c r="F367" s="115">
        <v>3958.7</v>
      </c>
      <c r="G367">
        <v>297</v>
      </c>
      <c r="H367" s="115"/>
      <c r="I367" s="115"/>
      <c r="L367" s="169">
        <v>42542</v>
      </c>
      <c r="M367" s="115">
        <v>790.06</v>
      </c>
      <c r="N367" s="115">
        <v>799.99</v>
      </c>
      <c r="O367" s="115">
        <v>784</v>
      </c>
      <c r="P367" s="115">
        <v>798</v>
      </c>
      <c r="Q367" s="115">
        <v>3950.3</v>
      </c>
      <c r="R367">
        <v>1177</v>
      </c>
    </row>
    <row r="368" spans="1:18" x14ac:dyDescent="0.25">
      <c r="A368" s="169">
        <v>42543</v>
      </c>
      <c r="B368" s="115">
        <v>794</v>
      </c>
      <c r="C368" s="115">
        <v>785.31</v>
      </c>
      <c r="D368" s="115">
        <v>782.2</v>
      </c>
      <c r="E368" s="115">
        <v>794</v>
      </c>
      <c r="F368" s="115">
        <v>3926.55</v>
      </c>
      <c r="G368">
        <v>31</v>
      </c>
      <c r="H368" s="115"/>
      <c r="I368" s="115"/>
      <c r="L368" s="169">
        <v>42543</v>
      </c>
      <c r="M368" s="115">
        <v>783.73</v>
      </c>
      <c r="N368" s="115">
        <v>797</v>
      </c>
      <c r="O368" s="115">
        <v>780.74</v>
      </c>
      <c r="P368" s="115">
        <v>797</v>
      </c>
      <c r="Q368" s="115">
        <v>3918.65</v>
      </c>
      <c r="R368">
        <v>207</v>
      </c>
    </row>
    <row r="369" spans="1:18" x14ac:dyDescent="0.25">
      <c r="A369" s="169">
        <v>42544</v>
      </c>
      <c r="B369" s="115">
        <v>813.79</v>
      </c>
      <c r="C369" s="115">
        <v>799.98</v>
      </c>
      <c r="D369" s="115">
        <v>786</v>
      </c>
      <c r="E369" s="115">
        <v>792</v>
      </c>
      <c r="F369" s="115">
        <v>3999.9</v>
      </c>
      <c r="G369">
        <v>15198</v>
      </c>
      <c r="H369" s="115"/>
      <c r="I369" s="115"/>
      <c r="L369" s="169">
        <v>42544</v>
      </c>
      <c r="M369" s="115">
        <v>789.47</v>
      </c>
      <c r="N369" s="115">
        <v>798</v>
      </c>
      <c r="O369" s="115">
        <v>780</v>
      </c>
      <c r="P369" s="115">
        <v>785</v>
      </c>
      <c r="Q369" s="115">
        <v>3947.35</v>
      </c>
      <c r="R369">
        <v>4369</v>
      </c>
    </row>
    <row r="370" spans="1:18" x14ac:dyDescent="0.25">
      <c r="A370" s="169">
        <v>42545</v>
      </c>
      <c r="B370" s="115">
        <v>798</v>
      </c>
      <c r="C370" s="115">
        <v>792</v>
      </c>
      <c r="D370" s="115">
        <v>772</v>
      </c>
      <c r="E370" s="115">
        <v>774</v>
      </c>
      <c r="F370" s="115">
        <v>3960</v>
      </c>
      <c r="G370">
        <v>174</v>
      </c>
      <c r="H370" s="115"/>
      <c r="I370" s="115"/>
      <c r="L370" s="169">
        <v>42545</v>
      </c>
      <c r="M370" s="115">
        <v>791.14</v>
      </c>
      <c r="N370" s="115">
        <v>797.8</v>
      </c>
      <c r="O370" s="115">
        <v>768.01</v>
      </c>
      <c r="P370" s="115">
        <v>780</v>
      </c>
      <c r="Q370" s="115">
        <v>3955.7</v>
      </c>
      <c r="R370">
        <v>2950</v>
      </c>
    </row>
    <row r="371" spans="1:18" x14ac:dyDescent="0.25">
      <c r="A371" s="169">
        <v>42548</v>
      </c>
      <c r="B371" s="115">
        <v>796</v>
      </c>
      <c r="C371" s="115">
        <v>796</v>
      </c>
      <c r="D371" s="115">
        <v>780.2</v>
      </c>
      <c r="E371" s="115">
        <v>791</v>
      </c>
      <c r="F371" s="115">
        <v>3980</v>
      </c>
      <c r="G371">
        <v>41</v>
      </c>
      <c r="H371" s="115"/>
      <c r="I371" s="115"/>
      <c r="L371" s="169">
        <v>42548</v>
      </c>
      <c r="M371" s="115">
        <v>792.63</v>
      </c>
      <c r="N371" s="115">
        <v>799.8</v>
      </c>
      <c r="O371" s="115">
        <v>784.4</v>
      </c>
      <c r="P371" s="115">
        <v>791.2</v>
      </c>
      <c r="Q371" s="115">
        <v>3963.15</v>
      </c>
      <c r="R371">
        <v>629</v>
      </c>
    </row>
    <row r="372" spans="1:18" x14ac:dyDescent="0.25">
      <c r="A372" s="169">
        <v>42549</v>
      </c>
      <c r="B372" s="115">
        <v>800.6</v>
      </c>
      <c r="C372" s="115">
        <v>800</v>
      </c>
      <c r="D372" s="115">
        <v>788.2</v>
      </c>
      <c r="E372" s="115">
        <v>793.99</v>
      </c>
      <c r="F372" s="115">
        <v>4000</v>
      </c>
      <c r="G372">
        <v>43</v>
      </c>
      <c r="H372" s="115"/>
      <c r="I372" s="115"/>
      <c r="L372" s="169">
        <v>42549</v>
      </c>
      <c r="M372" s="115">
        <v>799.96</v>
      </c>
      <c r="N372" s="115">
        <v>806.6</v>
      </c>
      <c r="O372" s="115">
        <v>784.4</v>
      </c>
      <c r="P372" s="115">
        <v>792.61</v>
      </c>
      <c r="Q372" s="115">
        <v>3999.8</v>
      </c>
      <c r="R372">
        <v>7961</v>
      </c>
    </row>
    <row r="373" spans="1:18" x14ac:dyDescent="0.25">
      <c r="A373" s="169">
        <v>42550</v>
      </c>
      <c r="B373" s="115">
        <v>830</v>
      </c>
      <c r="C373" s="115">
        <v>828.49</v>
      </c>
      <c r="D373" s="115">
        <v>803.77</v>
      </c>
      <c r="E373" s="115">
        <v>803.77</v>
      </c>
      <c r="F373" s="115">
        <v>4142.45</v>
      </c>
      <c r="G373">
        <v>144</v>
      </c>
      <c r="H373" s="115"/>
      <c r="I373" s="115"/>
      <c r="L373" s="169">
        <v>42550</v>
      </c>
      <c r="M373" s="115">
        <v>826.92</v>
      </c>
      <c r="N373" s="115">
        <v>840</v>
      </c>
      <c r="O373" s="115">
        <v>791</v>
      </c>
      <c r="P373" s="115">
        <v>800</v>
      </c>
      <c r="Q373" s="115">
        <v>4134.6000000000004</v>
      </c>
      <c r="R373">
        <v>2153</v>
      </c>
    </row>
    <row r="374" spans="1:18" x14ac:dyDescent="0.25">
      <c r="A374" s="169">
        <v>42551</v>
      </c>
      <c r="B374" s="115">
        <v>840</v>
      </c>
      <c r="C374" s="115">
        <v>822.08</v>
      </c>
      <c r="D374" s="115">
        <v>816.94</v>
      </c>
      <c r="E374" s="115">
        <v>816.94</v>
      </c>
      <c r="F374" s="115">
        <v>4110.3999999999996</v>
      </c>
      <c r="G374">
        <v>218</v>
      </c>
      <c r="H374" s="115"/>
      <c r="I374" s="115"/>
      <c r="L374" s="169">
        <v>42551</v>
      </c>
      <c r="M374" s="115">
        <v>824.88</v>
      </c>
      <c r="N374" s="115">
        <v>859.99</v>
      </c>
      <c r="O374" s="115">
        <v>820.6</v>
      </c>
      <c r="P374" s="115">
        <v>820.6</v>
      </c>
      <c r="Q374" s="115">
        <v>4124.3999999999996</v>
      </c>
      <c r="R374">
        <v>12190</v>
      </c>
    </row>
    <row r="375" spans="1:18" x14ac:dyDescent="0.25">
      <c r="A375" s="169">
        <v>42552</v>
      </c>
      <c r="B375" s="115">
        <v>826</v>
      </c>
      <c r="C375" s="115">
        <v>808.46</v>
      </c>
      <c r="D375" s="115">
        <v>802.23</v>
      </c>
      <c r="E375" s="115">
        <v>821.04</v>
      </c>
      <c r="F375" s="115">
        <v>4042.3</v>
      </c>
      <c r="G375">
        <v>43</v>
      </c>
      <c r="H375" s="115"/>
      <c r="I375" s="115"/>
      <c r="L375" s="169">
        <v>42552</v>
      </c>
      <c r="M375" s="115">
        <v>811.5</v>
      </c>
      <c r="N375" s="115">
        <v>836</v>
      </c>
      <c r="O375" s="115">
        <v>804</v>
      </c>
      <c r="P375" s="115">
        <v>826.8</v>
      </c>
      <c r="Q375" s="115">
        <v>4057.5</v>
      </c>
      <c r="R375">
        <v>724</v>
      </c>
    </row>
    <row r="376" spans="1:18" x14ac:dyDescent="0.25">
      <c r="A376" s="169">
        <v>42555</v>
      </c>
      <c r="B376" s="115">
        <v>820</v>
      </c>
      <c r="C376" s="115">
        <v>808.31</v>
      </c>
      <c r="D376" s="115">
        <v>802.2</v>
      </c>
      <c r="E376" s="115">
        <v>817.52</v>
      </c>
      <c r="F376" s="115">
        <v>4041.55</v>
      </c>
      <c r="G376">
        <v>515</v>
      </c>
      <c r="H376" s="115"/>
      <c r="I376" s="115"/>
      <c r="L376" s="169">
        <v>42555</v>
      </c>
      <c r="M376" s="115">
        <v>801.82</v>
      </c>
      <c r="N376" s="115">
        <v>820</v>
      </c>
      <c r="O376" s="115">
        <v>798.35</v>
      </c>
      <c r="P376" s="115">
        <v>814.8</v>
      </c>
      <c r="Q376" s="115">
        <v>4009.1</v>
      </c>
      <c r="R376">
        <v>6468</v>
      </c>
    </row>
    <row r="377" spans="1:18" x14ac:dyDescent="0.25">
      <c r="A377" s="169">
        <v>42556</v>
      </c>
      <c r="B377" s="115">
        <v>806.8</v>
      </c>
      <c r="C377" s="115">
        <v>804.88</v>
      </c>
      <c r="D377" s="115">
        <v>796</v>
      </c>
      <c r="E377" s="115">
        <v>802.2</v>
      </c>
      <c r="F377" s="115">
        <v>4024.4</v>
      </c>
      <c r="G377">
        <v>97</v>
      </c>
      <c r="H377" s="115"/>
      <c r="I377" s="115"/>
      <c r="L377" s="169">
        <v>42556</v>
      </c>
      <c r="M377" s="115">
        <v>802.99</v>
      </c>
      <c r="N377" s="115">
        <v>809</v>
      </c>
      <c r="O377" s="115">
        <v>791</v>
      </c>
      <c r="P377" s="115">
        <v>809</v>
      </c>
      <c r="Q377" s="115">
        <v>4014.95</v>
      </c>
      <c r="R377">
        <v>532</v>
      </c>
    </row>
    <row r="378" spans="1:18" x14ac:dyDescent="0.25">
      <c r="A378" s="169">
        <v>42558</v>
      </c>
      <c r="B378" s="115">
        <v>837.43</v>
      </c>
      <c r="C378" s="115">
        <v>808.08</v>
      </c>
      <c r="D378" s="115">
        <v>800</v>
      </c>
      <c r="E378" s="115">
        <v>800.5</v>
      </c>
      <c r="F378" s="115">
        <v>4040.4</v>
      </c>
      <c r="G378">
        <v>162</v>
      </c>
      <c r="H378" s="115"/>
      <c r="I378" s="115"/>
      <c r="L378" s="169">
        <v>42558</v>
      </c>
      <c r="M378" s="115">
        <v>809.67</v>
      </c>
      <c r="N378" s="115">
        <v>836</v>
      </c>
      <c r="O378" s="115">
        <v>797.08</v>
      </c>
      <c r="P378" s="115">
        <v>800.01</v>
      </c>
      <c r="Q378" s="115">
        <v>4048.35</v>
      </c>
      <c r="R378">
        <v>7499</v>
      </c>
    </row>
    <row r="379" spans="1:18" x14ac:dyDescent="0.25">
      <c r="A379" s="169">
        <v>42559</v>
      </c>
      <c r="B379" s="115">
        <v>813.86</v>
      </c>
      <c r="C379" s="115">
        <v>804.96</v>
      </c>
      <c r="D379" s="115">
        <v>796</v>
      </c>
      <c r="E379" s="115">
        <v>802</v>
      </c>
      <c r="F379" s="115">
        <v>4024.8</v>
      </c>
      <c r="G379">
        <v>10173</v>
      </c>
      <c r="H379" s="115"/>
      <c r="I379" s="115"/>
      <c r="L379" s="169">
        <v>42559</v>
      </c>
      <c r="M379" s="115">
        <v>800.18</v>
      </c>
      <c r="N379" s="115">
        <v>811.77</v>
      </c>
      <c r="O379" s="115">
        <v>796</v>
      </c>
      <c r="P379" s="115">
        <v>809.6</v>
      </c>
      <c r="Q379" s="115">
        <v>4000.9</v>
      </c>
      <c r="R379">
        <v>6188</v>
      </c>
    </row>
    <row r="380" spans="1:18" x14ac:dyDescent="0.25">
      <c r="A380" s="169">
        <v>42562</v>
      </c>
      <c r="B380" s="115">
        <v>828.8</v>
      </c>
      <c r="C380" s="115">
        <v>808</v>
      </c>
      <c r="D380" s="115">
        <v>800</v>
      </c>
      <c r="E380" s="115">
        <v>809.79</v>
      </c>
      <c r="F380" s="115">
        <v>4040</v>
      </c>
      <c r="G380">
        <v>211</v>
      </c>
      <c r="H380" s="115"/>
      <c r="I380" s="115"/>
      <c r="L380" s="169">
        <v>42562</v>
      </c>
      <c r="M380" s="115">
        <v>808.07</v>
      </c>
      <c r="N380" s="115">
        <v>824.8</v>
      </c>
      <c r="O380" s="115">
        <v>791.2</v>
      </c>
      <c r="P380" s="115">
        <v>800.21</v>
      </c>
      <c r="Q380" s="115">
        <v>4040.35</v>
      </c>
      <c r="R380">
        <v>2121</v>
      </c>
    </row>
    <row r="381" spans="1:18" x14ac:dyDescent="0.25">
      <c r="A381" s="169">
        <v>42563</v>
      </c>
      <c r="B381" s="115">
        <v>810</v>
      </c>
      <c r="C381" s="115">
        <v>801.51</v>
      </c>
      <c r="D381" s="115">
        <v>799</v>
      </c>
      <c r="E381" s="115">
        <v>808.34</v>
      </c>
      <c r="F381" s="115">
        <v>4007.55</v>
      </c>
      <c r="G381">
        <v>3287</v>
      </c>
      <c r="H381" s="115"/>
      <c r="I381" s="115"/>
      <c r="L381" s="169">
        <v>42563</v>
      </c>
      <c r="M381" s="115">
        <v>805.17</v>
      </c>
      <c r="N381" s="115">
        <v>818</v>
      </c>
      <c r="O381" s="115">
        <v>802</v>
      </c>
      <c r="P381" s="115">
        <v>808</v>
      </c>
      <c r="Q381" s="115">
        <v>4025.85</v>
      </c>
      <c r="R381">
        <v>629</v>
      </c>
    </row>
    <row r="382" spans="1:18" x14ac:dyDescent="0.25">
      <c r="A382" s="169">
        <v>42564</v>
      </c>
      <c r="B382" s="115">
        <v>812.2</v>
      </c>
      <c r="C382" s="115">
        <v>807.34</v>
      </c>
      <c r="D382" s="115">
        <v>801.2</v>
      </c>
      <c r="E382" s="115">
        <v>808.24</v>
      </c>
      <c r="F382" s="115">
        <v>4036.7</v>
      </c>
      <c r="G382">
        <v>44</v>
      </c>
      <c r="H382" s="115"/>
      <c r="I382" s="115"/>
      <c r="L382" s="169">
        <v>42564</v>
      </c>
      <c r="M382" s="115">
        <v>808.51</v>
      </c>
      <c r="N382" s="115">
        <v>817.9</v>
      </c>
      <c r="O382" s="115">
        <v>800.4</v>
      </c>
      <c r="P382" s="115">
        <v>805</v>
      </c>
      <c r="Q382" s="115">
        <v>4042.55</v>
      </c>
      <c r="R382">
        <v>1203</v>
      </c>
    </row>
    <row r="383" spans="1:18" x14ac:dyDescent="0.25">
      <c r="A383" s="169">
        <v>42565</v>
      </c>
      <c r="B383" s="115">
        <v>820.95</v>
      </c>
      <c r="C383" s="115">
        <v>816.01</v>
      </c>
      <c r="D383" s="115">
        <v>807.59</v>
      </c>
      <c r="E383" s="115">
        <v>820.95</v>
      </c>
      <c r="F383" s="115">
        <v>4080.05</v>
      </c>
      <c r="G383">
        <v>46</v>
      </c>
      <c r="H383" s="115"/>
      <c r="I383" s="115"/>
      <c r="L383" s="169">
        <v>42565</v>
      </c>
      <c r="M383" s="115">
        <v>819.73</v>
      </c>
      <c r="N383" s="115">
        <v>827.93</v>
      </c>
      <c r="O383" s="115">
        <v>808.04</v>
      </c>
      <c r="P383" s="115">
        <v>817.8</v>
      </c>
      <c r="Q383" s="115">
        <v>4098.6499999999996</v>
      </c>
      <c r="R383">
        <v>2517</v>
      </c>
    </row>
    <row r="384" spans="1:18" x14ac:dyDescent="0.25">
      <c r="A384" s="169">
        <v>42566</v>
      </c>
      <c r="B384" s="115">
        <v>820</v>
      </c>
      <c r="C384" s="115">
        <v>802.01</v>
      </c>
      <c r="D384" s="115">
        <v>802</v>
      </c>
      <c r="E384" s="115">
        <v>820</v>
      </c>
      <c r="F384" s="115">
        <v>4010.05</v>
      </c>
      <c r="G384">
        <v>85</v>
      </c>
      <c r="H384" s="115"/>
      <c r="I384" s="115"/>
      <c r="L384" s="169">
        <v>42566</v>
      </c>
      <c r="M384" s="115">
        <v>805.66</v>
      </c>
      <c r="N384" s="115">
        <v>822.37</v>
      </c>
      <c r="O384" s="115">
        <v>803</v>
      </c>
      <c r="P384" s="115">
        <v>819.73</v>
      </c>
      <c r="Q384" s="115">
        <v>4028.3</v>
      </c>
      <c r="R384">
        <v>6613</v>
      </c>
    </row>
    <row r="385" spans="1:18" x14ac:dyDescent="0.25">
      <c r="A385" s="169">
        <v>42569</v>
      </c>
      <c r="B385" s="115">
        <v>820</v>
      </c>
      <c r="C385" s="115">
        <v>800.22</v>
      </c>
      <c r="D385" s="115">
        <v>800</v>
      </c>
      <c r="E385" s="115">
        <v>802.21</v>
      </c>
      <c r="F385" s="115">
        <v>4001.1</v>
      </c>
      <c r="G385">
        <v>111</v>
      </c>
      <c r="H385" s="115"/>
      <c r="I385" s="115"/>
      <c r="L385" s="169">
        <v>42569</v>
      </c>
      <c r="M385" s="115">
        <v>801.9</v>
      </c>
      <c r="N385" s="115">
        <v>816.8</v>
      </c>
      <c r="O385" s="115">
        <v>800</v>
      </c>
      <c r="P385" s="115">
        <v>815.35</v>
      </c>
      <c r="Q385" s="115">
        <v>4009.5</v>
      </c>
      <c r="R385">
        <v>9244</v>
      </c>
    </row>
    <row r="386" spans="1:18" x14ac:dyDescent="0.25">
      <c r="A386" s="169">
        <v>42570</v>
      </c>
      <c r="B386" s="115">
        <v>813.41</v>
      </c>
      <c r="C386" s="115">
        <v>807.83</v>
      </c>
      <c r="D386" s="115">
        <v>794</v>
      </c>
      <c r="E386" s="115">
        <v>813.41</v>
      </c>
      <c r="F386" s="115">
        <v>4039.15</v>
      </c>
      <c r="G386">
        <v>80</v>
      </c>
      <c r="H386" s="115"/>
      <c r="I386" s="115"/>
      <c r="L386" s="169">
        <v>42570</v>
      </c>
      <c r="M386" s="115">
        <v>803.77</v>
      </c>
      <c r="N386" s="115">
        <v>810.04</v>
      </c>
      <c r="O386" s="115">
        <v>800</v>
      </c>
      <c r="P386" s="115">
        <v>806</v>
      </c>
      <c r="Q386" s="115">
        <v>4018.85</v>
      </c>
      <c r="R386">
        <v>692</v>
      </c>
    </row>
    <row r="387" spans="1:18" x14ac:dyDescent="0.25">
      <c r="A387" s="169">
        <v>42571</v>
      </c>
      <c r="B387" s="115">
        <v>811.01</v>
      </c>
      <c r="C387" s="115">
        <v>804.45</v>
      </c>
      <c r="D387" s="115">
        <v>804</v>
      </c>
      <c r="E387" s="115">
        <v>809</v>
      </c>
      <c r="F387" s="115">
        <v>4022.25</v>
      </c>
      <c r="G387">
        <v>54</v>
      </c>
      <c r="H387" s="115"/>
      <c r="I387" s="115"/>
      <c r="L387" s="169">
        <v>42571</v>
      </c>
      <c r="M387" s="115">
        <v>803.13</v>
      </c>
      <c r="N387" s="115">
        <v>811.4</v>
      </c>
      <c r="O387" s="115">
        <v>801.02</v>
      </c>
      <c r="P387" s="115">
        <v>811.4</v>
      </c>
      <c r="Q387" s="115">
        <v>4015.65</v>
      </c>
      <c r="R387">
        <v>3953</v>
      </c>
    </row>
    <row r="388" spans="1:18" x14ac:dyDescent="0.25">
      <c r="A388" s="169">
        <v>42572</v>
      </c>
      <c r="B388" s="115">
        <v>817.98</v>
      </c>
      <c r="C388" s="115">
        <v>813.99</v>
      </c>
      <c r="D388" s="115">
        <v>804</v>
      </c>
      <c r="E388" s="115">
        <v>810</v>
      </c>
      <c r="F388" s="115">
        <v>4069.95</v>
      </c>
      <c r="G388">
        <v>28</v>
      </c>
      <c r="H388" s="115"/>
      <c r="I388" s="115"/>
      <c r="L388" s="169">
        <v>42572</v>
      </c>
      <c r="M388" s="115">
        <v>813.87</v>
      </c>
      <c r="N388" s="115">
        <v>818</v>
      </c>
      <c r="O388" s="115">
        <v>804</v>
      </c>
      <c r="P388" s="115">
        <v>804</v>
      </c>
      <c r="Q388" s="115">
        <v>4069.35</v>
      </c>
      <c r="R388">
        <v>694</v>
      </c>
    </row>
    <row r="389" spans="1:18" x14ac:dyDescent="0.25">
      <c r="A389" s="169">
        <v>42573</v>
      </c>
      <c r="B389" s="115">
        <v>840</v>
      </c>
      <c r="C389" s="115">
        <v>816.89</v>
      </c>
      <c r="D389" s="115">
        <v>808.18</v>
      </c>
      <c r="E389" s="115">
        <v>840</v>
      </c>
      <c r="F389" s="115">
        <v>4084.45</v>
      </c>
      <c r="G389">
        <v>31</v>
      </c>
      <c r="H389" s="115"/>
      <c r="I389" s="115"/>
      <c r="L389" s="169">
        <v>42573</v>
      </c>
      <c r="M389" s="115">
        <v>818.56</v>
      </c>
      <c r="N389" s="115">
        <v>829</v>
      </c>
      <c r="O389" s="115">
        <v>813.8</v>
      </c>
      <c r="P389" s="115">
        <v>813.8</v>
      </c>
      <c r="Q389" s="115">
        <v>4092.8</v>
      </c>
      <c r="R389">
        <v>202</v>
      </c>
    </row>
    <row r="390" spans="1:18" x14ac:dyDescent="0.25">
      <c r="A390" s="169">
        <v>42576</v>
      </c>
      <c r="B390" s="115">
        <v>836</v>
      </c>
      <c r="C390" s="115">
        <v>818.55</v>
      </c>
      <c r="D390" s="115">
        <v>816</v>
      </c>
      <c r="E390" s="115">
        <v>827.2</v>
      </c>
      <c r="F390" s="115">
        <v>4092.75</v>
      </c>
      <c r="G390">
        <v>79</v>
      </c>
      <c r="H390" s="115"/>
      <c r="I390" s="115"/>
      <c r="L390" s="169">
        <v>42576</v>
      </c>
      <c r="M390" s="115">
        <v>820.03</v>
      </c>
      <c r="N390" s="115">
        <v>840</v>
      </c>
      <c r="O390" s="115">
        <v>815.2</v>
      </c>
      <c r="P390" s="115">
        <v>818.4</v>
      </c>
      <c r="Q390" s="115">
        <v>4100.1499999999996</v>
      </c>
      <c r="R390">
        <v>5579</v>
      </c>
    </row>
    <row r="391" spans="1:18" x14ac:dyDescent="0.25">
      <c r="A391" s="169">
        <v>42577</v>
      </c>
      <c r="B391" s="115">
        <v>837.6</v>
      </c>
      <c r="C391" s="115">
        <v>830.2</v>
      </c>
      <c r="D391" s="115">
        <v>826.45</v>
      </c>
      <c r="E391" s="115">
        <v>826.46</v>
      </c>
      <c r="F391" s="115">
        <v>4151</v>
      </c>
      <c r="G391">
        <v>76</v>
      </c>
      <c r="H391" s="115"/>
      <c r="I391" s="115"/>
      <c r="L391" s="169">
        <v>42577</v>
      </c>
      <c r="M391" s="115">
        <v>833.25</v>
      </c>
      <c r="N391" s="115">
        <v>838.99</v>
      </c>
      <c r="O391" s="115">
        <v>821.63</v>
      </c>
      <c r="P391" s="115">
        <v>821.63</v>
      </c>
      <c r="Q391" s="115">
        <v>4166.25</v>
      </c>
      <c r="R391">
        <v>589</v>
      </c>
    </row>
    <row r="392" spans="1:18" x14ac:dyDescent="0.25">
      <c r="A392" s="169">
        <v>42578</v>
      </c>
      <c r="B392" s="115">
        <v>841.8</v>
      </c>
      <c r="C392" s="115">
        <v>839.05</v>
      </c>
      <c r="D392" s="115">
        <v>830</v>
      </c>
      <c r="E392" s="115">
        <v>830</v>
      </c>
      <c r="F392" s="115">
        <v>4195.25</v>
      </c>
      <c r="G392">
        <v>483</v>
      </c>
      <c r="H392" s="115"/>
      <c r="I392" s="115"/>
      <c r="L392" s="169">
        <v>42578</v>
      </c>
      <c r="M392" s="115">
        <v>839.96</v>
      </c>
      <c r="N392" s="115">
        <v>840.8</v>
      </c>
      <c r="O392" s="115">
        <v>833</v>
      </c>
      <c r="P392" s="115">
        <v>833</v>
      </c>
      <c r="Q392" s="115">
        <v>4199.8</v>
      </c>
      <c r="R392">
        <v>536</v>
      </c>
    </row>
    <row r="393" spans="1:18" x14ac:dyDescent="0.25">
      <c r="A393" s="169">
        <v>42579</v>
      </c>
      <c r="B393" s="115">
        <v>852</v>
      </c>
      <c r="C393" s="115">
        <v>834.02</v>
      </c>
      <c r="D393" s="115">
        <v>825</v>
      </c>
      <c r="E393" s="115">
        <v>844.4</v>
      </c>
      <c r="F393" s="115">
        <v>4170.1000000000004</v>
      </c>
      <c r="G393">
        <v>569</v>
      </c>
      <c r="H393" s="115"/>
      <c r="I393" s="115"/>
      <c r="L393" s="169">
        <v>42579</v>
      </c>
      <c r="M393" s="115">
        <v>839.99</v>
      </c>
      <c r="N393" s="115">
        <v>854.8</v>
      </c>
      <c r="O393" s="115">
        <v>830.31</v>
      </c>
      <c r="P393" s="115">
        <v>839.8</v>
      </c>
      <c r="Q393" s="115">
        <v>4199.95</v>
      </c>
      <c r="R393">
        <v>23666</v>
      </c>
    </row>
    <row r="394" spans="1:18" x14ac:dyDescent="0.25">
      <c r="A394" s="169">
        <v>42580</v>
      </c>
      <c r="B394" s="115">
        <v>824</v>
      </c>
      <c r="C394" s="115">
        <v>816</v>
      </c>
      <c r="D394" s="115">
        <v>812.89</v>
      </c>
      <c r="E394" s="115">
        <v>824</v>
      </c>
      <c r="F394" s="115">
        <v>4080</v>
      </c>
      <c r="G394">
        <v>38</v>
      </c>
      <c r="H394" s="115"/>
      <c r="I394" s="115"/>
      <c r="L394" s="169">
        <v>42580</v>
      </c>
      <c r="M394" s="115">
        <v>815.27</v>
      </c>
      <c r="N394" s="115">
        <v>833.9</v>
      </c>
      <c r="O394" s="115">
        <v>811.01</v>
      </c>
      <c r="P394" s="115">
        <v>832.02</v>
      </c>
      <c r="Q394" s="115">
        <v>4076.35</v>
      </c>
      <c r="R394">
        <v>3308</v>
      </c>
    </row>
    <row r="395" spans="1:18" x14ac:dyDescent="0.25">
      <c r="A395" s="169">
        <v>42583</v>
      </c>
      <c r="B395" s="115">
        <v>814.55</v>
      </c>
      <c r="C395" s="115">
        <v>811.92</v>
      </c>
      <c r="D395" s="115">
        <v>806.01</v>
      </c>
      <c r="E395" s="115">
        <v>810.01</v>
      </c>
      <c r="F395" s="115">
        <v>4059.6</v>
      </c>
      <c r="G395">
        <v>92</v>
      </c>
      <c r="H395" s="115"/>
      <c r="I395" s="115"/>
      <c r="L395" s="169">
        <v>42583</v>
      </c>
      <c r="M395" s="115">
        <v>806.68</v>
      </c>
      <c r="N395" s="115">
        <v>847.6</v>
      </c>
      <c r="O395" s="115">
        <v>802.8</v>
      </c>
      <c r="P395" s="115">
        <v>829</v>
      </c>
      <c r="Q395" s="115">
        <v>4033.4</v>
      </c>
      <c r="R395">
        <v>1171</v>
      </c>
    </row>
    <row r="396" spans="1:18" x14ac:dyDescent="0.25">
      <c r="A396" s="169">
        <v>42584</v>
      </c>
      <c r="B396" s="115">
        <v>806.37</v>
      </c>
      <c r="C396" s="115">
        <v>805.2</v>
      </c>
      <c r="D396" s="115">
        <v>805</v>
      </c>
      <c r="E396" s="115">
        <v>805</v>
      </c>
      <c r="F396" s="115">
        <v>4026</v>
      </c>
      <c r="G396">
        <v>54</v>
      </c>
      <c r="H396" s="115"/>
      <c r="I396" s="115"/>
      <c r="L396" s="169">
        <v>42584</v>
      </c>
      <c r="M396" s="115">
        <v>807.9</v>
      </c>
      <c r="N396" s="115">
        <v>820</v>
      </c>
      <c r="O396" s="115">
        <v>807</v>
      </c>
      <c r="P396" s="115">
        <v>808.78</v>
      </c>
      <c r="Q396" s="115">
        <v>4039.5</v>
      </c>
      <c r="R396">
        <v>4178</v>
      </c>
    </row>
    <row r="397" spans="1:18" x14ac:dyDescent="0.25">
      <c r="A397" s="169">
        <v>42585</v>
      </c>
      <c r="B397" s="115">
        <v>818.65</v>
      </c>
      <c r="C397" s="115">
        <v>811</v>
      </c>
      <c r="D397" s="115">
        <v>810</v>
      </c>
      <c r="E397" s="115">
        <v>810</v>
      </c>
      <c r="F397" s="115">
        <v>4055</v>
      </c>
      <c r="G397">
        <v>26</v>
      </c>
      <c r="H397" s="115"/>
      <c r="I397" s="115"/>
      <c r="L397" s="169">
        <v>42585</v>
      </c>
      <c r="M397" s="115">
        <v>809.73</v>
      </c>
      <c r="N397" s="115">
        <v>814.99</v>
      </c>
      <c r="O397" s="115">
        <v>804.2</v>
      </c>
      <c r="P397" s="115">
        <v>808</v>
      </c>
      <c r="Q397" s="115">
        <v>4048.65</v>
      </c>
      <c r="R397">
        <v>3688</v>
      </c>
    </row>
    <row r="398" spans="1:18" x14ac:dyDescent="0.25">
      <c r="A398" s="169">
        <v>42586</v>
      </c>
      <c r="B398" s="115">
        <v>820</v>
      </c>
      <c r="C398" s="115">
        <v>810.91</v>
      </c>
      <c r="D398" s="115">
        <v>810</v>
      </c>
      <c r="E398" s="115">
        <v>811</v>
      </c>
      <c r="F398" s="115">
        <v>4054.55</v>
      </c>
      <c r="G398">
        <v>382</v>
      </c>
      <c r="H398" s="115"/>
      <c r="I398" s="115"/>
      <c r="L398" s="169">
        <v>42586</v>
      </c>
      <c r="M398" s="115">
        <v>813.99</v>
      </c>
      <c r="N398" s="115">
        <v>826.8</v>
      </c>
      <c r="O398" s="115">
        <v>804.01</v>
      </c>
      <c r="P398" s="115">
        <v>826.8</v>
      </c>
      <c r="Q398" s="115">
        <v>4069.95</v>
      </c>
      <c r="R398">
        <v>874</v>
      </c>
    </row>
    <row r="399" spans="1:18" x14ac:dyDescent="0.25">
      <c r="A399" s="169">
        <v>42587</v>
      </c>
      <c r="B399" s="115">
        <v>816</v>
      </c>
      <c r="C399" s="115">
        <v>814.05</v>
      </c>
      <c r="D399" s="115">
        <v>810</v>
      </c>
      <c r="E399" s="115">
        <v>812</v>
      </c>
      <c r="F399" s="115">
        <v>4070.25</v>
      </c>
      <c r="G399">
        <v>25124</v>
      </c>
      <c r="H399" s="115"/>
      <c r="I399" s="115"/>
      <c r="L399" s="169">
        <v>42587</v>
      </c>
      <c r="M399" s="115">
        <v>814.29</v>
      </c>
      <c r="N399" s="115">
        <v>818.54</v>
      </c>
      <c r="O399" s="115">
        <v>810</v>
      </c>
      <c r="P399" s="115">
        <v>813.8</v>
      </c>
      <c r="Q399" s="115">
        <v>4071.45</v>
      </c>
      <c r="R399">
        <v>1006</v>
      </c>
    </row>
    <row r="400" spans="1:18" x14ac:dyDescent="0.25">
      <c r="A400" s="169">
        <v>42590</v>
      </c>
      <c r="B400" s="115">
        <v>820.76</v>
      </c>
      <c r="C400" s="115">
        <v>810.2</v>
      </c>
      <c r="D400" s="115">
        <v>810.2</v>
      </c>
      <c r="E400" s="115">
        <v>820.76</v>
      </c>
      <c r="F400" s="115">
        <v>4051</v>
      </c>
      <c r="G400">
        <v>19032</v>
      </c>
      <c r="H400" s="115"/>
      <c r="I400" s="115"/>
      <c r="L400" s="169">
        <v>42590</v>
      </c>
      <c r="M400" s="115">
        <v>808.94</v>
      </c>
      <c r="N400" s="115">
        <v>818.8</v>
      </c>
      <c r="O400" s="115">
        <v>802.5</v>
      </c>
      <c r="P400" s="115">
        <v>814.2</v>
      </c>
      <c r="Q400" s="115">
        <v>4044.7</v>
      </c>
      <c r="R400">
        <v>373</v>
      </c>
    </row>
    <row r="401" spans="1:18" x14ac:dyDescent="0.25">
      <c r="A401" s="169">
        <v>42591</v>
      </c>
      <c r="B401" s="115">
        <v>810.2</v>
      </c>
      <c r="C401" s="115">
        <v>800.38</v>
      </c>
      <c r="D401" s="115">
        <v>800</v>
      </c>
      <c r="E401" s="115">
        <v>810.2</v>
      </c>
      <c r="F401" s="115">
        <v>4001.9</v>
      </c>
      <c r="G401">
        <v>299</v>
      </c>
      <c r="H401" s="115"/>
      <c r="I401" s="115"/>
      <c r="L401" s="169">
        <v>42591</v>
      </c>
      <c r="M401" s="115">
        <v>801.82</v>
      </c>
      <c r="N401" s="115">
        <v>810.01</v>
      </c>
      <c r="O401" s="115">
        <v>800.2</v>
      </c>
      <c r="P401" s="115">
        <v>808.8</v>
      </c>
      <c r="Q401" s="115">
        <v>4009.1</v>
      </c>
      <c r="R401">
        <v>1196</v>
      </c>
    </row>
    <row r="402" spans="1:18" x14ac:dyDescent="0.25">
      <c r="A402" s="169">
        <v>42592</v>
      </c>
      <c r="B402" s="115">
        <v>807.79</v>
      </c>
      <c r="C402" s="115">
        <v>796</v>
      </c>
      <c r="D402" s="115">
        <v>796</v>
      </c>
      <c r="E402" s="115">
        <v>807.79</v>
      </c>
      <c r="F402" s="115">
        <v>3980</v>
      </c>
      <c r="G402">
        <v>37</v>
      </c>
      <c r="H402" s="115"/>
      <c r="I402" s="115"/>
      <c r="L402" s="169">
        <v>42592</v>
      </c>
      <c r="M402" s="115">
        <v>801.29</v>
      </c>
      <c r="N402" s="115">
        <v>812.98</v>
      </c>
      <c r="O402" s="115">
        <v>793.78</v>
      </c>
      <c r="P402" s="115">
        <v>801.8</v>
      </c>
      <c r="Q402" s="115">
        <v>4006.45</v>
      </c>
      <c r="R402">
        <v>459</v>
      </c>
    </row>
    <row r="403" spans="1:18" x14ac:dyDescent="0.25">
      <c r="A403" s="169">
        <v>42593</v>
      </c>
      <c r="B403" s="115">
        <v>817.6</v>
      </c>
      <c r="C403" s="115">
        <v>797.08</v>
      </c>
      <c r="D403" s="115">
        <v>794</v>
      </c>
      <c r="E403" s="115">
        <v>817.6</v>
      </c>
      <c r="F403" s="115">
        <v>3985.4</v>
      </c>
      <c r="G403">
        <v>27496</v>
      </c>
      <c r="H403" s="115"/>
      <c r="I403" s="115"/>
      <c r="L403" s="169">
        <v>42593</v>
      </c>
      <c r="M403" s="115">
        <v>800.57</v>
      </c>
      <c r="N403" s="115">
        <v>804.52</v>
      </c>
      <c r="O403" s="115">
        <v>788.8</v>
      </c>
      <c r="P403" s="115">
        <v>801.2</v>
      </c>
      <c r="Q403" s="115">
        <v>4002.85</v>
      </c>
      <c r="R403">
        <v>957</v>
      </c>
    </row>
    <row r="404" spans="1:18" x14ac:dyDescent="0.25">
      <c r="A404" s="169">
        <v>42594</v>
      </c>
      <c r="B404" s="115">
        <v>817.6</v>
      </c>
      <c r="C404" s="115">
        <v>805.13</v>
      </c>
      <c r="D404" s="115">
        <v>799</v>
      </c>
      <c r="E404" s="115">
        <v>806.08</v>
      </c>
      <c r="F404" s="115">
        <v>4025.65</v>
      </c>
      <c r="G404">
        <v>138</v>
      </c>
      <c r="H404" s="115"/>
      <c r="I404" s="115"/>
      <c r="L404" s="169">
        <v>42594</v>
      </c>
      <c r="M404" s="115">
        <v>803.2</v>
      </c>
      <c r="N404" s="115">
        <v>810</v>
      </c>
      <c r="O404" s="115">
        <v>800</v>
      </c>
      <c r="P404" s="115">
        <v>801.48</v>
      </c>
      <c r="Q404" s="115">
        <v>4016</v>
      </c>
      <c r="R404">
        <v>457</v>
      </c>
    </row>
    <row r="405" spans="1:18" x14ac:dyDescent="0.25">
      <c r="A405" s="169">
        <v>42598</v>
      </c>
      <c r="B405" s="115">
        <v>822</v>
      </c>
      <c r="C405" s="115">
        <v>812.01</v>
      </c>
      <c r="D405" s="115">
        <v>805</v>
      </c>
      <c r="E405" s="115">
        <v>816.79</v>
      </c>
      <c r="F405" s="115">
        <v>4060.05</v>
      </c>
      <c r="G405">
        <v>88</v>
      </c>
      <c r="H405" s="115"/>
      <c r="I405" s="115"/>
      <c r="L405" s="169">
        <v>42598</v>
      </c>
      <c r="M405" s="115">
        <v>816.01</v>
      </c>
      <c r="N405" s="115">
        <v>824</v>
      </c>
      <c r="O405" s="115">
        <v>793.05</v>
      </c>
      <c r="P405" s="115">
        <v>803.2</v>
      </c>
      <c r="Q405" s="115">
        <v>4080.05</v>
      </c>
      <c r="R405">
        <v>1311</v>
      </c>
    </row>
    <row r="406" spans="1:18" x14ac:dyDescent="0.25">
      <c r="A406" s="169">
        <v>42599</v>
      </c>
      <c r="B406" s="115">
        <v>821</v>
      </c>
      <c r="C406" s="115">
        <v>811.58</v>
      </c>
      <c r="D406" s="115">
        <v>806.4</v>
      </c>
      <c r="E406" s="115">
        <v>819.8</v>
      </c>
      <c r="F406" s="115">
        <v>4057.9</v>
      </c>
      <c r="G406">
        <v>284</v>
      </c>
      <c r="H406" s="115"/>
      <c r="I406" s="115"/>
      <c r="L406" s="169">
        <v>42599</v>
      </c>
      <c r="M406" s="115">
        <v>804.77</v>
      </c>
      <c r="N406" s="115">
        <v>819.8</v>
      </c>
      <c r="O406" s="115">
        <v>802.2</v>
      </c>
      <c r="P406" s="115">
        <v>816</v>
      </c>
      <c r="Q406" s="115">
        <v>4023.85</v>
      </c>
      <c r="R406">
        <v>459</v>
      </c>
    </row>
    <row r="407" spans="1:18" x14ac:dyDescent="0.25">
      <c r="A407" s="169">
        <v>42600</v>
      </c>
      <c r="B407" s="115">
        <v>812.06</v>
      </c>
      <c r="C407" s="115">
        <v>811.52</v>
      </c>
      <c r="D407" s="115">
        <v>805</v>
      </c>
      <c r="E407" s="115">
        <v>812</v>
      </c>
      <c r="F407" s="115">
        <v>4057.6</v>
      </c>
      <c r="G407">
        <v>104</v>
      </c>
      <c r="H407" s="115"/>
      <c r="I407" s="115"/>
      <c r="L407" s="169">
        <v>42600</v>
      </c>
      <c r="M407" s="115">
        <v>810.4</v>
      </c>
      <c r="N407" s="115">
        <v>817.6</v>
      </c>
      <c r="O407" s="115">
        <v>800.74</v>
      </c>
      <c r="P407" s="115">
        <v>811</v>
      </c>
      <c r="Q407" s="115">
        <v>4052</v>
      </c>
      <c r="R407">
        <v>1123</v>
      </c>
    </row>
    <row r="408" spans="1:18" x14ac:dyDescent="0.25">
      <c r="A408" s="169">
        <v>42601</v>
      </c>
      <c r="B408" s="115">
        <v>820</v>
      </c>
      <c r="C408" s="115">
        <v>812</v>
      </c>
      <c r="D408" s="115">
        <v>793.13</v>
      </c>
      <c r="E408" s="115">
        <v>820</v>
      </c>
      <c r="F408" s="115">
        <v>4060</v>
      </c>
      <c r="G408">
        <v>224</v>
      </c>
      <c r="H408" s="115"/>
      <c r="I408" s="115"/>
      <c r="L408" s="169">
        <v>42601</v>
      </c>
      <c r="M408" s="115">
        <v>810.61</v>
      </c>
      <c r="N408" s="115">
        <v>815.97</v>
      </c>
      <c r="O408" s="115">
        <v>804.2</v>
      </c>
      <c r="P408" s="115">
        <v>812.2</v>
      </c>
      <c r="Q408" s="115">
        <v>4053.05</v>
      </c>
      <c r="R408">
        <v>273</v>
      </c>
    </row>
    <row r="409" spans="1:18" x14ac:dyDescent="0.25">
      <c r="A409" s="169">
        <v>42604</v>
      </c>
      <c r="B409" s="115">
        <v>810</v>
      </c>
      <c r="C409" s="115">
        <v>801.02</v>
      </c>
      <c r="D409" s="115">
        <v>799.99</v>
      </c>
      <c r="E409" s="115">
        <v>805</v>
      </c>
      <c r="F409" s="115">
        <v>4005.1</v>
      </c>
      <c r="G409">
        <v>118</v>
      </c>
      <c r="H409" s="115"/>
      <c r="I409" s="115"/>
      <c r="L409" s="169">
        <v>42604</v>
      </c>
      <c r="M409" s="115">
        <v>804.31</v>
      </c>
      <c r="N409" s="115">
        <v>812.4</v>
      </c>
      <c r="O409" s="115">
        <v>803</v>
      </c>
      <c r="P409" s="115">
        <v>804.51</v>
      </c>
      <c r="Q409" s="115">
        <v>4021.55</v>
      </c>
      <c r="R409">
        <v>3272</v>
      </c>
    </row>
    <row r="410" spans="1:18" x14ac:dyDescent="0.25">
      <c r="A410" s="169">
        <v>42605</v>
      </c>
      <c r="B410" s="115">
        <v>808.99</v>
      </c>
      <c r="C410" s="115">
        <v>801.4</v>
      </c>
      <c r="D410" s="115">
        <v>798</v>
      </c>
      <c r="E410" s="115">
        <v>804</v>
      </c>
      <c r="F410" s="115">
        <v>4007</v>
      </c>
      <c r="G410">
        <v>3210</v>
      </c>
      <c r="H410" s="115"/>
      <c r="I410" s="115"/>
      <c r="L410" s="169">
        <v>42605</v>
      </c>
      <c r="M410" s="115">
        <v>809.52</v>
      </c>
      <c r="N410" s="115">
        <v>820</v>
      </c>
      <c r="O410" s="115">
        <v>800.61</v>
      </c>
      <c r="P410" s="115">
        <v>804.2</v>
      </c>
      <c r="Q410" s="115">
        <v>4047.6</v>
      </c>
      <c r="R410">
        <v>766</v>
      </c>
    </row>
    <row r="411" spans="1:18" x14ac:dyDescent="0.25">
      <c r="A411" s="169">
        <v>42606</v>
      </c>
      <c r="B411" s="115">
        <v>820</v>
      </c>
      <c r="C411" s="115">
        <v>810.36</v>
      </c>
      <c r="D411" s="115">
        <v>800.2</v>
      </c>
      <c r="E411" s="115">
        <v>809.4</v>
      </c>
      <c r="F411" s="115">
        <v>4051.8</v>
      </c>
      <c r="G411">
        <v>1570</v>
      </c>
      <c r="H411" s="115"/>
      <c r="I411" s="115"/>
      <c r="L411" s="169">
        <v>42606</v>
      </c>
      <c r="M411" s="115">
        <v>814.26</v>
      </c>
      <c r="N411" s="115">
        <v>820</v>
      </c>
      <c r="O411" s="115">
        <v>803.2</v>
      </c>
      <c r="P411" s="115">
        <v>809.12</v>
      </c>
      <c r="Q411" s="115">
        <v>4071.3</v>
      </c>
      <c r="R411">
        <v>992</v>
      </c>
    </row>
    <row r="412" spans="1:18" x14ac:dyDescent="0.25">
      <c r="A412" s="169">
        <v>42607</v>
      </c>
      <c r="B412" s="115">
        <v>817</v>
      </c>
      <c r="C412" s="115">
        <v>814.87</v>
      </c>
      <c r="D412" s="115">
        <v>808.69</v>
      </c>
      <c r="E412" s="115">
        <v>815</v>
      </c>
      <c r="F412" s="115">
        <v>4074.35</v>
      </c>
      <c r="G412">
        <v>117</v>
      </c>
      <c r="H412" s="115"/>
      <c r="I412" s="115"/>
      <c r="L412" s="169">
        <v>42607</v>
      </c>
      <c r="M412" s="115">
        <v>817.77</v>
      </c>
      <c r="N412" s="115">
        <v>820</v>
      </c>
      <c r="O412" s="115">
        <v>810</v>
      </c>
      <c r="P412" s="115">
        <v>814</v>
      </c>
      <c r="Q412" s="115">
        <v>4088.85</v>
      </c>
      <c r="R412">
        <v>1991</v>
      </c>
    </row>
    <row r="413" spans="1:18" x14ac:dyDescent="0.25">
      <c r="A413" s="169">
        <v>42608</v>
      </c>
      <c r="B413" s="115">
        <v>820</v>
      </c>
      <c r="C413" s="115">
        <v>814.4</v>
      </c>
      <c r="D413" s="115">
        <v>804.03</v>
      </c>
      <c r="E413" s="115">
        <v>804.03</v>
      </c>
      <c r="F413" s="115">
        <v>4072</v>
      </c>
      <c r="G413">
        <v>41</v>
      </c>
      <c r="H413" s="115"/>
      <c r="I413" s="115"/>
      <c r="L413" s="169">
        <v>42608</v>
      </c>
      <c r="M413" s="115">
        <v>812.76</v>
      </c>
      <c r="N413" s="115">
        <v>820</v>
      </c>
      <c r="O413" s="115">
        <v>810.66</v>
      </c>
      <c r="P413" s="115">
        <v>810.66</v>
      </c>
      <c r="Q413" s="115">
        <v>4063.8</v>
      </c>
      <c r="R413">
        <v>523</v>
      </c>
    </row>
    <row r="414" spans="1:18" x14ac:dyDescent="0.25">
      <c r="A414" s="169">
        <v>42611</v>
      </c>
      <c r="B414" s="115">
        <v>824.77</v>
      </c>
      <c r="C414" s="115">
        <v>814</v>
      </c>
      <c r="D414" s="115">
        <v>808</v>
      </c>
      <c r="E414" s="115">
        <v>824.77</v>
      </c>
      <c r="F414" s="115">
        <v>4070</v>
      </c>
      <c r="G414">
        <v>150</v>
      </c>
      <c r="H414" s="115"/>
      <c r="I414" s="115"/>
      <c r="L414" s="169">
        <v>42611</v>
      </c>
      <c r="M414" s="115">
        <v>811.1</v>
      </c>
      <c r="N414" s="115">
        <v>843.68</v>
      </c>
      <c r="O414" s="115">
        <v>809</v>
      </c>
      <c r="P414" s="115">
        <v>812.6</v>
      </c>
      <c r="Q414" s="115">
        <v>4055.5</v>
      </c>
      <c r="R414">
        <v>1600</v>
      </c>
    </row>
    <row r="415" spans="1:18" x14ac:dyDescent="0.25">
      <c r="A415" s="169">
        <v>42612</v>
      </c>
      <c r="B415" s="115">
        <v>822.41</v>
      </c>
      <c r="C415" s="115">
        <v>815.89</v>
      </c>
      <c r="D415" s="115">
        <v>810</v>
      </c>
      <c r="E415" s="115">
        <v>815.2</v>
      </c>
      <c r="F415" s="115">
        <v>4079.45</v>
      </c>
      <c r="G415">
        <v>242</v>
      </c>
      <c r="H415" s="115"/>
      <c r="I415" s="115"/>
      <c r="L415" s="169">
        <v>42612</v>
      </c>
      <c r="M415" s="115">
        <v>815.62</v>
      </c>
      <c r="N415" s="115">
        <v>824.67</v>
      </c>
      <c r="O415" s="115">
        <v>811.06</v>
      </c>
      <c r="P415" s="115">
        <v>812.55</v>
      </c>
      <c r="Q415" s="115">
        <v>4078.1</v>
      </c>
      <c r="R415">
        <v>6181</v>
      </c>
    </row>
    <row r="416" spans="1:18" x14ac:dyDescent="0.25">
      <c r="A416" s="169">
        <v>42613</v>
      </c>
      <c r="B416" s="115">
        <v>818</v>
      </c>
      <c r="C416" s="115">
        <v>818</v>
      </c>
      <c r="D416" s="115">
        <v>805.81</v>
      </c>
      <c r="E416" s="115">
        <v>811.59</v>
      </c>
      <c r="F416" s="115">
        <v>4090</v>
      </c>
      <c r="G416">
        <v>61</v>
      </c>
      <c r="H416" s="115"/>
      <c r="I416" s="115"/>
      <c r="L416" s="169">
        <v>42613</v>
      </c>
      <c r="M416" s="115">
        <v>815.8</v>
      </c>
      <c r="N416" s="115">
        <v>818</v>
      </c>
      <c r="O416" s="115">
        <v>802.42</v>
      </c>
      <c r="P416" s="115">
        <v>815.62</v>
      </c>
      <c r="Q416" s="115">
        <v>4079</v>
      </c>
      <c r="R416">
        <v>12646</v>
      </c>
    </row>
    <row r="417" spans="1:18" x14ac:dyDescent="0.25">
      <c r="A417" s="169">
        <v>42614</v>
      </c>
      <c r="B417" s="115">
        <v>823</v>
      </c>
      <c r="C417" s="115">
        <v>808</v>
      </c>
      <c r="D417" s="115">
        <v>808</v>
      </c>
      <c r="E417" s="115">
        <v>820.17</v>
      </c>
      <c r="F417" s="115">
        <v>4040</v>
      </c>
      <c r="G417">
        <v>167</v>
      </c>
      <c r="H417" s="115"/>
      <c r="I417" s="115"/>
      <c r="L417" s="169">
        <v>42614</v>
      </c>
      <c r="M417" s="115">
        <v>808.81</v>
      </c>
      <c r="N417" s="115">
        <v>819.6</v>
      </c>
      <c r="O417" s="115">
        <v>806.42</v>
      </c>
      <c r="P417" s="115">
        <v>815.8</v>
      </c>
      <c r="Q417" s="115">
        <v>4044.05</v>
      </c>
      <c r="R417">
        <v>528</v>
      </c>
    </row>
    <row r="418" spans="1:18" x14ac:dyDescent="0.25">
      <c r="A418" s="169">
        <v>42615</v>
      </c>
      <c r="B418" s="115">
        <v>817.43</v>
      </c>
      <c r="C418" s="115">
        <v>810</v>
      </c>
      <c r="D418" s="115">
        <v>801</v>
      </c>
      <c r="E418" s="115">
        <v>817.39</v>
      </c>
      <c r="F418" s="115">
        <v>4050</v>
      </c>
      <c r="G418">
        <v>86</v>
      </c>
      <c r="H418" s="115"/>
      <c r="I418" s="115"/>
      <c r="L418" s="169">
        <v>42615</v>
      </c>
      <c r="M418" s="115">
        <v>810.08</v>
      </c>
      <c r="N418" s="115">
        <v>815</v>
      </c>
      <c r="O418" s="115">
        <v>802</v>
      </c>
      <c r="P418" s="115">
        <v>808.8</v>
      </c>
      <c r="Q418" s="115">
        <v>4050.4</v>
      </c>
      <c r="R418">
        <v>2209</v>
      </c>
    </row>
    <row r="419" spans="1:18" x14ac:dyDescent="0.25">
      <c r="A419" s="169">
        <v>42619</v>
      </c>
      <c r="B419" s="115">
        <v>819.39</v>
      </c>
      <c r="C419" s="115">
        <v>814.63</v>
      </c>
      <c r="D419" s="115">
        <v>810</v>
      </c>
      <c r="E419" s="115">
        <v>812</v>
      </c>
      <c r="F419" s="115">
        <v>4073.15</v>
      </c>
      <c r="G419">
        <v>333</v>
      </c>
      <c r="H419" s="115"/>
      <c r="I419" s="115"/>
      <c r="L419" s="169">
        <v>42619</v>
      </c>
      <c r="M419" s="115">
        <v>815.64</v>
      </c>
      <c r="N419" s="115">
        <v>816</v>
      </c>
      <c r="O419" s="115">
        <v>804.4</v>
      </c>
      <c r="P419" s="115">
        <v>810.2</v>
      </c>
      <c r="Q419" s="115">
        <v>4078.2</v>
      </c>
      <c r="R419">
        <v>1486</v>
      </c>
    </row>
    <row r="420" spans="1:18" x14ac:dyDescent="0.25">
      <c r="A420" s="169">
        <v>42620</v>
      </c>
      <c r="B420" s="115">
        <v>817.68</v>
      </c>
      <c r="C420" s="115">
        <v>815</v>
      </c>
      <c r="D420" s="115">
        <v>811</v>
      </c>
      <c r="E420" s="115">
        <v>811</v>
      </c>
      <c r="F420" s="115">
        <v>4075</v>
      </c>
      <c r="G420">
        <v>76</v>
      </c>
      <c r="H420" s="115"/>
      <c r="I420" s="115"/>
      <c r="L420" s="169">
        <v>42620</v>
      </c>
      <c r="M420" s="115">
        <v>814.06</v>
      </c>
      <c r="N420" s="115">
        <v>816</v>
      </c>
      <c r="O420" s="115">
        <v>807.69</v>
      </c>
      <c r="P420" s="115">
        <v>815.28</v>
      </c>
      <c r="Q420" s="115">
        <v>4070.3</v>
      </c>
      <c r="R420">
        <v>427</v>
      </c>
    </row>
    <row r="421" spans="1:18" x14ac:dyDescent="0.25">
      <c r="A421" s="169">
        <v>42621</v>
      </c>
      <c r="B421" s="115">
        <v>828</v>
      </c>
      <c r="C421" s="115">
        <v>820</v>
      </c>
      <c r="D421" s="115">
        <v>810</v>
      </c>
      <c r="E421" s="115">
        <v>818.68</v>
      </c>
      <c r="F421" s="115">
        <v>4100</v>
      </c>
      <c r="G421">
        <v>147</v>
      </c>
      <c r="H421" s="115"/>
      <c r="I421" s="115"/>
      <c r="L421" s="169">
        <v>42621</v>
      </c>
      <c r="M421" s="115">
        <v>819.96</v>
      </c>
      <c r="N421" s="115">
        <v>829</v>
      </c>
      <c r="O421" s="115">
        <v>810.2</v>
      </c>
      <c r="P421" s="115">
        <v>810.2</v>
      </c>
      <c r="Q421" s="115">
        <v>4099.8</v>
      </c>
      <c r="R421">
        <v>1633</v>
      </c>
    </row>
    <row r="422" spans="1:18" x14ac:dyDescent="0.25">
      <c r="A422" s="169">
        <v>42622</v>
      </c>
      <c r="B422" s="115">
        <v>834</v>
      </c>
      <c r="C422" s="115">
        <v>815.51</v>
      </c>
      <c r="D422" s="115">
        <v>804.2</v>
      </c>
      <c r="E422" s="115">
        <v>829.8</v>
      </c>
      <c r="F422" s="115">
        <v>4077.55</v>
      </c>
      <c r="G422">
        <v>163</v>
      </c>
      <c r="H422" s="115"/>
      <c r="I422" s="115"/>
      <c r="L422" s="169">
        <v>42622</v>
      </c>
      <c r="M422" s="115">
        <v>817.59</v>
      </c>
      <c r="N422" s="115">
        <v>840</v>
      </c>
      <c r="O422" s="115">
        <v>814</v>
      </c>
      <c r="P422" s="115">
        <v>818.71</v>
      </c>
      <c r="Q422" s="115">
        <v>4087.95</v>
      </c>
      <c r="R422">
        <v>897</v>
      </c>
    </row>
    <row r="423" spans="1:18" x14ac:dyDescent="0.25">
      <c r="A423" s="169">
        <v>42625</v>
      </c>
      <c r="B423" s="115">
        <v>819.78</v>
      </c>
      <c r="C423" s="115">
        <v>810.29</v>
      </c>
      <c r="D423" s="115">
        <v>808.02</v>
      </c>
      <c r="E423" s="115">
        <v>808.02</v>
      </c>
      <c r="F423" s="115">
        <v>4051.45</v>
      </c>
      <c r="G423">
        <v>172</v>
      </c>
      <c r="H423" s="115"/>
      <c r="I423" s="115"/>
      <c r="L423" s="169">
        <v>42625</v>
      </c>
      <c r="M423" s="115">
        <v>810.37</v>
      </c>
      <c r="N423" s="115">
        <v>820</v>
      </c>
      <c r="O423" s="115">
        <v>807.76</v>
      </c>
      <c r="P423" s="115">
        <v>820</v>
      </c>
      <c r="Q423" s="115">
        <v>4051.85</v>
      </c>
      <c r="R423">
        <v>396</v>
      </c>
    </row>
    <row r="424" spans="1:18" x14ac:dyDescent="0.25">
      <c r="A424" s="169">
        <v>42627</v>
      </c>
      <c r="B424" s="115">
        <v>813.8</v>
      </c>
      <c r="C424" s="115">
        <v>810.91</v>
      </c>
      <c r="D424" s="115">
        <v>806.4</v>
      </c>
      <c r="E424" s="115">
        <v>810</v>
      </c>
      <c r="F424" s="115">
        <v>4054.55</v>
      </c>
      <c r="G424">
        <v>75</v>
      </c>
      <c r="H424" s="115"/>
      <c r="I424" s="115"/>
      <c r="L424" s="169">
        <v>42627</v>
      </c>
      <c r="M424" s="115">
        <v>807.06</v>
      </c>
      <c r="N424" s="115">
        <v>819.99</v>
      </c>
      <c r="O424" s="115">
        <v>806.01</v>
      </c>
      <c r="P424" s="115">
        <v>810.2</v>
      </c>
      <c r="Q424" s="115">
        <v>4035.3</v>
      </c>
      <c r="R424">
        <v>5718</v>
      </c>
    </row>
    <row r="425" spans="1:18" x14ac:dyDescent="0.25">
      <c r="A425" s="169">
        <v>42628</v>
      </c>
      <c r="B425" s="115">
        <v>820</v>
      </c>
      <c r="C425" s="115">
        <v>817.75</v>
      </c>
      <c r="D425" s="115">
        <v>810</v>
      </c>
      <c r="E425" s="115">
        <v>815.49</v>
      </c>
      <c r="F425" s="115">
        <v>4088.75</v>
      </c>
      <c r="G425">
        <v>47</v>
      </c>
      <c r="H425" s="115"/>
      <c r="I425" s="115"/>
      <c r="L425" s="169">
        <v>42628</v>
      </c>
      <c r="M425" s="115">
        <v>812.61</v>
      </c>
      <c r="N425" s="115">
        <v>817.79</v>
      </c>
      <c r="O425" s="115">
        <v>807</v>
      </c>
      <c r="P425" s="115">
        <v>808.01</v>
      </c>
      <c r="Q425" s="115">
        <v>4063.05</v>
      </c>
      <c r="R425">
        <v>783</v>
      </c>
    </row>
    <row r="426" spans="1:18" x14ac:dyDescent="0.25">
      <c r="A426" s="169">
        <v>42629</v>
      </c>
      <c r="B426" s="115">
        <v>816.99</v>
      </c>
      <c r="C426" s="115">
        <v>804.49</v>
      </c>
      <c r="D426" s="115">
        <v>802.7</v>
      </c>
      <c r="E426" s="115">
        <v>816.99</v>
      </c>
      <c r="F426" s="115">
        <v>4022.45</v>
      </c>
      <c r="G426">
        <v>27</v>
      </c>
      <c r="H426" s="115"/>
      <c r="I426" s="115"/>
      <c r="L426" s="169">
        <v>42629</v>
      </c>
      <c r="M426" s="115">
        <v>806.67</v>
      </c>
      <c r="N426" s="115">
        <v>818.59</v>
      </c>
      <c r="O426" s="115">
        <v>800</v>
      </c>
      <c r="P426" s="115">
        <v>818.59</v>
      </c>
      <c r="Q426" s="115">
        <v>4033.35</v>
      </c>
      <c r="R426">
        <v>970</v>
      </c>
    </row>
    <row r="427" spans="1:18" x14ac:dyDescent="0.25">
      <c r="A427" s="169">
        <v>42632</v>
      </c>
      <c r="B427" s="115">
        <v>813.4</v>
      </c>
      <c r="C427" s="115">
        <v>806.25</v>
      </c>
      <c r="D427" s="115">
        <v>802.35</v>
      </c>
      <c r="E427" s="115">
        <v>813.4</v>
      </c>
      <c r="F427" s="115">
        <v>4031.25</v>
      </c>
      <c r="G427">
        <v>4122</v>
      </c>
      <c r="H427" s="115"/>
      <c r="I427" s="115"/>
      <c r="L427" s="169">
        <v>42632</v>
      </c>
      <c r="M427" s="115">
        <v>809.59</v>
      </c>
      <c r="N427" s="115">
        <v>812.99</v>
      </c>
      <c r="O427" s="115">
        <v>804.39</v>
      </c>
      <c r="P427" s="115">
        <v>806.88</v>
      </c>
      <c r="Q427" s="115">
        <v>4047.95</v>
      </c>
      <c r="R427">
        <v>4391</v>
      </c>
    </row>
    <row r="428" spans="1:18" x14ac:dyDescent="0.25">
      <c r="A428" s="169">
        <v>42633</v>
      </c>
      <c r="B428" s="115">
        <v>812.77</v>
      </c>
      <c r="C428" s="115">
        <v>804.01</v>
      </c>
      <c r="D428" s="115">
        <v>802.02</v>
      </c>
      <c r="E428" s="115">
        <v>812.77</v>
      </c>
      <c r="F428" s="115">
        <v>4020.05</v>
      </c>
      <c r="G428">
        <v>576</v>
      </c>
      <c r="H428" s="115"/>
      <c r="I428" s="115"/>
      <c r="L428" s="169">
        <v>42633</v>
      </c>
      <c r="M428" s="115">
        <v>808.62</v>
      </c>
      <c r="N428" s="115">
        <v>809.8</v>
      </c>
      <c r="O428" s="115">
        <v>803.8</v>
      </c>
      <c r="P428" s="115">
        <v>807.99</v>
      </c>
      <c r="Q428" s="115">
        <v>4043.1</v>
      </c>
      <c r="R428">
        <v>724</v>
      </c>
    </row>
    <row r="429" spans="1:18" x14ac:dyDescent="0.25">
      <c r="A429" s="169">
        <v>42634</v>
      </c>
      <c r="B429" s="115">
        <v>818.2</v>
      </c>
      <c r="C429" s="115">
        <v>807.43</v>
      </c>
      <c r="D429" s="115">
        <v>804.01</v>
      </c>
      <c r="E429" s="115">
        <v>818.2</v>
      </c>
      <c r="F429" s="115">
        <v>4037.15</v>
      </c>
      <c r="G429">
        <v>77</v>
      </c>
      <c r="H429" s="115"/>
      <c r="I429" s="115"/>
      <c r="L429" s="169">
        <v>42634</v>
      </c>
      <c r="M429" s="115">
        <v>810.43</v>
      </c>
      <c r="N429" s="115">
        <v>818</v>
      </c>
      <c r="O429" s="115">
        <v>807</v>
      </c>
      <c r="P429" s="115">
        <v>809</v>
      </c>
      <c r="Q429" s="115">
        <v>4052.15</v>
      </c>
      <c r="R429">
        <v>615</v>
      </c>
    </row>
    <row r="430" spans="1:18" x14ac:dyDescent="0.25">
      <c r="A430" s="169">
        <v>42635</v>
      </c>
      <c r="B430" s="115">
        <v>820.2</v>
      </c>
      <c r="C430" s="115">
        <v>812.55</v>
      </c>
      <c r="D430" s="115">
        <v>803.16</v>
      </c>
      <c r="E430" s="115">
        <v>803.16</v>
      </c>
      <c r="F430" s="115">
        <v>4062.75</v>
      </c>
      <c r="G430">
        <v>151</v>
      </c>
      <c r="H430" s="115"/>
      <c r="I430" s="115"/>
      <c r="L430" s="169">
        <v>42635</v>
      </c>
      <c r="M430" s="115">
        <v>812.6</v>
      </c>
      <c r="N430" s="115">
        <v>817.58</v>
      </c>
      <c r="O430" s="115">
        <v>806.32</v>
      </c>
      <c r="P430" s="115">
        <v>817.08</v>
      </c>
      <c r="Q430" s="115">
        <v>4063</v>
      </c>
      <c r="R430">
        <v>351</v>
      </c>
    </row>
    <row r="431" spans="1:18" x14ac:dyDescent="0.25">
      <c r="A431" s="169">
        <v>42636</v>
      </c>
      <c r="B431" s="115">
        <v>827.56</v>
      </c>
      <c r="C431" s="115">
        <v>817.01</v>
      </c>
      <c r="D431" s="115">
        <v>810</v>
      </c>
      <c r="E431" s="115">
        <v>810</v>
      </c>
      <c r="F431" s="115">
        <v>4085.05</v>
      </c>
      <c r="G431">
        <v>77</v>
      </c>
      <c r="H431" s="115"/>
      <c r="I431" s="115"/>
      <c r="L431" s="169">
        <v>42636</v>
      </c>
      <c r="M431" s="115">
        <v>813.73</v>
      </c>
      <c r="N431" s="115">
        <v>825.8</v>
      </c>
      <c r="O431" s="115">
        <v>812.6</v>
      </c>
      <c r="P431" s="115">
        <v>812.6</v>
      </c>
      <c r="Q431" s="115">
        <v>4068.65</v>
      </c>
      <c r="R431">
        <v>738</v>
      </c>
    </row>
    <row r="432" spans="1:18" x14ac:dyDescent="0.25">
      <c r="A432" s="169">
        <v>42639</v>
      </c>
      <c r="B432" s="115">
        <v>823.74</v>
      </c>
      <c r="C432" s="115">
        <v>813.11</v>
      </c>
      <c r="D432" s="115">
        <v>804</v>
      </c>
      <c r="E432" s="115">
        <v>806</v>
      </c>
      <c r="F432" s="115">
        <v>4065.55</v>
      </c>
      <c r="G432">
        <v>55</v>
      </c>
      <c r="H432" s="115"/>
      <c r="I432" s="115"/>
      <c r="L432" s="169">
        <v>42639</v>
      </c>
      <c r="M432" s="115">
        <v>806.73</v>
      </c>
      <c r="N432" s="115">
        <v>820</v>
      </c>
      <c r="O432" s="115">
        <v>801</v>
      </c>
      <c r="P432" s="115">
        <v>813.6</v>
      </c>
      <c r="Q432" s="115">
        <v>4033.65</v>
      </c>
      <c r="R432">
        <v>393</v>
      </c>
    </row>
    <row r="433" spans="1:18" x14ac:dyDescent="0.25">
      <c r="A433" s="169">
        <v>42640</v>
      </c>
      <c r="B433" s="115">
        <v>816.16</v>
      </c>
      <c r="C433" s="115">
        <v>802.02</v>
      </c>
      <c r="D433" s="115">
        <v>802.02</v>
      </c>
      <c r="E433" s="115">
        <v>813.25</v>
      </c>
      <c r="F433" s="115">
        <v>4010.1</v>
      </c>
      <c r="G433">
        <v>127</v>
      </c>
      <c r="H433" s="115"/>
      <c r="I433" s="115"/>
      <c r="L433" s="169">
        <v>42640</v>
      </c>
      <c r="M433" s="115">
        <v>807.9</v>
      </c>
      <c r="N433" s="115">
        <v>810</v>
      </c>
      <c r="O433" s="115">
        <v>802.5</v>
      </c>
      <c r="P433" s="115">
        <v>806.6</v>
      </c>
      <c r="Q433" s="115">
        <v>4039.5</v>
      </c>
      <c r="R433">
        <v>489</v>
      </c>
    </row>
    <row r="434" spans="1:18" x14ac:dyDescent="0.25">
      <c r="A434" s="169">
        <v>42641</v>
      </c>
      <c r="B434" s="115">
        <v>815</v>
      </c>
      <c r="C434" s="115">
        <v>807.01</v>
      </c>
      <c r="D434" s="115">
        <v>806</v>
      </c>
      <c r="E434" s="115">
        <v>807</v>
      </c>
      <c r="F434" s="115">
        <v>4035.05</v>
      </c>
      <c r="G434">
        <v>61</v>
      </c>
      <c r="H434" s="115"/>
      <c r="I434" s="115"/>
      <c r="L434" s="169">
        <v>42641</v>
      </c>
      <c r="M434" s="115">
        <v>810.03</v>
      </c>
      <c r="N434" s="115">
        <v>819.8</v>
      </c>
      <c r="O434" s="115">
        <v>806.94</v>
      </c>
      <c r="P434" s="115">
        <v>814.6</v>
      </c>
      <c r="Q434" s="115">
        <v>4050.15</v>
      </c>
      <c r="R434">
        <v>2105</v>
      </c>
    </row>
    <row r="435" spans="1:18" x14ac:dyDescent="0.25">
      <c r="A435" s="169">
        <v>42642</v>
      </c>
      <c r="B435" s="115">
        <v>816.79</v>
      </c>
      <c r="C435" s="115">
        <v>808.54</v>
      </c>
      <c r="D435" s="115">
        <v>804.4</v>
      </c>
      <c r="E435" s="115">
        <v>815.99</v>
      </c>
      <c r="F435" s="115">
        <v>4042.7</v>
      </c>
      <c r="G435">
        <v>94</v>
      </c>
      <c r="H435" s="115"/>
      <c r="I435" s="115"/>
      <c r="L435" s="169">
        <v>42642</v>
      </c>
      <c r="M435" s="115">
        <v>809.48</v>
      </c>
      <c r="N435" s="115">
        <v>815.81</v>
      </c>
      <c r="O435" s="115">
        <v>803</v>
      </c>
      <c r="P435" s="115">
        <v>810</v>
      </c>
      <c r="Q435" s="115">
        <v>4047.4</v>
      </c>
      <c r="R435">
        <v>726</v>
      </c>
    </row>
    <row r="436" spans="1:18" x14ac:dyDescent="0.25">
      <c r="A436" s="169">
        <v>42643</v>
      </c>
      <c r="B436" s="115">
        <v>823.19</v>
      </c>
      <c r="C436" s="115">
        <v>816.76</v>
      </c>
      <c r="D436" s="115">
        <v>803</v>
      </c>
      <c r="E436" s="115">
        <v>803.52</v>
      </c>
      <c r="F436" s="115">
        <v>4083.8</v>
      </c>
      <c r="G436">
        <v>275</v>
      </c>
      <c r="H436" s="115"/>
      <c r="I436" s="115"/>
      <c r="L436" s="169">
        <v>42643</v>
      </c>
      <c r="M436" s="115">
        <v>818.27</v>
      </c>
      <c r="N436" s="115">
        <v>829.97</v>
      </c>
      <c r="O436" s="115">
        <v>802.83</v>
      </c>
      <c r="P436" s="115">
        <v>809.4</v>
      </c>
      <c r="Q436" s="115">
        <v>4091.35</v>
      </c>
      <c r="R436">
        <v>2844</v>
      </c>
    </row>
    <row r="437" spans="1:18" x14ac:dyDescent="0.25">
      <c r="A437" s="169">
        <v>42646</v>
      </c>
      <c r="B437" s="115">
        <v>834</v>
      </c>
      <c r="C437" s="115">
        <v>826.8</v>
      </c>
      <c r="D437" s="115">
        <v>809</v>
      </c>
      <c r="E437" s="115">
        <v>825.44</v>
      </c>
      <c r="F437" s="115">
        <v>4134</v>
      </c>
      <c r="G437">
        <v>184</v>
      </c>
      <c r="H437" s="115"/>
      <c r="I437" s="115"/>
      <c r="L437" s="169">
        <v>42646</v>
      </c>
      <c r="M437" s="115">
        <v>820.71</v>
      </c>
      <c r="N437" s="115">
        <v>826</v>
      </c>
      <c r="O437" s="115">
        <v>810</v>
      </c>
      <c r="P437" s="115">
        <v>818.2</v>
      </c>
      <c r="Q437" s="115">
        <v>4103.55</v>
      </c>
      <c r="R437">
        <v>53593</v>
      </c>
    </row>
    <row r="438" spans="1:18" x14ac:dyDescent="0.25">
      <c r="A438" s="169">
        <v>42647</v>
      </c>
      <c r="B438" s="115">
        <v>840</v>
      </c>
      <c r="C438" s="115">
        <v>823.8</v>
      </c>
      <c r="D438" s="115">
        <v>814</v>
      </c>
      <c r="E438" s="115">
        <v>839</v>
      </c>
      <c r="F438" s="115">
        <v>4119</v>
      </c>
      <c r="G438">
        <v>237</v>
      </c>
      <c r="H438" s="115"/>
      <c r="I438" s="115"/>
      <c r="L438" s="169">
        <v>42647</v>
      </c>
      <c r="M438" s="115">
        <v>818.82</v>
      </c>
      <c r="N438" s="115">
        <v>841.8</v>
      </c>
      <c r="O438" s="115">
        <v>810</v>
      </c>
      <c r="P438" s="115">
        <v>821.2</v>
      </c>
      <c r="Q438" s="115">
        <v>4094.1</v>
      </c>
      <c r="R438">
        <v>6236</v>
      </c>
    </row>
    <row r="439" spans="1:18" x14ac:dyDescent="0.25">
      <c r="A439" s="169">
        <v>42648</v>
      </c>
      <c r="B439" s="115">
        <v>840</v>
      </c>
      <c r="C439" s="115">
        <v>824.06</v>
      </c>
      <c r="D439" s="115">
        <v>813</v>
      </c>
      <c r="E439" s="115">
        <v>840</v>
      </c>
      <c r="F439" s="115">
        <v>4120.3</v>
      </c>
      <c r="G439">
        <v>45310</v>
      </c>
      <c r="H439" s="115"/>
      <c r="I439" s="115"/>
      <c r="L439" s="169">
        <v>42648</v>
      </c>
      <c r="M439" s="115">
        <v>823.33</v>
      </c>
      <c r="N439" s="115">
        <v>844.6</v>
      </c>
      <c r="O439" s="115">
        <v>810.21</v>
      </c>
      <c r="P439" s="115">
        <v>819</v>
      </c>
      <c r="Q439" s="115">
        <v>4116.6499999999996</v>
      </c>
      <c r="R439">
        <v>991</v>
      </c>
    </row>
    <row r="440" spans="1:18" x14ac:dyDescent="0.25">
      <c r="A440" s="169">
        <v>42649</v>
      </c>
      <c r="B440" s="115">
        <v>841</v>
      </c>
      <c r="C440" s="115">
        <v>830.2</v>
      </c>
      <c r="D440" s="115">
        <v>828.61</v>
      </c>
      <c r="E440" s="115">
        <v>841</v>
      </c>
      <c r="F440" s="115">
        <v>4151</v>
      </c>
      <c r="G440">
        <v>114</v>
      </c>
      <c r="H440" s="115"/>
      <c r="I440" s="115"/>
      <c r="L440" s="169">
        <v>42649</v>
      </c>
      <c r="M440" s="115">
        <v>836.26</v>
      </c>
      <c r="N440" s="115">
        <v>840.6</v>
      </c>
      <c r="O440" s="115">
        <v>828.86</v>
      </c>
      <c r="P440" s="115">
        <v>828.86</v>
      </c>
      <c r="Q440" s="115">
        <v>4181.3</v>
      </c>
      <c r="R440">
        <v>649</v>
      </c>
    </row>
    <row r="441" spans="1:18" x14ac:dyDescent="0.25">
      <c r="A441" s="169">
        <v>42650</v>
      </c>
      <c r="B441" s="115">
        <v>838.99</v>
      </c>
      <c r="C441" s="115">
        <v>826.33</v>
      </c>
      <c r="D441" s="115">
        <v>818</v>
      </c>
      <c r="E441" s="115">
        <v>830</v>
      </c>
      <c r="F441" s="115">
        <v>4131.6499999999996</v>
      </c>
      <c r="G441">
        <v>130</v>
      </c>
      <c r="H441" s="115"/>
      <c r="I441" s="115"/>
      <c r="L441" s="169">
        <v>42650</v>
      </c>
      <c r="M441" s="115">
        <v>825.92</v>
      </c>
      <c r="N441" s="115">
        <v>844.2</v>
      </c>
      <c r="O441" s="115">
        <v>824.64</v>
      </c>
      <c r="P441" s="115">
        <v>844.2</v>
      </c>
      <c r="Q441" s="115">
        <v>4129.6000000000004</v>
      </c>
      <c r="R441">
        <v>403</v>
      </c>
    </row>
    <row r="442" spans="1:18" x14ac:dyDescent="0.25">
      <c r="A442" s="169">
        <v>42653</v>
      </c>
      <c r="B442" s="115">
        <v>840</v>
      </c>
      <c r="C442" s="115">
        <v>831.84</v>
      </c>
      <c r="D442" s="115">
        <v>830</v>
      </c>
      <c r="E442" s="115">
        <v>835.18</v>
      </c>
      <c r="F442" s="115">
        <v>4159.2</v>
      </c>
      <c r="G442">
        <v>1382</v>
      </c>
      <c r="H442" s="115"/>
      <c r="I442" s="115"/>
      <c r="L442" s="169">
        <v>42653</v>
      </c>
      <c r="M442" s="115">
        <v>827.74</v>
      </c>
      <c r="N442" s="115">
        <v>839.99</v>
      </c>
      <c r="O442" s="115">
        <v>824.01</v>
      </c>
      <c r="P442" s="115">
        <v>839.99</v>
      </c>
      <c r="Q442" s="115">
        <v>4138.7</v>
      </c>
      <c r="R442">
        <v>1753</v>
      </c>
    </row>
    <row r="443" spans="1:18" x14ac:dyDescent="0.25">
      <c r="A443" s="169">
        <v>42656</v>
      </c>
      <c r="B443" s="115">
        <v>838</v>
      </c>
      <c r="C443" s="115">
        <v>828.54</v>
      </c>
      <c r="D443" s="115">
        <v>820</v>
      </c>
      <c r="E443" s="115">
        <v>833</v>
      </c>
      <c r="F443" s="115">
        <v>4142.7</v>
      </c>
      <c r="G443">
        <v>100</v>
      </c>
      <c r="H443" s="115"/>
      <c r="I443" s="115"/>
      <c r="L443" s="169">
        <v>42656</v>
      </c>
      <c r="M443" s="115">
        <v>829.3</v>
      </c>
      <c r="N443" s="115">
        <v>834</v>
      </c>
      <c r="O443" s="115">
        <v>813.4</v>
      </c>
      <c r="P443" s="115">
        <v>832.4</v>
      </c>
      <c r="Q443" s="115">
        <v>4146.5</v>
      </c>
      <c r="R443">
        <v>2002</v>
      </c>
    </row>
    <row r="444" spans="1:18" x14ac:dyDescent="0.25">
      <c r="A444" s="169">
        <v>42657</v>
      </c>
      <c r="B444" s="115">
        <v>842</v>
      </c>
      <c r="C444" s="115">
        <v>836.57</v>
      </c>
      <c r="D444" s="115">
        <v>826</v>
      </c>
      <c r="E444" s="115">
        <v>826</v>
      </c>
      <c r="F444" s="115">
        <v>4182.8500000000004</v>
      </c>
      <c r="G444">
        <v>62</v>
      </c>
      <c r="H444" s="115"/>
      <c r="I444" s="115"/>
      <c r="L444" s="169">
        <v>42657</v>
      </c>
      <c r="M444" s="115">
        <v>840</v>
      </c>
      <c r="N444" s="115">
        <v>842.4</v>
      </c>
      <c r="O444" s="115">
        <v>823.6</v>
      </c>
      <c r="P444" s="115">
        <v>834.72</v>
      </c>
      <c r="Q444" s="115">
        <v>4200</v>
      </c>
      <c r="R444">
        <v>3067</v>
      </c>
    </row>
    <row r="445" spans="1:18" x14ac:dyDescent="0.25">
      <c r="A445" s="169">
        <v>42660</v>
      </c>
      <c r="B445" s="115">
        <v>859.8</v>
      </c>
      <c r="C445" s="115">
        <v>837.58</v>
      </c>
      <c r="D445" s="115">
        <v>834</v>
      </c>
      <c r="E445" s="115">
        <v>847</v>
      </c>
      <c r="F445" s="115">
        <v>4187.8999999999996</v>
      </c>
      <c r="G445">
        <v>745</v>
      </c>
      <c r="H445" s="115"/>
      <c r="I445" s="115"/>
      <c r="L445" s="169">
        <v>42660</v>
      </c>
      <c r="M445" s="115">
        <v>841.85</v>
      </c>
      <c r="N445" s="115">
        <v>864</v>
      </c>
      <c r="O445" s="115">
        <v>834</v>
      </c>
      <c r="P445" s="115">
        <v>850</v>
      </c>
      <c r="Q445" s="115">
        <v>4209.25</v>
      </c>
      <c r="R445">
        <v>5854</v>
      </c>
    </row>
    <row r="446" spans="1:18" x14ac:dyDescent="0.25">
      <c r="A446" s="169">
        <v>42661</v>
      </c>
      <c r="B446" s="115">
        <v>851.79</v>
      </c>
      <c r="C446" s="115">
        <v>840.04</v>
      </c>
      <c r="D446" s="115">
        <v>835</v>
      </c>
      <c r="E446" s="115">
        <v>845.98</v>
      </c>
      <c r="F446" s="115">
        <v>4200.2</v>
      </c>
      <c r="G446">
        <v>12744</v>
      </c>
      <c r="H446" s="115"/>
      <c r="I446" s="115"/>
      <c r="L446" s="169">
        <v>42661</v>
      </c>
      <c r="M446" s="115">
        <v>842.65</v>
      </c>
      <c r="N446" s="115">
        <v>847</v>
      </c>
      <c r="O446" s="115">
        <v>837</v>
      </c>
      <c r="P446" s="115">
        <v>841.8</v>
      </c>
      <c r="Q446" s="115">
        <v>4213.25</v>
      </c>
      <c r="R446">
        <v>1077</v>
      </c>
    </row>
    <row r="447" spans="1:18" x14ac:dyDescent="0.25">
      <c r="A447" s="169">
        <v>42662</v>
      </c>
      <c r="B447" s="115">
        <v>880</v>
      </c>
      <c r="C447" s="115">
        <v>865.84</v>
      </c>
      <c r="D447" s="115">
        <v>850</v>
      </c>
      <c r="E447" s="115">
        <v>852.79</v>
      </c>
      <c r="F447" s="115">
        <v>4329.2</v>
      </c>
      <c r="G447">
        <v>642</v>
      </c>
      <c r="H447" s="115"/>
      <c r="I447" s="115"/>
      <c r="L447" s="169">
        <v>42662</v>
      </c>
      <c r="M447" s="115">
        <v>868.46</v>
      </c>
      <c r="N447" s="115">
        <v>885</v>
      </c>
      <c r="O447" s="115">
        <v>840.5</v>
      </c>
      <c r="P447" s="115">
        <v>842.6</v>
      </c>
      <c r="Q447" s="115">
        <v>4342.3</v>
      </c>
      <c r="R447">
        <v>4943</v>
      </c>
    </row>
    <row r="448" spans="1:18" x14ac:dyDescent="0.25">
      <c r="A448" s="169">
        <v>42663</v>
      </c>
      <c r="B448" s="115">
        <v>886.95</v>
      </c>
      <c r="C448" s="115">
        <v>870.2</v>
      </c>
      <c r="D448" s="115">
        <v>870.2</v>
      </c>
      <c r="E448" s="115">
        <v>876</v>
      </c>
      <c r="F448" s="115">
        <v>4351</v>
      </c>
      <c r="G448">
        <v>94</v>
      </c>
      <c r="H448" s="115"/>
      <c r="I448" s="115"/>
      <c r="L448" s="169">
        <v>42663</v>
      </c>
      <c r="M448" s="115">
        <v>873.93</v>
      </c>
      <c r="N448" s="115">
        <v>883.2</v>
      </c>
      <c r="O448" s="115">
        <v>867</v>
      </c>
      <c r="P448" s="115">
        <v>879.73</v>
      </c>
      <c r="Q448" s="115">
        <v>4369.6499999999996</v>
      </c>
      <c r="R448">
        <v>1926</v>
      </c>
    </row>
    <row r="449" spans="1:18" x14ac:dyDescent="0.25">
      <c r="A449" s="169">
        <v>42664</v>
      </c>
      <c r="B449" s="115">
        <v>879.8</v>
      </c>
      <c r="C449" s="115">
        <v>878.03</v>
      </c>
      <c r="D449" s="115">
        <v>864</v>
      </c>
      <c r="E449" s="115">
        <v>875.65</v>
      </c>
      <c r="F449" s="115">
        <v>4390.1499999999996</v>
      </c>
      <c r="G449">
        <v>277</v>
      </c>
      <c r="H449" s="115"/>
      <c r="I449" s="115"/>
      <c r="L449" s="169">
        <v>42664</v>
      </c>
      <c r="M449" s="115">
        <v>880.63</v>
      </c>
      <c r="N449" s="115">
        <v>883.97</v>
      </c>
      <c r="O449" s="115">
        <v>866.44</v>
      </c>
      <c r="P449" s="115">
        <v>873.8</v>
      </c>
      <c r="Q449" s="115">
        <v>4403.1499999999996</v>
      </c>
      <c r="R449">
        <v>2616</v>
      </c>
    </row>
    <row r="450" spans="1:18" x14ac:dyDescent="0.25">
      <c r="A450" s="169">
        <v>42667</v>
      </c>
      <c r="B450" s="115">
        <v>882</v>
      </c>
      <c r="C450" s="115">
        <v>875</v>
      </c>
      <c r="D450" s="115">
        <v>870.04</v>
      </c>
      <c r="E450" s="115">
        <v>870.04</v>
      </c>
      <c r="F450" s="115">
        <v>4375</v>
      </c>
      <c r="G450">
        <v>148</v>
      </c>
      <c r="H450" s="115"/>
      <c r="I450" s="115"/>
      <c r="L450" s="169">
        <v>42667</v>
      </c>
      <c r="M450" s="115">
        <v>879.75</v>
      </c>
      <c r="N450" s="115">
        <v>884</v>
      </c>
      <c r="O450" s="115">
        <v>872</v>
      </c>
      <c r="P450" s="115">
        <v>880.6</v>
      </c>
      <c r="Q450" s="115">
        <v>4398.75</v>
      </c>
      <c r="R450">
        <v>2607</v>
      </c>
    </row>
    <row r="451" spans="1:18" x14ac:dyDescent="0.25">
      <c r="A451" s="169">
        <v>42668</v>
      </c>
      <c r="B451" s="115">
        <v>882.72</v>
      </c>
      <c r="C451" s="115">
        <v>870.33</v>
      </c>
      <c r="D451" s="115">
        <v>870</v>
      </c>
      <c r="E451" s="115">
        <v>882.72</v>
      </c>
      <c r="F451" s="115">
        <v>4351.6499999999996</v>
      </c>
      <c r="G451">
        <v>38</v>
      </c>
      <c r="H451" s="115"/>
      <c r="I451" s="115"/>
      <c r="L451" s="169">
        <v>42668</v>
      </c>
      <c r="M451" s="115">
        <v>871.04</v>
      </c>
      <c r="N451" s="115">
        <v>881.2</v>
      </c>
      <c r="O451" s="115">
        <v>866</v>
      </c>
      <c r="P451" s="115">
        <v>870.27</v>
      </c>
      <c r="Q451" s="115">
        <v>4355.2</v>
      </c>
      <c r="R451">
        <v>25449</v>
      </c>
    </row>
    <row r="452" spans="1:18" x14ac:dyDescent="0.25">
      <c r="A452" s="169">
        <v>42669</v>
      </c>
      <c r="B452" s="115">
        <v>877.22</v>
      </c>
      <c r="C452" s="115">
        <v>871</v>
      </c>
      <c r="D452" s="115">
        <v>868.05</v>
      </c>
      <c r="E452" s="115">
        <v>876.39</v>
      </c>
      <c r="F452" s="115">
        <v>4355</v>
      </c>
      <c r="G452">
        <v>55</v>
      </c>
      <c r="H452" s="115"/>
      <c r="I452" s="115"/>
      <c r="L452" s="169">
        <v>42669</v>
      </c>
      <c r="M452" s="115">
        <v>871.92</v>
      </c>
      <c r="N452" s="115">
        <v>880</v>
      </c>
      <c r="O452" s="115">
        <v>864.42</v>
      </c>
      <c r="P452" s="115">
        <v>880</v>
      </c>
      <c r="Q452" s="115">
        <v>4359.6000000000004</v>
      </c>
      <c r="R452">
        <v>3730</v>
      </c>
    </row>
    <row r="453" spans="1:18" x14ac:dyDescent="0.25">
      <c r="A453" s="169">
        <v>42670</v>
      </c>
      <c r="B453" s="115">
        <v>888</v>
      </c>
      <c r="C453" s="115">
        <v>880</v>
      </c>
      <c r="D453" s="115">
        <v>865</v>
      </c>
      <c r="E453" s="115">
        <v>879.92</v>
      </c>
      <c r="F453" s="115">
        <v>4400</v>
      </c>
      <c r="G453">
        <v>317</v>
      </c>
      <c r="H453" s="115"/>
      <c r="I453" s="115"/>
      <c r="L453" s="169">
        <v>42670</v>
      </c>
      <c r="M453" s="115">
        <v>879.85</v>
      </c>
      <c r="N453" s="115">
        <v>886.8</v>
      </c>
      <c r="O453" s="115">
        <v>864.12</v>
      </c>
      <c r="P453" s="115">
        <v>871.8</v>
      </c>
      <c r="Q453" s="115">
        <v>4399.25</v>
      </c>
      <c r="R453">
        <v>1429</v>
      </c>
    </row>
    <row r="454" spans="1:18" x14ac:dyDescent="0.25">
      <c r="A454" s="169">
        <v>42671</v>
      </c>
      <c r="B454" s="115">
        <v>885</v>
      </c>
      <c r="C454" s="115">
        <v>882.28</v>
      </c>
      <c r="D454" s="115">
        <v>876.4</v>
      </c>
      <c r="E454" s="115">
        <v>883.48</v>
      </c>
      <c r="F454" s="115">
        <v>4411.3999999999996</v>
      </c>
      <c r="G454">
        <v>65</v>
      </c>
      <c r="H454" s="115"/>
      <c r="I454" s="115"/>
      <c r="L454" s="169">
        <v>42671</v>
      </c>
      <c r="M454" s="115">
        <v>880.08</v>
      </c>
      <c r="N454" s="115">
        <v>883.99</v>
      </c>
      <c r="O454" s="115">
        <v>868.21</v>
      </c>
      <c r="P454" s="115">
        <v>880</v>
      </c>
      <c r="Q454" s="115">
        <v>4400.3999999999996</v>
      </c>
      <c r="R454">
        <v>2801</v>
      </c>
    </row>
    <row r="455" spans="1:18" x14ac:dyDescent="0.25">
      <c r="A455" s="169">
        <v>42673</v>
      </c>
      <c r="B455" s="115">
        <v>897</v>
      </c>
      <c r="C455" s="115">
        <v>890.68</v>
      </c>
      <c r="D455" s="115">
        <v>880.78</v>
      </c>
      <c r="E455" s="115">
        <v>886</v>
      </c>
      <c r="F455" s="115">
        <v>4453.3999999999996</v>
      </c>
      <c r="G455">
        <v>63</v>
      </c>
      <c r="H455" s="115"/>
      <c r="I455" s="115"/>
      <c r="L455" s="169">
        <v>42673</v>
      </c>
      <c r="M455" s="115">
        <v>894.17</v>
      </c>
      <c r="N455" s="115">
        <v>895.8</v>
      </c>
      <c r="O455" s="115">
        <v>883</v>
      </c>
      <c r="P455" s="115">
        <v>889</v>
      </c>
      <c r="Q455" s="115">
        <v>4470.8500000000004</v>
      </c>
      <c r="R455">
        <v>512</v>
      </c>
    </row>
    <row r="456" spans="1:18" x14ac:dyDescent="0.25">
      <c r="A456" s="169">
        <v>42675</v>
      </c>
      <c r="B456" s="115">
        <v>896.99</v>
      </c>
      <c r="C456" s="115">
        <v>883.08</v>
      </c>
      <c r="D456" s="115">
        <v>880</v>
      </c>
      <c r="E456" s="115">
        <v>881.8</v>
      </c>
      <c r="F456" s="115">
        <v>4415.3999999999996</v>
      </c>
      <c r="G456">
        <v>179</v>
      </c>
      <c r="H456" s="115"/>
      <c r="I456" s="115"/>
      <c r="L456" s="169">
        <v>42675</v>
      </c>
      <c r="M456" s="115">
        <v>880.65</v>
      </c>
      <c r="N456" s="115">
        <v>893.93</v>
      </c>
      <c r="O456" s="115">
        <v>873.6</v>
      </c>
      <c r="P456" s="115">
        <v>887.6</v>
      </c>
      <c r="Q456" s="115">
        <v>4403.25</v>
      </c>
      <c r="R456">
        <v>5428</v>
      </c>
    </row>
    <row r="457" spans="1:18" x14ac:dyDescent="0.25">
      <c r="A457" s="169">
        <v>42676</v>
      </c>
      <c r="B457" s="115">
        <v>878</v>
      </c>
      <c r="C457" s="115">
        <v>871.75</v>
      </c>
      <c r="D457" s="115">
        <v>866.01</v>
      </c>
      <c r="E457" s="115">
        <v>878</v>
      </c>
      <c r="F457" s="115">
        <v>4358.75</v>
      </c>
      <c r="G457">
        <v>136</v>
      </c>
      <c r="H457" s="115"/>
      <c r="I457" s="115"/>
      <c r="L457" s="169">
        <v>42676</v>
      </c>
      <c r="M457" s="115">
        <v>874</v>
      </c>
      <c r="N457" s="115">
        <v>888.79</v>
      </c>
      <c r="O457" s="115">
        <v>862</v>
      </c>
      <c r="P457" s="115">
        <v>888.79</v>
      </c>
      <c r="Q457" s="115">
        <v>4370</v>
      </c>
      <c r="R457">
        <v>6487</v>
      </c>
    </row>
    <row r="458" spans="1:18" x14ac:dyDescent="0.25">
      <c r="A458" s="169">
        <v>42677</v>
      </c>
      <c r="B458" s="115">
        <v>874.4</v>
      </c>
      <c r="C458" s="115">
        <v>870.41</v>
      </c>
      <c r="D458" s="115">
        <v>863</v>
      </c>
      <c r="E458" s="115">
        <v>864</v>
      </c>
      <c r="F458" s="115">
        <v>4352.05</v>
      </c>
      <c r="G458">
        <v>64</v>
      </c>
      <c r="H458" s="115"/>
      <c r="I458" s="115"/>
      <c r="L458" s="169">
        <v>42677</v>
      </c>
      <c r="M458" s="115">
        <v>871.19</v>
      </c>
      <c r="N458" s="115">
        <v>874.93</v>
      </c>
      <c r="O458" s="115">
        <v>864.53</v>
      </c>
      <c r="P458" s="115">
        <v>874</v>
      </c>
      <c r="Q458" s="115">
        <v>4355.95</v>
      </c>
      <c r="R458">
        <v>4587</v>
      </c>
    </row>
    <row r="459" spans="1:18" x14ac:dyDescent="0.25">
      <c r="A459" s="169">
        <v>42678</v>
      </c>
      <c r="B459" s="115">
        <v>888</v>
      </c>
      <c r="C459" s="115">
        <v>837.99</v>
      </c>
      <c r="D459" s="115">
        <v>828</v>
      </c>
      <c r="E459" s="115">
        <v>888</v>
      </c>
      <c r="F459" s="115">
        <v>4189.95</v>
      </c>
      <c r="G459">
        <v>76</v>
      </c>
      <c r="H459" s="115"/>
      <c r="I459" s="115"/>
      <c r="L459" s="169">
        <v>42678</v>
      </c>
      <c r="M459" s="115">
        <v>847.17</v>
      </c>
      <c r="N459" s="115">
        <v>878.98</v>
      </c>
      <c r="O459" s="115">
        <v>824.04</v>
      </c>
      <c r="P459" s="115">
        <v>874.01</v>
      </c>
      <c r="Q459" s="115">
        <v>4235.8500000000004</v>
      </c>
      <c r="R459">
        <v>1272</v>
      </c>
    </row>
    <row r="460" spans="1:18" x14ac:dyDescent="0.25">
      <c r="A460" s="169">
        <v>42681</v>
      </c>
      <c r="B460" s="115">
        <v>888</v>
      </c>
      <c r="C460" s="115">
        <v>865.94</v>
      </c>
      <c r="D460" s="115">
        <v>849.99</v>
      </c>
      <c r="E460" s="115">
        <v>874.71</v>
      </c>
      <c r="F460" s="115">
        <v>4329.7</v>
      </c>
      <c r="G460">
        <v>261</v>
      </c>
      <c r="H460" s="115"/>
      <c r="I460" s="115"/>
      <c r="L460" s="169">
        <v>42681</v>
      </c>
      <c r="M460" s="115">
        <v>862.49</v>
      </c>
      <c r="N460" s="115">
        <v>893.8</v>
      </c>
      <c r="O460" s="115">
        <v>832.2</v>
      </c>
      <c r="P460" s="115">
        <v>872.8</v>
      </c>
      <c r="Q460" s="115">
        <v>4312.45</v>
      </c>
      <c r="R460">
        <v>4794</v>
      </c>
    </row>
    <row r="461" spans="1:18" x14ac:dyDescent="0.25">
      <c r="A461" s="169">
        <v>42682</v>
      </c>
      <c r="B461" s="115">
        <v>883.8</v>
      </c>
      <c r="C461" s="115">
        <v>866.08</v>
      </c>
      <c r="D461" s="115">
        <v>860</v>
      </c>
      <c r="E461" s="115">
        <v>870</v>
      </c>
      <c r="F461" s="115">
        <v>4330.3999999999996</v>
      </c>
      <c r="G461">
        <v>273</v>
      </c>
      <c r="H461" s="115"/>
      <c r="I461" s="115"/>
      <c r="L461" s="169">
        <v>42682</v>
      </c>
      <c r="M461" s="115">
        <v>869.88</v>
      </c>
      <c r="N461" s="115">
        <v>878</v>
      </c>
      <c r="O461" s="115">
        <v>862</v>
      </c>
      <c r="P461" s="115">
        <v>875.97</v>
      </c>
      <c r="Q461" s="115">
        <v>4349.3999999999996</v>
      </c>
      <c r="R461">
        <v>13940</v>
      </c>
    </row>
    <row r="462" spans="1:18" x14ac:dyDescent="0.25">
      <c r="A462" s="169">
        <v>42683</v>
      </c>
      <c r="B462" s="115">
        <v>860</v>
      </c>
      <c r="C462" s="115">
        <v>859.89</v>
      </c>
      <c r="D462" s="115">
        <v>828</v>
      </c>
      <c r="E462" s="115">
        <v>837.01</v>
      </c>
      <c r="F462" s="115">
        <v>4299.45</v>
      </c>
      <c r="G462">
        <v>343</v>
      </c>
      <c r="H462" s="115"/>
      <c r="I462" s="115"/>
      <c r="L462" s="169">
        <v>42683</v>
      </c>
      <c r="M462" s="115">
        <v>860.11</v>
      </c>
      <c r="N462" s="115">
        <v>888.99</v>
      </c>
      <c r="O462" s="115">
        <v>773</v>
      </c>
      <c r="P462" s="115">
        <v>870</v>
      </c>
      <c r="Q462" s="115">
        <v>4300.55</v>
      </c>
      <c r="R462">
        <v>5730</v>
      </c>
    </row>
    <row r="463" spans="1:18" x14ac:dyDescent="0.25">
      <c r="A463" s="169">
        <v>42684</v>
      </c>
      <c r="B463" s="115">
        <v>890</v>
      </c>
      <c r="C463" s="115">
        <v>883.31</v>
      </c>
      <c r="D463" s="115">
        <v>871</v>
      </c>
      <c r="E463" s="115">
        <v>876.59</v>
      </c>
      <c r="F463" s="115">
        <v>4416.55</v>
      </c>
      <c r="G463">
        <v>397</v>
      </c>
      <c r="H463" s="115"/>
      <c r="I463" s="115"/>
      <c r="L463" s="169">
        <v>42684</v>
      </c>
      <c r="M463" s="115">
        <v>882.53</v>
      </c>
      <c r="N463" s="115">
        <v>890.44</v>
      </c>
      <c r="O463" s="115">
        <v>866.53</v>
      </c>
      <c r="P463" s="115">
        <v>873.05</v>
      </c>
      <c r="Q463" s="115">
        <v>4412.6499999999996</v>
      </c>
      <c r="R463">
        <v>1647</v>
      </c>
    </row>
    <row r="464" spans="1:18" x14ac:dyDescent="0.25">
      <c r="A464" s="169">
        <v>42685</v>
      </c>
      <c r="B464" s="115">
        <v>880</v>
      </c>
      <c r="C464" s="115">
        <v>865.52</v>
      </c>
      <c r="D464" s="115">
        <v>855.71</v>
      </c>
      <c r="E464" s="115">
        <v>880</v>
      </c>
      <c r="F464" s="115">
        <v>4327.6000000000004</v>
      </c>
      <c r="G464">
        <v>905</v>
      </c>
      <c r="H464" s="115"/>
      <c r="I464" s="115"/>
      <c r="L464" s="169">
        <v>42685</v>
      </c>
      <c r="M464" s="115">
        <v>861.99</v>
      </c>
      <c r="N464" s="115">
        <v>880.76</v>
      </c>
      <c r="O464" s="115">
        <v>854.54</v>
      </c>
      <c r="P464" s="115">
        <v>880.76</v>
      </c>
      <c r="Q464" s="115">
        <v>4309.95</v>
      </c>
      <c r="R464">
        <v>1704</v>
      </c>
    </row>
    <row r="465" spans="1:18" x14ac:dyDescent="0.25">
      <c r="A465" s="169">
        <v>42689</v>
      </c>
      <c r="B465" s="115">
        <v>999.6</v>
      </c>
      <c r="C465" s="115">
        <v>841.63</v>
      </c>
      <c r="D465" s="115">
        <v>831.01</v>
      </c>
      <c r="E465" s="115">
        <v>999.6</v>
      </c>
      <c r="F465" s="115">
        <v>4208.1499999999996</v>
      </c>
      <c r="G465">
        <v>87</v>
      </c>
      <c r="H465" s="115"/>
      <c r="I465" s="115"/>
      <c r="L465" s="169">
        <v>42689</v>
      </c>
      <c r="M465" s="115">
        <v>841.02</v>
      </c>
      <c r="N465" s="115">
        <v>878.32</v>
      </c>
      <c r="O465" s="115">
        <v>830.01</v>
      </c>
      <c r="P465" s="115">
        <v>878.27</v>
      </c>
      <c r="Q465" s="115">
        <v>4205.1000000000004</v>
      </c>
      <c r="R465">
        <v>7087</v>
      </c>
    </row>
    <row r="466" spans="1:18" x14ac:dyDescent="0.25">
      <c r="A466" s="169">
        <v>42690</v>
      </c>
      <c r="B466" s="115">
        <v>859.8</v>
      </c>
      <c r="C466" s="115">
        <v>830.93</v>
      </c>
      <c r="D466" s="115">
        <v>822</v>
      </c>
      <c r="E466" s="115">
        <v>830.01</v>
      </c>
      <c r="F466" s="115">
        <v>4154.6499999999996</v>
      </c>
      <c r="G466">
        <v>293</v>
      </c>
      <c r="H466" s="115"/>
      <c r="I466" s="115"/>
      <c r="L466" s="169">
        <v>42690</v>
      </c>
      <c r="M466" s="115">
        <v>834.35</v>
      </c>
      <c r="N466" s="115">
        <v>840</v>
      </c>
      <c r="O466" s="115">
        <v>825</v>
      </c>
      <c r="P466" s="115">
        <v>839.99</v>
      </c>
      <c r="Q466" s="115">
        <v>4171.75</v>
      </c>
      <c r="R466">
        <v>266</v>
      </c>
    </row>
    <row r="467" spans="1:18" x14ac:dyDescent="0.25">
      <c r="A467" s="169">
        <v>42691</v>
      </c>
      <c r="B467" s="115">
        <v>850</v>
      </c>
      <c r="C467" s="115">
        <v>830.53</v>
      </c>
      <c r="D467" s="115">
        <v>828.1</v>
      </c>
      <c r="E467" s="115">
        <v>844.5</v>
      </c>
      <c r="F467" s="115">
        <v>4152.6499999999996</v>
      </c>
      <c r="G467">
        <v>13944</v>
      </c>
      <c r="H467" s="115"/>
      <c r="I467" s="115"/>
      <c r="L467" s="169">
        <v>42691</v>
      </c>
      <c r="M467" s="115">
        <v>830.06</v>
      </c>
      <c r="N467" s="115">
        <v>858.98</v>
      </c>
      <c r="O467" s="115">
        <v>807.14</v>
      </c>
      <c r="P467" s="115">
        <v>837.22</v>
      </c>
      <c r="Q467" s="115">
        <v>4150.3</v>
      </c>
      <c r="R467">
        <v>833</v>
      </c>
    </row>
    <row r="468" spans="1:18" x14ac:dyDescent="0.25">
      <c r="A468" s="169">
        <v>42692</v>
      </c>
      <c r="B468" s="115">
        <v>839.96</v>
      </c>
      <c r="C468" s="115">
        <v>820.95</v>
      </c>
      <c r="D468" s="115">
        <v>813.21</v>
      </c>
      <c r="E468" s="115">
        <v>824.41</v>
      </c>
      <c r="F468" s="115">
        <v>4104.75</v>
      </c>
      <c r="G468">
        <v>542</v>
      </c>
      <c r="H468" s="115"/>
      <c r="I468" s="115"/>
      <c r="L468" s="169">
        <v>42692</v>
      </c>
      <c r="M468" s="115">
        <v>830.69</v>
      </c>
      <c r="N468" s="115">
        <v>840</v>
      </c>
      <c r="O468" s="115">
        <v>813.46</v>
      </c>
      <c r="P468" s="115">
        <v>831</v>
      </c>
      <c r="Q468" s="115">
        <v>4153.45</v>
      </c>
      <c r="R468">
        <v>1689</v>
      </c>
    </row>
    <row r="469" spans="1:18" x14ac:dyDescent="0.25">
      <c r="A469" s="169">
        <v>42695</v>
      </c>
      <c r="B469" s="115">
        <v>823.32</v>
      </c>
      <c r="C469" s="115">
        <v>814.43</v>
      </c>
      <c r="D469" s="115">
        <v>794.21</v>
      </c>
      <c r="E469" s="115">
        <v>820</v>
      </c>
      <c r="F469" s="115">
        <v>4072.15</v>
      </c>
      <c r="G469">
        <v>371</v>
      </c>
      <c r="H469" s="115"/>
      <c r="I469" s="115"/>
      <c r="L469" s="169">
        <v>42695</v>
      </c>
      <c r="M469" s="115">
        <v>814.23</v>
      </c>
      <c r="N469" s="115">
        <v>831.01</v>
      </c>
      <c r="O469" s="115">
        <v>790.23</v>
      </c>
      <c r="P469" s="115">
        <v>831.01</v>
      </c>
      <c r="Q469" s="115">
        <v>4071.15</v>
      </c>
      <c r="R469">
        <v>6735</v>
      </c>
    </row>
    <row r="470" spans="1:18" x14ac:dyDescent="0.25">
      <c r="A470" s="169">
        <v>42696</v>
      </c>
      <c r="B470" s="115">
        <v>825.46</v>
      </c>
      <c r="C470" s="115">
        <v>815.06</v>
      </c>
      <c r="D470" s="115">
        <v>814</v>
      </c>
      <c r="E470" s="115">
        <v>825.45</v>
      </c>
      <c r="F470" s="115">
        <v>4075.3</v>
      </c>
      <c r="G470">
        <v>22</v>
      </c>
      <c r="H470" s="115"/>
      <c r="I470" s="115"/>
      <c r="L470" s="169">
        <v>42696</v>
      </c>
      <c r="M470" s="115">
        <v>817.3</v>
      </c>
      <c r="N470" s="115">
        <v>827.78</v>
      </c>
      <c r="O470" s="115">
        <v>804.5</v>
      </c>
      <c r="P470" s="115">
        <v>817.58</v>
      </c>
      <c r="Q470" s="115">
        <v>4086.5</v>
      </c>
      <c r="R470">
        <v>15354</v>
      </c>
    </row>
    <row r="471" spans="1:18" x14ac:dyDescent="0.25">
      <c r="A471" s="169">
        <v>42697</v>
      </c>
      <c r="B471" s="115">
        <v>823.6</v>
      </c>
      <c r="C471" s="115">
        <v>814.56</v>
      </c>
      <c r="D471" s="115">
        <v>808</v>
      </c>
      <c r="E471" s="115">
        <v>823.6</v>
      </c>
      <c r="F471" s="115">
        <v>4072.8</v>
      </c>
      <c r="G471">
        <v>62</v>
      </c>
      <c r="H471" s="115"/>
      <c r="I471" s="115"/>
      <c r="L471" s="169">
        <v>42697</v>
      </c>
      <c r="M471" s="115">
        <v>810.43</v>
      </c>
      <c r="N471" s="115">
        <v>827.4</v>
      </c>
      <c r="O471" s="115">
        <v>803.51</v>
      </c>
      <c r="P471" s="115">
        <v>817.3</v>
      </c>
      <c r="Q471" s="115">
        <v>4052.15</v>
      </c>
      <c r="R471">
        <v>3520</v>
      </c>
    </row>
    <row r="472" spans="1:18" x14ac:dyDescent="0.25">
      <c r="A472" s="169">
        <v>42698</v>
      </c>
      <c r="B472" s="115">
        <v>819.81</v>
      </c>
      <c r="C472" s="115">
        <v>805.31</v>
      </c>
      <c r="D472" s="115">
        <v>801.99</v>
      </c>
      <c r="E472" s="115">
        <v>810.01</v>
      </c>
      <c r="F472" s="115">
        <v>4026.55</v>
      </c>
      <c r="G472">
        <v>81</v>
      </c>
      <c r="H472" s="115"/>
      <c r="I472" s="115"/>
      <c r="L472" s="169">
        <v>42698</v>
      </c>
      <c r="M472" s="115">
        <v>810.13</v>
      </c>
      <c r="N472" s="115">
        <v>826.05</v>
      </c>
      <c r="O472" s="115">
        <v>798</v>
      </c>
      <c r="P472" s="115">
        <v>820.11</v>
      </c>
      <c r="Q472" s="115">
        <v>4050.65</v>
      </c>
      <c r="R472">
        <v>2024</v>
      </c>
    </row>
    <row r="473" spans="1:18" x14ac:dyDescent="0.25">
      <c r="A473" s="169">
        <v>42699</v>
      </c>
      <c r="B473" s="115">
        <v>828.53</v>
      </c>
      <c r="C473" s="115">
        <v>815.65</v>
      </c>
      <c r="D473" s="115">
        <v>807.23</v>
      </c>
      <c r="E473" s="115">
        <v>828.04</v>
      </c>
      <c r="F473" s="115">
        <v>4078.25</v>
      </c>
      <c r="G473">
        <v>16</v>
      </c>
      <c r="H473" s="115"/>
      <c r="I473" s="115"/>
      <c r="L473" s="169">
        <v>42699</v>
      </c>
      <c r="M473" s="115">
        <v>810.54</v>
      </c>
      <c r="N473" s="115">
        <v>832.38</v>
      </c>
      <c r="O473" s="115">
        <v>804.42</v>
      </c>
      <c r="P473" s="115">
        <v>822.03</v>
      </c>
      <c r="Q473" s="115">
        <v>4052.7</v>
      </c>
      <c r="R473">
        <v>2706</v>
      </c>
    </row>
    <row r="474" spans="1:18" x14ac:dyDescent="0.25">
      <c r="A474" s="169">
        <v>42702</v>
      </c>
      <c r="B474" s="115">
        <v>821.3</v>
      </c>
      <c r="C474" s="115">
        <v>812</v>
      </c>
      <c r="D474" s="115">
        <v>810.76</v>
      </c>
      <c r="E474" s="115">
        <v>811.95</v>
      </c>
      <c r="F474" s="115">
        <v>4060</v>
      </c>
      <c r="G474">
        <v>4</v>
      </c>
      <c r="H474" s="115"/>
      <c r="I474" s="115"/>
      <c r="L474" s="169">
        <v>42702</v>
      </c>
      <c r="M474" s="115">
        <v>814.91</v>
      </c>
      <c r="N474" s="115">
        <v>827.99</v>
      </c>
      <c r="O474" s="115">
        <v>808</v>
      </c>
      <c r="P474" s="115">
        <v>813.23</v>
      </c>
      <c r="Q474" s="115">
        <v>4074.55</v>
      </c>
      <c r="R474">
        <v>1363</v>
      </c>
    </row>
    <row r="475" spans="1:18" x14ac:dyDescent="0.25">
      <c r="A475" s="169">
        <v>42703</v>
      </c>
      <c r="B475" s="115">
        <v>819.65</v>
      </c>
      <c r="C475" s="115">
        <v>802.84</v>
      </c>
      <c r="D475" s="115">
        <v>795.2</v>
      </c>
      <c r="E475" s="115">
        <v>819.65</v>
      </c>
      <c r="F475" s="115">
        <v>4014.2</v>
      </c>
      <c r="G475">
        <v>610</v>
      </c>
      <c r="H475" s="115"/>
      <c r="I475" s="115"/>
      <c r="L475" s="169">
        <v>42703</v>
      </c>
      <c r="M475" s="115">
        <v>814.67</v>
      </c>
      <c r="N475" s="115">
        <v>820</v>
      </c>
      <c r="O475" s="115">
        <v>804.6</v>
      </c>
      <c r="P475" s="115">
        <v>804.6</v>
      </c>
      <c r="Q475" s="115">
        <v>4073.35</v>
      </c>
      <c r="R475">
        <v>2712</v>
      </c>
    </row>
    <row r="476" spans="1:18" x14ac:dyDescent="0.25">
      <c r="A476" s="169">
        <v>42704</v>
      </c>
      <c r="B476" s="115">
        <v>816.33</v>
      </c>
      <c r="C476" s="115">
        <v>801.57</v>
      </c>
      <c r="D476" s="115">
        <v>798</v>
      </c>
      <c r="E476" s="115">
        <v>810.01</v>
      </c>
      <c r="F476" s="115">
        <v>4007.85</v>
      </c>
      <c r="G476">
        <v>283</v>
      </c>
      <c r="H476" s="115"/>
      <c r="I476" s="115"/>
      <c r="L476" s="169">
        <v>42704</v>
      </c>
      <c r="M476" s="115">
        <v>806.66</v>
      </c>
      <c r="N476" s="115">
        <v>815</v>
      </c>
      <c r="O476" s="115">
        <v>802.44</v>
      </c>
      <c r="P476" s="115">
        <v>811.76</v>
      </c>
      <c r="Q476" s="115">
        <v>4033.3</v>
      </c>
      <c r="R476">
        <v>15261</v>
      </c>
    </row>
    <row r="477" spans="1:18" x14ac:dyDescent="0.25">
      <c r="A477" s="169">
        <v>42705</v>
      </c>
      <c r="B477" s="115">
        <v>810.59</v>
      </c>
      <c r="C477" s="115">
        <v>810.59</v>
      </c>
      <c r="D477" s="115">
        <v>800.41</v>
      </c>
      <c r="E477" s="115">
        <v>800.85</v>
      </c>
      <c r="F477" s="115">
        <v>4052.95</v>
      </c>
      <c r="G477">
        <v>31</v>
      </c>
      <c r="H477" s="115"/>
      <c r="I477" s="115"/>
      <c r="L477" s="169">
        <v>42705</v>
      </c>
      <c r="M477" s="115">
        <v>806.41</v>
      </c>
      <c r="N477" s="115">
        <v>814.58</v>
      </c>
      <c r="O477" s="115">
        <v>800</v>
      </c>
      <c r="P477" s="115">
        <v>808.6</v>
      </c>
      <c r="Q477" s="115">
        <v>4032.05</v>
      </c>
      <c r="R477">
        <v>16654</v>
      </c>
    </row>
    <row r="478" spans="1:18" x14ac:dyDescent="0.25">
      <c r="A478" s="169">
        <v>42706</v>
      </c>
      <c r="B478" s="115">
        <v>814.79</v>
      </c>
      <c r="C478" s="115">
        <v>801.91</v>
      </c>
      <c r="D478" s="115">
        <v>800</v>
      </c>
      <c r="E478" s="115">
        <v>809.99</v>
      </c>
      <c r="F478" s="115">
        <v>4009.55</v>
      </c>
      <c r="G478">
        <v>2285</v>
      </c>
      <c r="H478" s="115"/>
      <c r="I478" s="115"/>
      <c r="L478" s="169">
        <v>42706</v>
      </c>
      <c r="M478" s="115">
        <v>799.05</v>
      </c>
      <c r="N478" s="115">
        <v>813.78</v>
      </c>
      <c r="O478" s="115">
        <v>796.2</v>
      </c>
      <c r="P478" s="115">
        <v>800.21</v>
      </c>
      <c r="Q478" s="115">
        <v>3995.25</v>
      </c>
      <c r="R478">
        <v>2633</v>
      </c>
    </row>
    <row r="479" spans="1:18" x14ac:dyDescent="0.25">
      <c r="A479" s="169">
        <v>42709</v>
      </c>
      <c r="B479" s="115">
        <v>810.93</v>
      </c>
      <c r="C479" s="115">
        <v>804.7</v>
      </c>
      <c r="D479" s="115">
        <v>792.58</v>
      </c>
      <c r="E479" s="115">
        <v>810.93</v>
      </c>
      <c r="F479" s="115">
        <v>4023.5</v>
      </c>
      <c r="G479">
        <v>86</v>
      </c>
      <c r="H479" s="115"/>
      <c r="I479" s="115"/>
      <c r="L479" s="169">
        <v>42709</v>
      </c>
      <c r="M479" s="115">
        <v>803.84</v>
      </c>
      <c r="N479" s="115">
        <v>809.8</v>
      </c>
      <c r="O479" s="115">
        <v>794.54</v>
      </c>
      <c r="P479" s="115">
        <v>809.8</v>
      </c>
      <c r="Q479" s="115">
        <v>4019.2</v>
      </c>
      <c r="R479">
        <v>342</v>
      </c>
    </row>
    <row r="480" spans="1:18" x14ac:dyDescent="0.25">
      <c r="A480" s="169">
        <v>42710</v>
      </c>
      <c r="B480" s="115">
        <v>819.99</v>
      </c>
      <c r="C480" s="115">
        <v>812.81</v>
      </c>
      <c r="D480" s="115">
        <v>800</v>
      </c>
      <c r="E480" s="115">
        <v>804.01</v>
      </c>
      <c r="F480" s="115">
        <v>4064.05</v>
      </c>
      <c r="G480">
        <v>35</v>
      </c>
      <c r="H480" s="115"/>
      <c r="I480" s="115"/>
      <c r="L480" s="169">
        <v>42710</v>
      </c>
      <c r="M480" s="115">
        <v>809.41</v>
      </c>
      <c r="N480" s="115">
        <v>814.02</v>
      </c>
      <c r="O480" s="115">
        <v>794</v>
      </c>
      <c r="P480" s="115">
        <v>800.21</v>
      </c>
      <c r="Q480" s="115">
        <v>4047.05</v>
      </c>
      <c r="R480">
        <v>552</v>
      </c>
    </row>
    <row r="481" spans="1:18" x14ac:dyDescent="0.25">
      <c r="A481" s="169">
        <v>42711</v>
      </c>
      <c r="B481" s="115">
        <v>813.54</v>
      </c>
      <c r="C481" s="115">
        <v>809.46</v>
      </c>
      <c r="D481" s="115">
        <v>805.88</v>
      </c>
      <c r="E481" s="115">
        <v>812.78</v>
      </c>
      <c r="F481" s="115">
        <v>4047.3</v>
      </c>
      <c r="G481">
        <v>19</v>
      </c>
      <c r="H481" s="115"/>
      <c r="I481" s="115"/>
      <c r="L481" s="169">
        <v>42711</v>
      </c>
      <c r="M481" s="115">
        <v>808.01</v>
      </c>
      <c r="N481" s="115">
        <v>814.02</v>
      </c>
      <c r="O481" s="115">
        <v>804.6</v>
      </c>
      <c r="P481" s="115">
        <v>806.99</v>
      </c>
      <c r="Q481" s="115">
        <v>4040.05</v>
      </c>
      <c r="R481">
        <v>855</v>
      </c>
    </row>
    <row r="482" spans="1:18" x14ac:dyDescent="0.25">
      <c r="A482" s="169">
        <v>42712</v>
      </c>
      <c r="B482" s="115">
        <v>814.2</v>
      </c>
      <c r="C482" s="115">
        <v>812.84</v>
      </c>
      <c r="D482" s="115">
        <v>807.91</v>
      </c>
      <c r="E482" s="115">
        <v>810</v>
      </c>
      <c r="F482" s="115">
        <v>4064.2</v>
      </c>
      <c r="G482">
        <v>60</v>
      </c>
      <c r="H482" s="115"/>
      <c r="I482" s="115"/>
      <c r="L482" s="169">
        <v>42712</v>
      </c>
      <c r="M482" s="115">
        <v>809.15</v>
      </c>
      <c r="N482" s="115">
        <v>811.79</v>
      </c>
      <c r="O482" s="115">
        <v>802.3</v>
      </c>
      <c r="P482" s="115">
        <v>802.3</v>
      </c>
      <c r="Q482" s="115">
        <v>4045.75</v>
      </c>
      <c r="R482">
        <v>1776</v>
      </c>
    </row>
    <row r="483" spans="1:18" x14ac:dyDescent="0.25">
      <c r="A483" s="169">
        <v>42713</v>
      </c>
      <c r="B483" s="115">
        <v>809.9</v>
      </c>
      <c r="C483" s="115">
        <v>804.66</v>
      </c>
      <c r="D483" s="115">
        <v>804.3</v>
      </c>
      <c r="E483" s="115">
        <v>809.9</v>
      </c>
      <c r="F483" s="115">
        <v>4023.3</v>
      </c>
      <c r="G483">
        <v>29</v>
      </c>
      <c r="H483" s="115"/>
      <c r="I483" s="115"/>
      <c r="L483" s="169">
        <v>42713</v>
      </c>
      <c r="M483" s="115">
        <v>803.59</v>
      </c>
      <c r="N483" s="115">
        <v>829.09</v>
      </c>
      <c r="O483" s="115">
        <v>796.23</v>
      </c>
      <c r="P483" s="115">
        <v>815.09</v>
      </c>
      <c r="Q483" s="115">
        <v>4017.95</v>
      </c>
      <c r="R483">
        <v>865</v>
      </c>
    </row>
    <row r="484" spans="1:18" x14ac:dyDescent="0.25">
      <c r="A484" s="169">
        <v>42716</v>
      </c>
      <c r="B484" s="115">
        <v>809.57</v>
      </c>
      <c r="C484" s="115">
        <v>805.39</v>
      </c>
      <c r="D484" s="115">
        <v>798</v>
      </c>
      <c r="E484" s="115">
        <v>809.57</v>
      </c>
      <c r="F484" s="115">
        <v>4026.95</v>
      </c>
      <c r="G484">
        <v>53</v>
      </c>
      <c r="H484" s="115"/>
      <c r="I484" s="115"/>
      <c r="L484" s="169">
        <v>42716</v>
      </c>
      <c r="M484" s="115">
        <v>799.83</v>
      </c>
      <c r="N484" s="115">
        <v>808</v>
      </c>
      <c r="O484" s="115">
        <v>795.6</v>
      </c>
      <c r="P484" s="115">
        <v>808</v>
      </c>
      <c r="Q484" s="115">
        <v>3999.15</v>
      </c>
      <c r="R484">
        <v>1037</v>
      </c>
    </row>
    <row r="485" spans="1:18" x14ac:dyDescent="0.25">
      <c r="A485" s="169">
        <v>42717</v>
      </c>
      <c r="B485" s="115">
        <v>806.76</v>
      </c>
      <c r="C485" s="115">
        <v>789.41</v>
      </c>
      <c r="D485" s="115">
        <v>787.8</v>
      </c>
      <c r="E485" s="115">
        <v>806.76</v>
      </c>
      <c r="F485" s="115">
        <v>3947.05</v>
      </c>
      <c r="G485">
        <v>95</v>
      </c>
      <c r="H485" s="115"/>
      <c r="I485" s="115"/>
      <c r="L485" s="169">
        <v>42717</v>
      </c>
      <c r="M485" s="115">
        <v>790.3</v>
      </c>
      <c r="N485" s="115">
        <v>806.99</v>
      </c>
      <c r="O485" s="115">
        <v>788.63</v>
      </c>
      <c r="P485" s="115">
        <v>798.2</v>
      </c>
      <c r="Q485" s="115">
        <v>3951.5</v>
      </c>
      <c r="R485">
        <v>1740</v>
      </c>
    </row>
    <row r="486" spans="1:18" x14ac:dyDescent="0.25">
      <c r="A486" s="169">
        <v>42718</v>
      </c>
      <c r="B486" s="115">
        <v>797.98</v>
      </c>
      <c r="C486" s="115">
        <v>789.62</v>
      </c>
      <c r="D486" s="115">
        <v>781.2</v>
      </c>
      <c r="E486" s="115">
        <v>797.98</v>
      </c>
      <c r="F486" s="115">
        <v>3948.1</v>
      </c>
      <c r="G486">
        <v>59</v>
      </c>
      <c r="H486" s="115"/>
      <c r="I486" s="115"/>
      <c r="L486" s="169">
        <v>42718</v>
      </c>
      <c r="M486" s="115">
        <v>785.79</v>
      </c>
      <c r="N486" s="115">
        <v>795.8</v>
      </c>
      <c r="O486" s="115">
        <v>783.79</v>
      </c>
      <c r="P486" s="115">
        <v>790.4</v>
      </c>
      <c r="Q486" s="115">
        <v>3928.95</v>
      </c>
      <c r="R486">
        <v>361</v>
      </c>
    </row>
    <row r="487" spans="1:18" x14ac:dyDescent="0.25">
      <c r="A487" s="169">
        <v>42719</v>
      </c>
      <c r="B487" s="115">
        <v>790</v>
      </c>
      <c r="C487" s="115">
        <v>778.73</v>
      </c>
      <c r="D487" s="115">
        <v>770.2</v>
      </c>
      <c r="E487" s="115">
        <v>787.9</v>
      </c>
      <c r="F487" s="115">
        <v>3893.65</v>
      </c>
      <c r="G487">
        <v>236</v>
      </c>
      <c r="H487" s="115"/>
      <c r="I487" s="115"/>
      <c r="L487" s="169">
        <v>42719</v>
      </c>
      <c r="M487" s="115">
        <v>779.48</v>
      </c>
      <c r="N487" s="115">
        <v>790</v>
      </c>
      <c r="O487" s="115">
        <v>769</v>
      </c>
      <c r="P487" s="115">
        <v>786</v>
      </c>
      <c r="Q487" s="115">
        <v>3897.4</v>
      </c>
      <c r="R487">
        <v>17142</v>
      </c>
    </row>
    <row r="488" spans="1:18" x14ac:dyDescent="0.25">
      <c r="A488" s="169">
        <v>42720</v>
      </c>
      <c r="B488" s="115">
        <v>784</v>
      </c>
      <c r="C488" s="115">
        <v>778.35</v>
      </c>
      <c r="D488" s="115">
        <v>771.6</v>
      </c>
      <c r="E488" s="115">
        <v>771.6</v>
      </c>
      <c r="F488" s="115">
        <v>3891.75</v>
      </c>
      <c r="G488">
        <v>86</v>
      </c>
      <c r="H488" s="115"/>
      <c r="I488" s="115"/>
      <c r="L488" s="169">
        <v>42720</v>
      </c>
      <c r="M488" s="115">
        <v>779.94</v>
      </c>
      <c r="N488" s="115">
        <v>785</v>
      </c>
      <c r="O488" s="115">
        <v>772.49</v>
      </c>
      <c r="P488" s="115">
        <v>783.05</v>
      </c>
      <c r="Q488" s="115">
        <v>3899.7</v>
      </c>
      <c r="R488">
        <v>29250</v>
      </c>
    </row>
    <row r="489" spans="1:18" x14ac:dyDescent="0.25">
      <c r="A489" s="169">
        <v>42723</v>
      </c>
      <c r="B489" s="115">
        <v>775</v>
      </c>
      <c r="C489" s="115">
        <v>772.09</v>
      </c>
      <c r="D489" s="115">
        <v>767.2</v>
      </c>
      <c r="E489" s="115">
        <v>773.11</v>
      </c>
      <c r="F489" s="115">
        <v>3860.45</v>
      </c>
      <c r="G489">
        <v>79</v>
      </c>
      <c r="H489" s="115"/>
      <c r="I489" s="115"/>
      <c r="L489" s="169">
        <v>42723</v>
      </c>
      <c r="M489" s="115">
        <v>777.79</v>
      </c>
      <c r="N489" s="115">
        <v>789.48</v>
      </c>
      <c r="O489" s="115">
        <v>765</v>
      </c>
      <c r="P489" s="115">
        <v>789.48</v>
      </c>
      <c r="Q489" s="115">
        <v>3888.95</v>
      </c>
      <c r="R489">
        <v>1680</v>
      </c>
    </row>
    <row r="490" spans="1:18" x14ac:dyDescent="0.25">
      <c r="A490" s="169">
        <v>42724</v>
      </c>
      <c r="B490" s="115">
        <v>787.6</v>
      </c>
      <c r="C490" s="115">
        <v>772.16</v>
      </c>
      <c r="D490" s="115">
        <v>770</v>
      </c>
      <c r="E490" s="115">
        <v>787.6</v>
      </c>
      <c r="F490" s="115">
        <v>3860.8</v>
      </c>
      <c r="G490">
        <v>181</v>
      </c>
      <c r="H490" s="115"/>
      <c r="I490" s="115"/>
      <c r="L490" s="169">
        <v>42724</v>
      </c>
      <c r="M490" s="115">
        <v>771.22</v>
      </c>
      <c r="N490" s="115">
        <v>785</v>
      </c>
      <c r="O490" s="115">
        <v>768</v>
      </c>
      <c r="P490" s="115">
        <v>778.56</v>
      </c>
      <c r="Q490" s="115">
        <v>3856.1</v>
      </c>
      <c r="R490">
        <v>1096</v>
      </c>
    </row>
    <row r="491" spans="1:18" x14ac:dyDescent="0.25">
      <c r="A491" s="169">
        <v>42725</v>
      </c>
      <c r="B491" s="115">
        <v>777.46</v>
      </c>
      <c r="C491" s="115">
        <v>768.54</v>
      </c>
      <c r="D491" s="115">
        <v>765.11</v>
      </c>
      <c r="E491" s="115">
        <v>776.91</v>
      </c>
      <c r="F491" s="115">
        <v>3842.7</v>
      </c>
      <c r="G491">
        <v>99</v>
      </c>
      <c r="H491" s="115"/>
      <c r="I491" s="115"/>
      <c r="L491" s="169">
        <v>42725</v>
      </c>
      <c r="M491" s="115">
        <v>769.47</v>
      </c>
      <c r="N491" s="115">
        <v>787.99</v>
      </c>
      <c r="O491" s="115">
        <v>767.6</v>
      </c>
      <c r="P491" s="115">
        <v>787.99</v>
      </c>
      <c r="Q491" s="115">
        <v>3847.35</v>
      </c>
      <c r="R491">
        <v>258</v>
      </c>
    </row>
    <row r="492" spans="1:18" x14ac:dyDescent="0.25">
      <c r="A492" s="169">
        <v>42726</v>
      </c>
      <c r="B492" s="115">
        <v>768.19</v>
      </c>
      <c r="C492" s="115">
        <v>764.34</v>
      </c>
      <c r="D492" s="115">
        <v>760</v>
      </c>
      <c r="E492" s="115">
        <v>760</v>
      </c>
      <c r="F492" s="115">
        <v>3821.7</v>
      </c>
      <c r="G492">
        <v>77</v>
      </c>
      <c r="H492" s="115"/>
      <c r="I492" s="115"/>
      <c r="L492" s="169">
        <v>42726</v>
      </c>
      <c r="M492" s="115">
        <v>761.16</v>
      </c>
      <c r="N492" s="115">
        <v>777.96</v>
      </c>
      <c r="O492" s="115">
        <v>760</v>
      </c>
      <c r="P492" s="115">
        <v>765</v>
      </c>
      <c r="Q492" s="115">
        <v>3805.8</v>
      </c>
      <c r="R492">
        <v>307</v>
      </c>
    </row>
    <row r="493" spans="1:18" x14ac:dyDescent="0.25">
      <c r="A493" s="169">
        <v>42727</v>
      </c>
      <c r="B493" s="115">
        <v>777.21</v>
      </c>
      <c r="C493" s="115">
        <v>767.74</v>
      </c>
      <c r="D493" s="115">
        <v>765</v>
      </c>
      <c r="E493" s="115">
        <v>770.01</v>
      </c>
      <c r="F493" s="115">
        <v>3838.7</v>
      </c>
      <c r="G493">
        <v>95</v>
      </c>
      <c r="H493" s="115"/>
      <c r="I493" s="115"/>
      <c r="L493" s="169">
        <v>42727</v>
      </c>
      <c r="M493" s="115">
        <v>765.52</v>
      </c>
      <c r="N493" s="115">
        <v>776</v>
      </c>
      <c r="O493" s="115">
        <v>760.2</v>
      </c>
      <c r="P493" s="115">
        <v>761</v>
      </c>
      <c r="Q493" s="115">
        <v>3827.6</v>
      </c>
      <c r="R493">
        <v>1351</v>
      </c>
    </row>
    <row r="494" spans="1:18" x14ac:dyDescent="0.25">
      <c r="A494" s="169">
        <v>42730</v>
      </c>
      <c r="B494" s="115">
        <v>766.11</v>
      </c>
      <c r="C494" s="115">
        <v>763.17</v>
      </c>
      <c r="D494" s="115">
        <v>758</v>
      </c>
      <c r="E494" s="115">
        <v>766</v>
      </c>
      <c r="F494" s="115">
        <v>3815.85</v>
      </c>
      <c r="G494">
        <v>182</v>
      </c>
      <c r="H494" s="115"/>
      <c r="I494" s="115"/>
      <c r="L494" s="169">
        <v>42730</v>
      </c>
      <c r="M494" s="115">
        <v>765.23</v>
      </c>
      <c r="N494" s="115">
        <v>773.99</v>
      </c>
      <c r="O494" s="115">
        <v>764</v>
      </c>
      <c r="P494" s="115">
        <v>765.6</v>
      </c>
      <c r="Q494" s="115">
        <v>3826.15</v>
      </c>
      <c r="R494">
        <v>632</v>
      </c>
    </row>
    <row r="495" spans="1:18" x14ac:dyDescent="0.25">
      <c r="A495" s="169">
        <v>42731</v>
      </c>
      <c r="B495" s="115">
        <v>780.01</v>
      </c>
      <c r="C495" s="115">
        <v>769.34</v>
      </c>
      <c r="D495" s="115">
        <v>765</v>
      </c>
      <c r="E495" s="115">
        <v>765</v>
      </c>
      <c r="F495" s="115">
        <v>3846.7</v>
      </c>
      <c r="G495">
        <v>61</v>
      </c>
      <c r="H495" s="115"/>
      <c r="I495" s="115"/>
      <c r="L495" s="169">
        <v>42731</v>
      </c>
      <c r="M495" s="115">
        <v>770.74</v>
      </c>
      <c r="N495" s="115">
        <v>780</v>
      </c>
      <c r="O495" s="115">
        <v>769.8</v>
      </c>
      <c r="P495" s="115">
        <v>775</v>
      </c>
      <c r="Q495" s="115">
        <v>3853.7</v>
      </c>
      <c r="R495">
        <v>292</v>
      </c>
    </row>
    <row r="496" spans="1:18" x14ac:dyDescent="0.25">
      <c r="A496" s="169">
        <v>42732</v>
      </c>
      <c r="B496" s="115">
        <v>773</v>
      </c>
      <c r="C496" s="115">
        <v>761.39</v>
      </c>
      <c r="D496" s="115">
        <v>756</v>
      </c>
      <c r="E496" s="115">
        <v>772.8</v>
      </c>
      <c r="F496" s="115">
        <v>3806.95</v>
      </c>
      <c r="G496">
        <v>69</v>
      </c>
      <c r="H496" s="115"/>
      <c r="I496" s="115"/>
      <c r="L496" s="169">
        <v>42732</v>
      </c>
      <c r="M496" s="115">
        <v>760.89</v>
      </c>
      <c r="N496" s="115">
        <v>778.6</v>
      </c>
      <c r="O496" s="115">
        <v>757.06</v>
      </c>
      <c r="P496" s="115">
        <v>760.4</v>
      </c>
      <c r="Q496" s="115">
        <v>3804.45</v>
      </c>
      <c r="R496">
        <v>705</v>
      </c>
    </row>
    <row r="497" spans="1:18" x14ac:dyDescent="0.25">
      <c r="A497" s="169">
        <v>42733</v>
      </c>
      <c r="B497" s="115">
        <v>772.39</v>
      </c>
      <c r="C497" s="115">
        <v>766.62</v>
      </c>
      <c r="D497" s="115">
        <v>756</v>
      </c>
      <c r="E497" s="115">
        <v>756</v>
      </c>
      <c r="F497" s="115">
        <v>3833.1</v>
      </c>
      <c r="G497">
        <v>18</v>
      </c>
      <c r="H497" s="115"/>
      <c r="I497" s="115"/>
      <c r="L497" s="169">
        <v>42733</v>
      </c>
      <c r="M497" s="115">
        <v>763.09</v>
      </c>
      <c r="N497" s="115">
        <v>775.18</v>
      </c>
      <c r="O497" s="115">
        <v>755.03</v>
      </c>
      <c r="P497" s="115">
        <v>767.74</v>
      </c>
      <c r="Q497" s="115">
        <v>3815.45</v>
      </c>
      <c r="R497">
        <v>7415</v>
      </c>
    </row>
    <row r="498" spans="1:18" x14ac:dyDescent="0.25">
      <c r="A498" s="169">
        <v>42734</v>
      </c>
      <c r="B498" s="115">
        <v>775.54</v>
      </c>
      <c r="C498" s="115">
        <v>773.14</v>
      </c>
      <c r="D498" s="115">
        <v>765.03</v>
      </c>
      <c r="E498" s="115">
        <v>765.6</v>
      </c>
      <c r="F498" s="115">
        <v>3865.7</v>
      </c>
      <c r="G498">
        <v>57</v>
      </c>
      <c r="H498" s="115"/>
      <c r="I498" s="115"/>
      <c r="L498" s="169">
        <v>42734</v>
      </c>
      <c r="M498" s="115">
        <v>772.31</v>
      </c>
      <c r="N498" s="115">
        <v>775</v>
      </c>
      <c r="O498" s="115">
        <v>767</v>
      </c>
      <c r="P498" s="115">
        <v>770</v>
      </c>
      <c r="Q498" s="115">
        <v>3861.55</v>
      </c>
      <c r="R498">
        <v>9990</v>
      </c>
    </row>
    <row r="499" spans="1:18" x14ac:dyDescent="0.25">
      <c r="A499" s="169">
        <v>42737</v>
      </c>
      <c r="B499" s="115">
        <v>789.99</v>
      </c>
      <c r="C499" s="115">
        <v>774.01</v>
      </c>
      <c r="D499" s="115">
        <v>764.78</v>
      </c>
      <c r="E499" s="115">
        <v>789.99</v>
      </c>
      <c r="F499" s="115">
        <v>3870.05</v>
      </c>
      <c r="G499">
        <v>146</v>
      </c>
      <c r="H499" s="115"/>
      <c r="I499" s="115"/>
      <c r="L499" s="169">
        <v>42737</v>
      </c>
      <c r="M499" s="115">
        <v>782.23</v>
      </c>
      <c r="N499" s="115">
        <v>786.01</v>
      </c>
      <c r="O499" s="115">
        <v>770</v>
      </c>
      <c r="P499" s="115">
        <v>770</v>
      </c>
      <c r="Q499" s="115">
        <v>3911.15</v>
      </c>
      <c r="R499">
        <v>804</v>
      </c>
    </row>
    <row r="500" spans="1:18" x14ac:dyDescent="0.25">
      <c r="A500" s="169">
        <v>42738</v>
      </c>
      <c r="B500" s="115">
        <v>799.99</v>
      </c>
      <c r="C500" s="115">
        <v>790.66</v>
      </c>
      <c r="D500" s="115">
        <v>776.26</v>
      </c>
      <c r="E500" s="115">
        <v>786.94</v>
      </c>
      <c r="F500" s="115">
        <v>3953.3</v>
      </c>
      <c r="G500">
        <v>124</v>
      </c>
      <c r="H500" s="115"/>
      <c r="I500" s="115"/>
      <c r="L500" s="169">
        <v>42738</v>
      </c>
      <c r="M500" s="115">
        <v>784.15</v>
      </c>
      <c r="N500" s="115">
        <v>794.29</v>
      </c>
      <c r="O500" s="115">
        <v>773.98</v>
      </c>
      <c r="P500" s="115">
        <v>780</v>
      </c>
      <c r="Q500" s="115">
        <v>3920.75</v>
      </c>
      <c r="R500">
        <v>10892</v>
      </c>
    </row>
    <row r="501" spans="1:18" x14ac:dyDescent="0.25">
      <c r="A501" s="169">
        <v>42739</v>
      </c>
      <c r="B501" s="115">
        <v>797.52</v>
      </c>
      <c r="C501" s="115">
        <v>787.25</v>
      </c>
      <c r="D501" s="115">
        <v>770</v>
      </c>
      <c r="E501" s="115">
        <v>770</v>
      </c>
      <c r="F501" s="115">
        <v>3936.25</v>
      </c>
      <c r="G501">
        <v>105</v>
      </c>
      <c r="H501" s="115"/>
      <c r="I501" s="115"/>
      <c r="L501" s="169">
        <v>42739</v>
      </c>
      <c r="M501" s="115">
        <v>780.07</v>
      </c>
      <c r="N501" s="115">
        <v>793.4</v>
      </c>
      <c r="O501" s="115">
        <v>775</v>
      </c>
      <c r="P501" s="115">
        <v>789.32</v>
      </c>
      <c r="Q501" s="115">
        <v>3900.35</v>
      </c>
      <c r="R501">
        <v>311</v>
      </c>
    </row>
    <row r="502" spans="1:18" x14ac:dyDescent="0.25">
      <c r="A502" s="169">
        <v>42740</v>
      </c>
      <c r="B502" s="115">
        <v>792.31</v>
      </c>
      <c r="C502" s="115">
        <v>780.16</v>
      </c>
      <c r="D502" s="115">
        <v>772.71</v>
      </c>
      <c r="E502" s="115">
        <v>792.31</v>
      </c>
      <c r="F502" s="115">
        <v>3900.8</v>
      </c>
      <c r="G502">
        <v>93</v>
      </c>
      <c r="H502" s="115"/>
      <c r="I502" s="115"/>
      <c r="L502" s="169">
        <v>42740</v>
      </c>
      <c r="M502" s="115">
        <v>779.34</v>
      </c>
      <c r="N502" s="115">
        <v>789.4</v>
      </c>
      <c r="O502" s="115">
        <v>773.34</v>
      </c>
      <c r="P502" s="115">
        <v>773.34</v>
      </c>
      <c r="Q502" s="115">
        <v>3896.7</v>
      </c>
      <c r="R502">
        <v>19567</v>
      </c>
    </row>
    <row r="503" spans="1:18" x14ac:dyDescent="0.25">
      <c r="A503" s="169">
        <v>42741</v>
      </c>
      <c r="B503" s="115">
        <v>795.96</v>
      </c>
      <c r="C503" s="115">
        <v>778</v>
      </c>
      <c r="D503" s="115">
        <v>774.01</v>
      </c>
      <c r="E503" s="115">
        <v>785.7</v>
      </c>
      <c r="F503" s="115">
        <v>3890</v>
      </c>
      <c r="G503">
        <v>20222</v>
      </c>
      <c r="H503" s="115"/>
      <c r="I503" s="115"/>
      <c r="L503" s="169">
        <v>42741</v>
      </c>
      <c r="M503" s="115">
        <v>777.75</v>
      </c>
      <c r="N503" s="115">
        <v>795.48</v>
      </c>
      <c r="O503" s="115">
        <v>774.4</v>
      </c>
      <c r="P503" s="115">
        <v>777.4</v>
      </c>
      <c r="Q503" s="115">
        <v>3888.75</v>
      </c>
      <c r="R503">
        <v>1985</v>
      </c>
    </row>
    <row r="504" spans="1:18" x14ac:dyDescent="0.25">
      <c r="A504" s="169">
        <v>42744</v>
      </c>
      <c r="B504" s="115">
        <v>785.99</v>
      </c>
      <c r="C504" s="115">
        <v>775.28</v>
      </c>
      <c r="D504" s="115">
        <v>774</v>
      </c>
      <c r="E504" s="115">
        <v>778</v>
      </c>
      <c r="F504" s="115">
        <v>3876.4</v>
      </c>
      <c r="G504">
        <v>104</v>
      </c>
      <c r="H504" s="115"/>
      <c r="I504" s="115"/>
      <c r="L504" s="169">
        <v>42744</v>
      </c>
      <c r="M504" s="115">
        <v>776.79</v>
      </c>
      <c r="N504" s="115">
        <v>785</v>
      </c>
      <c r="O504" s="115">
        <v>774.54</v>
      </c>
      <c r="P504" s="115">
        <v>777.75</v>
      </c>
      <c r="Q504" s="115">
        <v>3883.95</v>
      </c>
      <c r="R504">
        <v>244</v>
      </c>
    </row>
    <row r="505" spans="1:18" x14ac:dyDescent="0.25">
      <c r="A505" s="169">
        <v>42745</v>
      </c>
      <c r="B505" s="115">
        <v>779</v>
      </c>
      <c r="C505" s="115">
        <v>770.17</v>
      </c>
      <c r="D505" s="115">
        <v>766</v>
      </c>
      <c r="E505" s="115">
        <v>774</v>
      </c>
      <c r="F505" s="115">
        <v>3850.85</v>
      </c>
      <c r="G505">
        <v>167</v>
      </c>
      <c r="H505" s="115"/>
      <c r="I505" s="115"/>
      <c r="L505" s="169">
        <v>42745</v>
      </c>
      <c r="M505" s="115">
        <v>769.86</v>
      </c>
      <c r="N505" s="115">
        <v>783.99</v>
      </c>
      <c r="O505" s="115">
        <v>765.4</v>
      </c>
      <c r="P505" s="115">
        <v>774.6</v>
      </c>
      <c r="Q505" s="115">
        <v>3849.3</v>
      </c>
      <c r="R505">
        <v>3472</v>
      </c>
    </row>
    <row r="506" spans="1:18" x14ac:dyDescent="0.25">
      <c r="A506" s="169">
        <v>42746</v>
      </c>
      <c r="B506" s="115">
        <v>780</v>
      </c>
      <c r="C506" s="115">
        <v>771.01</v>
      </c>
      <c r="D506" s="115">
        <v>770</v>
      </c>
      <c r="E506" s="115">
        <v>770.01</v>
      </c>
      <c r="F506" s="115">
        <v>3855.05</v>
      </c>
      <c r="G506">
        <v>128</v>
      </c>
      <c r="H506" s="115"/>
      <c r="I506" s="115"/>
      <c r="L506" s="169">
        <v>42746</v>
      </c>
      <c r="M506" s="115">
        <v>770.04</v>
      </c>
      <c r="N506" s="115">
        <v>778.43</v>
      </c>
      <c r="O506" s="115">
        <v>767</v>
      </c>
      <c r="P506" s="115">
        <v>767</v>
      </c>
      <c r="Q506" s="115">
        <v>3850.2</v>
      </c>
      <c r="R506">
        <v>1751</v>
      </c>
    </row>
    <row r="507" spans="1:18" x14ac:dyDescent="0.25">
      <c r="A507" s="169">
        <v>42747</v>
      </c>
      <c r="B507" s="115">
        <v>786.99</v>
      </c>
      <c r="C507" s="115">
        <v>780.26</v>
      </c>
      <c r="D507" s="115">
        <v>764</v>
      </c>
      <c r="E507" s="115">
        <v>766</v>
      </c>
      <c r="F507" s="115">
        <v>3901.3</v>
      </c>
      <c r="G507">
        <v>124</v>
      </c>
      <c r="H507" s="115"/>
      <c r="I507" s="115"/>
      <c r="L507" s="169">
        <v>42747</v>
      </c>
      <c r="M507" s="115">
        <v>778.91</v>
      </c>
      <c r="N507" s="115">
        <v>789.48</v>
      </c>
      <c r="O507" s="115">
        <v>760</v>
      </c>
      <c r="P507" s="115">
        <v>766.66</v>
      </c>
      <c r="Q507" s="115">
        <v>3894.55</v>
      </c>
      <c r="R507">
        <v>2222</v>
      </c>
    </row>
    <row r="508" spans="1:18" x14ac:dyDescent="0.25">
      <c r="A508" s="169">
        <v>42748</v>
      </c>
      <c r="B508" s="115">
        <v>776.11</v>
      </c>
      <c r="C508" s="115">
        <v>769.76</v>
      </c>
      <c r="D508" s="115">
        <v>766.26</v>
      </c>
      <c r="E508" s="115">
        <v>770</v>
      </c>
      <c r="F508" s="115">
        <v>3848.8</v>
      </c>
      <c r="G508">
        <v>58</v>
      </c>
      <c r="H508" s="115"/>
      <c r="I508" s="115"/>
      <c r="L508" s="169">
        <v>42748</v>
      </c>
      <c r="M508" s="115">
        <v>770.09</v>
      </c>
      <c r="N508" s="115">
        <v>774.44</v>
      </c>
      <c r="O508" s="115">
        <v>766.2</v>
      </c>
      <c r="P508" s="115">
        <v>766.2</v>
      </c>
      <c r="Q508" s="115">
        <v>3850.45</v>
      </c>
      <c r="R508">
        <v>3120</v>
      </c>
    </row>
    <row r="509" spans="1:18" x14ac:dyDescent="0.25">
      <c r="A509" s="169">
        <v>42751</v>
      </c>
      <c r="B509" s="115">
        <v>782.63</v>
      </c>
      <c r="C509" s="115">
        <v>768.29</v>
      </c>
      <c r="D509" s="115">
        <v>766.7</v>
      </c>
      <c r="E509" s="115">
        <v>778</v>
      </c>
      <c r="F509" s="115">
        <v>3841.45</v>
      </c>
      <c r="G509">
        <v>55</v>
      </c>
      <c r="H509" s="115"/>
      <c r="I509" s="115"/>
      <c r="L509" s="169">
        <v>42751</v>
      </c>
      <c r="M509" s="115">
        <v>766.91</v>
      </c>
      <c r="N509" s="115">
        <v>785.99</v>
      </c>
      <c r="O509" s="115">
        <v>765</v>
      </c>
      <c r="P509" s="115">
        <v>766.2</v>
      </c>
      <c r="Q509" s="115">
        <v>3834.55</v>
      </c>
      <c r="R509">
        <v>429</v>
      </c>
    </row>
    <row r="510" spans="1:18" x14ac:dyDescent="0.25">
      <c r="A510" s="169">
        <v>42752</v>
      </c>
      <c r="B510" s="115">
        <v>774</v>
      </c>
      <c r="C510" s="115">
        <v>767.56</v>
      </c>
      <c r="D510" s="115">
        <v>762.01</v>
      </c>
      <c r="E510" s="115">
        <v>772.4</v>
      </c>
      <c r="F510" s="115">
        <v>3837.8</v>
      </c>
      <c r="G510">
        <v>170</v>
      </c>
      <c r="H510" s="115"/>
      <c r="I510" s="115"/>
      <c r="L510" s="169">
        <v>42752</v>
      </c>
      <c r="M510" s="115">
        <v>763.17</v>
      </c>
      <c r="N510" s="115">
        <v>770.85</v>
      </c>
      <c r="O510" s="115">
        <v>760</v>
      </c>
      <c r="P510" s="115">
        <v>761.4</v>
      </c>
      <c r="Q510" s="115">
        <v>3815.85</v>
      </c>
      <c r="R510">
        <v>3525</v>
      </c>
    </row>
    <row r="511" spans="1:18" x14ac:dyDescent="0.25">
      <c r="A511" s="169">
        <v>42753</v>
      </c>
      <c r="B511" s="115">
        <v>773.9</v>
      </c>
      <c r="C511" s="115">
        <v>773.8</v>
      </c>
      <c r="D511" s="115">
        <v>767.46</v>
      </c>
      <c r="E511" s="115">
        <v>773</v>
      </c>
      <c r="F511" s="115">
        <v>3869</v>
      </c>
      <c r="G511">
        <v>86</v>
      </c>
      <c r="H511" s="115"/>
      <c r="I511" s="115"/>
      <c r="L511" s="169">
        <v>42753</v>
      </c>
      <c r="M511" s="115">
        <v>774.42</v>
      </c>
      <c r="N511" s="115">
        <v>779.6</v>
      </c>
      <c r="O511" s="115">
        <v>760.42</v>
      </c>
      <c r="P511" s="115">
        <v>773.6</v>
      </c>
      <c r="Q511" s="115">
        <v>3872.1</v>
      </c>
      <c r="R511">
        <v>12806</v>
      </c>
    </row>
    <row r="512" spans="1:18" x14ac:dyDescent="0.25">
      <c r="A512" s="169">
        <v>42754</v>
      </c>
      <c r="B512" s="115">
        <v>777.2</v>
      </c>
      <c r="C512" s="115">
        <v>768.44</v>
      </c>
      <c r="D512" s="115">
        <v>760.52</v>
      </c>
      <c r="E512" s="115">
        <v>777.12</v>
      </c>
      <c r="F512" s="115">
        <v>3842.2</v>
      </c>
      <c r="G512">
        <v>95</v>
      </c>
      <c r="H512" s="115"/>
      <c r="I512" s="115"/>
      <c r="L512" s="169">
        <v>42754</v>
      </c>
      <c r="M512" s="115">
        <v>764.29</v>
      </c>
      <c r="N512" s="115">
        <v>778.36</v>
      </c>
      <c r="O512" s="115">
        <v>761.26</v>
      </c>
      <c r="P512" s="115">
        <v>770.4</v>
      </c>
      <c r="Q512" s="115">
        <v>3821.45</v>
      </c>
      <c r="R512">
        <v>17362</v>
      </c>
    </row>
    <row r="513" spans="1:18" x14ac:dyDescent="0.25">
      <c r="A513" s="169">
        <v>42755</v>
      </c>
      <c r="B513" s="115">
        <v>784.4</v>
      </c>
      <c r="C513" s="115">
        <v>777.88</v>
      </c>
      <c r="D513" s="115">
        <v>762.01</v>
      </c>
      <c r="E513" s="115">
        <v>764.2</v>
      </c>
      <c r="F513" s="115">
        <v>3889.4</v>
      </c>
      <c r="G513">
        <v>276</v>
      </c>
      <c r="H513" s="115"/>
      <c r="I513" s="115"/>
      <c r="L513" s="169">
        <v>42755</v>
      </c>
      <c r="M513" s="115">
        <v>777.91</v>
      </c>
      <c r="N513" s="115">
        <v>783.2</v>
      </c>
      <c r="O513" s="115">
        <v>760.4</v>
      </c>
      <c r="P513" s="115">
        <v>760.8</v>
      </c>
      <c r="Q513" s="115">
        <v>3889.55</v>
      </c>
      <c r="R513">
        <v>1306</v>
      </c>
    </row>
    <row r="514" spans="1:18" x14ac:dyDescent="0.25">
      <c r="A514" s="169">
        <v>42758</v>
      </c>
      <c r="B514" s="115">
        <v>782.8</v>
      </c>
      <c r="C514" s="115">
        <v>770.2</v>
      </c>
      <c r="D514" s="115">
        <v>762.51</v>
      </c>
      <c r="E514" s="115">
        <v>779.99</v>
      </c>
      <c r="F514" s="115">
        <v>3851</v>
      </c>
      <c r="G514">
        <v>126</v>
      </c>
      <c r="H514" s="115"/>
      <c r="I514" s="115"/>
      <c r="L514" s="169">
        <v>42758</v>
      </c>
      <c r="M514" s="115">
        <v>776.17</v>
      </c>
      <c r="N514" s="115">
        <v>786.16</v>
      </c>
      <c r="O514" s="115">
        <v>754.74</v>
      </c>
      <c r="P514" s="115">
        <v>779.8</v>
      </c>
      <c r="Q514" s="115">
        <v>3880.85</v>
      </c>
      <c r="R514">
        <v>1422</v>
      </c>
    </row>
    <row r="515" spans="1:18" x14ac:dyDescent="0.25">
      <c r="A515" s="169">
        <v>42759</v>
      </c>
      <c r="B515" s="115">
        <v>788.8</v>
      </c>
      <c r="C515" s="115">
        <v>780.28</v>
      </c>
      <c r="D515" s="115">
        <v>778</v>
      </c>
      <c r="E515" s="115">
        <v>780</v>
      </c>
      <c r="F515" s="115">
        <v>3901.4</v>
      </c>
      <c r="G515">
        <v>101</v>
      </c>
      <c r="H515" s="115"/>
      <c r="I515" s="115"/>
      <c r="L515" s="169">
        <v>42759</v>
      </c>
      <c r="M515" s="115">
        <v>782.53</v>
      </c>
      <c r="N515" s="115">
        <v>789.4</v>
      </c>
      <c r="O515" s="115">
        <v>768.49</v>
      </c>
      <c r="P515" s="115">
        <v>768.49</v>
      </c>
      <c r="Q515" s="115">
        <v>3912.65</v>
      </c>
      <c r="R515">
        <v>4377</v>
      </c>
    </row>
    <row r="516" spans="1:18" x14ac:dyDescent="0.25">
      <c r="A516" s="169">
        <v>42760</v>
      </c>
      <c r="B516" s="115">
        <v>794.01</v>
      </c>
      <c r="C516" s="115">
        <v>794</v>
      </c>
      <c r="D516" s="115">
        <v>780</v>
      </c>
      <c r="E516" s="115">
        <v>780</v>
      </c>
      <c r="F516" s="115">
        <v>3970</v>
      </c>
      <c r="G516">
        <v>68</v>
      </c>
      <c r="H516" s="115"/>
      <c r="I516" s="115"/>
      <c r="L516" s="169">
        <v>42760</v>
      </c>
      <c r="M516" s="115">
        <v>790.33</v>
      </c>
      <c r="N516" s="115">
        <v>795</v>
      </c>
      <c r="O516" s="115">
        <v>780.41</v>
      </c>
      <c r="P516" s="115">
        <v>782.25</v>
      </c>
      <c r="Q516" s="115">
        <v>3951.65</v>
      </c>
      <c r="R516">
        <v>750</v>
      </c>
    </row>
    <row r="517" spans="1:18" x14ac:dyDescent="0.25">
      <c r="A517" s="169">
        <v>42762</v>
      </c>
      <c r="B517" s="115">
        <v>801</v>
      </c>
      <c r="C517" s="115">
        <v>794.18</v>
      </c>
      <c r="D517" s="115">
        <v>785.2</v>
      </c>
      <c r="E517" s="115">
        <v>788.09</v>
      </c>
      <c r="F517" s="115">
        <v>3970.9</v>
      </c>
      <c r="G517">
        <v>789</v>
      </c>
      <c r="H517" s="115"/>
      <c r="I517" s="115"/>
      <c r="L517" s="169">
        <v>42762</v>
      </c>
      <c r="M517" s="115">
        <v>794.42</v>
      </c>
      <c r="N517" s="115">
        <v>798</v>
      </c>
      <c r="O517" s="115">
        <v>782.57</v>
      </c>
      <c r="P517" s="115">
        <v>782.57</v>
      </c>
      <c r="Q517" s="115">
        <v>3972.1</v>
      </c>
      <c r="R517">
        <v>5834</v>
      </c>
    </row>
    <row r="518" spans="1:18" x14ac:dyDescent="0.25">
      <c r="A518" s="169">
        <v>42765</v>
      </c>
      <c r="B518" s="115">
        <v>799.99</v>
      </c>
      <c r="C518" s="115">
        <v>789.62</v>
      </c>
      <c r="D518" s="115">
        <v>783</v>
      </c>
      <c r="E518" s="115">
        <v>798.3</v>
      </c>
      <c r="F518" s="115">
        <v>3948.1</v>
      </c>
      <c r="G518">
        <v>172</v>
      </c>
      <c r="H518" s="115"/>
      <c r="I518" s="115"/>
      <c r="L518" s="169">
        <v>42765</v>
      </c>
      <c r="M518" s="115">
        <v>790.6</v>
      </c>
      <c r="N518" s="115">
        <v>799.48</v>
      </c>
      <c r="O518" s="115">
        <v>783.14</v>
      </c>
      <c r="P518" s="115">
        <v>799.48</v>
      </c>
      <c r="Q518" s="115">
        <v>3953</v>
      </c>
      <c r="R518">
        <v>5480</v>
      </c>
    </row>
    <row r="519" spans="1:18" x14ac:dyDescent="0.25">
      <c r="A519" s="169">
        <v>42766</v>
      </c>
      <c r="B519" s="115">
        <v>796.66</v>
      </c>
      <c r="C519" s="115">
        <v>794.67</v>
      </c>
      <c r="D519" s="115">
        <v>784.21</v>
      </c>
      <c r="E519" s="115">
        <v>793.04</v>
      </c>
      <c r="F519" s="115">
        <v>3973.35</v>
      </c>
      <c r="G519">
        <v>483</v>
      </c>
      <c r="H519" s="115"/>
      <c r="I519" s="115"/>
      <c r="L519" s="169">
        <v>42766</v>
      </c>
      <c r="M519" s="115">
        <v>793.21</v>
      </c>
      <c r="N519" s="115">
        <v>796</v>
      </c>
      <c r="O519" s="115">
        <v>784.42</v>
      </c>
      <c r="P519" s="115">
        <v>785.61</v>
      </c>
      <c r="Q519" s="115">
        <v>3966.05</v>
      </c>
      <c r="R519">
        <v>2227</v>
      </c>
    </row>
    <row r="520" spans="1:18" x14ac:dyDescent="0.25">
      <c r="A520" s="169">
        <v>42767</v>
      </c>
      <c r="B520" s="115">
        <v>797</v>
      </c>
      <c r="C520" s="115">
        <v>794.58</v>
      </c>
      <c r="D520" s="115">
        <v>790</v>
      </c>
      <c r="E520" s="115">
        <v>794</v>
      </c>
      <c r="F520" s="115">
        <v>3972.9</v>
      </c>
      <c r="G520">
        <v>496</v>
      </c>
      <c r="H520" s="115"/>
      <c r="I520" s="115"/>
      <c r="L520" s="169">
        <v>42767</v>
      </c>
      <c r="M520" s="115">
        <v>796.09</v>
      </c>
      <c r="N520" s="115">
        <v>799.18</v>
      </c>
      <c r="O520" s="115">
        <v>784.24</v>
      </c>
      <c r="P520" s="115">
        <v>785.59</v>
      </c>
      <c r="Q520" s="115">
        <v>3980.45</v>
      </c>
      <c r="R520">
        <v>1437</v>
      </c>
    </row>
    <row r="521" spans="1:18" x14ac:dyDescent="0.25">
      <c r="A521" s="169">
        <v>42768</v>
      </c>
      <c r="B521" s="115">
        <v>820</v>
      </c>
      <c r="C521" s="115">
        <v>819.09</v>
      </c>
      <c r="D521" s="115">
        <v>793</v>
      </c>
      <c r="E521" s="115">
        <v>794.11</v>
      </c>
      <c r="F521" s="115">
        <v>4095.45</v>
      </c>
      <c r="G521">
        <v>96</v>
      </c>
      <c r="H521" s="115"/>
      <c r="I521" s="115"/>
      <c r="L521" s="169">
        <v>42768</v>
      </c>
      <c r="M521" s="115">
        <v>819.6</v>
      </c>
      <c r="N521" s="115">
        <v>827.94</v>
      </c>
      <c r="O521" s="115">
        <v>793</v>
      </c>
      <c r="P521" s="115">
        <v>793</v>
      </c>
      <c r="Q521" s="115">
        <v>4098</v>
      </c>
      <c r="R521">
        <v>1005</v>
      </c>
    </row>
    <row r="522" spans="1:18" x14ac:dyDescent="0.25">
      <c r="A522" s="169">
        <v>42769</v>
      </c>
      <c r="B522" s="115">
        <v>842</v>
      </c>
      <c r="C522" s="115">
        <v>838.75</v>
      </c>
      <c r="D522" s="115">
        <v>816</v>
      </c>
      <c r="E522" s="115">
        <v>816</v>
      </c>
      <c r="F522" s="115">
        <v>4193.75</v>
      </c>
      <c r="G522">
        <v>1518</v>
      </c>
      <c r="H522" s="115"/>
      <c r="I522" s="115"/>
      <c r="L522" s="169">
        <v>42769</v>
      </c>
      <c r="M522" s="115">
        <v>832.4</v>
      </c>
      <c r="N522" s="115">
        <v>839.01</v>
      </c>
      <c r="O522" s="115">
        <v>807</v>
      </c>
      <c r="P522" s="115">
        <v>815.41</v>
      </c>
      <c r="Q522" s="115">
        <v>4162</v>
      </c>
      <c r="R522">
        <v>1929</v>
      </c>
    </row>
    <row r="523" spans="1:18" x14ac:dyDescent="0.25">
      <c r="A523" s="169">
        <v>42772</v>
      </c>
      <c r="B523" s="115">
        <v>867.97</v>
      </c>
      <c r="C523" s="115">
        <v>845.07</v>
      </c>
      <c r="D523" s="115">
        <v>830.17</v>
      </c>
      <c r="E523" s="115">
        <v>830.17</v>
      </c>
      <c r="F523" s="115">
        <v>4225.3500000000004</v>
      </c>
      <c r="G523">
        <v>599</v>
      </c>
      <c r="H523" s="115"/>
      <c r="I523" s="115"/>
      <c r="L523" s="169">
        <v>42772</v>
      </c>
      <c r="M523" s="115">
        <v>845.04</v>
      </c>
      <c r="N523" s="115">
        <v>855.6</v>
      </c>
      <c r="O523" s="115">
        <v>816.44</v>
      </c>
      <c r="P523" s="115">
        <v>838</v>
      </c>
      <c r="Q523" s="115">
        <v>4225.2</v>
      </c>
      <c r="R523">
        <v>1026</v>
      </c>
    </row>
    <row r="524" spans="1:18" x14ac:dyDescent="0.25">
      <c r="A524" s="169">
        <v>42773</v>
      </c>
      <c r="B524" s="115">
        <v>848</v>
      </c>
      <c r="C524" s="115">
        <v>835.78</v>
      </c>
      <c r="D524" s="115">
        <v>829.87</v>
      </c>
      <c r="E524" s="115">
        <v>843.8</v>
      </c>
      <c r="F524" s="115">
        <v>4178.8999999999996</v>
      </c>
      <c r="G524">
        <v>86</v>
      </c>
      <c r="H524" s="115"/>
      <c r="I524" s="115"/>
      <c r="L524" s="169">
        <v>42773</v>
      </c>
      <c r="M524" s="115">
        <v>839.85</v>
      </c>
      <c r="N524" s="115">
        <v>853.6</v>
      </c>
      <c r="O524" s="115">
        <v>832.22</v>
      </c>
      <c r="P524" s="115">
        <v>840.28</v>
      </c>
      <c r="Q524" s="115">
        <v>4199.25</v>
      </c>
      <c r="R524">
        <v>3366</v>
      </c>
    </row>
    <row r="525" spans="1:18" x14ac:dyDescent="0.25">
      <c r="A525" s="169">
        <v>42774</v>
      </c>
      <c r="B525" s="115">
        <v>840</v>
      </c>
      <c r="C525" s="115">
        <v>837.72</v>
      </c>
      <c r="D525" s="115">
        <v>820</v>
      </c>
      <c r="E525" s="115">
        <v>838.56</v>
      </c>
      <c r="F525" s="115">
        <v>4188.6000000000004</v>
      </c>
      <c r="G525">
        <v>98</v>
      </c>
      <c r="H525" s="115"/>
      <c r="I525" s="115"/>
      <c r="L525" s="169">
        <v>42774</v>
      </c>
      <c r="M525" s="115">
        <v>835.49</v>
      </c>
      <c r="N525" s="115">
        <v>853.99</v>
      </c>
      <c r="O525" s="115">
        <v>816</v>
      </c>
      <c r="P525" s="115">
        <v>853.99</v>
      </c>
      <c r="Q525" s="115">
        <v>4177.45</v>
      </c>
      <c r="R525">
        <v>3581</v>
      </c>
    </row>
    <row r="526" spans="1:18" x14ac:dyDescent="0.25">
      <c r="A526" s="169">
        <v>42775</v>
      </c>
      <c r="B526" s="115">
        <v>839.79</v>
      </c>
      <c r="C526" s="115">
        <v>834.33</v>
      </c>
      <c r="D526" s="115">
        <v>821</v>
      </c>
      <c r="E526" s="115">
        <v>821</v>
      </c>
      <c r="F526" s="115">
        <v>4171.6499999999996</v>
      </c>
      <c r="G526">
        <v>116</v>
      </c>
      <c r="H526" s="115"/>
      <c r="I526" s="115"/>
      <c r="L526" s="169">
        <v>42775</v>
      </c>
      <c r="M526" s="115">
        <v>834.73</v>
      </c>
      <c r="N526" s="115">
        <v>848</v>
      </c>
      <c r="O526" s="115">
        <v>828.22</v>
      </c>
      <c r="P526" s="115">
        <v>840</v>
      </c>
      <c r="Q526" s="115">
        <v>4173.6499999999996</v>
      </c>
      <c r="R526">
        <v>470</v>
      </c>
    </row>
    <row r="527" spans="1:18" x14ac:dyDescent="0.25">
      <c r="A527" s="169">
        <v>42776</v>
      </c>
      <c r="B527" s="115">
        <v>843.6</v>
      </c>
      <c r="C527" s="115">
        <v>835</v>
      </c>
      <c r="D527" s="115">
        <v>824.4</v>
      </c>
      <c r="E527" s="115">
        <v>842.7</v>
      </c>
      <c r="F527" s="115">
        <v>4175</v>
      </c>
      <c r="G527">
        <v>825</v>
      </c>
      <c r="H527" s="115"/>
      <c r="I527" s="115"/>
      <c r="L527" s="169">
        <v>42776</v>
      </c>
      <c r="M527" s="115">
        <v>835.01</v>
      </c>
      <c r="N527" s="115">
        <v>840</v>
      </c>
      <c r="O527" s="115">
        <v>824.41</v>
      </c>
      <c r="P527" s="115">
        <v>828.06</v>
      </c>
      <c r="Q527" s="115">
        <v>4175.05</v>
      </c>
      <c r="R527">
        <v>1526</v>
      </c>
    </row>
    <row r="528" spans="1:18" x14ac:dyDescent="0.25">
      <c r="A528" s="169">
        <v>42779</v>
      </c>
      <c r="B528" s="115">
        <v>835.99</v>
      </c>
      <c r="C528" s="115">
        <v>816.33</v>
      </c>
      <c r="D528" s="115">
        <v>810.2</v>
      </c>
      <c r="E528" s="115">
        <v>824.16</v>
      </c>
      <c r="F528" s="115">
        <v>4081.65</v>
      </c>
      <c r="G528">
        <v>65</v>
      </c>
      <c r="H528" s="115"/>
      <c r="I528" s="115"/>
      <c r="L528" s="169">
        <v>42779</v>
      </c>
      <c r="M528" s="115">
        <v>813.42</v>
      </c>
      <c r="N528" s="115">
        <v>838.03</v>
      </c>
      <c r="O528" s="115">
        <v>809.96</v>
      </c>
      <c r="P528" s="115">
        <v>835.68</v>
      </c>
      <c r="Q528" s="115">
        <v>4067.1</v>
      </c>
      <c r="R528">
        <v>10707</v>
      </c>
    </row>
    <row r="529" spans="1:18" x14ac:dyDescent="0.25">
      <c r="A529" s="169">
        <v>42780</v>
      </c>
      <c r="B529" s="115">
        <v>816</v>
      </c>
      <c r="C529" s="115">
        <v>810.58</v>
      </c>
      <c r="D529" s="115">
        <v>802.81</v>
      </c>
      <c r="E529" s="115">
        <v>812</v>
      </c>
      <c r="F529" s="115">
        <v>4052.9</v>
      </c>
      <c r="G529">
        <v>104</v>
      </c>
      <c r="H529" s="115"/>
      <c r="I529" s="115"/>
      <c r="L529" s="169">
        <v>42780</v>
      </c>
      <c r="M529" s="115">
        <v>809.99</v>
      </c>
      <c r="N529" s="115">
        <v>819.41</v>
      </c>
      <c r="O529" s="115">
        <v>804</v>
      </c>
      <c r="P529" s="115">
        <v>812.99</v>
      </c>
      <c r="Q529" s="115">
        <v>4049.95</v>
      </c>
      <c r="R529">
        <v>1134</v>
      </c>
    </row>
    <row r="530" spans="1:18" x14ac:dyDescent="0.25">
      <c r="A530" s="169">
        <v>42781</v>
      </c>
      <c r="B530" s="115">
        <v>810</v>
      </c>
      <c r="C530" s="115">
        <v>800.03</v>
      </c>
      <c r="D530" s="115">
        <v>785.2</v>
      </c>
      <c r="E530" s="115">
        <v>805.78</v>
      </c>
      <c r="F530" s="115">
        <v>4000.15</v>
      </c>
      <c r="G530">
        <v>1749</v>
      </c>
      <c r="H530" s="115"/>
      <c r="I530" s="115"/>
      <c r="L530" s="169">
        <v>42781</v>
      </c>
      <c r="M530" s="115">
        <v>800.46</v>
      </c>
      <c r="N530" s="115">
        <v>818</v>
      </c>
      <c r="O530" s="115">
        <v>792.02</v>
      </c>
      <c r="P530" s="115">
        <v>818</v>
      </c>
      <c r="Q530" s="115">
        <v>4002.3</v>
      </c>
      <c r="R530">
        <v>1233</v>
      </c>
    </row>
    <row r="531" spans="1:18" x14ac:dyDescent="0.25">
      <c r="A531" s="169">
        <v>42782</v>
      </c>
      <c r="B531" s="115">
        <v>809.8</v>
      </c>
      <c r="C531" s="115">
        <v>805.69</v>
      </c>
      <c r="D531" s="115">
        <v>794.01</v>
      </c>
      <c r="E531" s="115">
        <v>803.99</v>
      </c>
      <c r="F531" s="115">
        <v>4028.45</v>
      </c>
      <c r="G531">
        <v>77</v>
      </c>
      <c r="H531" s="115"/>
      <c r="I531" s="115"/>
      <c r="L531" s="169">
        <v>42782</v>
      </c>
      <c r="M531" s="115">
        <v>806.16</v>
      </c>
      <c r="N531" s="115">
        <v>809.98</v>
      </c>
      <c r="O531" s="115">
        <v>794.5</v>
      </c>
      <c r="P531" s="115">
        <v>803.97</v>
      </c>
      <c r="Q531" s="115">
        <v>4030.8</v>
      </c>
      <c r="R531">
        <v>3044</v>
      </c>
    </row>
    <row r="532" spans="1:18" x14ac:dyDescent="0.25">
      <c r="A532" s="169">
        <v>42783</v>
      </c>
      <c r="B532" s="115">
        <v>810.2</v>
      </c>
      <c r="C532" s="115">
        <v>800.93</v>
      </c>
      <c r="D532" s="115">
        <v>798.62</v>
      </c>
      <c r="E532" s="115">
        <v>809.79</v>
      </c>
      <c r="F532" s="115">
        <v>4004.65</v>
      </c>
      <c r="G532">
        <v>38</v>
      </c>
      <c r="H532" s="115"/>
      <c r="I532" s="115"/>
      <c r="L532" s="169">
        <v>42783</v>
      </c>
      <c r="M532" s="115">
        <v>807.56</v>
      </c>
      <c r="N532" s="115">
        <v>810</v>
      </c>
      <c r="O532" s="115">
        <v>796.82</v>
      </c>
      <c r="P532" s="115">
        <v>803.2</v>
      </c>
      <c r="Q532" s="115">
        <v>4037.8</v>
      </c>
      <c r="R532">
        <v>481</v>
      </c>
    </row>
    <row r="533" spans="1:18" x14ac:dyDescent="0.25">
      <c r="A533" s="169">
        <v>42786</v>
      </c>
      <c r="B533" s="115">
        <v>838</v>
      </c>
      <c r="C533" s="115">
        <v>815.51</v>
      </c>
      <c r="D533" s="115">
        <v>805.93</v>
      </c>
      <c r="E533" s="115">
        <v>838</v>
      </c>
      <c r="F533" s="115">
        <v>4077.55</v>
      </c>
      <c r="G533">
        <v>349</v>
      </c>
      <c r="H533" s="115"/>
      <c r="I533" s="115"/>
      <c r="L533" s="169">
        <v>42786</v>
      </c>
      <c r="M533" s="115">
        <v>819.5</v>
      </c>
      <c r="N533" s="115">
        <v>824</v>
      </c>
      <c r="O533" s="115">
        <v>796.52</v>
      </c>
      <c r="P533" s="115">
        <v>808.93</v>
      </c>
      <c r="Q533" s="115">
        <v>4097.5</v>
      </c>
      <c r="R533">
        <v>1132</v>
      </c>
    </row>
    <row r="534" spans="1:18" x14ac:dyDescent="0.25">
      <c r="A534" s="169">
        <v>42787</v>
      </c>
      <c r="B534" s="115">
        <v>838.8</v>
      </c>
      <c r="C534" s="115">
        <v>832.64</v>
      </c>
      <c r="D534" s="115">
        <v>810</v>
      </c>
      <c r="E534" s="115">
        <v>813.15</v>
      </c>
      <c r="F534" s="115">
        <v>4163.2</v>
      </c>
      <c r="G534">
        <v>210</v>
      </c>
      <c r="H534" s="115"/>
      <c r="I534" s="115"/>
      <c r="L534" s="169">
        <v>42787</v>
      </c>
      <c r="M534" s="115">
        <v>834.52</v>
      </c>
      <c r="N534" s="115">
        <v>842</v>
      </c>
      <c r="O534" s="115">
        <v>809.99</v>
      </c>
      <c r="P534" s="115">
        <v>819.99</v>
      </c>
      <c r="Q534" s="115">
        <v>4172.6000000000004</v>
      </c>
      <c r="R534">
        <v>1092</v>
      </c>
    </row>
    <row r="535" spans="1:18" x14ac:dyDescent="0.25">
      <c r="A535" s="169">
        <v>42788</v>
      </c>
      <c r="B535" s="115">
        <v>834.61</v>
      </c>
      <c r="C535" s="115">
        <v>818.71</v>
      </c>
      <c r="D535" s="115">
        <v>814.07</v>
      </c>
      <c r="E535" s="115">
        <v>834.6</v>
      </c>
      <c r="F535" s="115">
        <v>4093.55</v>
      </c>
      <c r="G535">
        <v>50</v>
      </c>
      <c r="H535" s="115"/>
      <c r="I535" s="115"/>
      <c r="L535" s="169">
        <v>42788</v>
      </c>
      <c r="M535" s="115">
        <v>821.18</v>
      </c>
      <c r="N535" s="115">
        <v>839.71</v>
      </c>
      <c r="O535" s="115">
        <v>816.2</v>
      </c>
      <c r="P535" s="115">
        <v>830</v>
      </c>
      <c r="Q535" s="115">
        <v>4105.8999999999996</v>
      </c>
      <c r="R535">
        <v>1018</v>
      </c>
    </row>
    <row r="536" spans="1:18" x14ac:dyDescent="0.25">
      <c r="A536" s="169">
        <v>42789</v>
      </c>
      <c r="B536" s="115">
        <v>828.2</v>
      </c>
      <c r="C536" s="115">
        <v>822.92</v>
      </c>
      <c r="D536" s="115">
        <v>819.38</v>
      </c>
      <c r="E536" s="115">
        <v>824.48</v>
      </c>
      <c r="F536" s="115">
        <v>4114.6000000000004</v>
      </c>
      <c r="G536">
        <v>38</v>
      </c>
      <c r="H536" s="115"/>
      <c r="I536" s="115"/>
      <c r="L536" s="169">
        <v>42789</v>
      </c>
      <c r="M536" s="115">
        <v>822.24</v>
      </c>
      <c r="N536" s="115">
        <v>833.79</v>
      </c>
      <c r="O536" s="115">
        <v>815.21</v>
      </c>
      <c r="P536" s="115">
        <v>833.79</v>
      </c>
      <c r="Q536" s="115">
        <v>4111.2</v>
      </c>
      <c r="R536">
        <v>839</v>
      </c>
    </row>
    <row r="537" spans="1:18" x14ac:dyDescent="0.25">
      <c r="A537" s="169">
        <v>42793</v>
      </c>
      <c r="B537" s="115">
        <v>848</v>
      </c>
      <c r="C537" s="115">
        <v>824.4</v>
      </c>
      <c r="D537" s="115">
        <v>815.4</v>
      </c>
      <c r="E537" s="115">
        <v>828.07</v>
      </c>
      <c r="F537" s="115">
        <v>4122</v>
      </c>
      <c r="G537">
        <v>209</v>
      </c>
      <c r="H537" s="115"/>
      <c r="I537" s="115"/>
      <c r="L537" s="169">
        <v>42793</v>
      </c>
      <c r="M537" s="115">
        <v>821.63</v>
      </c>
      <c r="N537" s="115">
        <v>828</v>
      </c>
      <c r="O537" s="115">
        <v>812.2</v>
      </c>
      <c r="P537" s="115">
        <v>812.2</v>
      </c>
      <c r="Q537" s="115">
        <v>4108.1499999999996</v>
      </c>
      <c r="R537">
        <v>2081</v>
      </c>
    </row>
    <row r="538" spans="1:18" x14ac:dyDescent="0.25">
      <c r="A538" s="169">
        <v>42794</v>
      </c>
      <c r="B538" s="115">
        <v>854</v>
      </c>
      <c r="C538" s="115">
        <v>846.47</v>
      </c>
      <c r="D538" s="115">
        <v>819.62</v>
      </c>
      <c r="E538" s="115">
        <v>833</v>
      </c>
      <c r="F538" s="115">
        <v>4232.3500000000004</v>
      </c>
      <c r="G538">
        <v>166</v>
      </c>
      <c r="H538" s="115"/>
      <c r="I538" s="115"/>
      <c r="L538" s="169">
        <v>42794</v>
      </c>
      <c r="M538" s="115">
        <v>844.5</v>
      </c>
      <c r="N538" s="115">
        <v>854.49</v>
      </c>
      <c r="O538" s="115">
        <v>822.39</v>
      </c>
      <c r="P538" s="115">
        <v>828.37</v>
      </c>
      <c r="Q538" s="115">
        <v>4222.5</v>
      </c>
      <c r="R538">
        <v>2283</v>
      </c>
    </row>
    <row r="539" spans="1:18" x14ac:dyDescent="0.25">
      <c r="A539" s="169">
        <v>42795</v>
      </c>
      <c r="B539" s="115">
        <v>850</v>
      </c>
      <c r="C539" s="115">
        <v>831.44</v>
      </c>
      <c r="D539" s="115">
        <v>823.46</v>
      </c>
      <c r="E539" s="115">
        <v>842</v>
      </c>
      <c r="F539" s="115">
        <v>4157.2</v>
      </c>
      <c r="G539">
        <v>236</v>
      </c>
      <c r="H539" s="115"/>
      <c r="I539" s="115"/>
      <c r="L539" s="169">
        <v>42795</v>
      </c>
      <c r="M539" s="115">
        <v>830.82</v>
      </c>
      <c r="N539" s="115">
        <v>860</v>
      </c>
      <c r="O539" s="115">
        <v>827.36</v>
      </c>
      <c r="P539" s="115">
        <v>860</v>
      </c>
      <c r="Q539" s="115">
        <v>4154.1000000000004</v>
      </c>
      <c r="R539">
        <v>3191</v>
      </c>
    </row>
    <row r="540" spans="1:18" x14ac:dyDescent="0.25">
      <c r="A540" s="169">
        <v>42796</v>
      </c>
      <c r="B540" s="115">
        <v>843.17</v>
      </c>
      <c r="C540" s="115">
        <v>833.24</v>
      </c>
      <c r="D540" s="115">
        <v>828.57</v>
      </c>
      <c r="E540" s="115">
        <v>843.17</v>
      </c>
      <c r="F540" s="115">
        <v>4166.2</v>
      </c>
      <c r="G540">
        <v>82</v>
      </c>
      <c r="H540" s="115"/>
      <c r="I540" s="115"/>
      <c r="L540" s="169">
        <v>42796</v>
      </c>
      <c r="M540" s="115">
        <v>832.54</v>
      </c>
      <c r="N540" s="115">
        <v>849.59</v>
      </c>
      <c r="O540" s="115">
        <v>826.55</v>
      </c>
      <c r="P540" s="115">
        <v>833.99</v>
      </c>
      <c r="Q540" s="115">
        <v>4162.7</v>
      </c>
      <c r="R540">
        <v>605</v>
      </c>
    </row>
    <row r="541" spans="1:18" x14ac:dyDescent="0.25">
      <c r="A541" s="169">
        <v>42797</v>
      </c>
      <c r="B541" s="115">
        <v>847.95</v>
      </c>
      <c r="C541" s="115">
        <v>836.76</v>
      </c>
      <c r="D541" s="115">
        <v>834</v>
      </c>
      <c r="E541" s="115">
        <v>840</v>
      </c>
      <c r="F541" s="115">
        <v>4183.8</v>
      </c>
      <c r="G541">
        <v>89</v>
      </c>
      <c r="H541" s="115"/>
      <c r="I541" s="115"/>
      <c r="L541" s="169">
        <v>42797</v>
      </c>
      <c r="M541" s="115">
        <v>835.15</v>
      </c>
      <c r="N541" s="115">
        <v>839.99</v>
      </c>
      <c r="O541" s="115">
        <v>830.61</v>
      </c>
      <c r="P541" s="115">
        <v>835</v>
      </c>
      <c r="Q541" s="115">
        <v>4175.75</v>
      </c>
      <c r="R541">
        <v>433</v>
      </c>
    </row>
    <row r="542" spans="1:18" x14ac:dyDescent="0.25">
      <c r="A542" s="169">
        <v>42800</v>
      </c>
      <c r="B542" s="115">
        <v>846</v>
      </c>
      <c r="C542" s="115">
        <v>829.92</v>
      </c>
      <c r="D542" s="115">
        <v>827.01</v>
      </c>
      <c r="E542" s="115">
        <v>830.21</v>
      </c>
      <c r="F542" s="115">
        <v>4149.6000000000004</v>
      </c>
      <c r="G542">
        <v>166</v>
      </c>
      <c r="H542" s="115"/>
      <c r="I542" s="115"/>
      <c r="L542" s="169">
        <v>42800</v>
      </c>
      <c r="M542" s="115">
        <v>831.53</v>
      </c>
      <c r="N542" s="115">
        <v>844</v>
      </c>
      <c r="O542" s="115">
        <v>823.99</v>
      </c>
      <c r="P542" s="115">
        <v>823.99</v>
      </c>
      <c r="Q542" s="115">
        <v>4157.6499999999996</v>
      </c>
      <c r="R542">
        <v>682</v>
      </c>
    </row>
    <row r="543" spans="1:18" x14ac:dyDescent="0.25">
      <c r="A543" s="169">
        <v>42801</v>
      </c>
      <c r="B543" s="115">
        <v>836</v>
      </c>
      <c r="C543" s="115">
        <v>830</v>
      </c>
      <c r="D543" s="115">
        <v>824</v>
      </c>
      <c r="E543" s="115">
        <v>835.97</v>
      </c>
      <c r="F543" s="115">
        <v>4150</v>
      </c>
      <c r="G543">
        <v>78</v>
      </c>
      <c r="H543" s="115"/>
      <c r="I543" s="115"/>
      <c r="L543" s="169">
        <v>42801</v>
      </c>
      <c r="M543" s="115">
        <v>829.99</v>
      </c>
      <c r="N543" s="115">
        <v>838.11</v>
      </c>
      <c r="O543" s="115">
        <v>825.99</v>
      </c>
      <c r="P543" s="115">
        <v>830.99</v>
      </c>
      <c r="Q543" s="115">
        <v>4149.95</v>
      </c>
      <c r="R543">
        <v>1156</v>
      </c>
    </row>
    <row r="544" spans="1:18" x14ac:dyDescent="0.25">
      <c r="A544" s="169">
        <v>42802</v>
      </c>
      <c r="B544" s="115">
        <v>838</v>
      </c>
      <c r="C544" s="115">
        <v>826.7</v>
      </c>
      <c r="D544" s="115">
        <v>820</v>
      </c>
      <c r="E544" s="115">
        <v>822.22</v>
      </c>
      <c r="F544" s="115">
        <v>4133.5</v>
      </c>
      <c r="G544">
        <v>77</v>
      </c>
      <c r="H544" s="115"/>
      <c r="I544" s="115"/>
      <c r="L544" s="169">
        <v>42802</v>
      </c>
      <c r="M544" s="115">
        <v>828.63</v>
      </c>
      <c r="N544" s="115">
        <v>842.46</v>
      </c>
      <c r="O544" s="115">
        <v>816.41</v>
      </c>
      <c r="P544" s="115">
        <v>823.99</v>
      </c>
      <c r="Q544" s="115">
        <v>4143.1499999999996</v>
      </c>
      <c r="R544">
        <v>1078</v>
      </c>
    </row>
    <row r="545" spans="1:18" x14ac:dyDescent="0.25">
      <c r="A545" s="169">
        <v>42803</v>
      </c>
      <c r="B545" s="115">
        <v>826.94</v>
      </c>
      <c r="C545" s="115">
        <v>821.42</v>
      </c>
      <c r="D545" s="115">
        <v>820.2</v>
      </c>
      <c r="E545" s="115">
        <v>826.94</v>
      </c>
      <c r="F545" s="115">
        <v>4107.1000000000004</v>
      </c>
      <c r="G545">
        <v>77</v>
      </c>
      <c r="H545" s="115"/>
      <c r="I545" s="115"/>
      <c r="L545" s="169">
        <v>42803</v>
      </c>
      <c r="M545" s="115">
        <v>818.64</v>
      </c>
      <c r="N545" s="115">
        <v>836</v>
      </c>
      <c r="O545" s="115">
        <v>816.03</v>
      </c>
      <c r="P545" s="115">
        <v>825.59</v>
      </c>
      <c r="Q545" s="115">
        <v>4093.2</v>
      </c>
      <c r="R545">
        <v>474</v>
      </c>
    </row>
    <row r="546" spans="1:18" x14ac:dyDescent="0.25">
      <c r="A546" s="169">
        <v>42804</v>
      </c>
      <c r="B546" s="115">
        <v>829.4</v>
      </c>
      <c r="C546" s="115">
        <v>823.7</v>
      </c>
      <c r="D546" s="115">
        <v>820.4</v>
      </c>
      <c r="E546" s="115">
        <v>826.92</v>
      </c>
      <c r="F546" s="115">
        <v>4118.5</v>
      </c>
      <c r="G546">
        <v>50</v>
      </c>
      <c r="H546" s="115"/>
      <c r="I546" s="115"/>
      <c r="L546" s="169">
        <v>42804</v>
      </c>
      <c r="M546" s="115">
        <v>823.64</v>
      </c>
      <c r="N546" s="115">
        <v>840</v>
      </c>
      <c r="O546" s="115">
        <v>819.99</v>
      </c>
      <c r="P546" s="115">
        <v>819.99</v>
      </c>
      <c r="Q546" s="115">
        <v>4118.2</v>
      </c>
      <c r="R546">
        <v>390</v>
      </c>
    </row>
    <row r="547" spans="1:18" x14ac:dyDescent="0.25">
      <c r="A547" s="169">
        <v>42808</v>
      </c>
      <c r="B547" s="115">
        <v>827</v>
      </c>
      <c r="C547" s="115">
        <v>816.83</v>
      </c>
      <c r="D547" s="115">
        <v>814</v>
      </c>
      <c r="E547" s="115">
        <v>827</v>
      </c>
      <c r="F547" s="115">
        <v>4084.15</v>
      </c>
      <c r="G547">
        <v>497</v>
      </c>
      <c r="H547" s="115"/>
      <c r="I547" s="115"/>
      <c r="L547" s="169">
        <v>42808</v>
      </c>
      <c r="M547" s="115">
        <v>816.05</v>
      </c>
      <c r="N547" s="115">
        <v>838.42</v>
      </c>
      <c r="O547" s="115">
        <v>813.4</v>
      </c>
      <c r="P547" s="115">
        <v>838.42</v>
      </c>
      <c r="Q547" s="115">
        <v>4080.25</v>
      </c>
      <c r="R547">
        <v>870</v>
      </c>
    </row>
    <row r="548" spans="1:18" x14ac:dyDescent="0.25">
      <c r="A548" s="169">
        <v>42809</v>
      </c>
      <c r="B548" s="115">
        <v>826.2</v>
      </c>
      <c r="C548" s="115">
        <v>820.78</v>
      </c>
      <c r="D548" s="115">
        <v>820</v>
      </c>
      <c r="E548" s="115">
        <v>820</v>
      </c>
      <c r="F548" s="115">
        <v>4103.8999999999996</v>
      </c>
      <c r="G548">
        <v>254</v>
      </c>
      <c r="H548" s="115"/>
      <c r="I548" s="115"/>
      <c r="L548" s="169">
        <v>42809</v>
      </c>
      <c r="M548" s="115">
        <v>822</v>
      </c>
      <c r="N548" s="115">
        <v>827.59</v>
      </c>
      <c r="O548" s="115">
        <v>814.2</v>
      </c>
      <c r="P548" s="115">
        <v>820.21</v>
      </c>
      <c r="Q548" s="115">
        <v>4110</v>
      </c>
      <c r="R548">
        <v>13651</v>
      </c>
    </row>
    <row r="549" spans="1:18" x14ac:dyDescent="0.25">
      <c r="A549" s="169">
        <v>42810</v>
      </c>
      <c r="B549" s="115">
        <v>839.9</v>
      </c>
      <c r="C549" s="115">
        <v>832.31</v>
      </c>
      <c r="D549" s="115">
        <v>824</v>
      </c>
      <c r="E549" s="115">
        <v>828.66</v>
      </c>
      <c r="F549" s="115">
        <v>4161.55</v>
      </c>
      <c r="G549">
        <v>439</v>
      </c>
      <c r="H549" s="115"/>
      <c r="I549" s="115"/>
      <c r="L549" s="169">
        <v>42810</v>
      </c>
      <c r="M549" s="115">
        <v>837.46</v>
      </c>
      <c r="N549" s="115">
        <v>841.82</v>
      </c>
      <c r="O549" s="115">
        <v>818.99</v>
      </c>
      <c r="P549" s="115">
        <v>830</v>
      </c>
      <c r="Q549" s="115">
        <v>4187.3</v>
      </c>
      <c r="R549">
        <v>2404</v>
      </c>
    </row>
    <row r="550" spans="1:18" x14ac:dyDescent="0.25">
      <c r="A550" s="169">
        <v>42811</v>
      </c>
      <c r="B550" s="115">
        <v>840</v>
      </c>
      <c r="C550" s="115">
        <v>830.01</v>
      </c>
      <c r="D550" s="115">
        <v>830</v>
      </c>
      <c r="E550" s="115">
        <v>836</v>
      </c>
      <c r="F550" s="115">
        <v>4150.05</v>
      </c>
      <c r="G550">
        <v>77</v>
      </c>
      <c r="H550" s="115"/>
      <c r="I550" s="115"/>
      <c r="L550" s="169">
        <v>42811</v>
      </c>
      <c r="M550" s="115">
        <v>828.67</v>
      </c>
      <c r="N550" s="115">
        <v>842</v>
      </c>
      <c r="O550" s="115">
        <v>820.6</v>
      </c>
      <c r="P550" s="115">
        <v>829.99</v>
      </c>
      <c r="Q550" s="115">
        <v>4143.3500000000004</v>
      </c>
      <c r="R550">
        <v>2453</v>
      </c>
    </row>
    <row r="551" spans="1:18" x14ac:dyDescent="0.25">
      <c r="A551" s="169">
        <v>42814</v>
      </c>
      <c r="B551" s="115">
        <v>839.9</v>
      </c>
      <c r="C551" s="115">
        <v>818.26</v>
      </c>
      <c r="D551" s="115">
        <v>812</v>
      </c>
      <c r="E551" s="115">
        <v>839.9</v>
      </c>
      <c r="F551" s="115">
        <v>4091.3</v>
      </c>
      <c r="G551">
        <v>108</v>
      </c>
      <c r="H551" s="115"/>
      <c r="I551" s="115"/>
      <c r="L551" s="169">
        <v>42814</v>
      </c>
      <c r="M551" s="115">
        <v>818.78</v>
      </c>
      <c r="N551" s="115">
        <v>838.6</v>
      </c>
      <c r="O551" s="115">
        <v>808.44</v>
      </c>
      <c r="P551" s="115">
        <v>824.99</v>
      </c>
      <c r="Q551" s="115">
        <v>4093.9</v>
      </c>
      <c r="R551">
        <v>5445</v>
      </c>
    </row>
    <row r="552" spans="1:18" x14ac:dyDescent="0.25">
      <c r="A552" s="169">
        <v>42815</v>
      </c>
      <c r="B552" s="115">
        <v>834.62</v>
      </c>
      <c r="C552" s="115">
        <v>823.52</v>
      </c>
      <c r="D552" s="115">
        <v>818.15</v>
      </c>
      <c r="E552" s="115">
        <v>834.61</v>
      </c>
      <c r="F552" s="115">
        <v>4117.6000000000004</v>
      </c>
      <c r="G552">
        <v>525</v>
      </c>
      <c r="H552" s="115"/>
      <c r="I552" s="115"/>
      <c r="L552" s="169">
        <v>42815</v>
      </c>
      <c r="M552" s="115">
        <v>828.35</v>
      </c>
      <c r="N552" s="115">
        <v>839</v>
      </c>
      <c r="O552" s="115">
        <v>821.41</v>
      </c>
      <c r="P552" s="115">
        <v>825.99</v>
      </c>
      <c r="Q552" s="115">
        <v>4141.75</v>
      </c>
      <c r="R552">
        <v>9564</v>
      </c>
    </row>
    <row r="553" spans="1:18" x14ac:dyDescent="0.25">
      <c r="A553" s="169">
        <v>42816</v>
      </c>
      <c r="B553" s="115">
        <v>837.68</v>
      </c>
      <c r="C553" s="115">
        <v>831</v>
      </c>
      <c r="D553" s="115">
        <v>831</v>
      </c>
      <c r="E553" s="115">
        <v>837.67</v>
      </c>
      <c r="F553" s="115">
        <v>4155</v>
      </c>
      <c r="G553">
        <v>190</v>
      </c>
      <c r="H553" s="115"/>
      <c r="I553" s="115"/>
      <c r="L553" s="169">
        <v>42816</v>
      </c>
      <c r="M553" s="115">
        <v>832.99</v>
      </c>
      <c r="N553" s="115">
        <v>839.8</v>
      </c>
      <c r="O553" s="115">
        <v>818.99</v>
      </c>
      <c r="P553" s="115">
        <v>818.99</v>
      </c>
      <c r="Q553" s="115">
        <v>4164.95</v>
      </c>
      <c r="R553">
        <v>1024</v>
      </c>
    </row>
    <row r="554" spans="1:18" x14ac:dyDescent="0.25">
      <c r="A554" s="169">
        <v>42817</v>
      </c>
      <c r="B554" s="115">
        <v>838.07</v>
      </c>
      <c r="C554" s="115">
        <v>831.17</v>
      </c>
      <c r="D554" s="115">
        <v>829.84</v>
      </c>
      <c r="E554" s="115">
        <v>838.07</v>
      </c>
      <c r="F554" s="115">
        <v>4155.8500000000004</v>
      </c>
      <c r="G554">
        <v>146</v>
      </c>
      <c r="H554" s="115"/>
      <c r="I554" s="115"/>
      <c r="L554" s="169">
        <v>42817</v>
      </c>
      <c r="M554" s="115">
        <v>828.52</v>
      </c>
      <c r="N554" s="115">
        <v>841.6</v>
      </c>
      <c r="O554" s="115">
        <v>822.28</v>
      </c>
      <c r="P554" s="115">
        <v>834.99</v>
      </c>
      <c r="Q554" s="115">
        <v>4142.6000000000004</v>
      </c>
      <c r="R554">
        <v>1615</v>
      </c>
    </row>
    <row r="555" spans="1:18" x14ac:dyDescent="0.25">
      <c r="A555" s="169">
        <v>42818</v>
      </c>
      <c r="B555" s="115">
        <v>838.47</v>
      </c>
      <c r="C555" s="115">
        <v>834.94</v>
      </c>
      <c r="D555" s="115">
        <v>819.98</v>
      </c>
      <c r="E555" s="115">
        <v>837.27</v>
      </c>
      <c r="F555" s="115">
        <v>4174.7</v>
      </c>
      <c r="G555">
        <v>987</v>
      </c>
      <c r="H555" s="115"/>
      <c r="I555" s="115"/>
      <c r="L555" s="169">
        <v>42818</v>
      </c>
      <c r="M555" s="115">
        <v>839.6</v>
      </c>
      <c r="N555" s="115">
        <v>840</v>
      </c>
      <c r="O555" s="115">
        <v>818.02</v>
      </c>
      <c r="P555" s="115">
        <v>825.99</v>
      </c>
      <c r="Q555" s="115">
        <v>4198</v>
      </c>
      <c r="R555">
        <v>2828</v>
      </c>
    </row>
    <row r="556" spans="1:18" x14ac:dyDescent="0.25">
      <c r="A556" s="169">
        <v>42821</v>
      </c>
      <c r="B556" s="115">
        <v>866.6</v>
      </c>
      <c r="C556" s="115">
        <v>855.56</v>
      </c>
      <c r="D556" s="115">
        <v>831</v>
      </c>
      <c r="E556" s="115">
        <v>839.2</v>
      </c>
      <c r="F556" s="115">
        <v>4277.8</v>
      </c>
      <c r="G556">
        <v>1492</v>
      </c>
      <c r="H556" s="115"/>
      <c r="I556" s="115"/>
      <c r="L556" s="169">
        <v>42821</v>
      </c>
      <c r="M556" s="115">
        <v>864.56</v>
      </c>
      <c r="N556" s="115">
        <v>878.79</v>
      </c>
      <c r="O556" s="115">
        <v>827.59</v>
      </c>
      <c r="P556" s="115">
        <v>827.59</v>
      </c>
      <c r="Q556" s="115">
        <v>4322.8</v>
      </c>
      <c r="R556">
        <v>7619</v>
      </c>
    </row>
    <row r="557" spans="1:18" x14ac:dyDescent="0.25">
      <c r="A557" s="169">
        <v>42822</v>
      </c>
      <c r="B557" s="115">
        <v>860</v>
      </c>
      <c r="C557" s="115">
        <v>852.27</v>
      </c>
      <c r="D557" s="115">
        <v>841.6</v>
      </c>
      <c r="E557" s="115">
        <v>860</v>
      </c>
      <c r="F557" s="115">
        <v>4261.3500000000004</v>
      </c>
      <c r="G557">
        <v>289</v>
      </c>
      <c r="H557" s="115"/>
      <c r="I557" s="115"/>
      <c r="L557" s="169">
        <v>42822</v>
      </c>
      <c r="M557" s="115">
        <v>859.97</v>
      </c>
      <c r="N557" s="115">
        <v>874.19</v>
      </c>
      <c r="O557" s="115">
        <v>850</v>
      </c>
      <c r="P557" s="115">
        <v>853.99</v>
      </c>
      <c r="Q557" s="115">
        <v>4299.8500000000004</v>
      </c>
      <c r="R557">
        <v>10612</v>
      </c>
    </row>
    <row r="558" spans="1:18" x14ac:dyDescent="0.25">
      <c r="A558" s="169">
        <v>42823</v>
      </c>
      <c r="B558" s="115">
        <v>864</v>
      </c>
      <c r="C558" s="115">
        <v>849.21</v>
      </c>
      <c r="D558" s="115">
        <v>848.4</v>
      </c>
      <c r="E558" s="115">
        <v>859.99</v>
      </c>
      <c r="F558" s="115">
        <v>4246.05</v>
      </c>
      <c r="G558">
        <v>70</v>
      </c>
      <c r="H558" s="115"/>
      <c r="I558" s="115"/>
      <c r="L558" s="169">
        <v>42823</v>
      </c>
      <c r="M558" s="115">
        <v>856.03</v>
      </c>
      <c r="N558" s="115">
        <v>870</v>
      </c>
      <c r="O558" s="115">
        <v>848.4</v>
      </c>
      <c r="P558" s="115">
        <v>853.59</v>
      </c>
      <c r="Q558" s="115">
        <v>4280.1499999999996</v>
      </c>
      <c r="R558">
        <v>1445</v>
      </c>
    </row>
    <row r="559" spans="1:18" x14ac:dyDescent="0.25">
      <c r="A559" s="169">
        <v>42824</v>
      </c>
      <c r="B559" s="115">
        <v>900</v>
      </c>
      <c r="C559" s="115">
        <v>882.14</v>
      </c>
      <c r="D559" s="115">
        <v>855.56</v>
      </c>
      <c r="E559" s="115">
        <v>864.33</v>
      </c>
      <c r="F559" s="115">
        <v>4410.7</v>
      </c>
      <c r="G559">
        <v>622</v>
      </c>
      <c r="H559" s="115"/>
      <c r="I559" s="115"/>
      <c r="L559" s="169">
        <v>42824</v>
      </c>
      <c r="M559" s="115">
        <v>901.12</v>
      </c>
      <c r="N559" s="115">
        <v>930</v>
      </c>
      <c r="O559" s="115">
        <v>857.41</v>
      </c>
      <c r="P559" s="115">
        <v>862.99</v>
      </c>
      <c r="Q559" s="115">
        <v>4505.6000000000004</v>
      </c>
      <c r="R559">
        <v>18499</v>
      </c>
    </row>
    <row r="560" spans="1:18" x14ac:dyDescent="0.25">
      <c r="A560" s="169">
        <v>42825</v>
      </c>
      <c r="B560" s="115">
        <v>929.2</v>
      </c>
      <c r="C560" s="115">
        <v>911.96</v>
      </c>
      <c r="D560" s="115">
        <v>885</v>
      </c>
      <c r="E560" s="115">
        <v>885</v>
      </c>
      <c r="F560" s="115">
        <v>4559.8</v>
      </c>
      <c r="G560">
        <v>3171</v>
      </c>
      <c r="H560" s="115"/>
      <c r="I560" s="115"/>
      <c r="L560" s="169">
        <v>42825</v>
      </c>
      <c r="M560" s="115">
        <v>915.81</v>
      </c>
      <c r="N560" s="115">
        <v>930</v>
      </c>
      <c r="O560" s="115">
        <v>885.48</v>
      </c>
      <c r="P560" s="115">
        <v>885.48</v>
      </c>
      <c r="Q560" s="115">
        <v>4579.05</v>
      </c>
      <c r="R560">
        <v>6362</v>
      </c>
    </row>
    <row r="561" spans="1:18" x14ac:dyDescent="0.25">
      <c r="A561" s="169">
        <v>42828</v>
      </c>
      <c r="B561" s="115">
        <v>935.6</v>
      </c>
      <c r="C561" s="115">
        <v>918.91</v>
      </c>
      <c r="D561" s="115">
        <v>895.01</v>
      </c>
      <c r="E561" s="115">
        <v>911.93</v>
      </c>
      <c r="F561" s="115">
        <v>4594.55</v>
      </c>
      <c r="G561">
        <v>410</v>
      </c>
      <c r="H561" s="115"/>
      <c r="I561" s="115"/>
      <c r="L561" s="169">
        <v>42828</v>
      </c>
      <c r="M561" s="115">
        <v>911.5</v>
      </c>
      <c r="N561" s="115">
        <v>939.4</v>
      </c>
      <c r="O561" s="115">
        <v>893.2</v>
      </c>
      <c r="P561" s="115">
        <v>915.8</v>
      </c>
      <c r="Q561" s="115">
        <v>4557.5</v>
      </c>
      <c r="R561">
        <v>1911</v>
      </c>
    </row>
    <row r="562" spans="1:18" x14ac:dyDescent="0.25">
      <c r="A562" s="169">
        <v>42830</v>
      </c>
      <c r="B562" s="115">
        <v>919</v>
      </c>
      <c r="C562" s="115">
        <v>908.72</v>
      </c>
      <c r="D562" s="115">
        <v>900</v>
      </c>
      <c r="E562" s="115">
        <v>919</v>
      </c>
      <c r="F562" s="115">
        <v>4543.6000000000004</v>
      </c>
      <c r="G562">
        <v>303</v>
      </c>
      <c r="H562" s="115"/>
      <c r="I562" s="115"/>
      <c r="L562" s="169">
        <v>42830</v>
      </c>
      <c r="M562" s="115">
        <v>898.68</v>
      </c>
      <c r="N562" s="115">
        <v>925</v>
      </c>
      <c r="O562" s="115">
        <v>893.2</v>
      </c>
      <c r="P562" s="115">
        <v>925</v>
      </c>
      <c r="Q562" s="115">
        <v>4493.3999999999996</v>
      </c>
      <c r="R562">
        <v>5266</v>
      </c>
    </row>
    <row r="563" spans="1:18" x14ac:dyDescent="0.25">
      <c r="A563" s="169">
        <v>42831</v>
      </c>
      <c r="B563" s="115">
        <v>920.8</v>
      </c>
      <c r="C563" s="115">
        <v>918.76</v>
      </c>
      <c r="D563" s="115">
        <v>895.61</v>
      </c>
      <c r="E563" s="115">
        <v>895.61</v>
      </c>
      <c r="F563" s="115">
        <v>4593.8</v>
      </c>
      <c r="G563">
        <v>464</v>
      </c>
      <c r="H563" s="115"/>
      <c r="I563" s="115"/>
      <c r="L563" s="169">
        <v>42831</v>
      </c>
      <c r="M563" s="115">
        <v>908.74</v>
      </c>
      <c r="N563" s="115">
        <v>919.6</v>
      </c>
      <c r="O563" s="115">
        <v>896.4</v>
      </c>
      <c r="P563" s="115">
        <v>903.73</v>
      </c>
      <c r="Q563" s="115">
        <v>4543.7</v>
      </c>
      <c r="R563">
        <v>2038</v>
      </c>
    </row>
    <row r="564" spans="1:18" x14ac:dyDescent="0.25">
      <c r="A564" s="169">
        <v>42832</v>
      </c>
      <c r="B564" s="115">
        <v>927</v>
      </c>
      <c r="C564" s="115">
        <v>911.51</v>
      </c>
      <c r="D564" s="115">
        <v>899.6</v>
      </c>
      <c r="E564" s="115">
        <v>905</v>
      </c>
      <c r="F564" s="115">
        <v>4557.55</v>
      </c>
      <c r="G564">
        <v>136</v>
      </c>
      <c r="H564" s="115"/>
      <c r="I564" s="115"/>
      <c r="L564" s="169">
        <v>42832</v>
      </c>
      <c r="M564" s="115">
        <v>911.03</v>
      </c>
      <c r="N564" s="115">
        <v>926.39</v>
      </c>
      <c r="O564" s="115">
        <v>900.01</v>
      </c>
      <c r="P564" s="115">
        <v>900.01</v>
      </c>
      <c r="Q564" s="115">
        <v>4555.1499999999996</v>
      </c>
      <c r="R564">
        <v>2902</v>
      </c>
    </row>
    <row r="565" spans="1:18" x14ac:dyDescent="0.25">
      <c r="A565" s="169">
        <v>42835</v>
      </c>
      <c r="B565" s="115">
        <v>920</v>
      </c>
      <c r="C565" s="115">
        <v>914.14</v>
      </c>
      <c r="D565" s="115">
        <v>910.1</v>
      </c>
      <c r="E565" s="115">
        <v>920</v>
      </c>
      <c r="F565" s="115">
        <v>4570.7</v>
      </c>
      <c r="G565">
        <v>374</v>
      </c>
      <c r="H565" s="115"/>
      <c r="I565" s="115"/>
      <c r="L565" s="169">
        <v>42835</v>
      </c>
      <c r="M565" s="115">
        <v>914.25</v>
      </c>
      <c r="N565" s="115">
        <v>918</v>
      </c>
      <c r="O565" s="115">
        <v>906</v>
      </c>
      <c r="P565" s="115">
        <v>911.89</v>
      </c>
      <c r="Q565" s="115">
        <v>4571.25</v>
      </c>
      <c r="R565">
        <v>382</v>
      </c>
    </row>
    <row r="566" spans="1:18" x14ac:dyDescent="0.25">
      <c r="A566" s="169">
        <v>42836</v>
      </c>
      <c r="B566" s="115">
        <v>934</v>
      </c>
      <c r="C566" s="115">
        <v>927.8</v>
      </c>
      <c r="D566" s="115">
        <v>915.26</v>
      </c>
      <c r="E566" s="115">
        <v>934</v>
      </c>
      <c r="F566" s="115">
        <v>4639</v>
      </c>
      <c r="G566">
        <v>577</v>
      </c>
      <c r="H566" s="115"/>
      <c r="I566" s="115"/>
      <c r="L566" s="169">
        <v>42836</v>
      </c>
      <c r="M566" s="115">
        <v>927.44</v>
      </c>
      <c r="N566" s="115">
        <v>932</v>
      </c>
      <c r="O566" s="115">
        <v>917.03</v>
      </c>
      <c r="P566" s="115">
        <v>920.19</v>
      </c>
      <c r="Q566" s="115">
        <v>4637.2</v>
      </c>
      <c r="R566">
        <v>5290</v>
      </c>
    </row>
    <row r="567" spans="1:18" x14ac:dyDescent="0.25">
      <c r="A567" s="169">
        <v>42837</v>
      </c>
      <c r="B567" s="115">
        <v>946.8</v>
      </c>
      <c r="C567" s="115">
        <v>930.02</v>
      </c>
      <c r="D567" s="115">
        <v>930</v>
      </c>
      <c r="E567" s="115">
        <v>934.19</v>
      </c>
      <c r="F567" s="115">
        <v>4650.1000000000004</v>
      </c>
      <c r="G567">
        <v>243</v>
      </c>
      <c r="H567" s="115"/>
      <c r="I567" s="115"/>
      <c r="L567" s="169">
        <v>42837</v>
      </c>
      <c r="M567" s="115">
        <v>934.56</v>
      </c>
      <c r="N567" s="115">
        <v>945</v>
      </c>
      <c r="O567" s="115">
        <v>920.22</v>
      </c>
      <c r="P567" s="115">
        <v>929.8</v>
      </c>
      <c r="Q567" s="115">
        <v>4672.8</v>
      </c>
      <c r="R567">
        <v>2023</v>
      </c>
    </row>
    <row r="568" spans="1:18" x14ac:dyDescent="0.25">
      <c r="A568" s="169">
        <v>42838</v>
      </c>
      <c r="B568" s="115">
        <v>940.2</v>
      </c>
      <c r="C568" s="115">
        <v>930</v>
      </c>
      <c r="D568" s="115">
        <v>920.2</v>
      </c>
      <c r="E568" s="115">
        <v>920.86</v>
      </c>
      <c r="F568" s="115">
        <v>4650</v>
      </c>
      <c r="G568">
        <v>260</v>
      </c>
      <c r="H568" s="115"/>
      <c r="I568" s="115"/>
      <c r="L568" s="169">
        <v>42838</v>
      </c>
      <c r="M568" s="115">
        <v>929.84</v>
      </c>
      <c r="N568" s="115">
        <v>942.78</v>
      </c>
      <c r="O568" s="115">
        <v>925.59</v>
      </c>
      <c r="P568" s="115">
        <v>934</v>
      </c>
      <c r="Q568" s="115">
        <v>4649.2</v>
      </c>
      <c r="R568">
        <v>3347</v>
      </c>
    </row>
    <row r="569" spans="1:18" x14ac:dyDescent="0.25">
      <c r="A569" s="169">
        <v>42842</v>
      </c>
      <c r="B569" s="115">
        <v>949.4</v>
      </c>
      <c r="C569" s="115">
        <v>939.55</v>
      </c>
      <c r="D569" s="115">
        <v>927.2</v>
      </c>
      <c r="E569" s="115">
        <v>930</v>
      </c>
      <c r="F569" s="115">
        <v>4697.75</v>
      </c>
      <c r="G569">
        <v>63</v>
      </c>
      <c r="H569" s="115"/>
      <c r="I569" s="115"/>
      <c r="L569" s="169">
        <v>42842</v>
      </c>
      <c r="M569" s="115">
        <v>939.52</v>
      </c>
      <c r="N569" s="115">
        <v>941.59</v>
      </c>
      <c r="O569" s="115">
        <v>930</v>
      </c>
      <c r="P569" s="115">
        <v>930</v>
      </c>
      <c r="Q569" s="115">
        <v>4697.6000000000004</v>
      </c>
      <c r="R569">
        <v>1859</v>
      </c>
    </row>
    <row r="570" spans="1:18" x14ac:dyDescent="0.25">
      <c r="A570" s="169">
        <v>42843</v>
      </c>
      <c r="B570" s="115">
        <v>950</v>
      </c>
      <c r="C570" s="115">
        <v>934.64</v>
      </c>
      <c r="D570" s="115">
        <v>910.2</v>
      </c>
      <c r="E570" s="115">
        <v>940</v>
      </c>
      <c r="F570" s="115">
        <v>4673.2</v>
      </c>
      <c r="G570">
        <v>1346</v>
      </c>
      <c r="H570" s="115"/>
      <c r="I570" s="115"/>
      <c r="L570" s="169">
        <v>42843</v>
      </c>
      <c r="M570" s="115">
        <v>937.09</v>
      </c>
      <c r="N570" s="115">
        <v>942.19</v>
      </c>
      <c r="O570" s="115">
        <v>930</v>
      </c>
      <c r="P570" s="115">
        <v>941.61</v>
      </c>
      <c r="Q570" s="115">
        <v>4685.45</v>
      </c>
      <c r="R570">
        <v>1167</v>
      </c>
    </row>
    <row r="571" spans="1:18" x14ac:dyDescent="0.25">
      <c r="A571" s="169">
        <v>42844</v>
      </c>
      <c r="B571" s="115">
        <v>940.36</v>
      </c>
      <c r="C571" s="115">
        <v>930.97</v>
      </c>
      <c r="D571" s="115">
        <v>927.22</v>
      </c>
      <c r="E571" s="115">
        <v>928.27</v>
      </c>
      <c r="F571" s="115">
        <v>4654.8500000000004</v>
      </c>
      <c r="G571">
        <v>83</v>
      </c>
      <c r="H571" s="115"/>
      <c r="I571" s="115"/>
      <c r="L571" s="169">
        <v>42844</v>
      </c>
      <c r="M571" s="115">
        <v>931.34</v>
      </c>
      <c r="N571" s="115">
        <v>942.2</v>
      </c>
      <c r="O571" s="115">
        <v>918.4</v>
      </c>
      <c r="P571" s="115">
        <v>918.4</v>
      </c>
      <c r="Q571" s="115">
        <v>4656.7</v>
      </c>
      <c r="R571">
        <v>2743</v>
      </c>
    </row>
    <row r="572" spans="1:18" x14ac:dyDescent="0.25">
      <c r="A572" s="169">
        <v>42845</v>
      </c>
      <c r="B572" s="115">
        <v>941.16</v>
      </c>
      <c r="C572" s="115">
        <v>937.69</v>
      </c>
      <c r="D572" s="115">
        <v>930.21</v>
      </c>
      <c r="E572" s="115">
        <v>940.81</v>
      </c>
      <c r="F572" s="115">
        <v>4688.45</v>
      </c>
      <c r="G572">
        <v>24</v>
      </c>
      <c r="H572" s="115"/>
      <c r="I572" s="115"/>
      <c r="L572" s="169">
        <v>42845</v>
      </c>
      <c r="M572" s="115">
        <v>939.88</v>
      </c>
      <c r="N572" s="115">
        <v>943</v>
      </c>
      <c r="O572" s="115">
        <v>925.2</v>
      </c>
      <c r="P572" s="115">
        <v>933.61</v>
      </c>
      <c r="Q572" s="115">
        <v>4699.3999999999996</v>
      </c>
      <c r="R572">
        <v>576</v>
      </c>
    </row>
    <row r="573" spans="1:18" x14ac:dyDescent="0.25">
      <c r="A573" s="169">
        <v>42846</v>
      </c>
      <c r="B573" s="115">
        <v>963.76</v>
      </c>
      <c r="C573" s="115">
        <v>956.45</v>
      </c>
      <c r="D573" s="115">
        <v>932</v>
      </c>
      <c r="E573" s="115">
        <v>949.93</v>
      </c>
      <c r="F573" s="115">
        <v>4782.25</v>
      </c>
      <c r="G573">
        <v>557</v>
      </c>
      <c r="H573" s="115"/>
      <c r="I573" s="115"/>
      <c r="L573" s="169">
        <v>42846</v>
      </c>
      <c r="M573" s="115">
        <v>956.56</v>
      </c>
      <c r="N573" s="115">
        <v>966.33</v>
      </c>
      <c r="O573" s="115">
        <v>926.5</v>
      </c>
      <c r="P573" s="115">
        <v>944.99</v>
      </c>
      <c r="Q573" s="115">
        <v>4782.8</v>
      </c>
      <c r="R573">
        <v>10452</v>
      </c>
    </row>
    <row r="574" spans="1:18" x14ac:dyDescent="0.25">
      <c r="A574" s="169">
        <v>42849</v>
      </c>
      <c r="B574" s="115">
        <v>994.67</v>
      </c>
      <c r="C574" s="115">
        <v>983.93</v>
      </c>
      <c r="D574" s="115">
        <v>963.31</v>
      </c>
      <c r="E574" s="115">
        <v>968.43</v>
      </c>
      <c r="F574" s="115">
        <v>4919.6499999999996</v>
      </c>
      <c r="G574">
        <v>341</v>
      </c>
      <c r="H574" s="115"/>
      <c r="I574" s="115"/>
      <c r="L574" s="169">
        <v>42849</v>
      </c>
      <c r="M574" s="115">
        <v>982.6</v>
      </c>
      <c r="N574" s="115">
        <v>994.6</v>
      </c>
      <c r="O574" s="115">
        <v>962.41</v>
      </c>
      <c r="P574" s="115">
        <v>964.4</v>
      </c>
      <c r="Q574" s="115">
        <v>4913</v>
      </c>
      <c r="R574">
        <v>4877</v>
      </c>
    </row>
    <row r="575" spans="1:18" x14ac:dyDescent="0.25">
      <c r="A575" s="169">
        <v>42850</v>
      </c>
      <c r="B575" s="115">
        <v>986.6</v>
      </c>
      <c r="C575" s="115">
        <v>978.56</v>
      </c>
      <c r="D575" s="115">
        <v>973.67</v>
      </c>
      <c r="E575" s="115">
        <v>985.76</v>
      </c>
      <c r="F575" s="115">
        <v>4892.8</v>
      </c>
      <c r="G575">
        <v>195</v>
      </c>
      <c r="H575" s="115"/>
      <c r="I575" s="115"/>
      <c r="L575" s="169">
        <v>42850</v>
      </c>
      <c r="M575" s="115">
        <v>980.02</v>
      </c>
      <c r="N575" s="115">
        <v>996.78</v>
      </c>
      <c r="O575" s="115">
        <v>972.01</v>
      </c>
      <c r="P575" s="115">
        <v>996.78</v>
      </c>
      <c r="Q575" s="115">
        <v>4900.1000000000004</v>
      </c>
      <c r="R575">
        <v>2540</v>
      </c>
    </row>
    <row r="576" spans="1:18" x14ac:dyDescent="0.25">
      <c r="A576" s="169">
        <v>42851</v>
      </c>
      <c r="B576" s="115">
        <v>984.37</v>
      </c>
      <c r="C576" s="115">
        <v>979.01</v>
      </c>
      <c r="D576" s="115">
        <v>960.4</v>
      </c>
      <c r="E576" s="115">
        <v>976</v>
      </c>
      <c r="F576" s="115">
        <v>4895.05</v>
      </c>
      <c r="G576">
        <v>524</v>
      </c>
      <c r="H576" s="115"/>
      <c r="I576" s="115"/>
      <c r="L576" s="169">
        <v>42851</v>
      </c>
      <c r="M576" s="115">
        <v>979.82</v>
      </c>
      <c r="N576" s="115">
        <v>987.98</v>
      </c>
      <c r="O576" s="115">
        <v>966</v>
      </c>
      <c r="P576" s="115">
        <v>981</v>
      </c>
      <c r="Q576" s="115">
        <v>4899.1000000000004</v>
      </c>
      <c r="R576">
        <v>2161</v>
      </c>
    </row>
    <row r="577" spans="1:18" x14ac:dyDescent="0.25">
      <c r="A577" s="169">
        <v>42852</v>
      </c>
      <c r="B577" s="115">
        <v>985.2</v>
      </c>
      <c r="C577" s="115">
        <v>971.23</v>
      </c>
      <c r="D577" s="115">
        <v>970</v>
      </c>
      <c r="E577" s="115">
        <v>982.79</v>
      </c>
      <c r="F577" s="115">
        <v>4856.1499999999996</v>
      </c>
      <c r="G577">
        <v>91</v>
      </c>
      <c r="H577" s="115"/>
      <c r="I577" s="115"/>
      <c r="L577" s="169">
        <v>42852</v>
      </c>
      <c r="M577" s="115">
        <v>974.8</v>
      </c>
      <c r="N577" s="115">
        <v>982.8</v>
      </c>
      <c r="O577" s="115">
        <v>967.6</v>
      </c>
      <c r="P577" s="115">
        <v>980.01</v>
      </c>
      <c r="Q577" s="115">
        <v>4874</v>
      </c>
      <c r="R577">
        <v>747</v>
      </c>
    </row>
    <row r="578" spans="1:18" x14ac:dyDescent="0.25">
      <c r="A578" s="169">
        <v>42853</v>
      </c>
      <c r="B578" s="115">
        <v>973.99</v>
      </c>
      <c r="C578" s="115">
        <v>972.5</v>
      </c>
      <c r="D578" s="115">
        <v>960</v>
      </c>
      <c r="E578" s="115">
        <v>970</v>
      </c>
      <c r="F578" s="115">
        <v>4862.5</v>
      </c>
      <c r="G578">
        <v>470</v>
      </c>
      <c r="H578" s="115"/>
      <c r="I578" s="115"/>
      <c r="L578" s="169">
        <v>42853</v>
      </c>
      <c r="M578" s="115">
        <v>969.64</v>
      </c>
      <c r="N578" s="115">
        <v>979.41</v>
      </c>
      <c r="O578" s="115">
        <v>954.25</v>
      </c>
      <c r="P578" s="115">
        <v>979.41</v>
      </c>
      <c r="Q578" s="115">
        <v>4848.2</v>
      </c>
      <c r="R578">
        <v>10669</v>
      </c>
    </row>
    <row r="579" spans="1:18" x14ac:dyDescent="0.25">
      <c r="A579" s="169">
        <v>42857</v>
      </c>
      <c r="B579" s="115">
        <v>985</v>
      </c>
      <c r="C579" s="115">
        <v>980.94</v>
      </c>
      <c r="D579" s="115">
        <v>957</v>
      </c>
      <c r="E579" s="115">
        <v>957.01</v>
      </c>
      <c r="F579" s="115">
        <v>4904.7</v>
      </c>
      <c r="G579">
        <v>118</v>
      </c>
      <c r="H579" s="115"/>
      <c r="I579" s="115"/>
      <c r="L579" s="169">
        <v>42857</v>
      </c>
      <c r="M579" s="115">
        <v>978.72</v>
      </c>
      <c r="N579" s="115">
        <v>985</v>
      </c>
      <c r="O579" s="115">
        <v>952.46</v>
      </c>
      <c r="P579" s="115">
        <v>975</v>
      </c>
      <c r="Q579" s="115">
        <v>4893.6000000000004</v>
      </c>
      <c r="R579">
        <v>983</v>
      </c>
    </row>
    <row r="580" spans="1:18" x14ac:dyDescent="0.25">
      <c r="A580" s="169">
        <v>42858</v>
      </c>
      <c r="B580" s="115">
        <v>979.2</v>
      </c>
      <c r="C580" s="115">
        <v>975</v>
      </c>
      <c r="D580" s="115">
        <v>970</v>
      </c>
      <c r="E580" s="115">
        <v>979.2</v>
      </c>
      <c r="F580" s="115">
        <v>4875</v>
      </c>
      <c r="G580">
        <v>131</v>
      </c>
      <c r="H580" s="115"/>
      <c r="I580" s="115"/>
      <c r="L580" s="169">
        <v>42858</v>
      </c>
      <c r="M580" s="115">
        <v>975</v>
      </c>
      <c r="N580" s="115">
        <v>987.34</v>
      </c>
      <c r="O580" s="115">
        <v>962.45</v>
      </c>
      <c r="P580" s="115">
        <v>987.34</v>
      </c>
      <c r="Q580" s="115">
        <v>4875</v>
      </c>
      <c r="R580">
        <v>3284</v>
      </c>
    </row>
    <row r="581" spans="1:18" x14ac:dyDescent="0.25">
      <c r="A581" s="169">
        <v>42859</v>
      </c>
      <c r="B581" s="115">
        <v>975</v>
      </c>
      <c r="C581" s="115">
        <v>963.86</v>
      </c>
      <c r="D581" s="115">
        <v>958.05</v>
      </c>
      <c r="E581" s="115">
        <v>974</v>
      </c>
      <c r="F581" s="115">
        <v>4819.3</v>
      </c>
      <c r="G581">
        <v>78</v>
      </c>
      <c r="H581" s="115"/>
      <c r="I581" s="115"/>
      <c r="L581" s="169">
        <v>42859</v>
      </c>
      <c r="M581" s="115">
        <v>962.57</v>
      </c>
      <c r="N581" s="115">
        <v>975</v>
      </c>
      <c r="O581" s="115">
        <v>957.21</v>
      </c>
      <c r="P581" s="115">
        <v>974</v>
      </c>
      <c r="Q581" s="115">
        <v>4812.8500000000004</v>
      </c>
      <c r="R581">
        <v>925</v>
      </c>
    </row>
    <row r="582" spans="1:18" x14ac:dyDescent="0.25">
      <c r="A582" s="169">
        <v>42860</v>
      </c>
      <c r="B582" s="115">
        <v>968</v>
      </c>
      <c r="C582" s="115">
        <v>962.85</v>
      </c>
      <c r="D582" s="115">
        <v>949.27</v>
      </c>
      <c r="E582" s="115">
        <v>968</v>
      </c>
      <c r="F582" s="115">
        <v>4814.25</v>
      </c>
      <c r="G582">
        <v>305</v>
      </c>
      <c r="H582" s="115"/>
      <c r="I582" s="115"/>
      <c r="L582" s="169">
        <v>42860</v>
      </c>
      <c r="M582" s="115">
        <v>960.11</v>
      </c>
      <c r="N582" s="115">
        <v>966.41</v>
      </c>
      <c r="O582" s="115">
        <v>950.01</v>
      </c>
      <c r="P582" s="115">
        <v>963</v>
      </c>
      <c r="Q582" s="115">
        <v>4800.55</v>
      </c>
      <c r="R582">
        <v>3613</v>
      </c>
    </row>
    <row r="583" spans="1:18" x14ac:dyDescent="0.25">
      <c r="A583" s="169">
        <v>42863</v>
      </c>
      <c r="B583" s="115">
        <v>966.34</v>
      </c>
      <c r="C583" s="115">
        <v>936.65</v>
      </c>
      <c r="D583" s="115">
        <v>932.8</v>
      </c>
      <c r="E583" s="115">
        <v>966.34</v>
      </c>
      <c r="F583" s="115">
        <v>4683.25</v>
      </c>
      <c r="G583">
        <v>278</v>
      </c>
      <c r="H583" s="115"/>
      <c r="I583" s="115"/>
      <c r="L583" s="169">
        <v>42863</v>
      </c>
      <c r="M583" s="115">
        <v>932.05</v>
      </c>
      <c r="N583" s="115">
        <v>960.12</v>
      </c>
      <c r="O583" s="115">
        <v>929</v>
      </c>
      <c r="P583" s="115">
        <v>960.12</v>
      </c>
      <c r="Q583" s="115">
        <v>4660.25</v>
      </c>
      <c r="R583">
        <v>4667</v>
      </c>
    </row>
    <row r="584" spans="1:18" x14ac:dyDescent="0.25">
      <c r="A584" s="169">
        <v>42864</v>
      </c>
      <c r="B584" s="115">
        <v>941.96</v>
      </c>
      <c r="C584" s="115">
        <v>930.26</v>
      </c>
      <c r="D584" s="115">
        <v>926.1</v>
      </c>
      <c r="E584" s="115">
        <v>937.92</v>
      </c>
      <c r="F584" s="115">
        <v>4651.3</v>
      </c>
      <c r="G584">
        <v>126</v>
      </c>
      <c r="H584" s="115"/>
      <c r="I584" s="115"/>
      <c r="L584" s="169">
        <v>42864</v>
      </c>
      <c r="M584" s="115">
        <v>929.25</v>
      </c>
      <c r="N584" s="115">
        <v>941</v>
      </c>
      <c r="O584" s="115">
        <v>926</v>
      </c>
      <c r="P584" s="115">
        <v>938.05</v>
      </c>
      <c r="Q584" s="115">
        <v>4646.25</v>
      </c>
      <c r="R584">
        <v>2143</v>
      </c>
    </row>
    <row r="585" spans="1:18" x14ac:dyDescent="0.25">
      <c r="A585" s="169">
        <v>42865</v>
      </c>
      <c r="B585" s="115">
        <v>937.8</v>
      </c>
      <c r="C585" s="115">
        <v>930.52</v>
      </c>
      <c r="D585" s="115">
        <v>919.98</v>
      </c>
      <c r="E585" s="115">
        <v>936</v>
      </c>
      <c r="F585" s="115">
        <v>4652.6000000000004</v>
      </c>
      <c r="G585">
        <v>384</v>
      </c>
      <c r="H585" s="115"/>
      <c r="I585" s="115"/>
      <c r="L585" s="169">
        <v>42865</v>
      </c>
      <c r="M585" s="115">
        <v>931.98</v>
      </c>
      <c r="N585" s="115">
        <v>938.36</v>
      </c>
      <c r="O585" s="115">
        <v>914.42</v>
      </c>
      <c r="P585" s="115">
        <v>938.04</v>
      </c>
      <c r="Q585" s="115">
        <v>4659.8999999999996</v>
      </c>
      <c r="R585">
        <v>2705</v>
      </c>
    </row>
    <row r="586" spans="1:18" x14ac:dyDescent="0.25">
      <c r="A586" s="169">
        <v>42866</v>
      </c>
      <c r="B586" s="115">
        <v>942</v>
      </c>
      <c r="C586" s="115">
        <v>928.05</v>
      </c>
      <c r="D586" s="115">
        <v>923.33</v>
      </c>
      <c r="E586" s="115">
        <v>935.7</v>
      </c>
      <c r="F586" s="115">
        <v>4640.25</v>
      </c>
      <c r="G586">
        <v>37</v>
      </c>
      <c r="H586" s="115"/>
      <c r="I586" s="115"/>
      <c r="L586" s="169">
        <v>42866</v>
      </c>
      <c r="M586" s="115">
        <v>930.36</v>
      </c>
      <c r="N586" s="115">
        <v>946</v>
      </c>
      <c r="O586" s="115">
        <v>924.81</v>
      </c>
      <c r="P586" s="115">
        <v>946</v>
      </c>
      <c r="Q586" s="115">
        <v>4651.8</v>
      </c>
      <c r="R586">
        <v>1400</v>
      </c>
    </row>
    <row r="587" spans="1:18" x14ac:dyDescent="0.25">
      <c r="A587" s="169">
        <v>42867</v>
      </c>
      <c r="B587" s="115">
        <v>937.73</v>
      </c>
      <c r="C587" s="115">
        <v>923.3</v>
      </c>
      <c r="D587" s="115">
        <v>920</v>
      </c>
      <c r="E587" s="115">
        <v>926.34</v>
      </c>
      <c r="F587" s="115">
        <v>4616.5</v>
      </c>
      <c r="G587">
        <v>2572</v>
      </c>
      <c r="H587" s="115"/>
      <c r="I587" s="115"/>
      <c r="L587" s="169">
        <v>42867</v>
      </c>
      <c r="M587" s="115">
        <v>922.6</v>
      </c>
      <c r="N587" s="115">
        <v>935.4</v>
      </c>
      <c r="O587" s="115">
        <v>920</v>
      </c>
      <c r="P587" s="115">
        <v>931</v>
      </c>
      <c r="Q587" s="115">
        <v>4613</v>
      </c>
      <c r="R587">
        <v>367</v>
      </c>
    </row>
    <row r="588" spans="1:18" x14ac:dyDescent="0.25">
      <c r="A588" s="169">
        <v>42870</v>
      </c>
      <c r="B588" s="115">
        <v>953.3</v>
      </c>
      <c r="C588" s="115">
        <v>934.79</v>
      </c>
      <c r="D588" s="115">
        <v>923.3</v>
      </c>
      <c r="E588" s="115">
        <v>923.3</v>
      </c>
      <c r="F588" s="115">
        <v>4673.95</v>
      </c>
      <c r="G588">
        <v>153</v>
      </c>
      <c r="H588" s="115"/>
      <c r="I588" s="115"/>
      <c r="L588" s="169">
        <v>42870</v>
      </c>
      <c r="M588" s="115">
        <v>932.88</v>
      </c>
      <c r="N588" s="115">
        <v>960</v>
      </c>
      <c r="O588" s="115">
        <v>924.01</v>
      </c>
      <c r="P588" s="115">
        <v>927.13</v>
      </c>
      <c r="Q588" s="115">
        <v>4664.3999999999996</v>
      </c>
      <c r="R588">
        <v>830</v>
      </c>
    </row>
    <row r="589" spans="1:18" x14ac:dyDescent="0.25">
      <c r="A589" s="169">
        <v>42871</v>
      </c>
      <c r="B589" s="115">
        <v>938.55</v>
      </c>
      <c r="C589" s="115">
        <v>938.55</v>
      </c>
      <c r="D589" s="115">
        <v>926.56</v>
      </c>
      <c r="E589" s="115">
        <v>930</v>
      </c>
      <c r="F589" s="115">
        <v>4692.75</v>
      </c>
      <c r="G589">
        <v>52</v>
      </c>
      <c r="H589" s="115"/>
      <c r="I589" s="115"/>
      <c r="L589" s="169">
        <v>42871</v>
      </c>
      <c r="M589" s="115">
        <v>933.29</v>
      </c>
      <c r="N589" s="115">
        <v>944.4</v>
      </c>
      <c r="O589" s="115">
        <v>926.03</v>
      </c>
      <c r="P589" s="115">
        <v>939.98</v>
      </c>
      <c r="Q589" s="115">
        <v>4666.45</v>
      </c>
      <c r="R589">
        <v>1842</v>
      </c>
    </row>
    <row r="590" spans="1:18" x14ac:dyDescent="0.25">
      <c r="A590" s="169">
        <v>42872</v>
      </c>
      <c r="B590" s="115">
        <v>940</v>
      </c>
      <c r="C590" s="115">
        <v>933.02</v>
      </c>
      <c r="D590" s="115">
        <v>930</v>
      </c>
      <c r="E590" s="115">
        <v>938</v>
      </c>
      <c r="F590" s="115">
        <v>4665.1000000000004</v>
      </c>
      <c r="G590">
        <v>3346</v>
      </c>
      <c r="H590" s="115"/>
      <c r="I590" s="115"/>
      <c r="L590" s="169">
        <v>42872</v>
      </c>
      <c r="M590" s="115">
        <v>931.59</v>
      </c>
      <c r="N590" s="115">
        <v>945.46</v>
      </c>
      <c r="O590" s="115">
        <v>930</v>
      </c>
      <c r="P590" s="115">
        <v>934</v>
      </c>
      <c r="Q590" s="115">
        <v>4657.95</v>
      </c>
      <c r="R590">
        <v>1791</v>
      </c>
    </row>
    <row r="591" spans="1:18" x14ac:dyDescent="0.25">
      <c r="A591" s="169">
        <v>42873</v>
      </c>
      <c r="B591" s="115">
        <v>937.59</v>
      </c>
      <c r="C591" s="115">
        <v>929.59</v>
      </c>
      <c r="D591" s="115">
        <v>915.17</v>
      </c>
      <c r="E591" s="115">
        <v>928.79</v>
      </c>
      <c r="F591" s="115">
        <v>4647.95</v>
      </c>
      <c r="G591">
        <v>48</v>
      </c>
      <c r="H591" s="115"/>
      <c r="I591" s="115"/>
      <c r="L591" s="169">
        <v>42873</v>
      </c>
      <c r="M591" s="115">
        <v>923.24</v>
      </c>
      <c r="N591" s="115">
        <v>937.6</v>
      </c>
      <c r="O591" s="115">
        <v>906.1</v>
      </c>
      <c r="P591" s="115">
        <v>937.59</v>
      </c>
      <c r="Q591" s="115">
        <v>4616.2</v>
      </c>
      <c r="R591">
        <v>1165</v>
      </c>
    </row>
    <row r="592" spans="1:18" x14ac:dyDescent="0.25">
      <c r="A592" s="169">
        <v>42874</v>
      </c>
      <c r="B592" s="115">
        <v>930.38</v>
      </c>
      <c r="C592" s="115">
        <v>909.51</v>
      </c>
      <c r="D592" s="115">
        <v>892</v>
      </c>
      <c r="E592" s="115">
        <v>927.2</v>
      </c>
      <c r="F592" s="115">
        <v>4547.55</v>
      </c>
      <c r="G592">
        <v>59</v>
      </c>
      <c r="H592" s="115"/>
      <c r="I592" s="115"/>
      <c r="L592" s="169">
        <v>42874</v>
      </c>
      <c r="M592" s="115">
        <v>901.19</v>
      </c>
      <c r="N592" s="115">
        <v>930.4</v>
      </c>
      <c r="O592" s="115">
        <v>896.01</v>
      </c>
      <c r="P592" s="115">
        <v>927.21</v>
      </c>
      <c r="Q592" s="115">
        <v>4505.95</v>
      </c>
      <c r="R592">
        <v>15130</v>
      </c>
    </row>
    <row r="593" spans="1:18" x14ac:dyDescent="0.25">
      <c r="A593" s="169">
        <v>42877</v>
      </c>
      <c r="B593" s="115">
        <v>919.67</v>
      </c>
      <c r="C593" s="115">
        <v>909.11</v>
      </c>
      <c r="D593" s="115">
        <v>894.55</v>
      </c>
      <c r="E593" s="115">
        <v>894.61</v>
      </c>
      <c r="F593" s="115">
        <v>4545.55</v>
      </c>
      <c r="G593">
        <v>126</v>
      </c>
      <c r="H593" s="115"/>
      <c r="I593" s="115"/>
      <c r="L593" s="169">
        <v>42877</v>
      </c>
      <c r="M593" s="115">
        <v>909.5</v>
      </c>
      <c r="N593" s="115">
        <v>920.02</v>
      </c>
      <c r="O593" s="115">
        <v>901.19</v>
      </c>
      <c r="P593" s="115">
        <v>901.32</v>
      </c>
      <c r="Q593" s="115">
        <v>4547.5</v>
      </c>
      <c r="R593">
        <v>490</v>
      </c>
    </row>
    <row r="594" spans="1:18" x14ac:dyDescent="0.25">
      <c r="A594" s="169">
        <v>42878</v>
      </c>
      <c r="B594" s="115">
        <v>905</v>
      </c>
      <c r="C594" s="115">
        <v>894.73</v>
      </c>
      <c r="D594" s="115">
        <v>880</v>
      </c>
      <c r="E594" s="115">
        <v>895.65</v>
      </c>
      <c r="F594" s="115">
        <v>4473.6499999999996</v>
      </c>
      <c r="G594">
        <v>166</v>
      </c>
      <c r="H594" s="115"/>
      <c r="I594" s="115"/>
      <c r="L594" s="169">
        <v>42878</v>
      </c>
      <c r="M594" s="115">
        <v>893.24</v>
      </c>
      <c r="N594" s="115">
        <v>935.99</v>
      </c>
      <c r="O594" s="115">
        <v>880</v>
      </c>
      <c r="P594" s="115">
        <v>909.6</v>
      </c>
      <c r="Q594" s="115">
        <v>4466.2</v>
      </c>
      <c r="R594">
        <v>7064</v>
      </c>
    </row>
    <row r="595" spans="1:18" x14ac:dyDescent="0.25">
      <c r="A595" s="169">
        <v>42879</v>
      </c>
      <c r="B595" s="115">
        <v>903.79</v>
      </c>
      <c r="C595" s="115">
        <v>898.56</v>
      </c>
      <c r="D595" s="115">
        <v>889.26</v>
      </c>
      <c r="E595" s="115">
        <v>903.79</v>
      </c>
      <c r="F595" s="115">
        <v>4492.8</v>
      </c>
      <c r="G595">
        <v>69</v>
      </c>
      <c r="H595" s="115"/>
      <c r="I595" s="115"/>
      <c r="L595" s="169">
        <v>42879</v>
      </c>
      <c r="M595" s="115">
        <v>902.38</v>
      </c>
      <c r="N595" s="115">
        <v>912.6</v>
      </c>
      <c r="O595" s="115">
        <v>893</v>
      </c>
      <c r="P595" s="115">
        <v>900</v>
      </c>
      <c r="Q595" s="115">
        <v>4511.8999999999996</v>
      </c>
      <c r="R595">
        <v>579</v>
      </c>
    </row>
    <row r="596" spans="1:18" x14ac:dyDescent="0.25">
      <c r="A596" s="169">
        <v>42880</v>
      </c>
      <c r="B596" s="115">
        <v>910.79</v>
      </c>
      <c r="C596" s="115">
        <v>909.51</v>
      </c>
      <c r="D596" s="115">
        <v>894.65</v>
      </c>
      <c r="E596" s="115">
        <v>898.18</v>
      </c>
      <c r="F596" s="115">
        <v>4547.55</v>
      </c>
      <c r="G596">
        <v>141</v>
      </c>
      <c r="H596" s="115"/>
      <c r="I596" s="115"/>
      <c r="L596" s="169">
        <v>42880</v>
      </c>
      <c r="M596" s="115">
        <v>908.36</v>
      </c>
      <c r="N596" s="115">
        <v>910</v>
      </c>
      <c r="O596" s="115">
        <v>897</v>
      </c>
      <c r="P596" s="115">
        <v>909.59</v>
      </c>
      <c r="Q596" s="115">
        <v>4541.8</v>
      </c>
      <c r="R596">
        <v>299</v>
      </c>
    </row>
    <row r="597" spans="1:18" x14ac:dyDescent="0.25">
      <c r="A597" s="169">
        <v>42881</v>
      </c>
      <c r="B597" s="115">
        <v>919.8</v>
      </c>
      <c r="C597" s="115">
        <v>916.85</v>
      </c>
      <c r="D597" s="115">
        <v>905</v>
      </c>
      <c r="E597" s="115">
        <v>919.8</v>
      </c>
      <c r="F597" s="115">
        <v>4584.25</v>
      </c>
      <c r="G597">
        <v>134</v>
      </c>
      <c r="H597" s="115"/>
      <c r="I597" s="115"/>
      <c r="L597" s="169">
        <v>42881</v>
      </c>
      <c r="M597" s="115">
        <v>918.15</v>
      </c>
      <c r="N597" s="115">
        <v>920</v>
      </c>
      <c r="O597" s="115">
        <v>909</v>
      </c>
      <c r="P597" s="115">
        <v>910.01</v>
      </c>
      <c r="Q597" s="115">
        <v>4590.75</v>
      </c>
      <c r="R597">
        <v>692</v>
      </c>
    </row>
    <row r="598" spans="1:18" x14ac:dyDescent="0.25">
      <c r="A598" s="169">
        <v>42884</v>
      </c>
      <c r="B598" s="115">
        <v>949</v>
      </c>
      <c r="C598" s="115">
        <v>934.39</v>
      </c>
      <c r="D598" s="115">
        <v>910.01</v>
      </c>
      <c r="E598" s="115">
        <v>917</v>
      </c>
      <c r="F598" s="115">
        <v>4671.95</v>
      </c>
      <c r="G598">
        <v>343</v>
      </c>
      <c r="H598" s="115"/>
      <c r="I598" s="115"/>
      <c r="L598" s="169">
        <v>42884</v>
      </c>
      <c r="M598" s="115">
        <v>936.98</v>
      </c>
      <c r="N598" s="115">
        <v>947.96</v>
      </c>
      <c r="O598" s="115">
        <v>900</v>
      </c>
      <c r="P598" s="115">
        <v>902.41</v>
      </c>
      <c r="Q598" s="115">
        <v>4684.8999999999996</v>
      </c>
      <c r="R598">
        <v>1340</v>
      </c>
    </row>
    <row r="599" spans="1:18" x14ac:dyDescent="0.25">
      <c r="A599" s="169">
        <v>42885</v>
      </c>
      <c r="B599" s="115">
        <v>934.4</v>
      </c>
      <c r="C599" s="115">
        <v>919.36</v>
      </c>
      <c r="D599" s="115">
        <v>901.1</v>
      </c>
      <c r="E599" s="115">
        <v>934.4</v>
      </c>
      <c r="F599" s="115">
        <v>4596.8</v>
      </c>
      <c r="G599">
        <v>60</v>
      </c>
      <c r="H599" s="115"/>
      <c r="I599" s="115"/>
      <c r="L599" s="169">
        <v>42885</v>
      </c>
      <c r="M599" s="115">
        <v>912.55</v>
      </c>
      <c r="N599" s="115">
        <v>935.95</v>
      </c>
      <c r="O599" s="115">
        <v>900.2</v>
      </c>
      <c r="P599" s="115">
        <v>920.21</v>
      </c>
      <c r="Q599" s="115">
        <v>4562.75</v>
      </c>
      <c r="R599">
        <v>59896</v>
      </c>
    </row>
    <row r="600" spans="1:18" x14ac:dyDescent="0.25">
      <c r="A600" s="169">
        <v>42886</v>
      </c>
      <c r="B600" s="115">
        <v>920</v>
      </c>
      <c r="C600" s="115">
        <v>898.92</v>
      </c>
      <c r="D600" s="115">
        <v>888.8</v>
      </c>
      <c r="E600" s="115">
        <v>919.4</v>
      </c>
      <c r="F600" s="115">
        <v>4494.6000000000004</v>
      </c>
      <c r="G600">
        <v>25</v>
      </c>
      <c r="H600" s="115"/>
      <c r="I600" s="115"/>
      <c r="L600" s="169">
        <v>42886</v>
      </c>
      <c r="M600" s="115">
        <v>900.78</v>
      </c>
      <c r="N600" s="115">
        <v>919.96</v>
      </c>
      <c r="O600" s="115">
        <v>891.04</v>
      </c>
      <c r="P600" s="115">
        <v>912.4</v>
      </c>
      <c r="Q600" s="115">
        <v>4503.8999999999996</v>
      </c>
      <c r="R600">
        <v>1556</v>
      </c>
    </row>
    <row r="601" spans="1:18" x14ac:dyDescent="0.25">
      <c r="A601" s="169">
        <v>42887</v>
      </c>
      <c r="B601" s="115">
        <v>914.2</v>
      </c>
      <c r="C601" s="115">
        <v>897.11</v>
      </c>
      <c r="D601" s="115">
        <v>895</v>
      </c>
      <c r="E601" s="115">
        <v>914.2</v>
      </c>
      <c r="F601" s="115">
        <v>4485.55</v>
      </c>
      <c r="G601">
        <v>29</v>
      </c>
      <c r="H601" s="115"/>
      <c r="I601" s="115"/>
      <c r="L601" s="169">
        <v>42887</v>
      </c>
      <c r="M601" s="115">
        <v>895.59</v>
      </c>
      <c r="N601" s="115">
        <v>911.99</v>
      </c>
      <c r="O601" s="115">
        <v>890.74</v>
      </c>
      <c r="P601" s="115">
        <v>911.99</v>
      </c>
      <c r="Q601" s="115">
        <v>4477.95</v>
      </c>
      <c r="R601">
        <v>1169</v>
      </c>
    </row>
    <row r="602" spans="1:18" x14ac:dyDescent="0.25">
      <c r="A602" s="169">
        <v>42888</v>
      </c>
      <c r="B602" s="115">
        <v>916.32</v>
      </c>
      <c r="C602" s="115">
        <v>901.69</v>
      </c>
      <c r="D602" s="115">
        <v>896.2</v>
      </c>
      <c r="E602" s="115">
        <v>916.32</v>
      </c>
      <c r="F602" s="115">
        <v>4508.45</v>
      </c>
      <c r="G602">
        <v>924</v>
      </c>
      <c r="H602" s="115"/>
      <c r="I602" s="115"/>
      <c r="L602" s="169">
        <v>42888</v>
      </c>
      <c r="M602" s="115">
        <v>901.1</v>
      </c>
      <c r="N602" s="115">
        <v>913.59</v>
      </c>
      <c r="O602" s="115">
        <v>899.8</v>
      </c>
      <c r="P602" s="115">
        <v>912.99</v>
      </c>
      <c r="Q602" s="115">
        <v>4505.5</v>
      </c>
      <c r="R602">
        <v>4738</v>
      </c>
    </row>
    <row r="603" spans="1:18" x14ac:dyDescent="0.25">
      <c r="A603" s="169">
        <v>42891</v>
      </c>
      <c r="B603" s="115">
        <v>914.06</v>
      </c>
      <c r="C603" s="115">
        <v>908.59</v>
      </c>
      <c r="D603" s="115">
        <v>882.01</v>
      </c>
      <c r="E603" s="115">
        <v>914.06</v>
      </c>
      <c r="F603" s="115">
        <v>4542.95</v>
      </c>
      <c r="G603">
        <v>233</v>
      </c>
      <c r="H603" s="115"/>
      <c r="I603" s="115"/>
      <c r="L603" s="169">
        <v>42891</v>
      </c>
      <c r="M603" s="115">
        <v>900.57</v>
      </c>
      <c r="N603" s="115">
        <v>912.96</v>
      </c>
      <c r="O603" s="115">
        <v>900</v>
      </c>
      <c r="P603" s="115">
        <v>901.1</v>
      </c>
      <c r="Q603" s="115">
        <v>4502.8500000000004</v>
      </c>
      <c r="R603">
        <v>921</v>
      </c>
    </row>
    <row r="604" spans="1:18" x14ac:dyDescent="0.25">
      <c r="A604" s="169">
        <v>42892</v>
      </c>
      <c r="B604" s="115">
        <v>916.2</v>
      </c>
      <c r="C604" s="115">
        <v>903.81</v>
      </c>
      <c r="D604" s="115">
        <v>886.56</v>
      </c>
      <c r="E604" s="115">
        <v>913.91</v>
      </c>
      <c r="F604" s="115">
        <v>4519.05</v>
      </c>
      <c r="G604">
        <v>136</v>
      </c>
      <c r="H604" s="115"/>
      <c r="I604" s="115"/>
      <c r="L604" s="169">
        <v>42892</v>
      </c>
      <c r="M604" s="115">
        <v>902.98</v>
      </c>
      <c r="N604" s="115">
        <v>914.4</v>
      </c>
      <c r="O604" s="115">
        <v>889</v>
      </c>
      <c r="P604" s="115">
        <v>909.2</v>
      </c>
      <c r="Q604" s="115">
        <v>4514.8999999999996</v>
      </c>
      <c r="R604">
        <v>5137</v>
      </c>
    </row>
    <row r="605" spans="1:18" x14ac:dyDescent="0.25">
      <c r="A605" s="169">
        <v>42893</v>
      </c>
      <c r="B605" s="115">
        <v>925.2</v>
      </c>
      <c r="C605" s="115">
        <v>904.13</v>
      </c>
      <c r="D605" s="115">
        <v>882.43</v>
      </c>
      <c r="E605" s="115">
        <v>925.2</v>
      </c>
      <c r="F605" s="115">
        <v>4520.6499999999996</v>
      </c>
      <c r="G605">
        <v>65</v>
      </c>
      <c r="H605" s="115"/>
      <c r="I605" s="115"/>
      <c r="L605" s="169">
        <v>42893</v>
      </c>
      <c r="M605" s="115">
        <v>893.08</v>
      </c>
      <c r="N605" s="115">
        <v>908.79</v>
      </c>
      <c r="O605" s="115">
        <v>890.4</v>
      </c>
      <c r="P605" s="115">
        <v>903.19</v>
      </c>
      <c r="Q605" s="115">
        <v>4465.3999999999996</v>
      </c>
      <c r="R605">
        <v>512</v>
      </c>
    </row>
    <row r="606" spans="1:18" x14ac:dyDescent="0.25">
      <c r="A606" s="169">
        <v>42894</v>
      </c>
      <c r="B606" s="115">
        <v>905</v>
      </c>
      <c r="C606" s="115">
        <v>903.86</v>
      </c>
      <c r="D606" s="115">
        <v>892</v>
      </c>
      <c r="E606" s="115">
        <v>902.38</v>
      </c>
      <c r="F606" s="115">
        <v>4519.3</v>
      </c>
      <c r="G606">
        <v>84</v>
      </c>
      <c r="H606" s="115"/>
      <c r="I606" s="115"/>
      <c r="L606" s="169">
        <v>42894</v>
      </c>
      <c r="M606" s="115">
        <v>900</v>
      </c>
      <c r="N606" s="115">
        <v>905</v>
      </c>
      <c r="O606" s="115">
        <v>883</v>
      </c>
      <c r="P606" s="115">
        <v>902.39</v>
      </c>
      <c r="Q606" s="115">
        <v>4500</v>
      </c>
      <c r="R606">
        <v>5903</v>
      </c>
    </row>
    <row r="607" spans="1:18" x14ac:dyDescent="0.25">
      <c r="A607" s="169">
        <v>42895</v>
      </c>
      <c r="B607" s="115">
        <v>911</v>
      </c>
      <c r="C607" s="115">
        <v>903.28</v>
      </c>
      <c r="D607" s="115">
        <v>894</v>
      </c>
      <c r="E607" s="115">
        <v>899.76</v>
      </c>
      <c r="F607" s="115">
        <v>4516.3999999999996</v>
      </c>
      <c r="G607">
        <v>404</v>
      </c>
      <c r="H607" s="115"/>
      <c r="I607" s="115"/>
      <c r="L607" s="169">
        <v>42895</v>
      </c>
      <c r="M607" s="115">
        <v>902.84</v>
      </c>
      <c r="N607" s="115">
        <v>911.8</v>
      </c>
      <c r="O607" s="115">
        <v>886.61</v>
      </c>
      <c r="P607" s="115">
        <v>890</v>
      </c>
      <c r="Q607" s="115">
        <v>4514.2</v>
      </c>
      <c r="R607">
        <v>2674</v>
      </c>
    </row>
    <row r="608" spans="1:18" x14ac:dyDescent="0.25">
      <c r="A608" s="169">
        <v>42898</v>
      </c>
      <c r="B608" s="115">
        <v>917.84</v>
      </c>
      <c r="C608" s="115">
        <v>909.44</v>
      </c>
      <c r="D608" s="115">
        <v>905</v>
      </c>
      <c r="E608" s="115">
        <v>915.52</v>
      </c>
      <c r="F608" s="115">
        <v>4547.2</v>
      </c>
      <c r="G608">
        <v>39</v>
      </c>
      <c r="H608" s="115"/>
      <c r="I608" s="115"/>
      <c r="L608" s="169">
        <v>42898</v>
      </c>
      <c r="M608" s="115">
        <v>911.65</v>
      </c>
      <c r="N608" s="115">
        <v>916.8</v>
      </c>
      <c r="O608" s="115">
        <v>905</v>
      </c>
      <c r="P608" s="115">
        <v>905</v>
      </c>
      <c r="Q608" s="115">
        <v>4558.25</v>
      </c>
      <c r="R608">
        <v>621</v>
      </c>
    </row>
    <row r="609" spans="1:18" x14ac:dyDescent="0.25">
      <c r="A609" s="169">
        <v>42899</v>
      </c>
      <c r="B609" s="115">
        <v>954</v>
      </c>
      <c r="C609" s="115">
        <v>908.7</v>
      </c>
      <c r="D609" s="115">
        <v>905</v>
      </c>
      <c r="E609" s="115">
        <v>954</v>
      </c>
      <c r="F609" s="115">
        <v>4543.5</v>
      </c>
      <c r="G609">
        <v>5306</v>
      </c>
      <c r="H609" s="115"/>
      <c r="I609" s="115"/>
      <c r="L609" s="169">
        <v>42899</v>
      </c>
      <c r="M609" s="115">
        <v>911.51</v>
      </c>
      <c r="N609" s="115">
        <v>930</v>
      </c>
      <c r="O609" s="115">
        <v>904</v>
      </c>
      <c r="P609" s="115">
        <v>919.98</v>
      </c>
      <c r="Q609" s="115">
        <v>4557.55</v>
      </c>
      <c r="R609">
        <v>2495</v>
      </c>
    </row>
    <row r="610" spans="1:18" x14ac:dyDescent="0.25">
      <c r="A610" s="169">
        <v>42900</v>
      </c>
      <c r="B610" s="115">
        <v>924</v>
      </c>
      <c r="C610" s="115">
        <v>918</v>
      </c>
      <c r="D610" s="115">
        <v>914.61</v>
      </c>
      <c r="E610" s="115">
        <v>914.61</v>
      </c>
      <c r="F610" s="115">
        <v>4590</v>
      </c>
      <c r="G610">
        <v>15</v>
      </c>
      <c r="H610" s="115"/>
      <c r="I610" s="115"/>
      <c r="L610" s="169">
        <v>42900</v>
      </c>
      <c r="M610" s="115">
        <v>917.81</v>
      </c>
      <c r="N610" s="115">
        <v>925.77</v>
      </c>
      <c r="O610" s="115">
        <v>907</v>
      </c>
      <c r="P610" s="115">
        <v>907</v>
      </c>
      <c r="Q610" s="115">
        <v>4589.05</v>
      </c>
      <c r="R610">
        <v>1662</v>
      </c>
    </row>
    <row r="611" spans="1:18" x14ac:dyDescent="0.25">
      <c r="A611" s="169">
        <v>42901</v>
      </c>
      <c r="B611" s="115">
        <v>922.27</v>
      </c>
      <c r="C611" s="115">
        <v>909.79</v>
      </c>
      <c r="D611" s="115">
        <v>905</v>
      </c>
      <c r="E611" s="115">
        <v>922.27</v>
      </c>
      <c r="F611" s="115">
        <v>4548.95</v>
      </c>
      <c r="G611">
        <v>86</v>
      </c>
      <c r="H611" s="115"/>
      <c r="I611" s="115"/>
      <c r="L611" s="169">
        <v>42901</v>
      </c>
      <c r="M611" s="115">
        <v>911.93</v>
      </c>
      <c r="N611" s="115">
        <v>922.19</v>
      </c>
      <c r="O611" s="115">
        <v>905</v>
      </c>
      <c r="P611" s="115">
        <v>917.81</v>
      </c>
      <c r="Q611" s="115">
        <v>4559.6499999999996</v>
      </c>
      <c r="R611">
        <v>4979</v>
      </c>
    </row>
    <row r="612" spans="1:18" x14ac:dyDescent="0.25">
      <c r="A612" s="169">
        <v>42902</v>
      </c>
      <c r="B612" s="115">
        <v>933.98</v>
      </c>
      <c r="C612" s="115">
        <v>925.69</v>
      </c>
      <c r="D612" s="115">
        <v>907.72</v>
      </c>
      <c r="E612" s="115">
        <v>914.99</v>
      </c>
      <c r="F612" s="115">
        <v>4628.45</v>
      </c>
      <c r="G612">
        <v>187</v>
      </c>
      <c r="H612" s="115"/>
      <c r="I612" s="115"/>
      <c r="L612" s="169">
        <v>42902</v>
      </c>
      <c r="M612" s="115">
        <v>931.52</v>
      </c>
      <c r="N612" s="115">
        <v>937.96</v>
      </c>
      <c r="O612" s="115">
        <v>904</v>
      </c>
      <c r="P612" s="115">
        <v>917.97</v>
      </c>
      <c r="Q612" s="115">
        <v>4657.6000000000004</v>
      </c>
      <c r="R612">
        <v>3148</v>
      </c>
    </row>
    <row r="613" spans="1:18" x14ac:dyDescent="0.25">
      <c r="A613" s="169">
        <v>42905</v>
      </c>
      <c r="B613" s="115">
        <v>943.01</v>
      </c>
      <c r="C613" s="115">
        <v>926.43</v>
      </c>
      <c r="D613" s="115">
        <v>913.21</v>
      </c>
      <c r="E613" s="115">
        <v>933.24</v>
      </c>
      <c r="F613" s="115">
        <v>4632.1499999999996</v>
      </c>
      <c r="G613">
        <v>57</v>
      </c>
      <c r="H613" s="115"/>
      <c r="I613" s="115"/>
      <c r="L613" s="169">
        <v>42905</v>
      </c>
      <c r="M613" s="115">
        <v>939.92</v>
      </c>
      <c r="N613" s="115">
        <v>948</v>
      </c>
      <c r="O613" s="115">
        <v>926.2</v>
      </c>
      <c r="P613" s="115">
        <v>929.61</v>
      </c>
      <c r="Q613" s="115">
        <v>4699.6000000000004</v>
      </c>
      <c r="R613">
        <v>1221</v>
      </c>
    </row>
    <row r="614" spans="1:18" x14ac:dyDescent="0.25">
      <c r="A614" s="169">
        <v>42906</v>
      </c>
      <c r="B614" s="115">
        <v>969.4</v>
      </c>
      <c r="C614" s="115">
        <v>958</v>
      </c>
      <c r="D614" s="115">
        <v>942.74</v>
      </c>
      <c r="E614" s="115">
        <v>969.4</v>
      </c>
      <c r="F614" s="115">
        <v>4790</v>
      </c>
      <c r="G614">
        <v>116</v>
      </c>
      <c r="H614" s="115"/>
      <c r="I614" s="115"/>
      <c r="L614" s="169">
        <v>42906</v>
      </c>
      <c r="M614" s="115">
        <v>956.04</v>
      </c>
      <c r="N614" s="115">
        <v>963</v>
      </c>
      <c r="O614" s="115">
        <v>940</v>
      </c>
      <c r="P614" s="115">
        <v>943.22</v>
      </c>
      <c r="Q614" s="115">
        <v>4780.2</v>
      </c>
      <c r="R614">
        <v>1481</v>
      </c>
    </row>
    <row r="615" spans="1:18" x14ac:dyDescent="0.25">
      <c r="A615" s="169">
        <v>42907</v>
      </c>
      <c r="B615" s="115">
        <v>963.2</v>
      </c>
      <c r="C615" s="115">
        <v>936.77</v>
      </c>
      <c r="D615" s="115">
        <v>927.98</v>
      </c>
      <c r="E615" s="115">
        <v>962.75</v>
      </c>
      <c r="F615" s="115">
        <v>4683.8500000000004</v>
      </c>
      <c r="G615">
        <v>1442</v>
      </c>
      <c r="H615" s="115"/>
      <c r="I615" s="115"/>
      <c r="L615" s="169">
        <v>42907</v>
      </c>
      <c r="M615" s="115">
        <v>934.67</v>
      </c>
      <c r="N615" s="115">
        <v>962.8</v>
      </c>
      <c r="O615" s="115">
        <v>925</v>
      </c>
      <c r="P615" s="115">
        <v>956.04</v>
      </c>
      <c r="Q615" s="115">
        <v>4673.3500000000004</v>
      </c>
      <c r="R615">
        <v>10201</v>
      </c>
    </row>
    <row r="616" spans="1:18" x14ac:dyDescent="0.25">
      <c r="A616" s="169">
        <v>42908</v>
      </c>
      <c r="B616" s="115">
        <v>942</v>
      </c>
      <c r="C616" s="115">
        <v>929</v>
      </c>
      <c r="D616" s="115">
        <v>927.82</v>
      </c>
      <c r="E616" s="115">
        <v>927.82</v>
      </c>
      <c r="F616" s="115">
        <v>4645</v>
      </c>
      <c r="G616">
        <v>36</v>
      </c>
      <c r="H616" s="115"/>
      <c r="I616" s="115"/>
      <c r="L616" s="169">
        <v>42908</v>
      </c>
      <c r="M616" s="115">
        <v>933.3</v>
      </c>
      <c r="N616" s="115">
        <v>944.78</v>
      </c>
      <c r="O616" s="115">
        <v>927</v>
      </c>
      <c r="P616" s="115">
        <v>939.8</v>
      </c>
      <c r="Q616" s="115">
        <v>4666.5</v>
      </c>
      <c r="R616">
        <v>914</v>
      </c>
    </row>
    <row r="617" spans="1:18" x14ac:dyDescent="0.25">
      <c r="A617" s="169">
        <v>42909</v>
      </c>
      <c r="B617" s="115">
        <v>940.47</v>
      </c>
      <c r="C617" s="115">
        <v>924</v>
      </c>
      <c r="D617" s="115">
        <v>920.03</v>
      </c>
      <c r="E617" s="115">
        <v>940.47</v>
      </c>
      <c r="F617" s="115">
        <v>4620</v>
      </c>
      <c r="G617">
        <v>84</v>
      </c>
      <c r="H617" s="115"/>
      <c r="I617" s="115"/>
      <c r="L617" s="169">
        <v>42909</v>
      </c>
      <c r="M617" s="115">
        <v>923.12</v>
      </c>
      <c r="N617" s="115">
        <v>939.8</v>
      </c>
      <c r="O617" s="115">
        <v>920.81</v>
      </c>
      <c r="P617" s="115">
        <v>939.8</v>
      </c>
      <c r="Q617" s="115">
        <v>4615.6000000000004</v>
      </c>
      <c r="R617">
        <v>870</v>
      </c>
    </row>
    <row r="618" spans="1:18" x14ac:dyDescent="0.25">
      <c r="A618" s="169">
        <v>42913</v>
      </c>
      <c r="B618" s="115">
        <v>958.99</v>
      </c>
      <c r="C618" s="115">
        <v>899.99</v>
      </c>
      <c r="D618" s="115">
        <v>892.52</v>
      </c>
      <c r="E618" s="115">
        <v>958.99</v>
      </c>
      <c r="F618" s="115">
        <v>4499.95</v>
      </c>
      <c r="G618">
        <v>210</v>
      </c>
      <c r="H618" s="115"/>
      <c r="I618" s="115"/>
      <c r="L618" s="169">
        <v>42913</v>
      </c>
      <c r="M618" s="115">
        <v>901.58</v>
      </c>
      <c r="N618" s="115">
        <v>944.6</v>
      </c>
      <c r="O618" s="115">
        <v>891.6</v>
      </c>
      <c r="P618" s="115">
        <v>936.2</v>
      </c>
      <c r="Q618" s="115">
        <v>4507.8999999999996</v>
      </c>
      <c r="R618">
        <v>3788</v>
      </c>
    </row>
    <row r="619" spans="1:18" x14ac:dyDescent="0.25">
      <c r="A619" s="169">
        <v>42914</v>
      </c>
      <c r="B619" s="115">
        <v>909.9</v>
      </c>
      <c r="C619" s="115">
        <v>903.16</v>
      </c>
      <c r="D619" s="115">
        <v>895</v>
      </c>
      <c r="E619" s="115">
        <v>909.89</v>
      </c>
      <c r="F619" s="115">
        <v>4515.8</v>
      </c>
      <c r="G619">
        <v>34</v>
      </c>
      <c r="H619" s="115"/>
      <c r="I619" s="115"/>
      <c r="L619" s="169">
        <v>42914</v>
      </c>
      <c r="M619" s="115">
        <v>899.93</v>
      </c>
      <c r="N619" s="115">
        <v>908.79</v>
      </c>
      <c r="O619" s="115">
        <v>896.62</v>
      </c>
      <c r="P619" s="115">
        <v>901.58</v>
      </c>
      <c r="Q619" s="115">
        <v>4499.6499999999996</v>
      </c>
      <c r="R619">
        <v>2755</v>
      </c>
    </row>
    <row r="620" spans="1:18" x14ac:dyDescent="0.25">
      <c r="A620" s="169">
        <v>42915</v>
      </c>
      <c r="B620" s="115">
        <v>906.6</v>
      </c>
      <c r="C620" s="115">
        <v>900</v>
      </c>
      <c r="D620" s="115">
        <v>895</v>
      </c>
      <c r="E620" s="115">
        <v>895.4</v>
      </c>
      <c r="F620" s="115">
        <v>4500</v>
      </c>
      <c r="G620">
        <v>234</v>
      </c>
      <c r="H620" s="115"/>
      <c r="I620" s="115"/>
      <c r="L620" s="169">
        <v>42915</v>
      </c>
      <c r="M620" s="115">
        <v>899.62</v>
      </c>
      <c r="N620" s="115">
        <v>904.99</v>
      </c>
      <c r="O620" s="115">
        <v>894</v>
      </c>
      <c r="P620" s="115">
        <v>904.99</v>
      </c>
      <c r="Q620" s="115">
        <v>4498.1000000000004</v>
      </c>
      <c r="R620">
        <v>2291</v>
      </c>
    </row>
    <row r="621" spans="1:18" x14ac:dyDescent="0.25">
      <c r="A621" s="169">
        <v>42916</v>
      </c>
      <c r="B621" s="115">
        <v>901.59</v>
      </c>
      <c r="C621" s="115">
        <v>892.68</v>
      </c>
      <c r="D621" s="115">
        <v>885.2</v>
      </c>
      <c r="E621" s="115">
        <v>901.58</v>
      </c>
      <c r="F621" s="115">
        <v>4463.3999999999996</v>
      </c>
      <c r="G621">
        <v>158</v>
      </c>
      <c r="H621" s="115"/>
      <c r="I621" s="115"/>
      <c r="L621" s="169">
        <v>42916</v>
      </c>
      <c r="M621" s="115">
        <v>889.61</v>
      </c>
      <c r="N621" s="115">
        <v>911.59</v>
      </c>
      <c r="O621" s="115">
        <v>882.81</v>
      </c>
      <c r="P621" s="115">
        <v>911.59</v>
      </c>
      <c r="Q621" s="115">
        <v>4448.05</v>
      </c>
      <c r="R621">
        <v>13489</v>
      </c>
    </row>
    <row r="622" spans="1:18" x14ac:dyDescent="0.25">
      <c r="A622" s="169">
        <v>42919</v>
      </c>
      <c r="B622" s="115">
        <v>940</v>
      </c>
      <c r="C622" s="115">
        <v>933.99</v>
      </c>
      <c r="D622" s="115">
        <v>892.68</v>
      </c>
      <c r="E622" s="115">
        <v>892.68</v>
      </c>
      <c r="F622" s="115">
        <v>4669.95</v>
      </c>
      <c r="G622">
        <v>117</v>
      </c>
      <c r="H622" s="115"/>
      <c r="I622" s="115"/>
      <c r="L622" s="169">
        <v>42919</v>
      </c>
      <c r="M622" s="115">
        <v>927.95</v>
      </c>
      <c r="N622" s="115">
        <v>944.29</v>
      </c>
      <c r="O622" s="115">
        <v>885.01</v>
      </c>
      <c r="P622" s="115">
        <v>885.01</v>
      </c>
      <c r="Q622" s="115">
        <v>4639.75</v>
      </c>
      <c r="R622">
        <v>2121</v>
      </c>
    </row>
    <row r="623" spans="1:18" x14ac:dyDescent="0.25">
      <c r="A623" s="169">
        <v>42920</v>
      </c>
      <c r="B623" s="115">
        <v>944.4</v>
      </c>
      <c r="C623" s="115">
        <v>936.98</v>
      </c>
      <c r="D623" s="115">
        <v>918.4</v>
      </c>
      <c r="E623" s="115">
        <v>935</v>
      </c>
      <c r="F623" s="115">
        <v>4684.8999999999996</v>
      </c>
      <c r="G623">
        <v>119</v>
      </c>
      <c r="H623" s="115"/>
      <c r="I623" s="115"/>
      <c r="L623" s="169">
        <v>42920</v>
      </c>
      <c r="M623" s="115">
        <v>935.26</v>
      </c>
      <c r="N623" s="115">
        <v>945.8</v>
      </c>
      <c r="O623" s="115">
        <v>922.02</v>
      </c>
      <c r="P623" s="115">
        <v>945.8</v>
      </c>
      <c r="Q623" s="115">
        <v>4676.3</v>
      </c>
      <c r="R623">
        <v>2507</v>
      </c>
    </row>
    <row r="624" spans="1:18" x14ac:dyDescent="0.25">
      <c r="A624" s="169">
        <v>42921</v>
      </c>
      <c r="B624" s="115">
        <v>1029.8</v>
      </c>
      <c r="C624" s="115">
        <v>940.56</v>
      </c>
      <c r="D624" s="115">
        <v>930</v>
      </c>
      <c r="E624" s="115">
        <v>957.8</v>
      </c>
      <c r="F624" s="115">
        <v>4702.8</v>
      </c>
      <c r="G624">
        <v>950</v>
      </c>
      <c r="H624" s="115"/>
      <c r="I624" s="115"/>
      <c r="L624" s="169">
        <v>42921</v>
      </c>
      <c r="M624" s="115">
        <v>942.96</v>
      </c>
      <c r="N624" s="115">
        <v>1033.4000000000001</v>
      </c>
      <c r="O624" s="115">
        <v>932.01</v>
      </c>
      <c r="P624" s="115">
        <v>939.8</v>
      </c>
      <c r="Q624" s="115">
        <v>4714.8</v>
      </c>
      <c r="R624">
        <v>9722</v>
      </c>
    </row>
    <row r="625" spans="1:18" x14ac:dyDescent="0.25">
      <c r="A625" s="169">
        <v>42922</v>
      </c>
      <c r="B625" s="115">
        <v>966.79</v>
      </c>
      <c r="C625" s="115">
        <v>933.89</v>
      </c>
      <c r="D625" s="115">
        <v>927.32</v>
      </c>
      <c r="E625" s="115">
        <v>942</v>
      </c>
      <c r="F625" s="115">
        <v>4669.45</v>
      </c>
      <c r="G625">
        <v>2626</v>
      </c>
      <c r="H625" s="115"/>
      <c r="I625" s="115"/>
      <c r="L625" s="169">
        <v>42922</v>
      </c>
      <c r="M625" s="115">
        <v>935.25</v>
      </c>
      <c r="N625" s="115">
        <v>967.9</v>
      </c>
      <c r="O625" s="115">
        <v>932</v>
      </c>
      <c r="P625" s="115">
        <v>949.8</v>
      </c>
      <c r="Q625" s="115">
        <v>4676.25</v>
      </c>
      <c r="R625">
        <v>1716</v>
      </c>
    </row>
    <row r="626" spans="1:18" x14ac:dyDescent="0.25">
      <c r="A626" s="169">
        <v>42923</v>
      </c>
      <c r="B626" s="115">
        <v>966</v>
      </c>
      <c r="C626" s="115">
        <v>938.81</v>
      </c>
      <c r="D626" s="115">
        <v>928</v>
      </c>
      <c r="E626" s="115">
        <v>964.2</v>
      </c>
      <c r="F626" s="115">
        <v>4694.05</v>
      </c>
      <c r="G626">
        <v>181</v>
      </c>
      <c r="H626" s="115"/>
      <c r="I626" s="115"/>
      <c r="L626" s="169">
        <v>42923</v>
      </c>
      <c r="M626" s="115">
        <v>939.71</v>
      </c>
      <c r="N626" s="115">
        <v>947.8</v>
      </c>
      <c r="O626" s="115">
        <v>933</v>
      </c>
      <c r="P626" s="115">
        <v>943.79</v>
      </c>
      <c r="Q626" s="115">
        <v>4698.55</v>
      </c>
      <c r="R626">
        <v>1084</v>
      </c>
    </row>
    <row r="627" spans="1:18" x14ac:dyDescent="0.25">
      <c r="A627" s="169">
        <v>42926</v>
      </c>
      <c r="B627" s="115">
        <v>959.57</v>
      </c>
      <c r="C627" s="115">
        <v>947.86</v>
      </c>
      <c r="D627" s="115">
        <v>922</v>
      </c>
      <c r="E627" s="115">
        <v>940</v>
      </c>
      <c r="F627" s="115">
        <v>4739.3</v>
      </c>
      <c r="G627">
        <v>418</v>
      </c>
      <c r="H627" s="115"/>
      <c r="I627" s="115"/>
      <c r="L627" s="169">
        <v>42926</v>
      </c>
      <c r="M627" s="115">
        <v>941.62</v>
      </c>
      <c r="N627" s="115">
        <v>950</v>
      </c>
      <c r="O627" s="115">
        <v>922.2</v>
      </c>
      <c r="P627" s="115">
        <v>940</v>
      </c>
      <c r="Q627" s="115">
        <v>4708.1000000000004</v>
      </c>
      <c r="R627">
        <v>177</v>
      </c>
    </row>
    <row r="628" spans="1:18" x14ac:dyDescent="0.25">
      <c r="A628" s="169">
        <v>42927</v>
      </c>
      <c r="B628" s="115">
        <v>942</v>
      </c>
      <c r="C628" s="115">
        <v>931.2</v>
      </c>
      <c r="D628" s="115">
        <v>922.15</v>
      </c>
      <c r="E628" s="115">
        <v>922.15</v>
      </c>
      <c r="F628" s="115">
        <v>4656</v>
      </c>
      <c r="G628">
        <v>161</v>
      </c>
      <c r="H628" s="115"/>
      <c r="I628" s="115"/>
      <c r="L628" s="169">
        <v>42927</v>
      </c>
      <c r="M628" s="115">
        <v>931.21</v>
      </c>
      <c r="N628" s="115">
        <v>959</v>
      </c>
      <c r="O628" s="115">
        <v>928</v>
      </c>
      <c r="P628" s="115">
        <v>936.2</v>
      </c>
      <c r="Q628" s="115">
        <v>4656.05</v>
      </c>
      <c r="R628">
        <v>588</v>
      </c>
    </row>
    <row r="629" spans="1:18" x14ac:dyDescent="0.25">
      <c r="A629" s="169">
        <v>42928</v>
      </c>
      <c r="B629" s="115">
        <v>938.26</v>
      </c>
      <c r="C629" s="115">
        <v>928.79</v>
      </c>
      <c r="D629" s="115">
        <v>925.28</v>
      </c>
      <c r="E629" s="115">
        <v>934</v>
      </c>
      <c r="F629" s="115">
        <v>4643.95</v>
      </c>
      <c r="G629">
        <v>110</v>
      </c>
      <c r="H629" s="115"/>
      <c r="I629" s="115"/>
      <c r="L629" s="169">
        <v>42928</v>
      </c>
      <c r="M629" s="115">
        <v>929.91</v>
      </c>
      <c r="N629" s="115">
        <v>939.97</v>
      </c>
      <c r="O629" s="115">
        <v>924</v>
      </c>
      <c r="P629" s="115">
        <v>939.77</v>
      </c>
      <c r="Q629" s="115">
        <v>4649.55</v>
      </c>
      <c r="R629">
        <v>11081</v>
      </c>
    </row>
    <row r="630" spans="1:18" x14ac:dyDescent="0.25">
      <c r="A630" s="169">
        <v>42929</v>
      </c>
      <c r="B630" s="115">
        <v>950</v>
      </c>
      <c r="C630" s="115">
        <v>920.5</v>
      </c>
      <c r="D630" s="115">
        <v>920</v>
      </c>
      <c r="E630" s="115">
        <v>950</v>
      </c>
      <c r="F630" s="115">
        <v>4602.5</v>
      </c>
      <c r="G630">
        <v>64</v>
      </c>
      <c r="H630" s="115"/>
      <c r="I630" s="115"/>
      <c r="L630" s="169">
        <v>42929</v>
      </c>
      <c r="M630" s="115">
        <v>921.16</v>
      </c>
      <c r="N630" s="115">
        <v>930.2</v>
      </c>
      <c r="O630" s="115">
        <v>920</v>
      </c>
      <c r="P630" s="115">
        <v>930.2</v>
      </c>
      <c r="Q630" s="115">
        <v>4605.8</v>
      </c>
      <c r="R630">
        <v>966</v>
      </c>
    </row>
    <row r="631" spans="1:18" x14ac:dyDescent="0.25">
      <c r="A631" s="169">
        <v>42930</v>
      </c>
      <c r="B631" s="115">
        <v>929.2</v>
      </c>
      <c r="C631" s="115">
        <v>909.57</v>
      </c>
      <c r="D631" s="115">
        <v>900.2</v>
      </c>
      <c r="E631" s="115">
        <v>912.6</v>
      </c>
      <c r="F631" s="115">
        <v>4547.8500000000004</v>
      </c>
      <c r="G631">
        <v>162</v>
      </c>
      <c r="H631" s="115"/>
      <c r="I631" s="115"/>
      <c r="L631" s="169">
        <v>42930</v>
      </c>
      <c r="M631" s="115">
        <v>910.07</v>
      </c>
      <c r="N631" s="115">
        <v>940</v>
      </c>
      <c r="O631" s="115">
        <v>896.91</v>
      </c>
      <c r="P631" s="115">
        <v>915</v>
      </c>
      <c r="Q631" s="115">
        <v>4550.3500000000004</v>
      </c>
      <c r="R631">
        <v>5920</v>
      </c>
    </row>
    <row r="632" spans="1:18" x14ac:dyDescent="0.25">
      <c r="A632" s="169">
        <v>42933</v>
      </c>
      <c r="B632" s="115">
        <v>916.99</v>
      </c>
      <c r="C632" s="115">
        <v>910.27</v>
      </c>
      <c r="D632" s="115">
        <v>885.2</v>
      </c>
      <c r="E632" s="115">
        <v>909.57</v>
      </c>
      <c r="F632" s="115">
        <v>4551.3500000000004</v>
      </c>
      <c r="G632">
        <v>40</v>
      </c>
      <c r="H632" s="115"/>
      <c r="I632" s="115"/>
      <c r="L632" s="169">
        <v>42933</v>
      </c>
      <c r="M632" s="115">
        <v>918.71</v>
      </c>
      <c r="N632" s="115">
        <v>932.83</v>
      </c>
      <c r="O632" s="115">
        <v>901.21</v>
      </c>
      <c r="P632" s="115">
        <v>901.21</v>
      </c>
      <c r="Q632" s="115">
        <v>4593.55</v>
      </c>
      <c r="R632">
        <v>2008</v>
      </c>
    </row>
    <row r="633" spans="1:18" x14ac:dyDescent="0.25">
      <c r="A633" s="169">
        <v>42934</v>
      </c>
      <c r="B633" s="115">
        <v>919.75</v>
      </c>
      <c r="C633" s="115">
        <v>908.58</v>
      </c>
      <c r="D633" s="115">
        <v>900</v>
      </c>
      <c r="E633" s="115">
        <v>909.46</v>
      </c>
      <c r="F633" s="115">
        <v>4542.8999999999996</v>
      </c>
      <c r="G633">
        <v>194</v>
      </c>
      <c r="H633" s="115"/>
      <c r="I633" s="115"/>
      <c r="L633" s="169">
        <v>42934</v>
      </c>
      <c r="M633" s="115">
        <v>905.48</v>
      </c>
      <c r="N633" s="115">
        <v>917.59</v>
      </c>
      <c r="O633" s="115">
        <v>900</v>
      </c>
      <c r="P633" s="115">
        <v>912</v>
      </c>
      <c r="Q633" s="115">
        <v>4527.3999999999996</v>
      </c>
      <c r="R633">
        <v>8666</v>
      </c>
    </row>
    <row r="634" spans="1:18" x14ac:dyDescent="0.25">
      <c r="A634" s="169">
        <v>42935</v>
      </c>
      <c r="B634" s="115">
        <v>918</v>
      </c>
      <c r="C634" s="115">
        <v>914</v>
      </c>
      <c r="D634" s="115">
        <v>900.01</v>
      </c>
      <c r="E634" s="115">
        <v>900.26</v>
      </c>
      <c r="F634" s="115">
        <v>4570</v>
      </c>
      <c r="G634">
        <v>51</v>
      </c>
      <c r="H634" s="115"/>
      <c r="I634" s="115"/>
      <c r="L634" s="169">
        <v>42935</v>
      </c>
      <c r="M634" s="115">
        <v>911.05</v>
      </c>
      <c r="N634" s="115">
        <v>919.39</v>
      </c>
      <c r="O634" s="115">
        <v>902.41</v>
      </c>
      <c r="P634" s="115">
        <v>906</v>
      </c>
      <c r="Q634" s="115">
        <v>4555.25</v>
      </c>
      <c r="R634">
        <v>10802</v>
      </c>
    </row>
    <row r="635" spans="1:18" x14ac:dyDescent="0.25">
      <c r="A635" s="169">
        <v>42936</v>
      </c>
      <c r="B635" s="115">
        <v>917.37</v>
      </c>
      <c r="C635" s="115">
        <v>911.33</v>
      </c>
      <c r="D635" s="115">
        <v>891</v>
      </c>
      <c r="E635" s="115">
        <v>905.06</v>
      </c>
      <c r="F635" s="115">
        <v>4556.6499999999996</v>
      </c>
      <c r="G635">
        <v>60</v>
      </c>
      <c r="H635" s="115"/>
      <c r="I635" s="115"/>
      <c r="L635" s="169">
        <v>42936</v>
      </c>
      <c r="M635" s="115">
        <v>911.82</v>
      </c>
      <c r="N635" s="115">
        <v>920</v>
      </c>
      <c r="O635" s="115">
        <v>907.03</v>
      </c>
      <c r="P635" s="115">
        <v>907.06</v>
      </c>
      <c r="Q635" s="115">
        <v>4559.1000000000004</v>
      </c>
      <c r="R635">
        <v>322</v>
      </c>
    </row>
    <row r="636" spans="1:18" x14ac:dyDescent="0.25">
      <c r="A636" s="169">
        <v>42937</v>
      </c>
      <c r="B636" s="115">
        <v>916.6</v>
      </c>
      <c r="C636" s="115">
        <v>907.71</v>
      </c>
      <c r="D636" s="115">
        <v>900</v>
      </c>
      <c r="E636" s="115">
        <v>901.42</v>
      </c>
      <c r="F636" s="115">
        <v>4538.55</v>
      </c>
      <c r="G636">
        <v>281</v>
      </c>
      <c r="H636" s="115"/>
      <c r="I636" s="115"/>
      <c r="L636" s="169">
        <v>42937</v>
      </c>
      <c r="M636" s="115">
        <v>910.45</v>
      </c>
      <c r="N636" s="115">
        <v>913.51</v>
      </c>
      <c r="O636" s="115">
        <v>904.2</v>
      </c>
      <c r="P636" s="115">
        <v>904.22</v>
      </c>
      <c r="Q636" s="115">
        <v>4552.25</v>
      </c>
      <c r="R636">
        <v>420</v>
      </c>
    </row>
    <row r="637" spans="1:18" x14ac:dyDescent="0.25">
      <c r="A637" s="169">
        <v>42940</v>
      </c>
      <c r="B637" s="115">
        <v>922.99</v>
      </c>
      <c r="C637" s="115">
        <v>921</v>
      </c>
      <c r="D637" s="115">
        <v>890.61</v>
      </c>
      <c r="E637" s="115">
        <v>890.61</v>
      </c>
      <c r="F637" s="115">
        <v>4605</v>
      </c>
      <c r="G637">
        <v>56</v>
      </c>
      <c r="H637" s="115"/>
      <c r="I637" s="115"/>
      <c r="L637" s="169">
        <v>42940</v>
      </c>
      <c r="M637" s="115">
        <v>920.92</v>
      </c>
      <c r="N637" s="115">
        <v>923.4</v>
      </c>
      <c r="O637" s="115">
        <v>906.4</v>
      </c>
      <c r="P637" s="115">
        <v>906.4</v>
      </c>
      <c r="Q637" s="115">
        <v>4604.6000000000004</v>
      </c>
      <c r="R637">
        <v>624</v>
      </c>
    </row>
    <row r="638" spans="1:18" x14ac:dyDescent="0.25">
      <c r="A638" s="169">
        <v>42941</v>
      </c>
      <c r="B638" s="115">
        <v>942.38</v>
      </c>
      <c r="C638" s="115">
        <v>936.51</v>
      </c>
      <c r="D638" s="115">
        <v>900.26</v>
      </c>
      <c r="E638" s="115">
        <v>918.8</v>
      </c>
      <c r="F638" s="115">
        <v>4682.55</v>
      </c>
      <c r="G638">
        <v>161</v>
      </c>
      <c r="H638" s="115"/>
      <c r="I638" s="115"/>
      <c r="L638" s="169">
        <v>42941</v>
      </c>
      <c r="M638" s="115">
        <v>938.71</v>
      </c>
      <c r="N638" s="115">
        <v>940</v>
      </c>
      <c r="O638" s="115">
        <v>906.58</v>
      </c>
      <c r="P638" s="115">
        <v>921</v>
      </c>
      <c r="Q638" s="115">
        <v>4693.55</v>
      </c>
      <c r="R638">
        <v>2094</v>
      </c>
    </row>
    <row r="639" spans="1:18" x14ac:dyDescent="0.25">
      <c r="A639" s="169">
        <v>42942</v>
      </c>
      <c r="B639" s="115">
        <v>941.71</v>
      </c>
      <c r="C639" s="115">
        <v>938</v>
      </c>
      <c r="D639" s="115">
        <v>935.17</v>
      </c>
      <c r="E639" s="115">
        <v>936.93</v>
      </c>
      <c r="F639" s="115">
        <v>4690</v>
      </c>
      <c r="G639">
        <v>40</v>
      </c>
      <c r="H639" s="115"/>
      <c r="I639" s="115"/>
      <c r="L639" s="169">
        <v>42942</v>
      </c>
      <c r="M639" s="115">
        <v>934.98</v>
      </c>
      <c r="N639" s="115">
        <v>940.17</v>
      </c>
      <c r="O639" s="115">
        <v>932.02</v>
      </c>
      <c r="P639" s="115">
        <v>938.71</v>
      </c>
      <c r="Q639" s="115">
        <v>4674.8999999999996</v>
      </c>
      <c r="R639">
        <v>10728</v>
      </c>
    </row>
    <row r="640" spans="1:18" x14ac:dyDescent="0.25">
      <c r="A640" s="169">
        <v>42943</v>
      </c>
      <c r="B640" s="115">
        <v>944</v>
      </c>
      <c r="C640" s="115">
        <v>931.6</v>
      </c>
      <c r="D640" s="115">
        <v>921.07</v>
      </c>
      <c r="E640" s="115">
        <v>940</v>
      </c>
      <c r="F640" s="115">
        <v>4658</v>
      </c>
      <c r="G640">
        <v>149</v>
      </c>
      <c r="H640" s="115"/>
      <c r="I640" s="115"/>
      <c r="L640" s="169">
        <v>42943</v>
      </c>
      <c r="M640" s="115">
        <v>927.64</v>
      </c>
      <c r="N640" s="115">
        <v>940.2</v>
      </c>
      <c r="O640" s="115">
        <v>926</v>
      </c>
      <c r="P640" s="115">
        <v>940</v>
      </c>
      <c r="Q640" s="115">
        <v>4638.2</v>
      </c>
      <c r="R640">
        <v>1057</v>
      </c>
    </row>
    <row r="641" spans="1:18" x14ac:dyDescent="0.25">
      <c r="A641" s="169">
        <v>42944</v>
      </c>
      <c r="B641" s="115">
        <v>939.32</v>
      </c>
      <c r="C641" s="115">
        <v>929.73</v>
      </c>
      <c r="D641" s="115">
        <v>914.01</v>
      </c>
      <c r="E641" s="115">
        <v>917.6</v>
      </c>
      <c r="F641" s="115">
        <v>4648.6499999999996</v>
      </c>
      <c r="G641">
        <v>38</v>
      </c>
      <c r="H641" s="115"/>
      <c r="I641" s="115"/>
      <c r="L641" s="169">
        <v>42944</v>
      </c>
      <c r="M641" s="115">
        <v>931.27</v>
      </c>
      <c r="N641" s="115">
        <v>940</v>
      </c>
      <c r="O641" s="115">
        <v>916</v>
      </c>
      <c r="P641" s="115">
        <v>920</v>
      </c>
      <c r="Q641" s="115">
        <v>4656.3500000000004</v>
      </c>
      <c r="R641">
        <v>755</v>
      </c>
    </row>
    <row r="642" spans="1:18" x14ac:dyDescent="0.25">
      <c r="A642" s="169">
        <v>42947</v>
      </c>
      <c r="B642" s="115">
        <v>932.79</v>
      </c>
      <c r="C642" s="115">
        <v>904.34</v>
      </c>
      <c r="D642" s="115">
        <v>901</v>
      </c>
      <c r="E642" s="115">
        <v>918.8</v>
      </c>
      <c r="F642" s="115">
        <v>4521.7</v>
      </c>
      <c r="G642">
        <v>580</v>
      </c>
      <c r="H642" s="115"/>
      <c r="I642" s="115"/>
      <c r="L642" s="169">
        <v>42948</v>
      </c>
      <c r="M642" s="115">
        <v>901.6</v>
      </c>
      <c r="N642" s="115">
        <v>914</v>
      </c>
      <c r="O642" s="115">
        <v>893.1</v>
      </c>
      <c r="P642" s="115">
        <v>914</v>
      </c>
      <c r="Q642" s="115">
        <v>4508</v>
      </c>
      <c r="R642">
        <v>5067</v>
      </c>
    </row>
    <row r="643" spans="1:18" x14ac:dyDescent="0.25">
      <c r="A643" s="169">
        <v>42948</v>
      </c>
      <c r="B643" s="115">
        <v>911</v>
      </c>
      <c r="C643" s="115">
        <v>899</v>
      </c>
      <c r="D643" s="115">
        <v>895</v>
      </c>
      <c r="E643" s="115">
        <v>911</v>
      </c>
      <c r="F643" s="115">
        <v>4495</v>
      </c>
      <c r="G643">
        <v>1449</v>
      </c>
      <c r="H643" s="115"/>
      <c r="I643" s="115"/>
      <c r="L643" s="169">
        <v>42949</v>
      </c>
      <c r="M643" s="115">
        <v>890.63</v>
      </c>
      <c r="N643" s="115">
        <v>900</v>
      </c>
      <c r="O643" s="115">
        <v>886</v>
      </c>
      <c r="P643" s="115">
        <v>886</v>
      </c>
      <c r="Q643" s="115">
        <v>4453.1499999999996</v>
      </c>
      <c r="R643">
        <v>327</v>
      </c>
    </row>
    <row r="644" spans="1:18" x14ac:dyDescent="0.25">
      <c r="A644" s="169">
        <v>42949</v>
      </c>
      <c r="B644" s="115">
        <v>899</v>
      </c>
      <c r="C644" s="115">
        <v>889.61</v>
      </c>
      <c r="D644" s="115">
        <v>888.8</v>
      </c>
      <c r="E644" s="115">
        <v>899</v>
      </c>
      <c r="F644" s="115">
        <v>4448.05</v>
      </c>
      <c r="G644">
        <v>46</v>
      </c>
      <c r="H644" s="115"/>
      <c r="I644" s="115"/>
      <c r="L644" s="169">
        <v>42950</v>
      </c>
      <c r="M644" s="115">
        <v>859.56</v>
      </c>
      <c r="N644" s="115">
        <v>897</v>
      </c>
      <c r="O644" s="115">
        <v>839.79</v>
      </c>
      <c r="P644" s="115">
        <v>887.66</v>
      </c>
      <c r="Q644" s="115">
        <v>4297.8</v>
      </c>
      <c r="R644">
        <v>12923</v>
      </c>
    </row>
    <row r="645" spans="1:18" x14ac:dyDescent="0.25">
      <c r="A645" s="169">
        <v>42950</v>
      </c>
      <c r="B645" s="115">
        <v>903.4</v>
      </c>
      <c r="C645" s="115">
        <v>861</v>
      </c>
      <c r="D645" s="115">
        <v>840.02</v>
      </c>
      <c r="E645" s="115">
        <v>889.61</v>
      </c>
      <c r="F645" s="115">
        <v>4305</v>
      </c>
      <c r="G645">
        <v>2333</v>
      </c>
      <c r="H645" s="115"/>
      <c r="I645" s="115"/>
      <c r="L645" s="169">
        <v>42951</v>
      </c>
      <c r="M645" s="115">
        <v>858.97</v>
      </c>
      <c r="N645" s="115">
        <v>875.99</v>
      </c>
      <c r="O645" s="115">
        <v>854</v>
      </c>
      <c r="P645" s="115">
        <v>868.21</v>
      </c>
      <c r="Q645" s="115">
        <v>4294.8500000000004</v>
      </c>
      <c r="R645">
        <v>633</v>
      </c>
    </row>
    <row r="646" spans="1:18" x14ac:dyDescent="0.25">
      <c r="A646" s="169">
        <v>42951</v>
      </c>
      <c r="B646" s="115">
        <v>872.59</v>
      </c>
      <c r="C646" s="115">
        <v>859.7</v>
      </c>
      <c r="D646" s="115">
        <v>855.25</v>
      </c>
      <c r="E646" s="115">
        <v>866</v>
      </c>
      <c r="F646" s="115">
        <v>4298.5</v>
      </c>
      <c r="G646">
        <v>184</v>
      </c>
      <c r="H646" s="115"/>
      <c r="I646" s="115"/>
      <c r="L646" s="169">
        <v>42954</v>
      </c>
      <c r="M646" s="115">
        <v>868.84</v>
      </c>
      <c r="N646" s="115">
        <v>873</v>
      </c>
      <c r="O646" s="115">
        <v>856.02</v>
      </c>
      <c r="P646" s="115">
        <v>871.99</v>
      </c>
      <c r="Q646" s="115">
        <v>4344.2</v>
      </c>
      <c r="R646">
        <v>401</v>
      </c>
    </row>
    <row r="647" spans="1:18" x14ac:dyDescent="0.25">
      <c r="A647" s="169">
        <v>42954</v>
      </c>
      <c r="B647" s="115">
        <v>879.99</v>
      </c>
      <c r="C647" s="115">
        <v>869.95</v>
      </c>
      <c r="D647" s="115">
        <v>858</v>
      </c>
      <c r="E647" s="115">
        <v>879.99</v>
      </c>
      <c r="F647" s="115">
        <v>4349.75</v>
      </c>
      <c r="G647">
        <v>173</v>
      </c>
      <c r="H647" s="115"/>
      <c r="I647" s="115"/>
      <c r="L647" s="169">
        <v>42955</v>
      </c>
      <c r="M647" s="115">
        <v>871.4</v>
      </c>
      <c r="N647" s="115">
        <v>877.8</v>
      </c>
      <c r="O647" s="115">
        <v>853.31</v>
      </c>
      <c r="P647" s="115">
        <v>870</v>
      </c>
      <c r="Q647" s="115">
        <v>4357</v>
      </c>
      <c r="R647">
        <v>839</v>
      </c>
    </row>
    <row r="648" spans="1:18" x14ac:dyDescent="0.25">
      <c r="A648" s="169">
        <v>42955</v>
      </c>
      <c r="B648" s="115">
        <v>873.8</v>
      </c>
      <c r="C648" s="115">
        <v>870.99</v>
      </c>
      <c r="D648" s="115">
        <v>862.6</v>
      </c>
      <c r="E648" s="115">
        <v>870.01</v>
      </c>
      <c r="F648" s="115">
        <v>4354.95</v>
      </c>
      <c r="G648">
        <v>76</v>
      </c>
      <c r="H648" s="115"/>
      <c r="I648" s="115"/>
      <c r="L648" s="169">
        <v>42956</v>
      </c>
      <c r="M648" s="115">
        <v>859.6</v>
      </c>
      <c r="N648" s="115">
        <v>870.59</v>
      </c>
      <c r="O648" s="115">
        <v>857.8</v>
      </c>
      <c r="P648" s="115">
        <v>863.99</v>
      </c>
      <c r="Q648" s="115">
        <v>4298</v>
      </c>
      <c r="R648">
        <v>890</v>
      </c>
    </row>
    <row r="649" spans="1:18" x14ac:dyDescent="0.25">
      <c r="A649" s="169">
        <v>42956</v>
      </c>
      <c r="B649" s="115">
        <v>873.17</v>
      </c>
      <c r="C649" s="115">
        <v>862.19</v>
      </c>
      <c r="D649" s="115">
        <v>860</v>
      </c>
      <c r="E649" s="115">
        <v>869.84</v>
      </c>
      <c r="F649" s="115">
        <v>4310.95</v>
      </c>
      <c r="G649">
        <v>23</v>
      </c>
      <c r="H649" s="115"/>
      <c r="I649" s="115"/>
      <c r="L649" s="169">
        <v>42957</v>
      </c>
      <c r="M649" s="115">
        <v>833.28</v>
      </c>
      <c r="N649" s="115">
        <v>857.14</v>
      </c>
      <c r="O649" s="115">
        <v>830</v>
      </c>
      <c r="P649" s="115">
        <v>852</v>
      </c>
      <c r="Q649" s="115">
        <v>4166.3999999999996</v>
      </c>
      <c r="R649">
        <v>16258</v>
      </c>
    </row>
    <row r="650" spans="1:18" x14ac:dyDescent="0.25">
      <c r="A650" s="169">
        <v>42957</v>
      </c>
      <c r="B650" s="115">
        <v>860</v>
      </c>
      <c r="C650" s="115">
        <v>838.58</v>
      </c>
      <c r="D650" s="115">
        <v>827.22</v>
      </c>
      <c r="E650" s="115">
        <v>834</v>
      </c>
      <c r="F650" s="115">
        <v>4192.8999999999996</v>
      </c>
      <c r="G650">
        <v>183</v>
      </c>
      <c r="H650" s="115"/>
      <c r="I650" s="115"/>
      <c r="L650" s="169">
        <v>42958</v>
      </c>
      <c r="M650" s="115">
        <v>864.51</v>
      </c>
      <c r="N650" s="115">
        <v>870</v>
      </c>
      <c r="O650" s="115">
        <v>825.61</v>
      </c>
      <c r="P650" s="115">
        <v>830</v>
      </c>
      <c r="Q650" s="115">
        <v>4322.55</v>
      </c>
      <c r="R650">
        <v>1753</v>
      </c>
    </row>
    <row r="651" spans="1:18" x14ac:dyDescent="0.25">
      <c r="A651" s="169">
        <v>42958</v>
      </c>
      <c r="B651" s="115">
        <v>888.8</v>
      </c>
      <c r="C651" s="115">
        <v>863.24</v>
      </c>
      <c r="D651" s="115">
        <v>837</v>
      </c>
      <c r="E651" s="115">
        <v>838.41</v>
      </c>
      <c r="F651" s="115">
        <v>4316.2</v>
      </c>
      <c r="G651">
        <v>130</v>
      </c>
      <c r="H651" s="115"/>
      <c r="I651" s="115"/>
      <c r="L651" s="169">
        <v>42961</v>
      </c>
      <c r="M651" s="115">
        <v>882.62</v>
      </c>
      <c r="N651" s="115">
        <v>906</v>
      </c>
      <c r="O651" s="115">
        <v>876</v>
      </c>
      <c r="P651" s="115">
        <v>880</v>
      </c>
      <c r="Q651" s="115">
        <v>4413.1000000000004</v>
      </c>
      <c r="R651">
        <v>8143</v>
      </c>
    </row>
    <row r="652" spans="1:18" x14ac:dyDescent="0.25">
      <c r="A652" s="169">
        <v>42961</v>
      </c>
      <c r="B652" s="115">
        <v>898.99</v>
      </c>
      <c r="C652" s="115">
        <v>885.87</v>
      </c>
      <c r="D652" s="115">
        <v>877.02</v>
      </c>
      <c r="E652" s="115">
        <v>898.99</v>
      </c>
      <c r="F652" s="115">
        <v>4429.3500000000004</v>
      </c>
      <c r="G652">
        <v>535</v>
      </c>
      <c r="H652" s="115"/>
      <c r="I652" s="115"/>
      <c r="L652" s="169">
        <v>42963</v>
      </c>
      <c r="M652" s="115">
        <v>879.2</v>
      </c>
      <c r="N652" s="115">
        <v>906</v>
      </c>
      <c r="O652" s="115">
        <v>865.1</v>
      </c>
      <c r="P652" s="115">
        <v>906</v>
      </c>
      <c r="Q652" s="115">
        <v>4396</v>
      </c>
      <c r="R652">
        <v>2235</v>
      </c>
    </row>
    <row r="653" spans="1:18" x14ac:dyDescent="0.25">
      <c r="A653" s="169">
        <v>42963</v>
      </c>
      <c r="B653" s="115">
        <v>892</v>
      </c>
      <c r="C653" s="115">
        <v>878.91</v>
      </c>
      <c r="D653" s="115">
        <v>870.4</v>
      </c>
      <c r="E653" s="115">
        <v>888.8</v>
      </c>
      <c r="F653" s="115">
        <v>4394.55</v>
      </c>
      <c r="G653">
        <v>80</v>
      </c>
      <c r="H653" s="115"/>
      <c r="I653" s="115"/>
      <c r="L653" s="169">
        <v>42964</v>
      </c>
      <c r="M653" s="115">
        <v>878.13</v>
      </c>
      <c r="N653" s="115">
        <v>892.66</v>
      </c>
      <c r="O653" s="115">
        <v>865</v>
      </c>
      <c r="P653" s="115">
        <v>884.81</v>
      </c>
      <c r="Q653" s="115">
        <v>4390.6499999999996</v>
      </c>
      <c r="R653">
        <v>11522</v>
      </c>
    </row>
    <row r="654" spans="1:18" x14ac:dyDescent="0.25">
      <c r="A654" s="169">
        <v>42964</v>
      </c>
      <c r="B654" s="115">
        <v>887.6</v>
      </c>
      <c r="C654" s="115">
        <v>881.53</v>
      </c>
      <c r="D654" s="115">
        <v>868.8</v>
      </c>
      <c r="E654" s="115">
        <v>882.01</v>
      </c>
      <c r="F654" s="115">
        <v>4407.6499999999996</v>
      </c>
      <c r="G654">
        <v>251</v>
      </c>
      <c r="H654" s="115"/>
      <c r="I654" s="115"/>
      <c r="L654" s="169">
        <v>42965</v>
      </c>
      <c r="M654" s="115">
        <v>871.14</v>
      </c>
      <c r="N654" s="115">
        <v>887.55</v>
      </c>
      <c r="O654" s="115">
        <v>863</v>
      </c>
      <c r="P654" s="115">
        <v>878.3</v>
      </c>
      <c r="Q654" s="115">
        <v>4355.7</v>
      </c>
      <c r="R654">
        <v>412</v>
      </c>
    </row>
    <row r="655" spans="1:18" x14ac:dyDescent="0.25">
      <c r="A655" s="169">
        <v>42965</v>
      </c>
      <c r="B655" s="115">
        <v>880</v>
      </c>
      <c r="C655" s="115">
        <v>870.97</v>
      </c>
      <c r="D655" s="115">
        <v>867.03</v>
      </c>
      <c r="E655" s="115">
        <v>875</v>
      </c>
      <c r="F655" s="115">
        <v>4354.8500000000004</v>
      </c>
      <c r="G655">
        <v>49</v>
      </c>
      <c r="H655" s="115"/>
      <c r="I655" s="115"/>
      <c r="L655" s="169">
        <v>42968</v>
      </c>
      <c r="M655" s="115">
        <v>863.54</v>
      </c>
      <c r="N655" s="115">
        <v>882.81</v>
      </c>
      <c r="O655" s="115">
        <v>860</v>
      </c>
      <c r="P655" s="115">
        <v>871.14</v>
      </c>
      <c r="Q655" s="115">
        <v>4317.7</v>
      </c>
      <c r="R655">
        <v>1715</v>
      </c>
    </row>
    <row r="656" spans="1:18" x14ac:dyDescent="0.25">
      <c r="A656" s="169">
        <v>42968</v>
      </c>
      <c r="B656" s="115">
        <v>881.78</v>
      </c>
      <c r="C656" s="115">
        <v>868.73</v>
      </c>
      <c r="D656" s="115">
        <v>865.04</v>
      </c>
      <c r="E656" s="115">
        <v>880</v>
      </c>
      <c r="F656" s="115">
        <v>4343.6499999999996</v>
      </c>
      <c r="G656">
        <v>1264</v>
      </c>
      <c r="H656" s="115"/>
      <c r="I656" s="115"/>
      <c r="L656" s="169">
        <v>42969</v>
      </c>
      <c r="M656" s="115">
        <v>849.98</v>
      </c>
      <c r="N656" s="115">
        <v>877.99</v>
      </c>
      <c r="O656" s="115">
        <v>847</v>
      </c>
      <c r="P656" s="115">
        <v>873</v>
      </c>
      <c r="Q656" s="115">
        <v>4249.8999999999996</v>
      </c>
      <c r="R656">
        <v>496</v>
      </c>
    </row>
    <row r="657" spans="1:18" x14ac:dyDescent="0.25">
      <c r="A657" s="169">
        <v>42969</v>
      </c>
      <c r="B657" s="115">
        <v>870</v>
      </c>
      <c r="C657" s="115">
        <v>845.57</v>
      </c>
      <c r="D657" s="115">
        <v>840</v>
      </c>
      <c r="E657" s="115">
        <v>870</v>
      </c>
      <c r="F657" s="115">
        <v>4227.8500000000004</v>
      </c>
      <c r="G657">
        <v>135</v>
      </c>
      <c r="H657" s="115"/>
      <c r="I657" s="115"/>
      <c r="L657" s="169">
        <v>42970</v>
      </c>
      <c r="M657" s="115">
        <v>848.21</v>
      </c>
      <c r="N657" s="115">
        <v>854</v>
      </c>
      <c r="O657" s="115">
        <v>836.14</v>
      </c>
      <c r="P657" s="115">
        <v>850</v>
      </c>
      <c r="Q657" s="115">
        <v>4241.05</v>
      </c>
      <c r="R657">
        <v>4762</v>
      </c>
    </row>
    <row r="658" spans="1:18" x14ac:dyDescent="0.25">
      <c r="A658" s="169">
        <v>42970</v>
      </c>
      <c r="B658" s="115">
        <v>856.91</v>
      </c>
      <c r="C658" s="115">
        <v>852.06</v>
      </c>
      <c r="D658" s="115">
        <v>842.2</v>
      </c>
      <c r="E658" s="115">
        <v>846.89</v>
      </c>
      <c r="F658" s="115">
        <v>4260.3</v>
      </c>
      <c r="G658">
        <v>68</v>
      </c>
      <c r="H658" s="115"/>
      <c r="I658" s="115"/>
      <c r="L658" s="169">
        <v>42971</v>
      </c>
      <c r="M658" s="115">
        <v>845.09</v>
      </c>
      <c r="N658" s="115">
        <v>850</v>
      </c>
      <c r="O658" s="115">
        <v>840.74</v>
      </c>
      <c r="P658" s="115">
        <v>850</v>
      </c>
      <c r="Q658" s="115">
        <v>4225.45</v>
      </c>
      <c r="R658">
        <v>685</v>
      </c>
    </row>
    <row r="659" spans="1:18" x14ac:dyDescent="0.25">
      <c r="A659" s="169">
        <v>42971</v>
      </c>
      <c r="B659" s="115">
        <v>850.42</v>
      </c>
      <c r="C659" s="115">
        <v>848.2</v>
      </c>
      <c r="D659" s="115">
        <v>840.2</v>
      </c>
      <c r="E659" s="115">
        <v>850</v>
      </c>
      <c r="F659" s="115">
        <v>4241</v>
      </c>
      <c r="G659">
        <v>942</v>
      </c>
      <c r="H659" s="115"/>
      <c r="I659" s="115"/>
      <c r="L659" s="169">
        <v>42975</v>
      </c>
      <c r="M659" s="115">
        <v>849.31</v>
      </c>
      <c r="N659" s="115">
        <v>863.8</v>
      </c>
      <c r="O659" s="115">
        <v>840.2</v>
      </c>
      <c r="P659" s="115">
        <v>863.8</v>
      </c>
      <c r="Q659" s="115">
        <v>4246.55</v>
      </c>
      <c r="R659">
        <v>11807</v>
      </c>
    </row>
    <row r="660" spans="1:18" x14ac:dyDescent="0.25">
      <c r="A660" s="169">
        <v>42975</v>
      </c>
      <c r="B660" s="115">
        <v>860</v>
      </c>
      <c r="C660" s="115">
        <v>853.93</v>
      </c>
      <c r="D660" s="115">
        <v>850</v>
      </c>
      <c r="E660" s="115">
        <v>859.99</v>
      </c>
      <c r="F660" s="115">
        <v>4269.6499999999996</v>
      </c>
      <c r="G660">
        <v>108</v>
      </c>
      <c r="H660" s="115"/>
      <c r="I660" s="115"/>
      <c r="L660" s="169">
        <v>42976</v>
      </c>
      <c r="M660" s="115">
        <v>829.82</v>
      </c>
      <c r="N660" s="115">
        <v>850</v>
      </c>
      <c r="O660" s="115">
        <v>828</v>
      </c>
      <c r="P660" s="115">
        <v>850</v>
      </c>
      <c r="Q660" s="115">
        <v>4149.1000000000004</v>
      </c>
      <c r="R660">
        <v>4013</v>
      </c>
    </row>
    <row r="661" spans="1:18" x14ac:dyDescent="0.25">
      <c r="A661" s="169">
        <v>42976</v>
      </c>
      <c r="B661" s="115">
        <v>860</v>
      </c>
      <c r="C661" s="115">
        <v>830</v>
      </c>
      <c r="D661" s="115">
        <v>827.21</v>
      </c>
      <c r="E661" s="115">
        <v>827.21</v>
      </c>
      <c r="F661" s="115">
        <v>4150</v>
      </c>
      <c r="G661">
        <v>460</v>
      </c>
      <c r="H661" s="115"/>
      <c r="I661" s="115"/>
      <c r="L661" s="169">
        <v>42977</v>
      </c>
      <c r="M661" s="115">
        <v>851.51</v>
      </c>
      <c r="N661" s="115">
        <v>856.19</v>
      </c>
      <c r="O661" s="115">
        <v>838.2</v>
      </c>
      <c r="P661" s="115">
        <v>846</v>
      </c>
      <c r="Q661" s="115">
        <v>4257.55</v>
      </c>
      <c r="R661">
        <v>17690</v>
      </c>
    </row>
    <row r="662" spans="1:18" x14ac:dyDescent="0.25">
      <c r="A662" s="169">
        <v>42977</v>
      </c>
      <c r="B662" s="115">
        <v>859.59</v>
      </c>
      <c r="C662" s="115">
        <v>852.57</v>
      </c>
      <c r="D662" s="115">
        <v>844.01</v>
      </c>
      <c r="E662" s="115">
        <v>850</v>
      </c>
      <c r="F662" s="115">
        <v>4262.8500000000004</v>
      </c>
      <c r="G662">
        <v>85</v>
      </c>
      <c r="H662" s="115"/>
      <c r="I662" s="115"/>
      <c r="L662" s="169">
        <v>42978</v>
      </c>
      <c r="M662" s="115">
        <v>989.95</v>
      </c>
      <c r="N662" s="115">
        <v>1021.81</v>
      </c>
      <c r="O662" s="115">
        <v>952</v>
      </c>
      <c r="P662" s="115">
        <v>958</v>
      </c>
      <c r="Q662" s="115">
        <v>4949.75</v>
      </c>
      <c r="R662">
        <v>82629</v>
      </c>
    </row>
    <row r="663" spans="1:18" x14ac:dyDescent="0.25">
      <c r="A663" s="169">
        <v>42978</v>
      </c>
      <c r="B663" s="115">
        <v>1023.08</v>
      </c>
      <c r="C663" s="115">
        <v>992.66</v>
      </c>
      <c r="D663" s="115">
        <v>943.8</v>
      </c>
      <c r="E663" s="115">
        <v>943.8</v>
      </c>
      <c r="F663" s="115">
        <v>4963.3</v>
      </c>
      <c r="G663">
        <v>9186</v>
      </c>
      <c r="H663" s="115"/>
      <c r="I663" s="115"/>
      <c r="L663" s="169">
        <v>42979</v>
      </c>
      <c r="M663" s="115">
        <v>997.18</v>
      </c>
      <c r="N663" s="115">
        <v>1029.8</v>
      </c>
      <c r="O663" s="115">
        <v>970.53</v>
      </c>
      <c r="P663" s="115">
        <v>999.99</v>
      </c>
      <c r="Q663" s="115">
        <v>4985.8999999999996</v>
      </c>
      <c r="R663">
        <v>22797</v>
      </c>
    </row>
    <row r="664" spans="1:18" x14ac:dyDescent="0.25">
      <c r="A664" s="169">
        <v>42979</v>
      </c>
      <c r="B664" s="115">
        <v>1029</v>
      </c>
      <c r="C664" s="115">
        <v>1005.52</v>
      </c>
      <c r="D664" s="115">
        <v>980</v>
      </c>
      <c r="E664" s="115">
        <v>1000.2</v>
      </c>
      <c r="F664" s="115">
        <v>5027.6000000000004</v>
      </c>
      <c r="G664">
        <v>6327</v>
      </c>
      <c r="H664" s="115"/>
      <c r="I664" s="115"/>
      <c r="L664" s="169">
        <v>42982</v>
      </c>
      <c r="M664" s="115">
        <v>996.47</v>
      </c>
      <c r="N664" s="115">
        <v>1017.8</v>
      </c>
      <c r="O664" s="115">
        <v>985</v>
      </c>
      <c r="P664" s="115">
        <v>1017.8</v>
      </c>
      <c r="Q664" s="115">
        <v>4982.3500000000004</v>
      </c>
      <c r="R664">
        <v>3211</v>
      </c>
    </row>
    <row r="665" spans="1:18" x14ac:dyDescent="0.25">
      <c r="A665" s="169">
        <v>42982</v>
      </c>
      <c r="B665" s="115">
        <v>1020</v>
      </c>
      <c r="C665" s="115">
        <v>998.94</v>
      </c>
      <c r="D665" s="115">
        <v>990</v>
      </c>
      <c r="E665" s="115">
        <v>1020</v>
      </c>
      <c r="F665" s="115">
        <v>4994.7</v>
      </c>
      <c r="G665">
        <v>2091</v>
      </c>
      <c r="H665" s="115"/>
      <c r="I665" s="115"/>
      <c r="L665" s="169">
        <v>42983</v>
      </c>
      <c r="M665" s="115">
        <v>984.34</v>
      </c>
      <c r="N665" s="115">
        <v>1000</v>
      </c>
      <c r="O665" s="115">
        <v>980</v>
      </c>
      <c r="P665" s="115">
        <v>998</v>
      </c>
      <c r="Q665" s="115">
        <v>4921.7</v>
      </c>
      <c r="R665">
        <v>2708</v>
      </c>
    </row>
    <row r="666" spans="1:18" x14ac:dyDescent="0.25">
      <c r="A666" s="169">
        <v>42983</v>
      </c>
      <c r="B666" s="115">
        <v>1000</v>
      </c>
      <c r="C666" s="115">
        <v>985.76</v>
      </c>
      <c r="D666" s="115">
        <v>980.81</v>
      </c>
      <c r="E666" s="115">
        <v>990.13</v>
      </c>
      <c r="F666" s="115">
        <v>4928.8</v>
      </c>
      <c r="G666">
        <v>218</v>
      </c>
      <c r="H666" s="115"/>
      <c r="I666" s="115"/>
      <c r="L666" s="169">
        <v>42984</v>
      </c>
      <c r="M666" s="115">
        <v>976.11</v>
      </c>
      <c r="N666" s="115">
        <v>990</v>
      </c>
      <c r="O666" s="115">
        <v>960</v>
      </c>
      <c r="P666" s="115">
        <v>990</v>
      </c>
      <c r="Q666" s="115">
        <v>4880.55</v>
      </c>
      <c r="R666">
        <v>19371</v>
      </c>
    </row>
    <row r="667" spans="1:18" x14ac:dyDescent="0.25">
      <c r="A667" s="169">
        <v>42984</v>
      </c>
      <c r="B667" s="115">
        <v>994.09</v>
      </c>
      <c r="C667" s="115">
        <v>978</v>
      </c>
      <c r="D667" s="115">
        <v>960</v>
      </c>
      <c r="E667" s="115">
        <v>980.8</v>
      </c>
      <c r="F667" s="115">
        <v>4890</v>
      </c>
      <c r="G667">
        <v>2002</v>
      </c>
      <c r="H667" s="115"/>
      <c r="I667" s="115"/>
      <c r="L667" s="169">
        <v>42985</v>
      </c>
      <c r="M667" s="115">
        <v>976.64</v>
      </c>
      <c r="N667" s="115">
        <v>988.79</v>
      </c>
      <c r="O667" s="115">
        <v>976</v>
      </c>
      <c r="P667" s="115">
        <v>976.02</v>
      </c>
      <c r="Q667" s="115">
        <v>4883.2</v>
      </c>
      <c r="R667">
        <v>3562</v>
      </c>
    </row>
    <row r="668" spans="1:18" x14ac:dyDescent="0.25">
      <c r="A668" s="169">
        <v>42985</v>
      </c>
      <c r="B668" s="115">
        <v>988.58</v>
      </c>
      <c r="C668" s="115">
        <v>978.91</v>
      </c>
      <c r="D668" s="115">
        <v>978.4</v>
      </c>
      <c r="E668" s="115">
        <v>988.58</v>
      </c>
      <c r="F668" s="115">
        <v>4894.55</v>
      </c>
      <c r="G668">
        <v>2390</v>
      </c>
      <c r="H668" s="115"/>
      <c r="I668" s="115"/>
      <c r="L668" s="169">
        <v>42986</v>
      </c>
      <c r="M668" s="115">
        <v>979.75</v>
      </c>
      <c r="N668" s="115">
        <v>982</v>
      </c>
      <c r="O668" s="115">
        <v>972.81</v>
      </c>
      <c r="P668" s="115">
        <v>980</v>
      </c>
      <c r="Q668" s="115">
        <v>4898.75</v>
      </c>
      <c r="R668">
        <v>5799</v>
      </c>
    </row>
    <row r="669" spans="1:18" x14ac:dyDescent="0.25">
      <c r="A669" s="169">
        <v>42986</v>
      </c>
      <c r="B669" s="115">
        <v>981.8</v>
      </c>
      <c r="C669" s="115">
        <v>981.07</v>
      </c>
      <c r="D669" s="115">
        <v>975.76</v>
      </c>
      <c r="E669" s="115">
        <v>977</v>
      </c>
      <c r="F669" s="115">
        <v>4905.3500000000004</v>
      </c>
      <c r="G669">
        <v>49</v>
      </c>
      <c r="H669" s="115"/>
      <c r="I669" s="115"/>
      <c r="L669" s="169">
        <v>42989</v>
      </c>
      <c r="M669" s="115">
        <v>979.91</v>
      </c>
      <c r="N669" s="115">
        <v>981.99</v>
      </c>
      <c r="O669" s="115">
        <v>972.01</v>
      </c>
      <c r="P669" s="115">
        <v>980.01</v>
      </c>
      <c r="Q669" s="115">
        <v>4899.55</v>
      </c>
      <c r="R669">
        <v>5901</v>
      </c>
    </row>
    <row r="670" spans="1:18" x14ac:dyDescent="0.25">
      <c r="A670" s="169">
        <v>42989</v>
      </c>
      <c r="B670" s="115">
        <v>983.6</v>
      </c>
      <c r="C670" s="115">
        <v>976.4</v>
      </c>
      <c r="D670" s="115">
        <v>970</v>
      </c>
      <c r="E670" s="115">
        <v>983.6</v>
      </c>
      <c r="F670" s="115">
        <v>4882</v>
      </c>
      <c r="G670">
        <v>368</v>
      </c>
      <c r="H670" s="115"/>
      <c r="I670" s="115"/>
      <c r="L670" s="169">
        <v>42990</v>
      </c>
      <c r="M670" s="115">
        <v>989.27</v>
      </c>
      <c r="N670" s="115">
        <v>1001.19</v>
      </c>
      <c r="O670" s="115">
        <v>960.01</v>
      </c>
      <c r="P670" s="115">
        <v>960.01</v>
      </c>
      <c r="Q670" s="115">
        <v>4946.3500000000004</v>
      </c>
      <c r="R670">
        <v>9381</v>
      </c>
    </row>
    <row r="671" spans="1:18" x14ac:dyDescent="0.25">
      <c r="A671" s="169">
        <v>42990</v>
      </c>
      <c r="B671" s="115">
        <v>1003.82</v>
      </c>
      <c r="C671" s="115">
        <v>986.51</v>
      </c>
      <c r="D671" s="115">
        <v>970</v>
      </c>
      <c r="E671" s="115">
        <v>976.6</v>
      </c>
      <c r="F671" s="115">
        <v>4932.55</v>
      </c>
      <c r="G671">
        <v>355</v>
      </c>
      <c r="H671" s="115"/>
      <c r="I671" s="115"/>
      <c r="L671" s="169">
        <v>42991</v>
      </c>
      <c r="M671" s="115">
        <v>969.57</v>
      </c>
      <c r="N671" s="115">
        <v>985.99</v>
      </c>
      <c r="O671" s="115">
        <v>968</v>
      </c>
      <c r="P671" s="115">
        <v>977</v>
      </c>
      <c r="Q671" s="115">
        <v>4847.8500000000004</v>
      </c>
      <c r="R671">
        <v>985</v>
      </c>
    </row>
    <row r="672" spans="1:18" x14ac:dyDescent="0.25">
      <c r="A672" s="169">
        <v>42991</v>
      </c>
      <c r="B672" s="115">
        <v>984</v>
      </c>
      <c r="C672" s="115">
        <v>971.19</v>
      </c>
      <c r="D672" s="115">
        <v>954.1</v>
      </c>
      <c r="E672" s="115">
        <v>976</v>
      </c>
      <c r="F672" s="115">
        <v>4855.95</v>
      </c>
      <c r="G672">
        <v>417</v>
      </c>
      <c r="H672" s="115"/>
      <c r="I672" s="115"/>
      <c r="L672" s="169">
        <v>42992</v>
      </c>
      <c r="M672" s="115">
        <v>978.07</v>
      </c>
      <c r="N672" s="115">
        <v>982.99</v>
      </c>
      <c r="O672" s="115">
        <v>965</v>
      </c>
      <c r="P672" s="115">
        <v>979.21</v>
      </c>
      <c r="Q672" s="115">
        <v>4890.3500000000004</v>
      </c>
      <c r="R672">
        <v>9416</v>
      </c>
    </row>
    <row r="673" spans="1:18" x14ac:dyDescent="0.25">
      <c r="A673" s="169">
        <v>42992</v>
      </c>
      <c r="B673" s="115">
        <v>980</v>
      </c>
      <c r="C673" s="115">
        <v>976.51</v>
      </c>
      <c r="D673" s="115">
        <v>970</v>
      </c>
      <c r="E673" s="115">
        <v>980</v>
      </c>
      <c r="F673" s="115">
        <v>4882.55</v>
      </c>
      <c r="G673">
        <v>258</v>
      </c>
      <c r="H673" s="115"/>
      <c r="I673" s="115"/>
      <c r="L673" s="169">
        <v>42993</v>
      </c>
      <c r="M673" s="115">
        <v>981.3</v>
      </c>
      <c r="N673" s="115">
        <v>989.8</v>
      </c>
      <c r="O673" s="115">
        <v>964.06</v>
      </c>
      <c r="P673" s="115">
        <v>974</v>
      </c>
      <c r="Q673" s="115">
        <v>4906.5</v>
      </c>
      <c r="R673">
        <v>2028</v>
      </c>
    </row>
    <row r="674" spans="1:18" x14ac:dyDescent="0.25">
      <c r="A674" s="169">
        <v>42993</v>
      </c>
      <c r="B674" s="115">
        <v>986</v>
      </c>
      <c r="C674" s="115">
        <v>978.91</v>
      </c>
      <c r="D674" s="115">
        <v>966</v>
      </c>
      <c r="E674" s="115">
        <v>970</v>
      </c>
      <c r="F674" s="115">
        <v>4894.55</v>
      </c>
      <c r="G674">
        <v>337</v>
      </c>
      <c r="H674" s="115"/>
      <c r="I674" s="115"/>
      <c r="L674" s="169">
        <v>42996</v>
      </c>
      <c r="M674" s="115">
        <v>970.55</v>
      </c>
      <c r="N674" s="115">
        <v>983.99</v>
      </c>
      <c r="O674" s="115">
        <v>966.5</v>
      </c>
      <c r="P674" s="115">
        <v>982</v>
      </c>
      <c r="Q674" s="115">
        <v>4852.75</v>
      </c>
      <c r="R674">
        <v>1379</v>
      </c>
    </row>
    <row r="675" spans="1:18" x14ac:dyDescent="0.25">
      <c r="A675" s="169">
        <v>42996</v>
      </c>
      <c r="B675" s="115">
        <v>985.62</v>
      </c>
      <c r="C675" s="115">
        <v>974.7</v>
      </c>
      <c r="D675" s="115">
        <v>958</v>
      </c>
      <c r="E675" s="115">
        <v>970.01</v>
      </c>
      <c r="F675" s="115">
        <v>4873.5</v>
      </c>
      <c r="G675">
        <v>189</v>
      </c>
      <c r="H675" s="115"/>
      <c r="I675" s="115"/>
      <c r="L675" s="169">
        <v>42997</v>
      </c>
      <c r="M675" s="115">
        <v>962.54</v>
      </c>
      <c r="N675" s="115">
        <v>974.8</v>
      </c>
      <c r="O675" s="115">
        <v>955.62</v>
      </c>
      <c r="P675" s="115">
        <v>972</v>
      </c>
      <c r="Q675" s="115">
        <v>4812.7</v>
      </c>
      <c r="R675">
        <v>1436</v>
      </c>
    </row>
    <row r="676" spans="1:18" x14ac:dyDescent="0.25">
      <c r="A676" s="169">
        <v>42997</v>
      </c>
      <c r="B676" s="115">
        <v>980</v>
      </c>
      <c r="C676" s="115">
        <v>966.1</v>
      </c>
      <c r="D676" s="115">
        <v>940.23</v>
      </c>
      <c r="E676" s="115">
        <v>940.23</v>
      </c>
      <c r="F676" s="115">
        <v>4830.5</v>
      </c>
      <c r="G676">
        <v>92</v>
      </c>
      <c r="H676" s="115"/>
      <c r="I676" s="115"/>
      <c r="L676" s="169">
        <v>42998</v>
      </c>
      <c r="M676" s="115">
        <v>959.31</v>
      </c>
      <c r="N676" s="115">
        <v>978.39</v>
      </c>
      <c r="O676" s="115">
        <v>955</v>
      </c>
      <c r="P676" s="115">
        <v>967.98</v>
      </c>
      <c r="Q676" s="115">
        <v>4796.55</v>
      </c>
      <c r="R676">
        <v>2230</v>
      </c>
    </row>
    <row r="677" spans="1:18" x14ac:dyDescent="0.25">
      <c r="A677" s="169">
        <v>42998</v>
      </c>
      <c r="B677" s="115">
        <v>975.76</v>
      </c>
      <c r="C677" s="115">
        <v>957.13</v>
      </c>
      <c r="D677" s="115">
        <v>954</v>
      </c>
      <c r="E677" s="115">
        <v>975.42</v>
      </c>
      <c r="F677" s="115">
        <v>4785.6499999999996</v>
      </c>
      <c r="G677">
        <v>149</v>
      </c>
      <c r="H677" s="115"/>
      <c r="I677" s="115"/>
      <c r="L677" s="169">
        <v>42999</v>
      </c>
      <c r="M677" s="115">
        <v>977.62</v>
      </c>
      <c r="N677" s="115">
        <v>980</v>
      </c>
      <c r="O677" s="115">
        <v>957.43</v>
      </c>
      <c r="P677" s="115">
        <v>964.01</v>
      </c>
      <c r="Q677" s="115">
        <v>4888.1000000000004</v>
      </c>
      <c r="R677">
        <v>851</v>
      </c>
    </row>
    <row r="678" spans="1:18" x14ac:dyDescent="0.25">
      <c r="A678" s="169">
        <v>42999</v>
      </c>
      <c r="B678" s="115">
        <v>986</v>
      </c>
      <c r="C678" s="115">
        <v>984.01</v>
      </c>
      <c r="D678" s="115">
        <v>955</v>
      </c>
      <c r="E678" s="115">
        <v>972</v>
      </c>
      <c r="F678" s="115">
        <v>4920.05</v>
      </c>
      <c r="G678">
        <v>358</v>
      </c>
      <c r="H678" s="115"/>
      <c r="I678" s="115"/>
      <c r="L678" s="169">
        <v>43000</v>
      </c>
      <c r="M678" s="115">
        <v>970.7</v>
      </c>
      <c r="N678" s="115">
        <v>986</v>
      </c>
      <c r="O678" s="115">
        <v>954</v>
      </c>
      <c r="P678" s="115">
        <v>979.8</v>
      </c>
      <c r="Q678" s="115">
        <v>4853.5</v>
      </c>
      <c r="R678">
        <v>2200</v>
      </c>
    </row>
    <row r="679" spans="1:18" x14ac:dyDescent="0.25">
      <c r="A679" s="169">
        <v>43000</v>
      </c>
      <c r="B679" s="115">
        <v>976</v>
      </c>
      <c r="C679" s="115">
        <v>971.1</v>
      </c>
      <c r="D679" s="115">
        <v>951</v>
      </c>
      <c r="E679" s="115">
        <v>965.28</v>
      </c>
      <c r="F679" s="115">
        <v>4855.5</v>
      </c>
      <c r="G679">
        <v>429</v>
      </c>
      <c r="H679" s="115"/>
      <c r="I679" s="115"/>
      <c r="L679" s="169">
        <v>43003</v>
      </c>
      <c r="M679" s="115">
        <v>961.22</v>
      </c>
      <c r="N679" s="115">
        <v>980</v>
      </c>
      <c r="O679" s="115">
        <v>944.2</v>
      </c>
      <c r="P679" s="115">
        <v>980</v>
      </c>
      <c r="Q679" s="115">
        <v>4806.1000000000004</v>
      </c>
      <c r="R679">
        <v>1185</v>
      </c>
    </row>
    <row r="680" spans="1:18" x14ac:dyDescent="0.25">
      <c r="A680" s="169">
        <v>43003</v>
      </c>
      <c r="B680" s="115">
        <v>974.39</v>
      </c>
      <c r="C680" s="115">
        <v>956.47</v>
      </c>
      <c r="D680" s="115">
        <v>949.4</v>
      </c>
      <c r="E680" s="115">
        <v>952.77</v>
      </c>
      <c r="F680" s="115">
        <v>4782.3500000000004</v>
      </c>
      <c r="G680">
        <v>221</v>
      </c>
      <c r="H680" s="115"/>
      <c r="I680" s="115"/>
      <c r="L680" s="169">
        <v>43004</v>
      </c>
      <c r="M680" s="115">
        <v>965.47</v>
      </c>
      <c r="N680" s="115">
        <v>980</v>
      </c>
      <c r="O680" s="115">
        <v>950.23</v>
      </c>
      <c r="P680" s="115">
        <v>979.99</v>
      </c>
      <c r="Q680" s="115">
        <v>4827.3500000000004</v>
      </c>
      <c r="R680">
        <v>1507</v>
      </c>
    </row>
    <row r="681" spans="1:18" x14ac:dyDescent="0.25">
      <c r="A681" s="169">
        <v>43004</v>
      </c>
      <c r="B681" s="115">
        <v>976</v>
      </c>
      <c r="C681" s="115">
        <v>973.54</v>
      </c>
      <c r="D681" s="115">
        <v>952.2</v>
      </c>
      <c r="E681" s="115">
        <v>964.04</v>
      </c>
      <c r="F681" s="115">
        <v>4867.7</v>
      </c>
      <c r="G681">
        <v>91</v>
      </c>
      <c r="H681" s="115"/>
      <c r="I681" s="115"/>
      <c r="L681" s="169">
        <v>43005</v>
      </c>
      <c r="M681" s="115">
        <v>971.62</v>
      </c>
      <c r="N681" s="115">
        <v>980</v>
      </c>
      <c r="O681" s="115">
        <v>960.01</v>
      </c>
      <c r="P681" s="115">
        <v>974.39</v>
      </c>
      <c r="Q681" s="115">
        <v>4858.1000000000004</v>
      </c>
      <c r="R681">
        <v>1055</v>
      </c>
    </row>
    <row r="682" spans="1:18" x14ac:dyDescent="0.25">
      <c r="A682" s="169">
        <v>43005</v>
      </c>
      <c r="B682" s="115">
        <v>989.8</v>
      </c>
      <c r="C682" s="115">
        <v>972.5</v>
      </c>
      <c r="D682" s="115">
        <v>955.67</v>
      </c>
      <c r="E682" s="115">
        <v>989.8</v>
      </c>
      <c r="F682" s="115">
        <v>4862.5</v>
      </c>
      <c r="G682">
        <v>162</v>
      </c>
      <c r="H682" s="115"/>
      <c r="I682" s="115"/>
      <c r="L682" s="169">
        <v>43006</v>
      </c>
      <c r="M682" s="115">
        <v>958.32</v>
      </c>
      <c r="N682" s="115">
        <v>984.99</v>
      </c>
      <c r="O682" s="115">
        <v>954.01</v>
      </c>
      <c r="P682" s="115">
        <v>984.99</v>
      </c>
      <c r="Q682" s="115">
        <v>4791.6000000000004</v>
      </c>
      <c r="R682">
        <v>1389</v>
      </c>
    </row>
    <row r="683" spans="1:18" x14ac:dyDescent="0.25">
      <c r="A683" s="169">
        <v>43006</v>
      </c>
      <c r="B683" s="115">
        <v>986</v>
      </c>
      <c r="C683" s="115">
        <v>953.08</v>
      </c>
      <c r="D683" s="115">
        <v>944.99</v>
      </c>
      <c r="E683" s="115">
        <v>986</v>
      </c>
      <c r="F683" s="115">
        <v>4765.3999999999996</v>
      </c>
      <c r="G683">
        <v>53647</v>
      </c>
      <c r="H683" s="115"/>
      <c r="I683" s="115"/>
      <c r="L683" s="169">
        <v>43007</v>
      </c>
      <c r="M683" s="115">
        <v>977.99</v>
      </c>
      <c r="N683" s="115">
        <v>983</v>
      </c>
      <c r="O683" s="115">
        <v>941.21</v>
      </c>
      <c r="P683" s="115">
        <v>966.21</v>
      </c>
      <c r="Q683" s="115">
        <v>4889.95</v>
      </c>
      <c r="R683">
        <v>38522</v>
      </c>
    </row>
    <row r="684" spans="1:18" x14ac:dyDescent="0.25">
      <c r="A684" s="169">
        <v>43007</v>
      </c>
      <c r="B684" s="115">
        <v>984</v>
      </c>
      <c r="C684" s="115">
        <v>979.1</v>
      </c>
      <c r="D684" s="115">
        <v>945.23</v>
      </c>
      <c r="E684" s="115">
        <v>961.97</v>
      </c>
      <c r="F684" s="115">
        <v>4895.5</v>
      </c>
      <c r="G684">
        <v>426</v>
      </c>
      <c r="H684" s="115"/>
      <c r="I684" s="115"/>
      <c r="L684" s="169">
        <v>43011</v>
      </c>
      <c r="M684" s="115">
        <v>968.11</v>
      </c>
      <c r="N684" s="115">
        <v>986</v>
      </c>
      <c r="O684" s="115">
        <v>965</v>
      </c>
      <c r="P684" s="115">
        <v>986</v>
      </c>
      <c r="Q684" s="115">
        <v>4840.55</v>
      </c>
      <c r="R684">
        <v>1399</v>
      </c>
    </row>
    <row r="685" spans="1:18" x14ac:dyDescent="0.25">
      <c r="A685" s="169">
        <v>43011</v>
      </c>
      <c r="B685" s="115">
        <v>990</v>
      </c>
      <c r="C685" s="115">
        <v>970.56</v>
      </c>
      <c r="D685" s="115">
        <v>968.71</v>
      </c>
      <c r="E685" s="115">
        <v>979</v>
      </c>
      <c r="F685" s="115">
        <v>4852.8</v>
      </c>
      <c r="G685">
        <v>308</v>
      </c>
      <c r="H685" s="115"/>
      <c r="I685" s="115"/>
      <c r="L685" s="169">
        <v>43012</v>
      </c>
      <c r="M685" s="115">
        <v>975.55</v>
      </c>
      <c r="N685" s="115">
        <v>979.99</v>
      </c>
      <c r="O685" s="115">
        <v>960.2</v>
      </c>
      <c r="P685" s="115">
        <v>976</v>
      </c>
      <c r="Q685" s="115">
        <v>4877.75</v>
      </c>
      <c r="R685">
        <v>1027</v>
      </c>
    </row>
    <row r="686" spans="1:18" x14ac:dyDescent="0.25">
      <c r="A686" s="169">
        <v>43012</v>
      </c>
      <c r="B686" s="115">
        <v>981.84</v>
      </c>
      <c r="C686" s="115">
        <v>974.79</v>
      </c>
      <c r="D686" s="115">
        <v>964</v>
      </c>
      <c r="E686" s="115">
        <v>964.01</v>
      </c>
      <c r="F686" s="115">
        <v>4873.95</v>
      </c>
      <c r="G686">
        <v>313</v>
      </c>
      <c r="H686" s="115"/>
      <c r="I686" s="115"/>
      <c r="L686" s="169">
        <v>43013</v>
      </c>
      <c r="M686" s="115">
        <v>979.61</v>
      </c>
      <c r="N686" s="115">
        <v>982.42</v>
      </c>
      <c r="O686" s="115">
        <v>971</v>
      </c>
      <c r="P686" s="115">
        <v>975.21</v>
      </c>
      <c r="Q686" s="115">
        <v>4898.05</v>
      </c>
      <c r="R686">
        <v>5711</v>
      </c>
    </row>
    <row r="687" spans="1:18" x14ac:dyDescent="0.25">
      <c r="A687" s="169">
        <v>43013</v>
      </c>
      <c r="B687" s="115">
        <v>986.79</v>
      </c>
      <c r="C687" s="115">
        <v>983.33</v>
      </c>
      <c r="D687" s="115">
        <v>970.6</v>
      </c>
      <c r="E687" s="115">
        <v>980.2</v>
      </c>
      <c r="F687" s="115">
        <v>4916.6499999999996</v>
      </c>
      <c r="G687">
        <v>169</v>
      </c>
      <c r="H687" s="115"/>
      <c r="I687" s="115"/>
      <c r="L687" s="169">
        <v>43014</v>
      </c>
      <c r="M687" s="115">
        <v>1003.45</v>
      </c>
      <c r="N687" s="115">
        <v>1012.2</v>
      </c>
      <c r="O687" s="115">
        <v>979.73</v>
      </c>
      <c r="P687" s="115">
        <v>980</v>
      </c>
      <c r="Q687" s="115">
        <v>5017.25</v>
      </c>
      <c r="R687">
        <v>3322</v>
      </c>
    </row>
    <row r="688" spans="1:18" x14ac:dyDescent="0.25">
      <c r="A688" s="169">
        <v>43014</v>
      </c>
      <c r="B688" s="115">
        <v>1007</v>
      </c>
      <c r="C688" s="115">
        <v>1001.5</v>
      </c>
      <c r="D688" s="115">
        <v>980</v>
      </c>
      <c r="E688" s="115">
        <v>982.4</v>
      </c>
      <c r="F688" s="115">
        <v>5007.5</v>
      </c>
      <c r="G688">
        <v>189</v>
      </c>
      <c r="H688" s="115"/>
      <c r="I688" s="115"/>
      <c r="L688" s="169">
        <v>43017</v>
      </c>
      <c r="M688" s="115">
        <v>991.1</v>
      </c>
      <c r="N688" s="115">
        <v>1010</v>
      </c>
      <c r="O688" s="115">
        <v>986.2</v>
      </c>
      <c r="P688" s="115">
        <v>1002</v>
      </c>
      <c r="Q688" s="115">
        <v>4955.5</v>
      </c>
      <c r="R688">
        <v>2003</v>
      </c>
    </row>
    <row r="689" spans="1:18" x14ac:dyDescent="0.25">
      <c r="A689" s="169">
        <v>43017</v>
      </c>
      <c r="B689" s="115">
        <v>1015.35</v>
      </c>
      <c r="C689" s="115">
        <v>989.63</v>
      </c>
      <c r="D689" s="115">
        <v>986.2</v>
      </c>
      <c r="E689" s="115">
        <v>1015.34</v>
      </c>
      <c r="F689" s="115">
        <v>4948.1499999999996</v>
      </c>
      <c r="G689">
        <v>410</v>
      </c>
      <c r="H689" s="115"/>
      <c r="I689" s="115"/>
      <c r="L689" s="169">
        <v>43018</v>
      </c>
      <c r="M689" s="115">
        <v>986.79</v>
      </c>
      <c r="N689" s="115">
        <v>1010</v>
      </c>
      <c r="O689" s="115">
        <v>974</v>
      </c>
      <c r="P689" s="115">
        <v>1010</v>
      </c>
      <c r="Q689" s="115">
        <v>4933.95</v>
      </c>
      <c r="R689">
        <v>1042</v>
      </c>
    </row>
    <row r="690" spans="1:18" x14ac:dyDescent="0.25">
      <c r="A690" s="169">
        <v>43018</v>
      </c>
      <c r="B690" s="115">
        <v>1019.77</v>
      </c>
      <c r="C690" s="115">
        <v>985.79</v>
      </c>
      <c r="D690" s="115">
        <v>978</v>
      </c>
      <c r="E690" s="115">
        <v>1019.77</v>
      </c>
      <c r="F690" s="115">
        <v>4928.95</v>
      </c>
      <c r="G690">
        <v>183</v>
      </c>
      <c r="H690" s="115"/>
      <c r="I690" s="115"/>
      <c r="L690" s="169">
        <v>43019</v>
      </c>
      <c r="M690" s="115">
        <v>979.18</v>
      </c>
      <c r="N690" s="115">
        <v>998.39</v>
      </c>
      <c r="O690" s="115">
        <v>970.58</v>
      </c>
      <c r="P690" s="115">
        <v>993.99</v>
      </c>
      <c r="Q690" s="115">
        <v>4895.8999999999996</v>
      </c>
      <c r="R690">
        <v>883</v>
      </c>
    </row>
    <row r="691" spans="1:18" x14ac:dyDescent="0.25">
      <c r="A691" s="169">
        <v>43019</v>
      </c>
      <c r="B691" s="115">
        <v>985.9</v>
      </c>
      <c r="C691" s="115">
        <v>974.57</v>
      </c>
      <c r="D691" s="115">
        <v>973.2</v>
      </c>
      <c r="E691" s="115">
        <v>984.41</v>
      </c>
      <c r="F691" s="115">
        <v>4872.8500000000004</v>
      </c>
      <c r="G691">
        <v>43</v>
      </c>
      <c r="H691" s="115"/>
      <c r="I691" s="115"/>
      <c r="L691" s="169">
        <v>43020</v>
      </c>
      <c r="M691" s="115">
        <v>972.1</v>
      </c>
      <c r="N691" s="115">
        <v>980</v>
      </c>
      <c r="O691" s="115">
        <v>961.08</v>
      </c>
      <c r="P691" s="115">
        <v>980</v>
      </c>
      <c r="Q691" s="115">
        <v>4860.5</v>
      </c>
      <c r="R691">
        <v>662</v>
      </c>
    </row>
    <row r="692" spans="1:18" x14ac:dyDescent="0.25">
      <c r="A692" s="169">
        <v>43020</v>
      </c>
      <c r="B692" s="115">
        <v>980</v>
      </c>
      <c r="C692" s="115">
        <v>974.99</v>
      </c>
      <c r="D692" s="115">
        <v>964</v>
      </c>
      <c r="E692" s="115">
        <v>980</v>
      </c>
      <c r="F692" s="115">
        <v>4874.95</v>
      </c>
      <c r="G692">
        <v>81</v>
      </c>
      <c r="H692" s="115"/>
      <c r="I692" s="115"/>
      <c r="L692" s="169">
        <v>43021</v>
      </c>
      <c r="M692" s="115">
        <v>968.73</v>
      </c>
      <c r="N692" s="115">
        <v>989.58</v>
      </c>
      <c r="O692" s="115">
        <v>962.21</v>
      </c>
      <c r="P692" s="115">
        <v>962.21</v>
      </c>
      <c r="Q692" s="115">
        <v>4843.6499999999996</v>
      </c>
      <c r="R692">
        <v>734</v>
      </c>
    </row>
    <row r="693" spans="1:18" x14ac:dyDescent="0.25">
      <c r="A693" s="169">
        <v>43021</v>
      </c>
      <c r="B693" s="115">
        <v>992</v>
      </c>
      <c r="C693" s="115">
        <v>964.45</v>
      </c>
      <c r="D693" s="115">
        <v>964</v>
      </c>
      <c r="E693" s="115">
        <v>979.41</v>
      </c>
      <c r="F693" s="115">
        <v>4822.25</v>
      </c>
      <c r="G693">
        <v>284</v>
      </c>
      <c r="H693" s="115"/>
      <c r="I693" s="115"/>
      <c r="L693" s="169">
        <v>43024</v>
      </c>
      <c r="M693" s="115">
        <v>958.66</v>
      </c>
      <c r="N693" s="115">
        <v>979.8</v>
      </c>
      <c r="O693" s="115">
        <v>952.23</v>
      </c>
      <c r="P693" s="115">
        <v>970</v>
      </c>
      <c r="Q693" s="115">
        <v>4793.3</v>
      </c>
      <c r="R693">
        <v>8432</v>
      </c>
    </row>
    <row r="694" spans="1:18" x14ac:dyDescent="0.25">
      <c r="A694" s="169">
        <v>43024</v>
      </c>
      <c r="B694" s="115">
        <v>980.23</v>
      </c>
      <c r="C694" s="115">
        <v>960.27</v>
      </c>
      <c r="D694" s="115">
        <v>952</v>
      </c>
      <c r="E694" s="115">
        <v>980.23</v>
      </c>
      <c r="F694" s="115">
        <v>4801.3500000000004</v>
      </c>
      <c r="G694">
        <v>98</v>
      </c>
      <c r="H694" s="115"/>
      <c r="I694" s="115"/>
      <c r="L694" s="169">
        <v>43025</v>
      </c>
      <c r="M694" s="115">
        <v>973.13</v>
      </c>
      <c r="N694" s="115">
        <v>979.3</v>
      </c>
      <c r="O694" s="115">
        <v>960.36</v>
      </c>
      <c r="P694" s="115">
        <v>960.36</v>
      </c>
      <c r="Q694" s="115">
        <v>4865.6499999999996</v>
      </c>
      <c r="R694">
        <v>8816</v>
      </c>
    </row>
    <row r="695" spans="1:18" x14ac:dyDescent="0.25">
      <c r="A695" s="169">
        <v>43025</v>
      </c>
      <c r="B695" s="115">
        <v>980</v>
      </c>
      <c r="C695" s="115">
        <v>976.59</v>
      </c>
      <c r="D695" s="115">
        <v>965.72</v>
      </c>
      <c r="E695" s="115">
        <v>974.77</v>
      </c>
      <c r="F695" s="115">
        <v>4882.95</v>
      </c>
      <c r="G695">
        <v>85</v>
      </c>
      <c r="H695" s="115"/>
      <c r="I695" s="115"/>
      <c r="L695" s="169">
        <v>43026</v>
      </c>
      <c r="M695" s="115">
        <v>973.31</v>
      </c>
      <c r="N695" s="115">
        <v>992</v>
      </c>
      <c r="O695" s="115">
        <v>957.01</v>
      </c>
      <c r="P695" s="115">
        <v>992</v>
      </c>
      <c r="Q695" s="115">
        <v>4866.55</v>
      </c>
      <c r="R695">
        <v>1072</v>
      </c>
    </row>
    <row r="696" spans="1:18" x14ac:dyDescent="0.25">
      <c r="A696" s="169">
        <v>43026</v>
      </c>
      <c r="B696" s="115">
        <v>978.62</v>
      </c>
      <c r="C696" s="115">
        <v>971.09</v>
      </c>
      <c r="D696" s="115">
        <v>960.21</v>
      </c>
      <c r="E696" s="115">
        <v>974.52</v>
      </c>
      <c r="F696" s="115">
        <v>4855.45</v>
      </c>
      <c r="G696">
        <v>142</v>
      </c>
      <c r="H696" s="115"/>
      <c r="I696" s="115"/>
      <c r="L696" s="169">
        <v>43027</v>
      </c>
      <c r="M696" s="115">
        <v>980.02</v>
      </c>
      <c r="N696" s="115">
        <v>981.14</v>
      </c>
      <c r="O696" s="115">
        <v>967</v>
      </c>
      <c r="P696" s="115">
        <v>967</v>
      </c>
      <c r="Q696" s="115">
        <v>4900.1000000000004</v>
      </c>
      <c r="R696">
        <v>205</v>
      </c>
    </row>
    <row r="697" spans="1:18" x14ac:dyDescent="0.25">
      <c r="A697" s="169">
        <v>43027</v>
      </c>
      <c r="B697" s="115">
        <v>984.5</v>
      </c>
      <c r="C697" s="115">
        <v>981.76</v>
      </c>
      <c r="D697" s="115">
        <v>970.34</v>
      </c>
      <c r="E697" s="115">
        <v>984.5</v>
      </c>
      <c r="F697" s="115">
        <v>4908.8</v>
      </c>
      <c r="G697">
        <v>31</v>
      </c>
      <c r="H697" s="115"/>
      <c r="I697" s="115"/>
      <c r="L697" s="169">
        <v>43031</v>
      </c>
      <c r="M697" s="115">
        <v>981.11</v>
      </c>
      <c r="N697" s="115">
        <v>983.98</v>
      </c>
      <c r="O697" s="115">
        <v>964</v>
      </c>
      <c r="P697" s="115">
        <v>980</v>
      </c>
      <c r="Q697" s="115">
        <v>4905.55</v>
      </c>
      <c r="R697">
        <v>1362</v>
      </c>
    </row>
    <row r="698" spans="1:18" x14ac:dyDescent="0.25">
      <c r="A698" s="169">
        <v>43031</v>
      </c>
      <c r="B698" s="115">
        <v>984.98</v>
      </c>
      <c r="C698" s="115">
        <v>982.95</v>
      </c>
      <c r="D698" s="115">
        <v>970.98</v>
      </c>
      <c r="E698" s="115">
        <v>970.98</v>
      </c>
      <c r="F698" s="115">
        <v>4914.75</v>
      </c>
      <c r="G698">
        <v>17</v>
      </c>
      <c r="H698" s="115"/>
      <c r="I698" s="115"/>
      <c r="L698" s="169">
        <v>43032</v>
      </c>
      <c r="M698" s="115">
        <v>979.6</v>
      </c>
      <c r="N698" s="115">
        <v>987.55</v>
      </c>
      <c r="O698" s="115">
        <v>969</v>
      </c>
      <c r="P698" s="115">
        <v>969</v>
      </c>
      <c r="Q698" s="115">
        <v>4898</v>
      </c>
      <c r="R698">
        <v>716</v>
      </c>
    </row>
    <row r="699" spans="1:18" x14ac:dyDescent="0.25">
      <c r="A699" s="169">
        <v>43032</v>
      </c>
      <c r="B699" s="115">
        <v>994</v>
      </c>
      <c r="C699" s="115">
        <v>978.11</v>
      </c>
      <c r="D699" s="115">
        <v>969.09</v>
      </c>
      <c r="E699" s="115">
        <v>992.58</v>
      </c>
      <c r="F699" s="115">
        <v>4890.55</v>
      </c>
      <c r="G699">
        <v>271</v>
      </c>
      <c r="H699" s="115"/>
      <c r="I699" s="115"/>
      <c r="L699" s="169">
        <v>43033</v>
      </c>
      <c r="M699" s="115">
        <v>1000.59</v>
      </c>
      <c r="N699" s="115">
        <v>1009.96</v>
      </c>
      <c r="O699" s="115">
        <v>970</v>
      </c>
      <c r="P699" s="115">
        <v>980</v>
      </c>
      <c r="Q699" s="115">
        <v>5002.95</v>
      </c>
      <c r="R699">
        <v>1930</v>
      </c>
    </row>
    <row r="700" spans="1:18" x14ac:dyDescent="0.25">
      <c r="A700" s="169">
        <v>43033</v>
      </c>
      <c r="B700" s="115">
        <v>1008</v>
      </c>
      <c r="C700" s="115">
        <v>1000.62</v>
      </c>
      <c r="D700" s="115">
        <v>970.28</v>
      </c>
      <c r="E700" s="115">
        <v>987.67</v>
      </c>
      <c r="F700" s="115">
        <v>5003.1000000000004</v>
      </c>
      <c r="G700">
        <v>357</v>
      </c>
      <c r="H700" s="115"/>
      <c r="I700" s="115"/>
      <c r="L700" s="169">
        <v>43034</v>
      </c>
      <c r="M700" s="115">
        <v>999.05</v>
      </c>
      <c r="N700" s="115">
        <v>1010</v>
      </c>
      <c r="O700" s="115">
        <v>989.25</v>
      </c>
      <c r="P700" s="115">
        <v>989.25</v>
      </c>
      <c r="Q700" s="115">
        <v>4995.25</v>
      </c>
      <c r="R700">
        <v>15890</v>
      </c>
    </row>
    <row r="701" spans="1:18" x14ac:dyDescent="0.25">
      <c r="A701" s="169">
        <v>43034</v>
      </c>
      <c r="B701" s="115">
        <v>1005.7</v>
      </c>
      <c r="C701" s="115">
        <v>1000</v>
      </c>
      <c r="D701" s="115">
        <v>994.91</v>
      </c>
      <c r="E701" s="115">
        <v>1000.01</v>
      </c>
      <c r="F701" s="115">
        <v>5000</v>
      </c>
      <c r="G701">
        <v>169</v>
      </c>
      <c r="H701" s="115"/>
      <c r="I701" s="115"/>
      <c r="L701" s="169">
        <v>43035</v>
      </c>
      <c r="M701" s="115">
        <v>995.17</v>
      </c>
      <c r="N701" s="115">
        <v>999.19</v>
      </c>
      <c r="O701" s="115">
        <v>990.02</v>
      </c>
      <c r="P701" s="115">
        <v>990.2</v>
      </c>
      <c r="Q701" s="115">
        <v>4975.8500000000004</v>
      </c>
      <c r="R701">
        <v>665</v>
      </c>
    </row>
    <row r="702" spans="1:18" x14ac:dyDescent="0.25">
      <c r="A702" s="169">
        <v>43035</v>
      </c>
      <c r="B702" s="115">
        <v>1000</v>
      </c>
      <c r="C702" s="115">
        <v>997.34</v>
      </c>
      <c r="D702" s="115">
        <v>989.01</v>
      </c>
      <c r="E702" s="115">
        <v>1000</v>
      </c>
      <c r="F702" s="115">
        <v>4986.7</v>
      </c>
      <c r="G702">
        <v>113</v>
      </c>
      <c r="H702" s="115"/>
      <c r="I702" s="115"/>
      <c r="L702" s="169">
        <v>43038</v>
      </c>
      <c r="M702" s="115">
        <v>986.47</v>
      </c>
      <c r="N702" s="115">
        <v>1003.18</v>
      </c>
      <c r="O702" s="115">
        <v>976</v>
      </c>
      <c r="P702" s="115">
        <v>1000.01</v>
      </c>
      <c r="Q702" s="115">
        <v>4932.3500000000004</v>
      </c>
      <c r="R702">
        <v>1486</v>
      </c>
    </row>
    <row r="703" spans="1:18" x14ac:dyDescent="0.25">
      <c r="A703" s="169">
        <v>43038</v>
      </c>
      <c r="B703" s="115">
        <v>1020</v>
      </c>
      <c r="C703" s="115">
        <v>982.81</v>
      </c>
      <c r="D703" s="115">
        <v>978</v>
      </c>
      <c r="E703" s="115">
        <v>1020</v>
      </c>
      <c r="F703" s="115">
        <v>4914.05</v>
      </c>
      <c r="G703">
        <v>444</v>
      </c>
      <c r="H703" s="115"/>
      <c r="I703" s="115"/>
      <c r="L703" s="169">
        <v>43039</v>
      </c>
      <c r="M703" s="115">
        <v>1031.57</v>
      </c>
      <c r="N703" s="115">
        <v>1045</v>
      </c>
      <c r="O703" s="115">
        <v>983.21</v>
      </c>
      <c r="P703" s="115">
        <v>988</v>
      </c>
      <c r="Q703" s="115">
        <v>5157.8500000000004</v>
      </c>
      <c r="R703">
        <v>3519</v>
      </c>
    </row>
    <row r="704" spans="1:18" x14ac:dyDescent="0.25">
      <c r="A704" s="169">
        <v>43039</v>
      </c>
      <c r="B704" s="115">
        <v>1050</v>
      </c>
      <c r="C704" s="115">
        <v>1021.78</v>
      </c>
      <c r="D704" s="115">
        <v>977.35</v>
      </c>
      <c r="E704" s="115">
        <v>977.35</v>
      </c>
      <c r="F704" s="115">
        <v>5108.8999999999996</v>
      </c>
      <c r="G704">
        <v>355</v>
      </c>
      <c r="H704" s="115"/>
      <c r="I704" s="115"/>
      <c r="L704" s="169">
        <v>43040</v>
      </c>
      <c r="M704" s="115">
        <v>1005.59</v>
      </c>
      <c r="N704" s="115">
        <v>1048.5999999999999</v>
      </c>
      <c r="O704" s="115">
        <v>998.01</v>
      </c>
      <c r="P704" s="115">
        <v>1030.2</v>
      </c>
      <c r="Q704" s="115">
        <v>5027.95</v>
      </c>
      <c r="R704">
        <v>2410</v>
      </c>
    </row>
    <row r="705" spans="1:18" x14ac:dyDescent="0.25">
      <c r="A705" s="169">
        <v>43040</v>
      </c>
      <c r="B705" s="115">
        <v>1043</v>
      </c>
      <c r="C705" s="115">
        <v>1009.08</v>
      </c>
      <c r="D705" s="115">
        <v>1004.6</v>
      </c>
      <c r="E705" s="115">
        <v>1024</v>
      </c>
      <c r="F705" s="115">
        <v>5045.3999999999996</v>
      </c>
      <c r="G705">
        <v>1137</v>
      </c>
      <c r="H705" s="115"/>
      <c r="I705" s="115"/>
      <c r="L705" s="169">
        <v>43041</v>
      </c>
      <c r="M705" s="115">
        <v>1025.79</v>
      </c>
      <c r="N705" s="115">
        <v>1030</v>
      </c>
      <c r="O705" s="115">
        <v>995.21</v>
      </c>
      <c r="P705" s="115">
        <v>1013.8</v>
      </c>
      <c r="Q705" s="115">
        <v>5128.95</v>
      </c>
      <c r="R705">
        <v>8768</v>
      </c>
    </row>
    <row r="706" spans="1:18" x14ac:dyDescent="0.25">
      <c r="A706" s="169">
        <v>43041</v>
      </c>
      <c r="B706" s="115">
        <v>1029.8</v>
      </c>
      <c r="C706" s="115">
        <v>1025.5899999999999</v>
      </c>
      <c r="D706" s="115">
        <v>997.6</v>
      </c>
      <c r="E706" s="115">
        <v>1005</v>
      </c>
      <c r="F706" s="115">
        <v>5127.95</v>
      </c>
      <c r="G706">
        <v>10025</v>
      </c>
      <c r="H706" s="115"/>
      <c r="I706" s="115"/>
      <c r="L706" s="169">
        <v>43042</v>
      </c>
      <c r="M706" s="115">
        <v>1033.02</v>
      </c>
      <c r="N706" s="115">
        <v>1040</v>
      </c>
      <c r="O706" s="115">
        <v>1009.99</v>
      </c>
      <c r="P706" s="115">
        <v>1033.19</v>
      </c>
      <c r="Q706" s="115">
        <v>5165.1000000000004</v>
      </c>
      <c r="R706">
        <v>5040</v>
      </c>
    </row>
    <row r="707" spans="1:18" x14ac:dyDescent="0.25">
      <c r="A707" s="169">
        <v>43042</v>
      </c>
      <c r="B707" s="115">
        <v>1040</v>
      </c>
      <c r="C707" s="115">
        <v>1035.8900000000001</v>
      </c>
      <c r="D707" s="115">
        <v>1012</v>
      </c>
      <c r="E707" s="115">
        <v>1029.5899999999999</v>
      </c>
      <c r="F707" s="115">
        <v>5179.45</v>
      </c>
      <c r="G707">
        <v>360</v>
      </c>
      <c r="H707" s="115"/>
      <c r="I707" s="115"/>
      <c r="L707" s="169">
        <v>43045</v>
      </c>
      <c r="M707" s="115">
        <v>1038.8399999999999</v>
      </c>
      <c r="N707" s="115">
        <v>1044</v>
      </c>
      <c r="O707" s="115">
        <v>1012.5</v>
      </c>
      <c r="P707" s="115">
        <v>1033.4000000000001</v>
      </c>
      <c r="Q707" s="115">
        <v>5194.2</v>
      </c>
      <c r="R707">
        <v>13876</v>
      </c>
    </row>
    <row r="708" spans="1:18" x14ac:dyDescent="0.25">
      <c r="A708" s="169">
        <v>43045</v>
      </c>
      <c r="B708" s="115">
        <v>1042</v>
      </c>
      <c r="C708" s="115">
        <v>1037.8599999999999</v>
      </c>
      <c r="D708" s="115">
        <v>1004</v>
      </c>
      <c r="E708" s="115">
        <v>1039.8</v>
      </c>
      <c r="F708" s="115">
        <v>5189.3</v>
      </c>
      <c r="G708">
        <v>3124</v>
      </c>
      <c r="H708" s="115"/>
      <c r="I708" s="115"/>
      <c r="L708" s="169">
        <v>43046</v>
      </c>
      <c r="M708" s="115">
        <v>1042.52</v>
      </c>
      <c r="N708" s="115">
        <v>1048.5999999999999</v>
      </c>
      <c r="O708" s="115">
        <v>1036</v>
      </c>
      <c r="P708" s="115">
        <v>1038.8399999999999</v>
      </c>
      <c r="Q708" s="115">
        <v>5212.6000000000004</v>
      </c>
      <c r="R708">
        <v>5727</v>
      </c>
    </row>
    <row r="709" spans="1:18" x14ac:dyDescent="0.25">
      <c r="A709" s="169">
        <v>43046</v>
      </c>
      <c r="B709" s="115">
        <v>1050</v>
      </c>
      <c r="C709" s="115">
        <v>1044.72</v>
      </c>
      <c r="D709" s="115">
        <v>1035.5899999999999</v>
      </c>
      <c r="E709" s="115">
        <v>1039.5999999999999</v>
      </c>
      <c r="F709" s="115">
        <v>5223.6000000000004</v>
      </c>
      <c r="G709">
        <v>634</v>
      </c>
      <c r="H709" s="115"/>
      <c r="I709" s="115"/>
      <c r="L709" s="169">
        <v>43047</v>
      </c>
      <c r="M709" s="115">
        <v>1040.17</v>
      </c>
      <c r="N709" s="115">
        <v>1052.8</v>
      </c>
      <c r="O709" s="115">
        <v>1036.3</v>
      </c>
      <c r="P709" s="115">
        <v>1042.4000000000001</v>
      </c>
      <c r="Q709" s="115">
        <v>5200.8500000000004</v>
      </c>
      <c r="R709">
        <v>17983</v>
      </c>
    </row>
    <row r="710" spans="1:18" x14ac:dyDescent="0.25">
      <c r="A710" s="169">
        <v>43047</v>
      </c>
      <c r="B710" s="115">
        <v>1049.8900000000001</v>
      </c>
      <c r="C710" s="115">
        <v>1041.73</v>
      </c>
      <c r="D710" s="115">
        <v>1036.4000000000001</v>
      </c>
      <c r="E710" s="115">
        <v>1044.97</v>
      </c>
      <c r="F710" s="115">
        <v>5208.6499999999996</v>
      </c>
      <c r="G710">
        <v>91</v>
      </c>
      <c r="H710" s="115"/>
      <c r="I710" s="115"/>
      <c r="L710" s="169">
        <v>43048</v>
      </c>
      <c r="M710" s="115">
        <v>1027.18</v>
      </c>
      <c r="N710" s="115">
        <v>1047.93</v>
      </c>
      <c r="O710" s="115">
        <v>1019.99</v>
      </c>
      <c r="P710" s="115">
        <v>1047.93</v>
      </c>
      <c r="Q710" s="115">
        <v>5135.8999999999996</v>
      </c>
      <c r="R710">
        <v>3040</v>
      </c>
    </row>
    <row r="711" spans="1:18" x14ac:dyDescent="0.25">
      <c r="A711" s="169">
        <v>43048</v>
      </c>
      <c r="B711" s="115">
        <v>1048.1500000000001</v>
      </c>
      <c r="C711" s="115">
        <v>1018.29</v>
      </c>
      <c r="D711" s="115">
        <v>1012.26</v>
      </c>
      <c r="E711" s="115">
        <v>1046.19</v>
      </c>
      <c r="F711" s="115">
        <v>5091.45</v>
      </c>
      <c r="G711">
        <v>3200</v>
      </c>
      <c r="H711" s="115"/>
      <c r="I711" s="115"/>
      <c r="L711" s="169">
        <v>43049</v>
      </c>
      <c r="M711" s="115">
        <v>1040.2</v>
      </c>
      <c r="N711" s="115">
        <v>1051.4000000000001</v>
      </c>
      <c r="O711" s="115">
        <v>1023.2</v>
      </c>
      <c r="P711" s="115">
        <v>1024.6199999999999</v>
      </c>
      <c r="Q711" s="115">
        <v>5201</v>
      </c>
      <c r="R711">
        <v>11451</v>
      </c>
    </row>
    <row r="712" spans="1:18" x14ac:dyDescent="0.25">
      <c r="A712" s="169">
        <v>43049</v>
      </c>
      <c r="B712" s="115">
        <v>1050</v>
      </c>
      <c r="C712" s="115">
        <v>1038.26</v>
      </c>
      <c r="D712" s="115">
        <v>1028</v>
      </c>
      <c r="E712" s="115">
        <v>1032.8699999999999</v>
      </c>
      <c r="F712" s="115">
        <v>5191.3</v>
      </c>
      <c r="G712">
        <v>654</v>
      </c>
      <c r="H712" s="115"/>
      <c r="I712" s="115"/>
      <c r="L712" s="169">
        <v>43052</v>
      </c>
      <c r="M712" s="115">
        <v>1035.8800000000001</v>
      </c>
      <c r="N712" s="115">
        <v>1050</v>
      </c>
      <c r="O712" s="115">
        <v>1035.5999999999999</v>
      </c>
      <c r="P712" s="115">
        <v>1049.99</v>
      </c>
      <c r="Q712" s="115">
        <v>5179.3999999999996</v>
      </c>
      <c r="R712">
        <v>707</v>
      </c>
    </row>
    <row r="713" spans="1:18" x14ac:dyDescent="0.25">
      <c r="A713" s="169">
        <v>43052</v>
      </c>
      <c r="B713" s="115">
        <v>1054</v>
      </c>
      <c r="C713" s="115">
        <v>1033.18</v>
      </c>
      <c r="D713" s="115">
        <v>1030.79</v>
      </c>
      <c r="E713" s="115">
        <v>1050.3900000000001</v>
      </c>
      <c r="F713" s="115">
        <v>5165.8999999999996</v>
      </c>
      <c r="G713">
        <v>70</v>
      </c>
      <c r="H713" s="115"/>
      <c r="I713" s="115"/>
      <c r="L713" s="169">
        <v>43053</v>
      </c>
      <c r="M713" s="115">
        <v>1032.08</v>
      </c>
      <c r="N713" s="115">
        <v>1037.54</v>
      </c>
      <c r="O713" s="115">
        <v>1021.21</v>
      </c>
      <c r="P713" s="115">
        <v>1021.21</v>
      </c>
      <c r="Q713" s="115">
        <v>5160.3999999999996</v>
      </c>
      <c r="R713">
        <v>878</v>
      </c>
    </row>
    <row r="714" spans="1:18" x14ac:dyDescent="0.25">
      <c r="A714" s="169">
        <v>43053</v>
      </c>
      <c r="B714" s="115">
        <v>1040</v>
      </c>
      <c r="C714" s="115">
        <v>1036</v>
      </c>
      <c r="D714" s="115">
        <v>1028.4000000000001</v>
      </c>
      <c r="E714" s="115">
        <v>1034.2</v>
      </c>
      <c r="F714" s="115">
        <v>5180</v>
      </c>
      <c r="G714">
        <v>54</v>
      </c>
      <c r="H714" s="115"/>
      <c r="I714" s="115"/>
      <c r="L714" s="169">
        <v>43054</v>
      </c>
      <c r="M714" s="115">
        <v>1036.45</v>
      </c>
      <c r="N714" s="115">
        <v>1038</v>
      </c>
      <c r="O714" s="115">
        <v>1012.2</v>
      </c>
      <c r="P714" s="115">
        <v>1012.2</v>
      </c>
      <c r="Q714" s="115">
        <v>5182.25</v>
      </c>
      <c r="R714">
        <v>569</v>
      </c>
    </row>
    <row r="715" spans="1:18" x14ac:dyDescent="0.25">
      <c r="A715" s="169">
        <v>43054</v>
      </c>
      <c r="B715" s="115">
        <v>1040</v>
      </c>
      <c r="C715" s="115">
        <v>1033.8</v>
      </c>
      <c r="D715" s="115">
        <v>1022</v>
      </c>
      <c r="E715" s="115">
        <v>1040</v>
      </c>
      <c r="F715" s="115">
        <v>5169</v>
      </c>
      <c r="G715">
        <v>58</v>
      </c>
      <c r="H715" s="115"/>
      <c r="I715" s="115"/>
      <c r="L715" s="169">
        <v>43055</v>
      </c>
      <c r="M715" s="115">
        <v>1035.72</v>
      </c>
      <c r="N715" s="115">
        <v>1045.5999999999999</v>
      </c>
      <c r="O715" s="115">
        <v>1022.25</v>
      </c>
      <c r="P715" s="115">
        <v>1045.5999999999999</v>
      </c>
      <c r="Q715" s="115">
        <v>5178.6000000000004</v>
      </c>
      <c r="R715">
        <v>895</v>
      </c>
    </row>
    <row r="716" spans="1:18" x14ac:dyDescent="0.25">
      <c r="A716" s="169">
        <v>43055</v>
      </c>
      <c r="B716" s="115">
        <v>1043.99</v>
      </c>
      <c r="C716" s="115">
        <v>1029.7</v>
      </c>
      <c r="D716" s="115">
        <v>1019.95</v>
      </c>
      <c r="E716" s="115">
        <v>1019.95</v>
      </c>
      <c r="F716" s="115">
        <v>5148.5</v>
      </c>
      <c r="G716">
        <v>379</v>
      </c>
      <c r="H716" s="115"/>
      <c r="I716" s="115"/>
      <c r="L716" s="169">
        <v>43056</v>
      </c>
      <c r="M716" s="115">
        <v>1039.97</v>
      </c>
      <c r="N716" s="115">
        <v>1042.4000000000001</v>
      </c>
      <c r="O716" s="115">
        <v>1030.21</v>
      </c>
      <c r="P716" s="115">
        <v>1038.44</v>
      </c>
      <c r="Q716" s="115">
        <v>5199.8500000000004</v>
      </c>
      <c r="R716">
        <v>3298</v>
      </c>
    </row>
    <row r="717" spans="1:18" x14ac:dyDescent="0.25">
      <c r="A717" s="169">
        <v>43056</v>
      </c>
      <c r="B717" s="115">
        <v>1046</v>
      </c>
      <c r="C717" s="115">
        <v>1040</v>
      </c>
      <c r="D717" s="115">
        <v>1032.8</v>
      </c>
      <c r="E717" s="115">
        <v>1038.76</v>
      </c>
      <c r="F717" s="115">
        <v>5200</v>
      </c>
      <c r="G717">
        <v>766</v>
      </c>
      <c r="H717" s="115"/>
      <c r="I717" s="115"/>
      <c r="L717" s="169">
        <v>43059</v>
      </c>
      <c r="M717" s="115">
        <v>1029.3499999999999</v>
      </c>
      <c r="N717" s="115">
        <v>1047</v>
      </c>
      <c r="O717" s="115">
        <v>1026.4000000000001</v>
      </c>
      <c r="P717" s="115">
        <v>1047</v>
      </c>
      <c r="Q717" s="115">
        <v>5146.75</v>
      </c>
      <c r="R717">
        <v>761</v>
      </c>
    </row>
    <row r="718" spans="1:18" x14ac:dyDescent="0.25">
      <c r="A718" s="169">
        <v>43059</v>
      </c>
      <c r="B718" s="115">
        <v>1039.49</v>
      </c>
      <c r="C718" s="115">
        <v>1030.75</v>
      </c>
      <c r="D718" s="115">
        <v>1028.21</v>
      </c>
      <c r="E718" s="115">
        <v>1039.49</v>
      </c>
      <c r="F718" s="115">
        <v>5153.75</v>
      </c>
      <c r="G718">
        <v>41</v>
      </c>
      <c r="H718" s="115"/>
      <c r="I718" s="115"/>
      <c r="L718" s="169">
        <v>43060</v>
      </c>
      <c r="M718" s="115">
        <v>1034.8399999999999</v>
      </c>
      <c r="N718" s="115">
        <v>1050</v>
      </c>
      <c r="O718" s="115">
        <v>1030</v>
      </c>
      <c r="P718" s="115">
        <v>1039.99</v>
      </c>
      <c r="Q718" s="115">
        <v>5174.2</v>
      </c>
      <c r="R718">
        <v>838</v>
      </c>
    </row>
    <row r="719" spans="1:18" x14ac:dyDescent="0.25">
      <c r="A719" s="169">
        <v>43060</v>
      </c>
      <c r="B719" s="115">
        <v>1041.79</v>
      </c>
      <c r="C719" s="115">
        <v>1032.8599999999999</v>
      </c>
      <c r="D719" s="115">
        <v>1026</v>
      </c>
      <c r="E719" s="115">
        <v>1041.79</v>
      </c>
      <c r="F719" s="115">
        <v>5164.3</v>
      </c>
      <c r="G719">
        <v>263</v>
      </c>
      <c r="H719" s="115"/>
      <c r="I719" s="115"/>
      <c r="L719" s="169">
        <v>43061</v>
      </c>
      <c r="M719" s="115">
        <v>1034.79</v>
      </c>
      <c r="N719" s="115">
        <v>1040</v>
      </c>
      <c r="O719" s="115">
        <v>1030.21</v>
      </c>
      <c r="P719" s="115">
        <v>1035.75</v>
      </c>
      <c r="Q719" s="115">
        <v>5173.95</v>
      </c>
      <c r="R719">
        <v>1769</v>
      </c>
    </row>
    <row r="720" spans="1:18" x14ac:dyDescent="0.25">
      <c r="A720" s="169">
        <v>43061</v>
      </c>
      <c r="B720" s="115">
        <v>1043.0899999999999</v>
      </c>
      <c r="C720" s="115">
        <v>1030.3800000000001</v>
      </c>
      <c r="D720" s="115">
        <v>1024.4100000000001</v>
      </c>
      <c r="E720" s="115">
        <v>1033.2</v>
      </c>
      <c r="F720" s="115">
        <v>5151.8999999999996</v>
      </c>
      <c r="G720">
        <v>104</v>
      </c>
      <c r="H720" s="115"/>
      <c r="I720" s="115"/>
      <c r="L720" s="169">
        <v>43062</v>
      </c>
      <c r="M720" s="115">
        <v>1028.3699999999999</v>
      </c>
      <c r="N720" s="115">
        <v>1037.99</v>
      </c>
      <c r="O720" s="115">
        <v>1028.2</v>
      </c>
      <c r="P720" s="115">
        <v>1030.81</v>
      </c>
      <c r="Q720" s="115">
        <v>5141.8500000000004</v>
      </c>
      <c r="R720">
        <v>5666</v>
      </c>
    </row>
    <row r="721" spans="1:18" x14ac:dyDescent="0.25">
      <c r="A721" s="169">
        <v>43062</v>
      </c>
      <c r="B721" s="115">
        <v>1035.8</v>
      </c>
      <c r="C721" s="115">
        <v>1027.8</v>
      </c>
      <c r="D721" s="115">
        <v>1027.8</v>
      </c>
      <c r="E721" s="115">
        <v>1035.22</v>
      </c>
      <c r="F721" s="115">
        <v>5139</v>
      </c>
      <c r="G721">
        <v>92</v>
      </c>
      <c r="H721" s="115"/>
      <c r="I721" s="115"/>
      <c r="L721" s="169">
        <v>43063</v>
      </c>
      <c r="M721" s="115">
        <v>1036.24</v>
      </c>
      <c r="N721" s="115">
        <v>1046</v>
      </c>
      <c r="O721" s="115">
        <v>1028.2</v>
      </c>
      <c r="P721" s="115">
        <v>1028.4000000000001</v>
      </c>
      <c r="Q721" s="115">
        <v>5181.2</v>
      </c>
      <c r="R721">
        <v>17653</v>
      </c>
    </row>
    <row r="722" spans="1:18" x14ac:dyDescent="0.25">
      <c r="A722" s="169">
        <v>43063</v>
      </c>
      <c r="B722" s="115">
        <v>1040</v>
      </c>
      <c r="C722" s="115">
        <v>1035.92</v>
      </c>
      <c r="D722" s="115">
        <v>1028.2</v>
      </c>
      <c r="E722" s="115">
        <v>1028.67</v>
      </c>
      <c r="F722" s="115">
        <v>5179.6000000000004</v>
      </c>
      <c r="G722">
        <v>278</v>
      </c>
      <c r="H722" s="115"/>
      <c r="I722" s="115"/>
      <c r="L722" s="169">
        <v>43066</v>
      </c>
      <c r="M722" s="115">
        <v>1047.78</v>
      </c>
      <c r="N722" s="115">
        <v>1058.5999999999999</v>
      </c>
      <c r="O722" s="115">
        <v>1032</v>
      </c>
      <c r="P722" s="115">
        <v>1036</v>
      </c>
      <c r="Q722" s="115">
        <v>5238.8999999999996</v>
      </c>
      <c r="R722">
        <v>1659</v>
      </c>
    </row>
    <row r="723" spans="1:18" x14ac:dyDescent="0.25">
      <c r="A723" s="169">
        <v>43066</v>
      </c>
      <c r="B723" s="115">
        <v>1055</v>
      </c>
      <c r="C723" s="115">
        <v>1051.08</v>
      </c>
      <c r="D723" s="115">
        <v>1036.01</v>
      </c>
      <c r="E723" s="115">
        <v>1046.56</v>
      </c>
      <c r="F723" s="115">
        <v>5255.4</v>
      </c>
      <c r="G723">
        <v>237</v>
      </c>
      <c r="H723" s="115"/>
      <c r="I723" s="115"/>
      <c r="L723" s="169">
        <v>43067</v>
      </c>
      <c r="M723" s="115">
        <v>1035.73</v>
      </c>
      <c r="N723" s="115">
        <v>1058.27</v>
      </c>
      <c r="O723" s="115">
        <v>1031.22</v>
      </c>
      <c r="P723" s="115">
        <v>1054.8</v>
      </c>
      <c r="Q723" s="115">
        <v>5178.6499999999996</v>
      </c>
      <c r="R723">
        <v>8810</v>
      </c>
    </row>
    <row r="724" spans="1:18" x14ac:dyDescent="0.25">
      <c r="A724" s="169">
        <v>43067</v>
      </c>
      <c r="B724" s="115">
        <v>1062.33</v>
      </c>
      <c r="C724" s="115">
        <v>1041.5999999999999</v>
      </c>
      <c r="D724" s="115">
        <v>1036.75</v>
      </c>
      <c r="E724" s="115">
        <v>1059.8</v>
      </c>
      <c r="F724" s="115">
        <v>5208</v>
      </c>
      <c r="G724">
        <v>234</v>
      </c>
      <c r="H724" s="115"/>
      <c r="I724" s="115"/>
      <c r="L724" s="169">
        <v>43068</v>
      </c>
      <c r="M724" s="115">
        <v>1043.8699999999999</v>
      </c>
      <c r="N724" s="115">
        <v>1047.97</v>
      </c>
      <c r="O724" s="115">
        <v>1029.99</v>
      </c>
      <c r="P724" s="115">
        <v>1034.02</v>
      </c>
      <c r="Q724" s="115">
        <v>5219.3500000000004</v>
      </c>
      <c r="R724">
        <v>9518</v>
      </c>
    </row>
    <row r="725" spans="1:18" x14ac:dyDescent="0.25">
      <c r="A725" s="169">
        <v>43068</v>
      </c>
      <c r="B725" s="115">
        <v>1045</v>
      </c>
      <c r="C725" s="115">
        <v>1040.8399999999999</v>
      </c>
      <c r="D725" s="115">
        <v>1035.0999999999999</v>
      </c>
      <c r="E725" s="115">
        <v>1036.8</v>
      </c>
      <c r="F725" s="115">
        <v>5204.2</v>
      </c>
      <c r="G725">
        <v>25</v>
      </c>
      <c r="H725" s="115"/>
      <c r="I725" s="115"/>
      <c r="L725" s="169">
        <v>43069</v>
      </c>
      <c r="M725" s="115">
        <v>1042.77</v>
      </c>
      <c r="N725" s="115">
        <v>1051.7</v>
      </c>
      <c r="O725" s="115">
        <v>1030.01</v>
      </c>
      <c r="P725" s="115">
        <v>1040</v>
      </c>
      <c r="Q725" s="115">
        <v>5213.8500000000004</v>
      </c>
      <c r="R725">
        <v>6727</v>
      </c>
    </row>
    <row r="726" spans="1:18" x14ac:dyDescent="0.25">
      <c r="A726" s="169">
        <v>43069</v>
      </c>
      <c r="B726" s="115">
        <v>1047.53</v>
      </c>
      <c r="C726" s="115">
        <v>1039.99</v>
      </c>
      <c r="D726" s="115">
        <v>1027.8</v>
      </c>
      <c r="E726" s="115">
        <v>1028.81</v>
      </c>
      <c r="F726" s="115">
        <v>5199.95</v>
      </c>
      <c r="G726">
        <v>1110</v>
      </c>
      <c r="H726" s="115"/>
      <c r="I726" s="115"/>
      <c r="L726" s="169">
        <v>43070</v>
      </c>
      <c r="M726" s="115">
        <v>1035.3499999999999</v>
      </c>
      <c r="N726" s="115">
        <v>1049.8</v>
      </c>
      <c r="O726" s="115">
        <v>1029.99</v>
      </c>
      <c r="P726" s="115">
        <v>1042</v>
      </c>
      <c r="Q726" s="115">
        <v>5176.75</v>
      </c>
      <c r="R726">
        <v>742</v>
      </c>
    </row>
    <row r="727" spans="1:18" x14ac:dyDescent="0.25">
      <c r="A727" s="169">
        <v>43070</v>
      </c>
      <c r="B727" s="115">
        <v>1050</v>
      </c>
      <c r="C727" s="115">
        <v>1034.3800000000001</v>
      </c>
      <c r="D727" s="115">
        <v>1030</v>
      </c>
      <c r="E727" s="115">
        <v>1050</v>
      </c>
      <c r="F727" s="115">
        <v>5171.8999999999996</v>
      </c>
      <c r="G727">
        <v>17</v>
      </c>
      <c r="H727" s="115"/>
      <c r="I727" s="115"/>
      <c r="L727" s="169">
        <v>43073</v>
      </c>
      <c r="M727" s="115">
        <v>1032.9000000000001</v>
      </c>
      <c r="N727" s="115">
        <v>1040</v>
      </c>
      <c r="O727" s="115">
        <v>1026.06</v>
      </c>
      <c r="P727" s="115">
        <v>1036.01</v>
      </c>
      <c r="Q727" s="115">
        <v>5164.5</v>
      </c>
      <c r="R727">
        <v>2693</v>
      </c>
    </row>
    <row r="728" spans="1:18" x14ac:dyDescent="0.25">
      <c r="A728" s="169">
        <v>43073</v>
      </c>
      <c r="B728" s="115">
        <v>1045</v>
      </c>
      <c r="C728" s="115">
        <v>1040.5999999999999</v>
      </c>
      <c r="D728" s="115">
        <v>1024</v>
      </c>
      <c r="E728" s="115">
        <v>1040.43</v>
      </c>
      <c r="F728" s="115">
        <v>5203</v>
      </c>
      <c r="G728">
        <v>119</v>
      </c>
      <c r="H728" s="115"/>
      <c r="I728" s="115"/>
      <c r="L728" s="169">
        <v>43074</v>
      </c>
      <c r="M728" s="115">
        <v>1025.28</v>
      </c>
      <c r="N728" s="115">
        <v>1040.01</v>
      </c>
      <c r="O728" s="115">
        <v>1005.99</v>
      </c>
      <c r="P728" s="115">
        <v>1040</v>
      </c>
      <c r="Q728" s="115">
        <v>5126.3999999999996</v>
      </c>
      <c r="R728">
        <v>16161</v>
      </c>
    </row>
    <row r="729" spans="1:18" x14ac:dyDescent="0.25">
      <c r="A729" s="169">
        <v>43074</v>
      </c>
      <c r="B729" s="115">
        <v>1032.2</v>
      </c>
      <c r="C729" s="115">
        <v>1017.02</v>
      </c>
      <c r="D729" s="115">
        <v>975.53</v>
      </c>
      <c r="E729" s="115">
        <v>1032.2</v>
      </c>
      <c r="F729" s="115">
        <v>5085.1000000000004</v>
      </c>
      <c r="G729">
        <v>754</v>
      </c>
      <c r="H729" s="115"/>
      <c r="I729" s="115"/>
      <c r="L729" s="169">
        <v>43075</v>
      </c>
      <c r="M729" s="115">
        <v>1021.83</v>
      </c>
      <c r="N729" s="115">
        <v>1035.92</v>
      </c>
      <c r="O729" s="115">
        <v>1020</v>
      </c>
      <c r="P729" s="115">
        <v>1035.92</v>
      </c>
      <c r="Q729" s="115">
        <v>5109.1499999999996</v>
      </c>
      <c r="R729">
        <v>1208</v>
      </c>
    </row>
    <row r="730" spans="1:18" x14ac:dyDescent="0.25">
      <c r="A730" s="169">
        <v>43075</v>
      </c>
      <c r="B730" s="115">
        <v>1040</v>
      </c>
      <c r="C730" s="115">
        <v>1018.92</v>
      </c>
      <c r="D730" s="115">
        <v>1016</v>
      </c>
      <c r="E730" s="115">
        <v>1016</v>
      </c>
      <c r="F730" s="115">
        <v>5094.6000000000004</v>
      </c>
      <c r="G730">
        <v>219</v>
      </c>
      <c r="H730" s="115"/>
      <c r="I730" s="115"/>
      <c r="L730" s="169">
        <v>43076</v>
      </c>
      <c r="M730" s="115">
        <v>1023.23</v>
      </c>
      <c r="N730" s="115">
        <v>1026.97</v>
      </c>
      <c r="O730" s="115">
        <v>1011.6</v>
      </c>
      <c r="P730" s="115">
        <v>1016.2</v>
      </c>
      <c r="Q730" s="115">
        <v>5116.1499999999996</v>
      </c>
      <c r="R730">
        <v>3926</v>
      </c>
    </row>
    <row r="731" spans="1:18" x14ac:dyDescent="0.25">
      <c r="A731" s="169">
        <v>43076</v>
      </c>
      <c r="B731" s="115">
        <v>1032.3900000000001</v>
      </c>
      <c r="C731" s="115">
        <v>1023.81</v>
      </c>
      <c r="D731" s="115">
        <v>1016.41</v>
      </c>
      <c r="E731" s="115">
        <v>1019.03</v>
      </c>
      <c r="F731" s="115">
        <v>5119.05</v>
      </c>
      <c r="G731">
        <v>226</v>
      </c>
      <c r="H731" s="115"/>
      <c r="I731" s="115"/>
      <c r="L731" s="169">
        <v>43077</v>
      </c>
      <c r="M731" s="115">
        <v>1017.84</v>
      </c>
      <c r="N731" s="115">
        <v>1038.99</v>
      </c>
      <c r="O731" s="115">
        <v>1011.18</v>
      </c>
      <c r="P731" s="115">
        <v>1020.64</v>
      </c>
      <c r="Q731" s="115">
        <v>5089.2</v>
      </c>
      <c r="R731">
        <v>2670</v>
      </c>
    </row>
    <row r="732" spans="1:18" x14ac:dyDescent="0.25">
      <c r="A732" s="169">
        <v>43077</v>
      </c>
      <c r="B732" s="115">
        <v>1032.44</v>
      </c>
      <c r="C732" s="115">
        <v>1020</v>
      </c>
      <c r="D732" s="115">
        <v>1016.02</v>
      </c>
      <c r="E732" s="115">
        <v>1032.43</v>
      </c>
      <c r="F732" s="115">
        <v>5100</v>
      </c>
      <c r="G732">
        <v>81</v>
      </c>
      <c r="H732" s="115"/>
      <c r="I732" s="115"/>
      <c r="L732" s="169">
        <v>43080</v>
      </c>
      <c r="M732" s="115">
        <v>1019.29</v>
      </c>
      <c r="N732" s="115">
        <v>1034.3399999999999</v>
      </c>
      <c r="O732" s="115">
        <v>1014.01</v>
      </c>
      <c r="P732" s="115">
        <v>1017.84</v>
      </c>
      <c r="Q732" s="115">
        <v>5096.45</v>
      </c>
      <c r="R732">
        <v>2352</v>
      </c>
    </row>
    <row r="733" spans="1:18" x14ac:dyDescent="0.25">
      <c r="A733" s="169">
        <v>43080</v>
      </c>
      <c r="B733" s="115">
        <v>1028.4100000000001</v>
      </c>
      <c r="C733" s="115">
        <v>1020</v>
      </c>
      <c r="D733" s="115">
        <v>1015</v>
      </c>
      <c r="E733" s="115">
        <v>1028.4100000000001</v>
      </c>
      <c r="F733" s="115">
        <v>5100</v>
      </c>
      <c r="G733">
        <v>60</v>
      </c>
      <c r="H733" s="115"/>
      <c r="I733" s="115"/>
      <c r="L733" s="169">
        <v>43081</v>
      </c>
      <c r="M733" s="115">
        <v>1008.09</v>
      </c>
      <c r="N733" s="115">
        <v>1020</v>
      </c>
      <c r="O733" s="115">
        <v>995</v>
      </c>
      <c r="P733" s="115">
        <v>1012.01</v>
      </c>
      <c r="Q733" s="115">
        <v>5040.45</v>
      </c>
      <c r="R733">
        <v>2413</v>
      </c>
    </row>
    <row r="734" spans="1:18" x14ac:dyDescent="0.25">
      <c r="A734" s="169">
        <v>43081</v>
      </c>
      <c r="B734" s="115">
        <v>1019.33</v>
      </c>
      <c r="C734" s="115">
        <v>1013.3</v>
      </c>
      <c r="D734" s="115">
        <v>1001</v>
      </c>
      <c r="E734" s="115">
        <v>1010.99</v>
      </c>
      <c r="F734" s="115">
        <v>5066.5</v>
      </c>
      <c r="G734">
        <v>386</v>
      </c>
      <c r="H734" s="115"/>
      <c r="I734" s="115"/>
      <c r="L734" s="169">
        <v>43082</v>
      </c>
      <c r="M734" s="115">
        <v>1017.78</v>
      </c>
      <c r="N734" s="115">
        <v>1020</v>
      </c>
      <c r="O734" s="115">
        <v>1001.82</v>
      </c>
      <c r="P734" s="115">
        <v>1019.74</v>
      </c>
      <c r="Q734" s="115">
        <v>5088.8999999999996</v>
      </c>
      <c r="R734">
        <v>1793</v>
      </c>
    </row>
    <row r="735" spans="1:18" x14ac:dyDescent="0.25">
      <c r="A735" s="169">
        <v>43082</v>
      </c>
      <c r="B735" s="115">
        <v>1020.51</v>
      </c>
      <c r="C735" s="115">
        <v>1019.99</v>
      </c>
      <c r="D735" s="115">
        <v>1009.88</v>
      </c>
      <c r="E735" s="115">
        <v>1009.88</v>
      </c>
      <c r="F735" s="115">
        <v>5099.95</v>
      </c>
      <c r="G735">
        <v>455</v>
      </c>
      <c r="H735" s="115"/>
      <c r="I735" s="115"/>
      <c r="L735" s="169">
        <v>43083</v>
      </c>
      <c r="M735" s="115">
        <v>1019.07</v>
      </c>
      <c r="N735" s="115">
        <v>1024</v>
      </c>
      <c r="O735" s="115">
        <v>1007.22</v>
      </c>
      <c r="P735" s="115">
        <v>1024</v>
      </c>
      <c r="Q735" s="115">
        <v>5095.3500000000004</v>
      </c>
      <c r="R735">
        <v>1906</v>
      </c>
    </row>
    <row r="736" spans="1:18" x14ac:dyDescent="0.25">
      <c r="A736" s="169">
        <v>43083</v>
      </c>
      <c r="B736" s="115">
        <v>1023.97</v>
      </c>
      <c r="C736" s="115">
        <v>1015.44</v>
      </c>
      <c r="D736" s="115">
        <v>1010.01</v>
      </c>
      <c r="E736" s="115">
        <v>1010.01</v>
      </c>
      <c r="F736" s="115">
        <v>5077.2</v>
      </c>
      <c r="G736">
        <v>188</v>
      </c>
      <c r="H736" s="115"/>
      <c r="I736" s="115"/>
      <c r="L736" s="169">
        <v>43084</v>
      </c>
      <c r="M736" s="115">
        <v>1040.1600000000001</v>
      </c>
      <c r="N736" s="115">
        <v>1042.49</v>
      </c>
      <c r="O736" s="115">
        <v>1016.01</v>
      </c>
      <c r="P736" s="115">
        <v>1029.33</v>
      </c>
      <c r="Q736" s="115">
        <v>5200.8</v>
      </c>
      <c r="R736">
        <v>6686</v>
      </c>
    </row>
    <row r="737" spans="1:18" x14ac:dyDescent="0.25">
      <c r="A737" s="169">
        <v>43084</v>
      </c>
      <c r="B737" s="115">
        <v>1038.9000000000001</v>
      </c>
      <c r="C737" s="115">
        <v>1037.68</v>
      </c>
      <c r="D737" s="115">
        <v>1019.12</v>
      </c>
      <c r="E737" s="115">
        <v>1024.32</v>
      </c>
      <c r="F737" s="115">
        <v>5188.3999999999996</v>
      </c>
      <c r="G737">
        <v>747</v>
      </c>
      <c r="H737" s="115"/>
      <c r="I737" s="115"/>
      <c r="L737" s="169">
        <v>43087</v>
      </c>
      <c r="M737" s="115">
        <v>1040.8900000000001</v>
      </c>
      <c r="N737" s="115">
        <v>1045</v>
      </c>
      <c r="O737" s="115">
        <v>1020</v>
      </c>
      <c r="P737" s="115">
        <v>1024.22</v>
      </c>
      <c r="Q737" s="115">
        <v>5204.45</v>
      </c>
      <c r="R737">
        <v>30356</v>
      </c>
    </row>
    <row r="738" spans="1:18" x14ac:dyDescent="0.25">
      <c r="A738" s="169">
        <v>43087</v>
      </c>
      <c r="B738" s="115">
        <v>1044.2</v>
      </c>
      <c r="C738" s="115">
        <v>1042.76</v>
      </c>
      <c r="D738" s="115">
        <v>1012.65</v>
      </c>
      <c r="E738" s="115">
        <v>1017.02</v>
      </c>
      <c r="F738" s="115">
        <v>5213.8</v>
      </c>
      <c r="G738">
        <v>77</v>
      </c>
      <c r="H738" s="115"/>
      <c r="I738" s="115"/>
      <c r="L738" s="169">
        <v>43088</v>
      </c>
      <c r="M738" s="115">
        <v>1042.8499999999999</v>
      </c>
      <c r="N738" s="115">
        <v>1050</v>
      </c>
      <c r="O738" s="115">
        <v>1026.3499999999999</v>
      </c>
      <c r="P738" s="115">
        <v>1040</v>
      </c>
      <c r="Q738" s="115">
        <v>5214.25</v>
      </c>
      <c r="R738">
        <v>3090</v>
      </c>
    </row>
    <row r="739" spans="1:18" x14ac:dyDescent="0.25">
      <c r="A739" s="169">
        <v>43088</v>
      </c>
      <c r="B739" s="115">
        <v>1049.4000000000001</v>
      </c>
      <c r="C739" s="115">
        <v>1042.43</v>
      </c>
      <c r="D739" s="115">
        <v>1020</v>
      </c>
      <c r="E739" s="115">
        <v>1043.99</v>
      </c>
      <c r="F739" s="115">
        <v>5212.1499999999996</v>
      </c>
      <c r="G739">
        <v>327</v>
      </c>
      <c r="H739" s="115"/>
      <c r="I739" s="115"/>
      <c r="L739" s="169">
        <v>43089</v>
      </c>
      <c r="M739" s="115">
        <v>1066.8699999999999</v>
      </c>
      <c r="N739" s="115">
        <v>1068.5999999999999</v>
      </c>
      <c r="O739" s="115">
        <v>1040</v>
      </c>
      <c r="P739" s="115">
        <v>1047.8</v>
      </c>
      <c r="Q739" s="115">
        <v>5334.35</v>
      </c>
      <c r="R739">
        <v>1566</v>
      </c>
    </row>
    <row r="740" spans="1:18" x14ac:dyDescent="0.25">
      <c r="A740" s="169">
        <v>43089</v>
      </c>
      <c r="B740" s="115">
        <v>1069.1600000000001</v>
      </c>
      <c r="C740" s="115">
        <v>1064.69</v>
      </c>
      <c r="D740" s="115">
        <v>1044.7</v>
      </c>
      <c r="E740" s="115">
        <v>1049.5899999999999</v>
      </c>
      <c r="F740" s="115">
        <v>5323.45</v>
      </c>
      <c r="G740">
        <v>310</v>
      </c>
      <c r="H740" s="115"/>
      <c r="I740" s="115"/>
      <c r="L740" s="169">
        <v>43090</v>
      </c>
      <c r="M740" s="115">
        <v>1090.71</v>
      </c>
      <c r="N740" s="115">
        <v>1105.8</v>
      </c>
      <c r="O740" s="115">
        <v>1068.6199999999999</v>
      </c>
      <c r="P740" s="115">
        <v>1070</v>
      </c>
      <c r="Q740" s="115">
        <v>5453.55</v>
      </c>
      <c r="R740">
        <v>26218</v>
      </c>
    </row>
    <row r="741" spans="1:18" x14ac:dyDescent="0.25">
      <c r="A741" s="169">
        <v>43090</v>
      </c>
      <c r="B741" s="115">
        <v>1110</v>
      </c>
      <c r="C741" s="115">
        <v>1090.18</v>
      </c>
      <c r="D741" s="115">
        <v>1064.5999999999999</v>
      </c>
      <c r="E741" s="115">
        <v>1064.5999999999999</v>
      </c>
      <c r="F741" s="115">
        <v>5450.9</v>
      </c>
      <c r="G741">
        <v>1233</v>
      </c>
      <c r="H741" s="115"/>
      <c r="I741" s="115"/>
      <c r="L741" s="169">
        <v>43091</v>
      </c>
      <c r="M741" s="115">
        <v>1122.3800000000001</v>
      </c>
      <c r="N741" s="115">
        <v>1129.78</v>
      </c>
      <c r="O741" s="115">
        <v>1102</v>
      </c>
      <c r="P741" s="115">
        <v>1102</v>
      </c>
      <c r="Q741" s="115">
        <v>5611.9</v>
      </c>
      <c r="R741">
        <v>1779</v>
      </c>
    </row>
    <row r="742" spans="1:18" x14ac:dyDescent="0.25">
      <c r="A742" s="169">
        <v>43091</v>
      </c>
      <c r="B742" s="115">
        <v>1134</v>
      </c>
      <c r="C742" s="115">
        <v>1127.31</v>
      </c>
      <c r="D742" s="115">
        <v>1109.99</v>
      </c>
      <c r="E742" s="115">
        <v>1111</v>
      </c>
      <c r="F742" s="115">
        <v>5636.55</v>
      </c>
      <c r="G742">
        <v>758</v>
      </c>
      <c r="H742" s="115"/>
      <c r="I742" s="115"/>
      <c r="L742" s="169">
        <v>43095</v>
      </c>
      <c r="M742" s="115">
        <v>1139.45</v>
      </c>
      <c r="N742" s="115">
        <v>1162</v>
      </c>
      <c r="O742" s="115">
        <v>1130.45</v>
      </c>
      <c r="P742" s="115">
        <v>1138.26</v>
      </c>
      <c r="Q742" s="115">
        <v>5697.25</v>
      </c>
      <c r="R742">
        <v>25292</v>
      </c>
    </row>
    <row r="743" spans="1:18" x14ac:dyDescent="0.25">
      <c r="A743" s="169">
        <v>43095</v>
      </c>
      <c r="B743" s="115">
        <v>1164</v>
      </c>
      <c r="C743" s="115">
        <v>1139.9100000000001</v>
      </c>
      <c r="D743" s="115">
        <v>1134</v>
      </c>
      <c r="E743" s="115">
        <v>1139.5999999999999</v>
      </c>
      <c r="F743" s="115">
        <v>5699.55</v>
      </c>
      <c r="G743">
        <v>3151</v>
      </c>
      <c r="H743" s="115"/>
      <c r="I743" s="115"/>
      <c r="L743" s="169">
        <v>43096</v>
      </c>
      <c r="M743" s="115">
        <v>1162.8599999999999</v>
      </c>
      <c r="N743" s="115">
        <v>1184</v>
      </c>
      <c r="O743" s="115">
        <v>1140.21</v>
      </c>
      <c r="P743" s="115">
        <v>1141.01</v>
      </c>
      <c r="Q743" s="115">
        <v>5814.3</v>
      </c>
      <c r="R743">
        <v>7932</v>
      </c>
    </row>
    <row r="744" spans="1:18" x14ac:dyDescent="0.25">
      <c r="A744" s="169">
        <v>43096</v>
      </c>
      <c r="B744" s="115">
        <v>1190.5</v>
      </c>
      <c r="C744" s="115">
        <v>1161.73</v>
      </c>
      <c r="D744" s="115">
        <v>1144.22</v>
      </c>
      <c r="E744" s="115">
        <v>1147.8399999999999</v>
      </c>
      <c r="F744" s="115">
        <v>5808.65</v>
      </c>
      <c r="G744">
        <v>632</v>
      </c>
      <c r="H744" s="115"/>
      <c r="I744" s="115"/>
      <c r="L744" s="169">
        <v>43097</v>
      </c>
      <c r="M744" s="115">
        <v>1165.08</v>
      </c>
      <c r="N744" s="115">
        <v>1197.74</v>
      </c>
      <c r="O744" s="115">
        <v>1132.01</v>
      </c>
      <c r="P744" s="115">
        <v>1179.99</v>
      </c>
      <c r="Q744" s="115">
        <v>5825.4</v>
      </c>
      <c r="R744">
        <v>58704</v>
      </c>
    </row>
    <row r="745" spans="1:18" x14ac:dyDescent="0.25">
      <c r="A745" s="169">
        <v>43097</v>
      </c>
      <c r="B745" s="115">
        <v>1192</v>
      </c>
      <c r="C745" s="115">
        <v>1158.07</v>
      </c>
      <c r="D745" s="115">
        <v>1134.81</v>
      </c>
      <c r="E745" s="115">
        <v>1189.8599999999999</v>
      </c>
      <c r="F745" s="115">
        <v>5790.35</v>
      </c>
      <c r="G745">
        <v>43954</v>
      </c>
      <c r="H745" s="115"/>
      <c r="I745" s="115"/>
      <c r="L745" s="169">
        <v>43098</v>
      </c>
      <c r="M745" s="115">
        <v>1172.5899999999999</v>
      </c>
      <c r="N745" s="115">
        <v>1193</v>
      </c>
      <c r="O745" s="115">
        <v>1162</v>
      </c>
      <c r="P745" s="115">
        <v>1183</v>
      </c>
      <c r="Q745" s="115">
        <v>5862.95</v>
      </c>
      <c r="R745">
        <v>2491</v>
      </c>
    </row>
    <row r="746" spans="1:18" x14ac:dyDescent="0.25">
      <c r="A746" s="169">
        <v>43098</v>
      </c>
      <c r="B746" s="115">
        <v>1188.97</v>
      </c>
      <c r="C746" s="115">
        <v>1168.83</v>
      </c>
      <c r="D746" s="115">
        <v>1162.5999999999999</v>
      </c>
      <c r="E746" s="115">
        <v>1183.77</v>
      </c>
      <c r="F746" s="115">
        <v>5844.15</v>
      </c>
      <c r="G746">
        <v>296</v>
      </c>
      <c r="H746" s="115"/>
      <c r="I746" s="115"/>
      <c r="L746" s="169">
        <v>43101</v>
      </c>
      <c r="M746" s="115">
        <v>1168.21</v>
      </c>
      <c r="N746" s="115">
        <v>1181.8</v>
      </c>
      <c r="O746" s="115">
        <v>1160.5999999999999</v>
      </c>
      <c r="P746" s="115">
        <v>1160.5999999999999</v>
      </c>
      <c r="Q746" s="115">
        <v>5841.05</v>
      </c>
      <c r="R746">
        <v>903</v>
      </c>
    </row>
    <row r="747" spans="1:18" x14ac:dyDescent="0.25">
      <c r="A747" s="169">
        <v>43101</v>
      </c>
      <c r="B747" s="115">
        <v>1183.4100000000001</v>
      </c>
      <c r="C747" s="115">
        <v>1163.8</v>
      </c>
      <c r="D747" s="115">
        <v>1142.2</v>
      </c>
      <c r="E747" s="115">
        <v>1175.73</v>
      </c>
      <c r="F747" s="115">
        <v>5819</v>
      </c>
      <c r="G747">
        <v>388</v>
      </c>
      <c r="H747" s="115"/>
      <c r="I747" s="115"/>
      <c r="L747" s="169">
        <v>43102</v>
      </c>
      <c r="M747" s="115">
        <v>1149.94</v>
      </c>
      <c r="N747" s="115">
        <v>1181.7</v>
      </c>
      <c r="O747" s="115">
        <v>1146.4000000000001</v>
      </c>
      <c r="P747" s="115">
        <v>1178.98</v>
      </c>
      <c r="Q747" s="115">
        <v>5749.7</v>
      </c>
      <c r="R747">
        <v>8086</v>
      </c>
    </row>
    <row r="748" spans="1:18" x14ac:dyDescent="0.25">
      <c r="A748" s="169">
        <v>43102</v>
      </c>
      <c r="B748" s="115">
        <v>1179</v>
      </c>
      <c r="C748" s="115">
        <v>1153.5</v>
      </c>
      <c r="D748" s="115">
        <v>1144.0999999999999</v>
      </c>
      <c r="E748" s="115">
        <v>1153.01</v>
      </c>
      <c r="F748" s="115">
        <v>5767.5</v>
      </c>
      <c r="G748">
        <v>206</v>
      </c>
      <c r="H748" s="115"/>
      <c r="I748" s="115"/>
      <c r="L748" s="169">
        <v>43103</v>
      </c>
      <c r="M748" s="115">
        <v>1149.52</v>
      </c>
      <c r="N748" s="115">
        <v>1165</v>
      </c>
      <c r="O748" s="115">
        <v>1141.2</v>
      </c>
      <c r="P748" s="115">
        <v>1150.21</v>
      </c>
      <c r="Q748" s="115">
        <v>5747.6</v>
      </c>
      <c r="R748">
        <v>2117</v>
      </c>
    </row>
    <row r="749" spans="1:18" x14ac:dyDescent="0.25">
      <c r="A749" s="169">
        <v>43103</v>
      </c>
      <c r="B749" s="115">
        <v>1165</v>
      </c>
      <c r="C749" s="115">
        <v>1151.68</v>
      </c>
      <c r="D749" s="115">
        <v>1144.8</v>
      </c>
      <c r="E749" s="115">
        <v>1152.0999999999999</v>
      </c>
      <c r="F749" s="115">
        <v>5758.4</v>
      </c>
      <c r="G749">
        <v>5631</v>
      </c>
      <c r="H749" s="115"/>
      <c r="I749" s="115"/>
      <c r="L749" s="169">
        <v>43104</v>
      </c>
      <c r="M749" s="115">
        <v>1161.27</v>
      </c>
      <c r="N749" s="115">
        <v>1171.6300000000001</v>
      </c>
      <c r="O749" s="115">
        <v>1150</v>
      </c>
      <c r="P749" s="115">
        <v>1171.49</v>
      </c>
      <c r="Q749" s="115">
        <v>5806.35</v>
      </c>
      <c r="R749">
        <v>678</v>
      </c>
    </row>
    <row r="750" spans="1:18" x14ac:dyDescent="0.25">
      <c r="A750" s="169">
        <v>43104</v>
      </c>
      <c r="B750" s="115">
        <v>1165.9000000000001</v>
      </c>
      <c r="C750" s="115">
        <v>1155.01</v>
      </c>
      <c r="D750" s="115">
        <v>1146.06</v>
      </c>
      <c r="E750" s="115">
        <v>1165.9000000000001</v>
      </c>
      <c r="F750" s="115">
        <v>5775.05</v>
      </c>
      <c r="G750">
        <v>5249</v>
      </c>
      <c r="H750" s="115"/>
      <c r="I750" s="115"/>
      <c r="L750" s="169">
        <v>43105</v>
      </c>
      <c r="M750" s="115">
        <v>1159.8900000000001</v>
      </c>
      <c r="N750" s="115">
        <v>1178.79</v>
      </c>
      <c r="O750" s="115">
        <v>1150</v>
      </c>
      <c r="P750" s="115">
        <v>1178.79</v>
      </c>
      <c r="Q750" s="115">
        <v>5799.45</v>
      </c>
      <c r="R750">
        <v>1085</v>
      </c>
    </row>
    <row r="751" spans="1:18" x14ac:dyDescent="0.25">
      <c r="A751" s="169">
        <v>43105</v>
      </c>
      <c r="B751" s="115">
        <v>1166</v>
      </c>
      <c r="C751" s="115">
        <v>1160.07</v>
      </c>
      <c r="D751" s="115">
        <v>1151</v>
      </c>
      <c r="E751" s="115">
        <v>1166</v>
      </c>
      <c r="F751" s="115">
        <v>5800.35</v>
      </c>
      <c r="G751">
        <v>285</v>
      </c>
      <c r="H751" s="115"/>
      <c r="I751" s="115"/>
      <c r="L751" s="169">
        <v>43108</v>
      </c>
      <c r="M751" s="115">
        <v>1150.01</v>
      </c>
      <c r="N751" s="115">
        <v>1172</v>
      </c>
      <c r="O751" s="115">
        <v>1147</v>
      </c>
      <c r="P751" s="115">
        <v>1172</v>
      </c>
      <c r="Q751" s="115">
        <v>5750.05</v>
      </c>
      <c r="R751">
        <v>11325</v>
      </c>
    </row>
    <row r="752" spans="1:18" x14ac:dyDescent="0.25">
      <c r="A752" s="169">
        <v>43108</v>
      </c>
      <c r="B752" s="115">
        <v>1163</v>
      </c>
      <c r="C752" s="115">
        <v>1149.1500000000001</v>
      </c>
      <c r="D752" s="115">
        <v>1145</v>
      </c>
      <c r="E752" s="115">
        <v>1158.2</v>
      </c>
      <c r="F752" s="115">
        <v>5745.75</v>
      </c>
      <c r="G752">
        <v>856</v>
      </c>
      <c r="H752" s="115"/>
      <c r="I752" s="115"/>
      <c r="L752" s="169">
        <v>43109</v>
      </c>
      <c r="M752" s="115">
        <v>1155.25</v>
      </c>
      <c r="N752" s="115">
        <v>1169.4000000000001</v>
      </c>
      <c r="O752" s="115">
        <v>1145</v>
      </c>
      <c r="P752" s="115">
        <v>1164.99</v>
      </c>
      <c r="Q752" s="115">
        <v>5776.25</v>
      </c>
      <c r="R752">
        <v>902</v>
      </c>
    </row>
    <row r="753" spans="1:18" x14ac:dyDescent="0.25">
      <c r="A753" s="169">
        <v>43109</v>
      </c>
      <c r="B753" s="115">
        <v>1169.8</v>
      </c>
      <c r="C753" s="115">
        <v>1151.1099999999999</v>
      </c>
      <c r="D753" s="115">
        <v>1140.5999999999999</v>
      </c>
      <c r="E753" s="115">
        <v>1169.8</v>
      </c>
      <c r="F753" s="115">
        <v>5755.55</v>
      </c>
      <c r="G753">
        <v>7026</v>
      </c>
      <c r="H753" s="115"/>
      <c r="I753" s="115"/>
      <c r="L753" s="169">
        <v>43110</v>
      </c>
      <c r="M753" s="115">
        <v>1140.53</v>
      </c>
      <c r="N753" s="115">
        <v>1159.9000000000001</v>
      </c>
      <c r="O753" s="115">
        <v>1130.5999999999999</v>
      </c>
      <c r="P753" s="115">
        <v>1150.21</v>
      </c>
      <c r="Q753" s="115">
        <v>5702.65</v>
      </c>
      <c r="R753">
        <v>1175</v>
      </c>
    </row>
    <row r="754" spans="1:18" x14ac:dyDescent="0.25">
      <c r="A754" s="169">
        <v>43110</v>
      </c>
      <c r="B754" s="115">
        <v>1160</v>
      </c>
      <c r="C754" s="115">
        <v>1146.04</v>
      </c>
      <c r="D754" s="115">
        <v>1131.5999999999999</v>
      </c>
      <c r="E754" s="115">
        <v>1160</v>
      </c>
      <c r="F754" s="115">
        <v>5730.2</v>
      </c>
      <c r="G754">
        <v>139</v>
      </c>
      <c r="H754" s="115"/>
      <c r="I754" s="115"/>
      <c r="L754" s="169">
        <v>43111</v>
      </c>
      <c r="M754" s="115">
        <v>1158.42</v>
      </c>
      <c r="N754" s="115">
        <v>1169.57</v>
      </c>
      <c r="O754" s="115">
        <v>1132.6099999999999</v>
      </c>
      <c r="P754" s="115">
        <v>1132.6099999999999</v>
      </c>
      <c r="Q754" s="115">
        <v>5792.1</v>
      </c>
      <c r="R754">
        <v>12340</v>
      </c>
    </row>
    <row r="755" spans="1:18" x14ac:dyDescent="0.25">
      <c r="A755" s="169">
        <v>43111</v>
      </c>
      <c r="B755" s="115">
        <v>1164.53</v>
      </c>
      <c r="C755" s="115">
        <v>1153.8800000000001</v>
      </c>
      <c r="D755" s="115">
        <v>1140.22</v>
      </c>
      <c r="E755" s="115">
        <v>1153.47</v>
      </c>
      <c r="F755" s="115">
        <v>5769.4</v>
      </c>
      <c r="G755">
        <v>135</v>
      </c>
      <c r="H755" s="115"/>
      <c r="I755" s="115"/>
      <c r="L755" s="169">
        <v>43112</v>
      </c>
      <c r="M755" s="115">
        <v>1160.52</v>
      </c>
      <c r="N755" s="115">
        <v>1172.02</v>
      </c>
      <c r="O755" s="115">
        <v>1144.42</v>
      </c>
      <c r="P755" s="115">
        <v>1146.79</v>
      </c>
      <c r="Q755" s="115">
        <v>5802.6</v>
      </c>
      <c r="R755">
        <v>551</v>
      </c>
    </row>
    <row r="756" spans="1:18" x14ac:dyDescent="0.25">
      <c r="A756" s="169">
        <v>43112</v>
      </c>
      <c r="B756" s="115">
        <v>1170</v>
      </c>
      <c r="C756" s="115">
        <v>1154.8499999999999</v>
      </c>
      <c r="D756" s="115">
        <v>1150.4000000000001</v>
      </c>
      <c r="E756" s="115">
        <v>1160</v>
      </c>
      <c r="F756" s="115">
        <v>5774.25</v>
      </c>
      <c r="G756">
        <v>92</v>
      </c>
      <c r="H756" s="115"/>
      <c r="I756" s="115"/>
      <c r="L756" s="169">
        <v>43115</v>
      </c>
      <c r="M756" s="115">
        <v>1146.57</v>
      </c>
      <c r="N756" s="115">
        <v>1175</v>
      </c>
      <c r="O756" s="115">
        <v>1140</v>
      </c>
      <c r="P756" s="115">
        <v>1160.52</v>
      </c>
      <c r="Q756" s="115">
        <v>5732.85</v>
      </c>
      <c r="R756">
        <v>1912</v>
      </c>
    </row>
    <row r="757" spans="1:18" x14ac:dyDescent="0.25">
      <c r="A757" s="169">
        <v>43115</v>
      </c>
      <c r="B757" s="115">
        <v>1177.6099999999999</v>
      </c>
      <c r="C757" s="115">
        <v>1141.3599999999999</v>
      </c>
      <c r="D757" s="115">
        <v>1140</v>
      </c>
      <c r="E757" s="115">
        <v>1150.4000000000001</v>
      </c>
      <c r="F757" s="115">
        <v>5706.8</v>
      </c>
      <c r="G757">
        <v>285</v>
      </c>
      <c r="H757" s="115"/>
      <c r="I757" s="115"/>
      <c r="L757" s="169">
        <v>43116</v>
      </c>
      <c r="M757" s="115">
        <v>1140.1199999999999</v>
      </c>
      <c r="N757" s="115">
        <v>1159.8</v>
      </c>
      <c r="O757" s="115">
        <v>1136.2</v>
      </c>
      <c r="P757" s="115">
        <v>1158.97</v>
      </c>
      <c r="Q757" s="115">
        <v>5700.6</v>
      </c>
      <c r="R757">
        <v>4106</v>
      </c>
    </row>
    <row r="758" spans="1:18" x14ac:dyDescent="0.25">
      <c r="A758" s="169">
        <v>43116</v>
      </c>
      <c r="B758" s="115">
        <v>1160</v>
      </c>
      <c r="C758" s="115">
        <v>1145</v>
      </c>
      <c r="D758" s="115">
        <v>1140</v>
      </c>
      <c r="E758" s="115">
        <v>1160</v>
      </c>
      <c r="F758" s="115">
        <v>5725</v>
      </c>
      <c r="G758">
        <v>46</v>
      </c>
      <c r="H758" s="115"/>
      <c r="I758" s="115"/>
      <c r="L758" s="169">
        <v>43117</v>
      </c>
      <c r="M758" s="115">
        <v>1140.56</v>
      </c>
      <c r="N758" s="115">
        <v>1161.99</v>
      </c>
      <c r="O758" s="115">
        <v>1125.4100000000001</v>
      </c>
      <c r="P758" s="115">
        <v>1161.99</v>
      </c>
      <c r="Q758" s="115">
        <v>5702.8</v>
      </c>
      <c r="R758">
        <v>936</v>
      </c>
    </row>
    <row r="759" spans="1:18" x14ac:dyDescent="0.25">
      <c r="A759" s="169">
        <v>43117</v>
      </c>
      <c r="B759" s="115">
        <v>1145</v>
      </c>
      <c r="C759" s="115">
        <v>1141.5</v>
      </c>
      <c r="D759" s="115">
        <v>1136.5899999999999</v>
      </c>
      <c r="E759" s="115">
        <v>1136.5899999999999</v>
      </c>
      <c r="F759" s="115">
        <v>5707.5</v>
      </c>
      <c r="G759">
        <v>186</v>
      </c>
      <c r="H759" s="115"/>
      <c r="I759" s="115"/>
      <c r="L759" s="169">
        <v>43118</v>
      </c>
      <c r="M759" s="115">
        <v>1136.19</v>
      </c>
      <c r="N759" s="115">
        <v>1148.99</v>
      </c>
      <c r="O759" s="115">
        <v>1130</v>
      </c>
      <c r="P759" s="115">
        <v>1140</v>
      </c>
      <c r="Q759" s="115">
        <v>5680.95</v>
      </c>
      <c r="R759">
        <v>13987</v>
      </c>
    </row>
    <row r="760" spans="1:18" x14ac:dyDescent="0.25">
      <c r="A760" s="169">
        <v>43118</v>
      </c>
      <c r="B760" s="115">
        <v>1152.19</v>
      </c>
      <c r="C760" s="115">
        <v>1138.1199999999999</v>
      </c>
      <c r="D760" s="115">
        <v>1116.4000000000001</v>
      </c>
      <c r="E760" s="115">
        <v>1152.19</v>
      </c>
      <c r="F760" s="115">
        <v>5690.6</v>
      </c>
      <c r="G760">
        <v>135</v>
      </c>
      <c r="H760" s="115"/>
      <c r="I760" s="115"/>
      <c r="L760" s="169">
        <v>43119</v>
      </c>
      <c r="M760" s="115">
        <v>1123.5999999999999</v>
      </c>
      <c r="N760" s="115">
        <v>1137.5999999999999</v>
      </c>
      <c r="O760" s="115">
        <v>1105.06</v>
      </c>
      <c r="P760" s="115">
        <v>1130</v>
      </c>
      <c r="Q760" s="115">
        <v>5618</v>
      </c>
      <c r="R760">
        <v>4946</v>
      </c>
    </row>
    <row r="761" spans="1:18" x14ac:dyDescent="0.25">
      <c r="A761" s="169">
        <v>43119</v>
      </c>
      <c r="B761" s="115">
        <v>1145.1199999999999</v>
      </c>
      <c r="C761" s="115">
        <v>1125.22</v>
      </c>
      <c r="D761" s="115">
        <v>1108.58</v>
      </c>
      <c r="E761" s="115">
        <v>1122.49</v>
      </c>
      <c r="F761" s="115">
        <v>5626.1</v>
      </c>
      <c r="G761">
        <v>670</v>
      </c>
      <c r="H761" s="115"/>
      <c r="I761" s="115"/>
      <c r="L761" s="169">
        <v>43122</v>
      </c>
      <c r="M761" s="115">
        <v>1168.71</v>
      </c>
      <c r="N761" s="115">
        <v>1174.8</v>
      </c>
      <c r="O761" s="115">
        <v>1125.28</v>
      </c>
      <c r="P761" s="115">
        <v>1125.29</v>
      </c>
      <c r="Q761" s="115">
        <v>5843.55</v>
      </c>
      <c r="R761">
        <v>2850</v>
      </c>
    </row>
    <row r="762" spans="1:18" x14ac:dyDescent="0.25">
      <c r="A762" s="169">
        <v>43122</v>
      </c>
      <c r="B762" s="115">
        <v>1172</v>
      </c>
      <c r="C762" s="115">
        <v>1162.3599999999999</v>
      </c>
      <c r="D762" s="115">
        <v>1125.2</v>
      </c>
      <c r="E762" s="115">
        <v>1125.2</v>
      </c>
      <c r="F762" s="115">
        <v>5811.8</v>
      </c>
      <c r="G762">
        <v>671</v>
      </c>
      <c r="H762" s="115"/>
      <c r="I762" s="115"/>
      <c r="L762" s="169">
        <v>43123</v>
      </c>
      <c r="M762" s="115">
        <v>1168.98</v>
      </c>
      <c r="N762" s="115">
        <v>1187.56</v>
      </c>
      <c r="O762" s="115">
        <v>1155.6099999999999</v>
      </c>
      <c r="P762" s="115">
        <v>1187.56</v>
      </c>
      <c r="Q762" s="115">
        <v>5844.9</v>
      </c>
      <c r="R762">
        <v>11854</v>
      </c>
    </row>
    <row r="763" spans="1:18" x14ac:dyDescent="0.25">
      <c r="A763" s="169">
        <v>43123</v>
      </c>
      <c r="B763" s="115">
        <v>1175</v>
      </c>
      <c r="C763" s="115">
        <v>1165</v>
      </c>
      <c r="D763" s="115">
        <v>1160</v>
      </c>
      <c r="E763" s="115">
        <v>1175</v>
      </c>
      <c r="F763" s="115">
        <v>5825</v>
      </c>
      <c r="G763">
        <v>491</v>
      </c>
      <c r="H763" s="115"/>
      <c r="I763" s="115"/>
      <c r="L763" s="169">
        <v>43124</v>
      </c>
      <c r="M763" s="115">
        <v>1153.8800000000001</v>
      </c>
      <c r="N763" s="115">
        <v>1177.97</v>
      </c>
      <c r="O763" s="115">
        <v>1150</v>
      </c>
      <c r="P763" s="115">
        <v>1168.99</v>
      </c>
      <c r="Q763" s="115">
        <v>5769.4</v>
      </c>
      <c r="R763">
        <v>535</v>
      </c>
    </row>
    <row r="764" spans="1:18" x14ac:dyDescent="0.25">
      <c r="A764" s="169">
        <v>43124</v>
      </c>
      <c r="B764" s="115">
        <v>1173.46</v>
      </c>
      <c r="C764" s="115">
        <v>1156.98</v>
      </c>
      <c r="D764" s="115">
        <v>1151</v>
      </c>
      <c r="E764" s="115">
        <v>1165</v>
      </c>
      <c r="F764" s="115">
        <v>5784.9</v>
      </c>
      <c r="G764">
        <v>119</v>
      </c>
      <c r="H764" s="115"/>
      <c r="I764" s="115"/>
      <c r="L764" s="169">
        <v>43125</v>
      </c>
      <c r="M764" s="115">
        <v>1144.8800000000001</v>
      </c>
      <c r="N764" s="115">
        <v>1186.4000000000001</v>
      </c>
      <c r="O764" s="115">
        <v>1133.0999999999999</v>
      </c>
      <c r="P764" s="115">
        <v>1168.22</v>
      </c>
      <c r="Q764" s="115">
        <v>5724.4</v>
      </c>
      <c r="R764">
        <v>1050</v>
      </c>
    </row>
    <row r="765" spans="1:18" x14ac:dyDescent="0.25">
      <c r="A765" s="169">
        <v>43125</v>
      </c>
      <c r="B765" s="115">
        <v>1173.3599999999999</v>
      </c>
      <c r="C765" s="115">
        <v>1145.79</v>
      </c>
      <c r="D765" s="115">
        <v>1134</v>
      </c>
      <c r="E765" s="115">
        <v>1153.8</v>
      </c>
      <c r="F765" s="115">
        <v>5728.95</v>
      </c>
      <c r="G765">
        <v>13450</v>
      </c>
      <c r="H765" s="115"/>
      <c r="I765" s="115"/>
      <c r="L765" s="169">
        <v>43129</v>
      </c>
      <c r="M765" s="115">
        <v>1119.97</v>
      </c>
      <c r="N765" s="115">
        <v>1144</v>
      </c>
      <c r="O765" s="115">
        <v>1117.2</v>
      </c>
      <c r="P765" s="115">
        <v>1128.8</v>
      </c>
      <c r="Q765" s="115">
        <v>5599.85</v>
      </c>
      <c r="R765">
        <v>12221</v>
      </c>
    </row>
    <row r="766" spans="1:18" x14ac:dyDescent="0.25">
      <c r="A766" s="169">
        <v>43129</v>
      </c>
      <c r="B766" s="115">
        <v>1146</v>
      </c>
      <c r="C766" s="115">
        <v>1119</v>
      </c>
      <c r="D766" s="115">
        <v>1119</v>
      </c>
      <c r="E766" s="115">
        <v>1140</v>
      </c>
      <c r="F766" s="115">
        <v>5595</v>
      </c>
      <c r="G766">
        <v>11103</v>
      </c>
      <c r="H766" s="115"/>
      <c r="I766" s="115"/>
      <c r="L766" s="169">
        <v>43130</v>
      </c>
      <c r="M766" s="115">
        <v>1101.6099999999999</v>
      </c>
      <c r="N766" s="115">
        <v>1124.99</v>
      </c>
      <c r="O766" s="115">
        <v>1097.26</v>
      </c>
      <c r="P766" s="115">
        <v>1120.01</v>
      </c>
      <c r="Q766" s="115">
        <v>5508.05</v>
      </c>
      <c r="R766">
        <v>15117</v>
      </c>
    </row>
    <row r="767" spans="1:18" x14ac:dyDescent="0.25">
      <c r="A767" s="169">
        <v>43130</v>
      </c>
      <c r="B767" s="115">
        <v>1131.49</v>
      </c>
      <c r="C767" s="115">
        <v>1103.45</v>
      </c>
      <c r="D767" s="115">
        <v>1094.08</v>
      </c>
      <c r="E767" s="115">
        <v>1129.8800000000001</v>
      </c>
      <c r="F767" s="115">
        <v>5517.25</v>
      </c>
      <c r="G767">
        <v>1017</v>
      </c>
      <c r="H767" s="115"/>
      <c r="I767" s="115"/>
      <c r="L767" s="169">
        <v>43131</v>
      </c>
      <c r="M767" s="115">
        <v>1097.74</v>
      </c>
      <c r="N767" s="115">
        <v>1117.1199999999999</v>
      </c>
      <c r="O767" s="115">
        <v>1083.26</v>
      </c>
      <c r="P767" s="115">
        <v>1099.06</v>
      </c>
      <c r="Q767" s="115">
        <v>5488.7</v>
      </c>
      <c r="R767">
        <v>6670</v>
      </c>
    </row>
    <row r="768" spans="1:18" x14ac:dyDescent="0.25">
      <c r="A768" s="169">
        <v>43131</v>
      </c>
      <c r="B768" s="115">
        <v>1129.98</v>
      </c>
      <c r="C768" s="115">
        <v>1091.32</v>
      </c>
      <c r="D768" s="115">
        <v>1081.9000000000001</v>
      </c>
      <c r="E768" s="115">
        <v>1119.99</v>
      </c>
      <c r="F768" s="115">
        <v>5456.6</v>
      </c>
      <c r="G768">
        <v>277</v>
      </c>
      <c r="H768" s="115"/>
      <c r="I768" s="115"/>
      <c r="L768" s="169">
        <v>43132</v>
      </c>
      <c r="M768" s="115">
        <v>1095.8499999999999</v>
      </c>
      <c r="N768" s="115">
        <v>1109.76</v>
      </c>
      <c r="O768" s="115">
        <v>1080.06</v>
      </c>
      <c r="P768" s="115">
        <v>1083.46</v>
      </c>
      <c r="Q768" s="115">
        <v>5479.25</v>
      </c>
      <c r="R768">
        <v>4740</v>
      </c>
    </row>
    <row r="769" spans="1:18" x14ac:dyDescent="0.25">
      <c r="A769" s="169">
        <v>43132</v>
      </c>
      <c r="B769" s="115">
        <v>1114.2</v>
      </c>
      <c r="C769" s="115">
        <v>1100.75</v>
      </c>
      <c r="D769" s="115">
        <v>1087.6600000000001</v>
      </c>
      <c r="E769" s="115">
        <v>1114.2</v>
      </c>
      <c r="F769" s="115">
        <v>5503.75</v>
      </c>
      <c r="G769">
        <v>197</v>
      </c>
      <c r="H769" s="115"/>
      <c r="I769" s="115"/>
      <c r="L769" s="169">
        <v>43133</v>
      </c>
      <c r="M769" s="115">
        <v>1083.02</v>
      </c>
      <c r="N769" s="115">
        <v>1109.99</v>
      </c>
      <c r="O769" s="115">
        <v>1075</v>
      </c>
      <c r="P769" s="115">
        <v>1109.99</v>
      </c>
      <c r="Q769" s="115">
        <v>5415.1</v>
      </c>
      <c r="R769">
        <v>2448</v>
      </c>
    </row>
    <row r="770" spans="1:18" x14ac:dyDescent="0.25">
      <c r="A770" s="169">
        <v>43133</v>
      </c>
      <c r="B770" s="115">
        <v>1099.2</v>
      </c>
      <c r="C770" s="115">
        <v>1089.3399999999999</v>
      </c>
      <c r="D770" s="115">
        <v>1070.0999999999999</v>
      </c>
      <c r="E770" s="115">
        <v>1076.77</v>
      </c>
      <c r="F770" s="115">
        <v>5446.7</v>
      </c>
      <c r="G770">
        <v>103</v>
      </c>
      <c r="H770" s="115"/>
      <c r="I770" s="115"/>
      <c r="L770" s="169">
        <v>43136</v>
      </c>
      <c r="M770" s="115">
        <v>1075.1300000000001</v>
      </c>
      <c r="N770" s="115">
        <v>1090</v>
      </c>
      <c r="O770" s="115">
        <v>1027</v>
      </c>
      <c r="P770" s="115">
        <v>1075</v>
      </c>
      <c r="Q770" s="115">
        <v>5375.65</v>
      </c>
      <c r="R770">
        <v>2421</v>
      </c>
    </row>
    <row r="771" spans="1:18" x14ac:dyDescent="0.25">
      <c r="A771" s="169">
        <v>43136</v>
      </c>
      <c r="B771" s="115">
        <v>1088.8</v>
      </c>
      <c r="C771" s="115">
        <v>1075.3699999999999</v>
      </c>
      <c r="D771" s="115">
        <v>1030</v>
      </c>
      <c r="E771" s="115">
        <v>1049.4000000000001</v>
      </c>
      <c r="F771" s="115">
        <v>5376.85</v>
      </c>
      <c r="G771">
        <v>239</v>
      </c>
      <c r="H771" s="115"/>
      <c r="I771" s="115"/>
      <c r="L771" s="169">
        <v>43137</v>
      </c>
      <c r="M771" s="115">
        <v>1082.5</v>
      </c>
      <c r="N771" s="115">
        <v>1089</v>
      </c>
      <c r="O771" s="115">
        <v>1040</v>
      </c>
      <c r="P771" s="115">
        <v>1079.5999999999999</v>
      </c>
      <c r="Q771" s="115">
        <v>5412.5</v>
      </c>
      <c r="R771">
        <v>2882</v>
      </c>
    </row>
    <row r="772" spans="1:18" x14ac:dyDescent="0.25">
      <c r="A772" s="169">
        <v>43137</v>
      </c>
      <c r="B772" s="115">
        <v>1117.99</v>
      </c>
      <c r="C772" s="115">
        <v>1083.2</v>
      </c>
      <c r="D772" s="115">
        <v>1034</v>
      </c>
      <c r="E772" s="115">
        <v>1117</v>
      </c>
      <c r="F772" s="115">
        <v>5416</v>
      </c>
      <c r="G772">
        <v>707</v>
      </c>
      <c r="H772" s="115"/>
      <c r="I772" s="115"/>
      <c r="L772" s="169">
        <v>43138</v>
      </c>
      <c r="M772" s="115">
        <v>1057.17</v>
      </c>
      <c r="N772" s="115">
        <v>1099.27</v>
      </c>
      <c r="O772" s="115">
        <v>1046.0899999999999</v>
      </c>
      <c r="P772" s="115">
        <v>1099.25</v>
      </c>
      <c r="Q772" s="115">
        <v>5285.85</v>
      </c>
      <c r="R772">
        <v>4046</v>
      </c>
    </row>
    <row r="773" spans="1:18" x14ac:dyDescent="0.25">
      <c r="A773" s="169">
        <v>43138</v>
      </c>
      <c r="B773" s="115">
        <v>1117.67</v>
      </c>
      <c r="C773" s="115">
        <v>1053.03</v>
      </c>
      <c r="D773" s="115">
        <v>1050</v>
      </c>
      <c r="E773" s="115">
        <v>1100</v>
      </c>
      <c r="F773" s="115">
        <v>5265.15</v>
      </c>
      <c r="G773">
        <v>148</v>
      </c>
      <c r="H773" s="115"/>
      <c r="I773" s="115"/>
      <c r="L773" s="169">
        <v>43139</v>
      </c>
      <c r="M773" s="115">
        <v>1080.6199999999999</v>
      </c>
      <c r="N773" s="115">
        <v>1086</v>
      </c>
      <c r="O773" s="115">
        <v>1064.01</v>
      </c>
      <c r="P773" s="115">
        <v>1079.8</v>
      </c>
      <c r="Q773" s="115">
        <v>5403.1</v>
      </c>
      <c r="R773">
        <v>11891</v>
      </c>
    </row>
    <row r="774" spans="1:18" x14ac:dyDescent="0.25">
      <c r="A774" s="169">
        <v>43139</v>
      </c>
      <c r="B774" s="115">
        <v>1091.46</v>
      </c>
      <c r="C774" s="115">
        <v>1083.02</v>
      </c>
      <c r="D774" s="115">
        <v>1065</v>
      </c>
      <c r="E774" s="115">
        <v>1065</v>
      </c>
      <c r="F774" s="115">
        <v>5415.1</v>
      </c>
      <c r="G774">
        <v>235</v>
      </c>
      <c r="H774" s="115"/>
      <c r="I774" s="115"/>
      <c r="L774" s="169">
        <v>43140</v>
      </c>
      <c r="M774" s="115">
        <v>1069.0899999999999</v>
      </c>
      <c r="N774" s="115">
        <v>1079.71</v>
      </c>
      <c r="O774" s="115">
        <v>1058</v>
      </c>
      <c r="P774" s="115">
        <v>1079.54</v>
      </c>
      <c r="Q774" s="115">
        <v>5345.45</v>
      </c>
      <c r="R774">
        <v>1109</v>
      </c>
    </row>
    <row r="775" spans="1:18" x14ac:dyDescent="0.25">
      <c r="A775" s="169">
        <v>43140</v>
      </c>
      <c r="B775" s="115">
        <v>1084</v>
      </c>
      <c r="C775" s="115">
        <v>1069.5899999999999</v>
      </c>
      <c r="D775" s="115">
        <v>1060</v>
      </c>
      <c r="E775" s="115">
        <v>1074.06</v>
      </c>
      <c r="F775" s="115">
        <v>5347.95</v>
      </c>
      <c r="G775">
        <v>143</v>
      </c>
      <c r="H775" s="115"/>
      <c r="I775" s="115"/>
      <c r="L775" s="169">
        <v>43143</v>
      </c>
      <c r="M775" s="115">
        <v>1076.5999999999999</v>
      </c>
      <c r="N775" s="115">
        <v>1088.76</v>
      </c>
      <c r="O775" s="115">
        <v>1062.43</v>
      </c>
      <c r="P775" s="115">
        <v>1062.43</v>
      </c>
      <c r="Q775" s="115">
        <v>5383</v>
      </c>
      <c r="R775">
        <v>4682</v>
      </c>
    </row>
    <row r="776" spans="1:18" x14ac:dyDescent="0.25">
      <c r="A776" s="169">
        <v>43143</v>
      </c>
      <c r="B776" s="115">
        <v>1088.99</v>
      </c>
      <c r="C776" s="115">
        <v>1068.08</v>
      </c>
      <c r="D776" s="115">
        <v>1062.1300000000001</v>
      </c>
      <c r="E776" s="115">
        <v>1062.1300000000001</v>
      </c>
      <c r="F776" s="115">
        <v>5340.4</v>
      </c>
      <c r="G776">
        <v>95</v>
      </c>
      <c r="H776" s="115"/>
      <c r="I776" s="115"/>
      <c r="L776" s="169">
        <v>43145</v>
      </c>
      <c r="M776" s="115">
        <v>1078.3599999999999</v>
      </c>
      <c r="N776" s="115">
        <v>1099.8</v>
      </c>
      <c r="O776" s="115">
        <v>1075</v>
      </c>
      <c r="P776" s="115">
        <v>1099.8</v>
      </c>
      <c r="Q776" s="115">
        <v>5391.8</v>
      </c>
      <c r="R776">
        <v>1206</v>
      </c>
    </row>
    <row r="777" spans="1:18" x14ac:dyDescent="0.25">
      <c r="A777" s="169">
        <v>43145</v>
      </c>
      <c r="B777" s="115">
        <v>1093.55</v>
      </c>
      <c r="C777" s="115">
        <v>1077.83</v>
      </c>
      <c r="D777" s="115">
        <v>1074</v>
      </c>
      <c r="E777" s="115">
        <v>1087.01</v>
      </c>
      <c r="F777" s="115">
        <v>5389.15</v>
      </c>
      <c r="G777">
        <v>104</v>
      </c>
      <c r="H777" s="115"/>
      <c r="I777" s="115"/>
      <c r="L777" s="169">
        <v>43146</v>
      </c>
      <c r="M777" s="115">
        <v>1076.1099999999999</v>
      </c>
      <c r="N777" s="115">
        <v>1087.99</v>
      </c>
      <c r="O777" s="115">
        <v>1072.72</v>
      </c>
      <c r="P777" s="115">
        <v>1080</v>
      </c>
      <c r="Q777" s="115">
        <v>5380.55</v>
      </c>
      <c r="R777">
        <v>4964</v>
      </c>
    </row>
    <row r="778" spans="1:18" x14ac:dyDescent="0.25">
      <c r="A778" s="169">
        <v>43146</v>
      </c>
      <c r="B778" s="115">
        <v>1087.9100000000001</v>
      </c>
      <c r="C778" s="115">
        <v>1070.79</v>
      </c>
      <c r="D778" s="115">
        <v>1065.73</v>
      </c>
      <c r="E778" s="115">
        <v>1082</v>
      </c>
      <c r="F778" s="115">
        <v>5353.95</v>
      </c>
      <c r="G778">
        <v>70</v>
      </c>
      <c r="H778" s="115"/>
      <c r="I778" s="115"/>
      <c r="L778" s="169">
        <v>43147</v>
      </c>
      <c r="M778" s="115">
        <v>1078.6099999999999</v>
      </c>
      <c r="N778" s="115">
        <v>1080</v>
      </c>
      <c r="O778" s="115">
        <v>1072</v>
      </c>
      <c r="P778" s="115">
        <v>1079.99</v>
      </c>
      <c r="Q778" s="115">
        <v>5393.05</v>
      </c>
      <c r="R778">
        <v>1138</v>
      </c>
    </row>
    <row r="779" spans="1:18" x14ac:dyDescent="0.25">
      <c r="A779" s="169">
        <v>43147</v>
      </c>
      <c r="B779" s="115">
        <v>1084.9000000000001</v>
      </c>
      <c r="C779" s="115">
        <v>1080.33</v>
      </c>
      <c r="D779" s="115">
        <v>1080</v>
      </c>
      <c r="E779" s="115">
        <v>1084.9000000000001</v>
      </c>
      <c r="F779" s="115">
        <v>5401.65</v>
      </c>
      <c r="G779">
        <v>21</v>
      </c>
      <c r="H779" s="115"/>
      <c r="I779" s="115"/>
      <c r="L779" s="169">
        <v>43150</v>
      </c>
      <c r="M779" s="115">
        <v>1067.1300000000001</v>
      </c>
      <c r="N779" s="115">
        <v>1080</v>
      </c>
      <c r="O779" s="115">
        <v>1062.24</v>
      </c>
      <c r="P779" s="115">
        <v>1073.01</v>
      </c>
      <c r="Q779" s="115">
        <v>5335.65</v>
      </c>
      <c r="R779">
        <v>1005</v>
      </c>
    </row>
    <row r="780" spans="1:18" x14ac:dyDescent="0.25">
      <c r="A780" s="169">
        <v>43150</v>
      </c>
      <c r="B780" s="115">
        <v>1080.21</v>
      </c>
      <c r="C780" s="115">
        <v>1063.9100000000001</v>
      </c>
      <c r="D780" s="115">
        <v>1060.25</v>
      </c>
      <c r="E780" s="115">
        <v>1080.21</v>
      </c>
      <c r="F780" s="115">
        <v>5319.55</v>
      </c>
      <c r="G780">
        <v>175</v>
      </c>
      <c r="H780" s="115"/>
      <c r="I780" s="115"/>
      <c r="L780" s="169">
        <v>43151</v>
      </c>
      <c r="M780" s="115">
        <v>1078.92</v>
      </c>
      <c r="N780" s="115">
        <v>1083.4000000000001</v>
      </c>
      <c r="O780" s="115">
        <v>1063.07</v>
      </c>
      <c r="P780" s="115">
        <v>1063.07</v>
      </c>
      <c r="Q780" s="115">
        <v>5394.6</v>
      </c>
      <c r="R780">
        <v>2995</v>
      </c>
    </row>
    <row r="781" spans="1:18" x14ac:dyDescent="0.25">
      <c r="A781" s="169">
        <v>43151</v>
      </c>
      <c r="B781" s="115">
        <v>1095.5899999999999</v>
      </c>
      <c r="C781" s="115">
        <v>1079.96</v>
      </c>
      <c r="D781" s="115">
        <v>1067.5999999999999</v>
      </c>
      <c r="E781" s="115">
        <v>1079.99</v>
      </c>
      <c r="F781" s="115">
        <v>5399.8</v>
      </c>
      <c r="G781">
        <v>177</v>
      </c>
      <c r="H781" s="115"/>
      <c r="I781" s="115"/>
      <c r="L781" s="169">
        <v>43152</v>
      </c>
      <c r="M781" s="115">
        <v>1079.42</v>
      </c>
      <c r="N781" s="115">
        <v>1091.8</v>
      </c>
      <c r="O781" s="115">
        <v>1074.01</v>
      </c>
      <c r="P781" s="115">
        <v>1091.8</v>
      </c>
      <c r="Q781" s="115">
        <v>5397.1</v>
      </c>
      <c r="R781">
        <v>956</v>
      </c>
    </row>
    <row r="782" spans="1:18" x14ac:dyDescent="0.25">
      <c r="A782" s="169">
        <v>43152</v>
      </c>
      <c r="B782" s="115">
        <v>1094.68</v>
      </c>
      <c r="C782" s="115">
        <v>1085.6099999999999</v>
      </c>
      <c r="D782" s="115">
        <v>1071.01</v>
      </c>
      <c r="E782" s="115">
        <v>1094.68</v>
      </c>
      <c r="F782" s="115">
        <v>5428.05</v>
      </c>
      <c r="G782">
        <v>561</v>
      </c>
      <c r="H782" s="115"/>
      <c r="I782" s="115"/>
      <c r="L782" s="169">
        <v>43153</v>
      </c>
      <c r="M782" s="115">
        <v>1072.3699999999999</v>
      </c>
      <c r="N782" s="115">
        <v>1088</v>
      </c>
      <c r="O782" s="115">
        <v>1067.2</v>
      </c>
      <c r="P782" s="115">
        <v>1088</v>
      </c>
      <c r="Q782" s="115">
        <v>5361.85</v>
      </c>
      <c r="R782">
        <v>798</v>
      </c>
    </row>
    <row r="783" spans="1:18" x14ac:dyDescent="0.25">
      <c r="A783" s="169">
        <v>43153</v>
      </c>
      <c r="B783" s="115">
        <v>1090</v>
      </c>
      <c r="C783" s="115">
        <v>1072.3</v>
      </c>
      <c r="D783" s="115">
        <v>1070</v>
      </c>
      <c r="E783" s="115">
        <v>1080</v>
      </c>
      <c r="F783" s="115">
        <v>5361.5</v>
      </c>
      <c r="G783">
        <v>246</v>
      </c>
      <c r="H783" s="115"/>
      <c r="I783" s="115"/>
      <c r="L783" s="169">
        <v>43154</v>
      </c>
      <c r="M783" s="115">
        <v>1069.78</v>
      </c>
      <c r="N783" s="115">
        <v>1086.6500000000001</v>
      </c>
      <c r="O783" s="115">
        <v>1064.2</v>
      </c>
      <c r="P783" s="115">
        <v>1070.02</v>
      </c>
      <c r="Q783" s="115">
        <v>5348.9</v>
      </c>
      <c r="R783">
        <v>577</v>
      </c>
    </row>
    <row r="784" spans="1:18" x14ac:dyDescent="0.25">
      <c r="A784" s="169">
        <v>43154</v>
      </c>
      <c r="B784" s="115">
        <v>1081.53</v>
      </c>
      <c r="C784" s="115">
        <v>1075.58</v>
      </c>
      <c r="D784" s="115">
        <v>1072.3</v>
      </c>
      <c r="E784" s="115">
        <v>1078.01</v>
      </c>
      <c r="F784" s="115">
        <v>5377.9</v>
      </c>
      <c r="G784">
        <v>17</v>
      </c>
      <c r="H784" s="115"/>
      <c r="I784" s="115"/>
      <c r="L784" s="169">
        <v>43157</v>
      </c>
      <c r="M784" s="115">
        <v>1059.8699999999999</v>
      </c>
      <c r="N784" s="115">
        <v>1083</v>
      </c>
      <c r="O784" s="115">
        <v>1050.58</v>
      </c>
      <c r="P784" s="115">
        <v>1083</v>
      </c>
      <c r="Q784" s="115">
        <v>5299.35</v>
      </c>
      <c r="R784">
        <v>18162</v>
      </c>
    </row>
    <row r="785" spans="1:18" x14ac:dyDescent="0.25">
      <c r="A785" s="169">
        <v>43157</v>
      </c>
      <c r="B785" s="115">
        <v>1139.99</v>
      </c>
      <c r="C785" s="115">
        <v>1063.7</v>
      </c>
      <c r="D785" s="115">
        <v>1054</v>
      </c>
      <c r="E785" s="115">
        <v>1139.99</v>
      </c>
      <c r="F785" s="115">
        <v>5318.5</v>
      </c>
      <c r="G785">
        <v>220</v>
      </c>
      <c r="H785" s="115"/>
      <c r="I785" s="115"/>
      <c r="L785" s="169">
        <v>43158</v>
      </c>
      <c r="M785" s="115">
        <v>1059.94</v>
      </c>
      <c r="N785" s="115">
        <v>1076.8900000000001</v>
      </c>
      <c r="O785" s="115">
        <v>1052</v>
      </c>
      <c r="P785" s="115">
        <v>1076.8399999999999</v>
      </c>
      <c r="Q785" s="115">
        <v>5299.7</v>
      </c>
      <c r="R785">
        <v>12477</v>
      </c>
    </row>
    <row r="786" spans="1:18" x14ac:dyDescent="0.25">
      <c r="A786" s="169">
        <v>43158</v>
      </c>
      <c r="B786" s="115">
        <v>1065.43</v>
      </c>
      <c r="C786" s="115">
        <v>1060</v>
      </c>
      <c r="D786" s="115">
        <v>1046.06</v>
      </c>
      <c r="E786" s="115">
        <v>1055.01</v>
      </c>
      <c r="F786" s="115">
        <v>5300</v>
      </c>
      <c r="G786">
        <v>179</v>
      </c>
      <c r="H786" s="115"/>
      <c r="I786" s="115"/>
      <c r="L786" s="169">
        <v>43159</v>
      </c>
      <c r="M786" s="115">
        <v>1089.48</v>
      </c>
      <c r="N786" s="115">
        <v>1108.01</v>
      </c>
      <c r="O786" s="115">
        <v>1039</v>
      </c>
      <c r="P786" s="115">
        <v>1050.01</v>
      </c>
      <c r="Q786" s="115">
        <v>5447.4</v>
      </c>
      <c r="R786">
        <v>5859</v>
      </c>
    </row>
    <row r="787" spans="1:18" x14ac:dyDescent="0.25">
      <c r="A787" s="169">
        <v>43159</v>
      </c>
      <c r="B787" s="115">
        <v>1105</v>
      </c>
      <c r="C787" s="115">
        <v>1089.3900000000001</v>
      </c>
      <c r="D787" s="115">
        <v>1039.4000000000001</v>
      </c>
      <c r="E787" s="115">
        <v>1046.4000000000001</v>
      </c>
      <c r="F787" s="115">
        <v>5446.95</v>
      </c>
      <c r="G787">
        <v>169</v>
      </c>
      <c r="H787" s="115"/>
      <c r="I787" s="115"/>
      <c r="L787" s="169">
        <v>43160</v>
      </c>
      <c r="M787" s="115">
        <v>1100.1400000000001</v>
      </c>
      <c r="N787" s="115">
        <v>1109.8</v>
      </c>
      <c r="O787" s="115">
        <v>1068.1300000000001</v>
      </c>
      <c r="P787" s="115">
        <v>1089.4000000000001</v>
      </c>
      <c r="Q787" s="115">
        <v>5500.7</v>
      </c>
      <c r="R787">
        <v>6599</v>
      </c>
    </row>
    <row r="788" spans="1:18" x14ac:dyDescent="0.25">
      <c r="A788" s="169">
        <v>43160</v>
      </c>
      <c r="B788" s="115">
        <v>1110.07</v>
      </c>
      <c r="C788" s="115">
        <v>1104.08</v>
      </c>
      <c r="D788" s="115">
        <v>1070.01</v>
      </c>
      <c r="E788" s="115">
        <v>1095.01</v>
      </c>
      <c r="F788" s="115">
        <v>5520.4</v>
      </c>
      <c r="G788">
        <v>567</v>
      </c>
      <c r="H788" s="115"/>
      <c r="I788" s="115"/>
      <c r="L788" s="169">
        <v>43164</v>
      </c>
      <c r="M788" s="115">
        <v>1071.78</v>
      </c>
      <c r="N788" s="115">
        <v>1087.99</v>
      </c>
      <c r="O788" s="115">
        <v>1061</v>
      </c>
      <c r="P788" s="115">
        <v>1072.42</v>
      </c>
      <c r="Q788" s="115">
        <v>5358.9</v>
      </c>
      <c r="R788">
        <v>628</v>
      </c>
    </row>
    <row r="789" spans="1:18" x14ac:dyDescent="0.25">
      <c r="A789" s="169">
        <v>43164</v>
      </c>
      <c r="B789" s="115">
        <v>1105</v>
      </c>
      <c r="C789" s="115">
        <v>1075.06</v>
      </c>
      <c r="D789" s="115">
        <v>1072</v>
      </c>
      <c r="E789" s="115">
        <v>1105</v>
      </c>
      <c r="F789" s="115">
        <v>5375.3</v>
      </c>
      <c r="G789">
        <v>63</v>
      </c>
      <c r="H789" s="115"/>
      <c r="I789" s="115"/>
      <c r="L789" s="169">
        <v>43165</v>
      </c>
      <c r="M789" s="115">
        <v>1061.31</v>
      </c>
      <c r="N789" s="115">
        <v>1089</v>
      </c>
      <c r="O789" s="115">
        <v>1051.2</v>
      </c>
      <c r="P789" s="115">
        <v>1084.9100000000001</v>
      </c>
      <c r="Q789" s="115">
        <v>5306.55</v>
      </c>
      <c r="R789">
        <v>477</v>
      </c>
    </row>
    <row r="790" spans="1:18" x14ac:dyDescent="0.25">
      <c r="A790" s="169">
        <v>43165</v>
      </c>
      <c r="B790" s="115">
        <v>1088.22</v>
      </c>
      <c r="C790" s="115">
        <v>1063.81</v>
      </c>
      <c r="D790" s="115">
        <v>1055.22</v>
      </c>
      <c r="E790" s="115">
        <v>1079</v>
      </c>
      <c r="F790" s="115">
        <v>5319.05</v>
      </c>
      <c r="G790">
        <v>85</v>
      </c>
      <c r="H790" s="115"/>
      <c r="I790" s="115"/>
      <c r="L790" s="169">
        <v>43166</v>
      </c>
      <c r="M790" s="115">
        <v>1046.5</v>
      </c>
      <c r="N790" s="115">
        <v>1078.17</v>
      </c>
      <c r="O790" s="115">
        <v>1040.4000000000001</v>
      </c>
      <c r="P790" s="115">
        <v>1068.08</v>
      </c>
      <c r="Q790" s="115">
        <v>5232.5</v>
      </c>
      <c r="R790">
        <v>837</v>
      </c>
    </row>
    <row r="791" spans="1:18" x14ac:dyDescent="0.25">
      <c r="A791" s="169">
        <v>43166</v>
      </c>
      <c r="B791" s="115">
        <v>1070.05</v>
      </c>
      <c r="C791" s="115">
        <v>1045.5999999999999</v>
      </c>
      <c r="D791" s="115">
        <v>1041.9100000000001</v>
      </c>
      <c r="E791" s="115">
        <v>1070</v>
      </c>
      <c r="F791" s="115">
        <v>5228</v>
      </c>
      <c r="G791">
        <v>163</v>
      </c>
      <c r="H791" s="115"/>
      <c r="I791" s="115"/>
      <c r="L791" s="169">
        <v>43167</v>
      </c>
      <c r="M791" s="115">
        <v>1058.94</v>
      </c>
      <c r="N791" s="115">
        <v>1065.4000000000001</v>
      </c>
      <c r="O791" s="115">
        <v>1033.01</v>
      </c>
      <c r="P791" s="115">
        <v>1046.5</v>
      </c>
      <c r="Q791" s="115">
        <v>5294.7</v>
      </c>
      <c r="R791">
        <v>1690</v>
      </c>
    </row>
    <row r="792" spans="1:18" x14ac:dyDescent="0.25">
      <c r="A792" s="169">
        <v>43167</v>
      </c>
      <c r="B792" s="115">
        <v>1067.6199999999999</v>
      </c>
      <c r="C792" s="115">
        <v>1055.6600000000001</v>
      </c>
      <c r="D792" s="115">
        <v>1034</v>
      </c>
      <c r="E792" s="115">
        <v>1040.2</v>
      </c>
      <c r="F792" s="115">
        <v>5278.3</v>
      </c>
      <c r="G792">
        <v>169</v>
      </c>
      <c r="H792" s="115"/>
      <c r="I792" s="115"/>
      <c r="L792" s="169">
        <v>43168</v>
      </c>
      <c r="M792" s="115">
        <v>1066.1099999999999</v>
      </c>
      <c r="N792" s="115">
        <v>1076.45</v>
      </c>
      <c r="O792" s="115">
        <v>1045.2</v>
      </c>
      <c r="P792" s="115">
        <v>1059.8800000000001</v>
      </c>
      <c r="Q792" s="115">
        <v>5330.55</v>
      </c>
      <c r="R792">
        <v>19894</v>
      </c>
    </row>
    <row r="793" spans="1:18" x14ac:dyDescent="0.25">
      <c r="A793" s="169">
        <v>43168</v>
      </c>
      <c r="B793" s="115">
        <v>1069</v>
      </c>
      <c r="C793" s="115">
        <v>1065.72</v>
      </c>
      <c r="D793" s="115">
        <v>1054.97</v>
      </c>
      <c r="E793" s="115">
        <v>1066.07</v>
      </c>
      <c r="F793" s="115">
        <v>5328.6</v>
      </c>
      <c r="G793">
        <v>105</v>
      </c>
      <c r="H793" s="115"/>
      <c r="I793" s="115"/>
      <c r="L793" s="169">
        <v>43171</v>
      </c>
      <c r="M793" s="115">
        <v>1058.69</v>
      </c>
      <c r="N793" s="115">
        <v>1066</v>
      </c>
      <c r="O793" s="115">
        <v>1051</v>
      </c>
      <c r="P793" s="115">
        <v>1065.99</v>
      </c>
      <c r="Q793" s="115">
        <v>5293.45</v>
      </c>
      <c r="R793">
        <v>2019</v>
      </c>
    </row>
    <row r="794" spans="1:18" x14ac:dyDescent="0.25">
      <c r="A794" s="169">
        <v>43171</v>
      </c>
      <c r="B794" s="115">
        <v>1071.99</v>
      </c>
      <c r="C794" s="115">
        <v>1058.4000000000001</v>
      </c>
      <c r="D794" s="115">
        <v>1050.2</v>
      </c>
      <c r="E794" s="115">
        <v>1052.46</v>
      </c>
      <c r="F794" s="115">
        <v>5292</v>
      </c>
      <c r="G794">
        <v>226</v>
      </c>
      <c r="H794" s="115"/>
      <c r="I794" s="115"/>
      <c r="L794" s="169">
        <v>43172</v>
      </c>
      <c r="M794" s="115">
        <v>1124.2</v>
      </c>
      <c r="N794" s="115">
        <v>1154.42</v>
      </c>
      <c r="O794" s="115">
        <v>1052.5999999999999</v>
      </c>
      <c r="P794" s="115">
        <v>1052.5999999999999</v>
      </c>
      <c r="Q794" s="115">
        <v>5621</v>
      </c>
      <c r="R794">
        <v>10180</v>
      </c>
    </row>
    <row r="795" spans="1:18" x14ac:dyDescent="0.25">
      <c r="A795" s="169">
        <v>43172</v>
      </c>
      <c r="B795" s="115">
        <v>1149.4000000000001</v>
      </c>
      <c r="C795" s="115">
        <v>1125.58</v>
      </c>
      <c r="D795" s="115">
        <v>1053.4100000000001</v>
      </c>
      <c r="E795" s="115">
        <v>1064</v>
      </c>
      <c r="F795" s="115">
        <v>5627.9</v>
      </c>
      <c r="G795">
        <v>394</v>
      </c>
      <c r="H795" s="115"/>
      <c r="I795" s="115"/>
      <c r="L795" s="169">
        <v>43173</v>
      </c>
      <c r="M795" s="115">
        <v>1094.0899999999999</v>
      </c>
      <c r="N795" s="115">
        <v>1110</v>
      </c>
      <c r="O795" s="115">
        <v>1077.74</v>
      </c>
      <c r="P795" s="115">
        <v>1104.02</v>
      </c>
      <c r="Q795" s="115">
        <v>5470.45</v>
      </c>
      <c r="R795">
        <v>4629</v>
      </c>
    </row>
    <row r="796" spans="1:18" x14ac:dyDescent="0.25">
      <c r="A796" s="169">
        <v>43173</v>
      </c>
      <c r="B796" s="115">
        <v>1125</v>
      </c>
      <c r="C796" s="115">
        <v>1098.1099999999999</v>
      </c>
      <c r="D796" s="115">
        <v>1077.95</v>
      </c>
      <c r="E796" s="115">
        <v>1114</v>
      </c>
      <c r="F796" s="115">
        <v>5490.55</v>
      </c>
      <c r="G796">
        <v>179</v>
      </c>
      <c r="H796" s="115"/>
      <c r="I796" s="115"/>
      <c r="L796" s="169">
        <v>43174</v>
      </c>
      <c r="M796" s="115">
        <v>1079.8800000000001</v>
      </c>
      <c r="N796" s="115">
        <v>1099.99</v>
      </c>
      <c r="O796" s="115">
        <v>1075.19</v>
      </c>
      <c r="P796" s="115">
        <v>1099.99</v>
      </c>
      <c r="Q796" s="115">
        <v>5399.4</v>
      </c>
      <c r="R796">
        <v>2893</v>
      </c>
    </row>
    <row r="797" spans="1:18" x14ac:dyDescent="0.25">
      <c r="A797" s="169">
        <v>43174</v>
      </c>
      <c r="B797" s="115">
        <v>1093</v>
      </c>
      <c r="C797" s="115">
        <v>1080.5999999999999</v>
      </c>
      <c r="D797" s="115">
        <v>1080.5999999999999</v>
      </c>
      <c r="E797" s="115">
        <v>1093</v>
      </c>
      <c r="F797" s="115">
        <v>5403</v>
      </c>
      <c r="G797">
        <v>5</v>
      </c>
      <c r="H797" s="115"/>
      <c r="I797" s="115"/>
      <c r="L797" s="169">
        <v>43175</v>
      </c>
      <c r="M797" s="115">
        <v>1077.8900000000001</v>
      </c>
      <c r="N797" s="115">
        <v>1096.8</v>
      </c>
      <c r="O797" s="115">
        <v>1066</v>
      </c>
      <c r="P797" s="115">
        <v>1096.8</v>
      </c>
      <c r="Q797" s="115">
        <v>5389.45</v>
      </c>
      <c r="R797">
        <v>5091</v>
      </c>
    </row>
    <row r="798" spans="1:18" x14ac:dyDescent="0.25">
      <c r="A798" s="169">
        <v>43175</v>
      </c>
      <c r="B798" s="115">
        <v>1103.54</v>
      </c>
      <c r="C798" s="115">
        <v>1076.74</v>
      </c>
      <c r="D798" s="115">
        <v>1070.32</v>
      </c>
      <c r="E798" s="115">
        <v>1103.53</v>
      </c>
      <c r="F798" s="115">
        <v>5383.7</v>
      </c>
      <c r="G798">
        <v>77</v>
      </c>
      <c r="H798" s="115"/>
      <c r="I798" s="115"/>
      <c r="L798" s="169">
        <v>43178</v>
      </c>
      <c r="M798" s="115">
        <v>1068.6099999999999</v>
      </c>
      <c r="N798" s="115">
        <v>1080</v>
      </c>
      <c r="O798" s="115">
        <v>1060</v>
      </c>
      <c r="P798" s="115">
        <v>1074.1400000000001</v>
      </c>
      <c r="Q798" s="115">
        <v>5343.05</v>
      </c>
      <c r="R798">
        <v>1713</v>
      </c>
    </row>
    <row r="799" spans="1:18" x14ac:dyDescent="0.25">
      <c r="A799" s="169">
        <v>43178</v>
      </c>
      <c r="B799" s="115">
        <v>1073</v>
      </c>
      <c r="C799" s="115">
        <v>1062.51</v>
      </c>
      <c r="D799" s="115">
        <v>1060.43</v>
      </c>
      <c r="E799" s="115">
        <v>1073</v>
      </c>
      <c r="F799" s="115">
        <v>5312.55</v>
      </c>
      <c r="G799">
        <v>8</v>
      </c>
      <c r="H799" s="115"/>
      <c r="I799" s="115"/>
      <c r="L799" s="169">
        <v>43179</v>
      </c>
      <c r="M799" s="115">
        <v>1056.07</v>
      </c>
      <c r="N799" s="115">
        <v>1070</v>
      </c>
      <c r="O799" s="115">
        <v>1037.5899999999999</v>
      </c>
      <c r="P799" s="115">
        <v>1070</v>
      </c>
      <c r="Q799" s="115">
        <v>5280.35</v>
      </c>
      <c r="R799">
        <v>3798</v>
      </c>
    </row>
    <row r="800" spans="1:18" x14ac:dyDescent="0.25">
      <c r="A800" s="169">
        <v>43179</v>
      </c>
      <c r="B800" s="115">
        <v>1064.99</v>
      </c>
      <c r="C800" s="115">
        <v>1045.49</v>
      </c>
      <c r="D800" s="115">
        <v>1040</v>
      </c>
      <c r="E800" s="115">
        <v>1061.51</v>
      </c>
      <c r="F800" s="115">
        <v>5227.45</v>
      </c>
      <c r="G800">
        <v>184</v>
      </c>
      <c r="H800" s="115"/>
      <c r="I800" s="115"/>
      <c r="L800" s="169">
        <v>43180</v>
      </c>
      <c r="M800" s="115">
        <v>1057.9100000000001</v>
      </c>
      <c r="N800" s="115">
        <v>1060</v>
      </c>
      <c r="O800" s="115">
        <v>1043.4000000000001</v>
      </c>
      <c r="P800" s="115">
        <v>1060</v>
      </c>
      <c r="Q800" s="115">
        <v>5289.55</v>
      </c>
      <c r="R800">
        <v>6018</v>
      </c>
    </row>
    <row r="801" spans="1:18" x14ac:dyDescent="0.25">
      <c r="A801" s="169">
        <v>43180</v>
      </c>
      <c r="B801" s="115">
        <v>1060</v>
      </c>
      <c r="C801" s="115">
        <v>1047.8900000000001</v>
      </c>
      <c r="D801" s="115">
        <v>1040</v>
      </c>
      <c r="E801" s="115">
        <v>1060</v>
      </c>
      <c r="F801" s="115">
        <v>5239.45</v>
      </c>
      <c r="G801">
        <v>391</v>
      </c>
      <c r="H801" s="115"/>
      <c r="I801" s="115"/>
      <c r="L801" s="169">
        <v>43181</v>
      </c>
      <c r="M801" s="115">
        <v>1058.9000000000001</v>
      </c>
      <c r="N801" s="115">
        <v>1074.99</v>
      </c>
      <c r="O801" s="115">
        <v>1043.4000000000001</v>
      </c>
      <c r="P801" s="115">
        <v>1074.99</v>
      </c>
      <c r="Q801" s="115">
        <v>5294.5</v>
      </c>
      <c r="R801">
        <v>1799</v>
      </c>
    </row>
    <row r="802" spans="1:18" x14ac:dyDescent="0.25">
      <c r="A802" s="169">
        <v>43181</v>
      </c>
      <c r="B802" s="115">
        <v>1054.1300000000001</v>
      </c>
      <c r="C802" s="115">
        <v>1047.9100000000001</v>
      </c>
      <c r="D802" s="115">
        <v>1041</v>
      </c>
      <c r="E802" s="115">
        <v>1052.03</v>
      </c>
      <c r="F802" s="115">
        <v>5239.55</v>
      </c>
      <c r="G802">
        <v>80</v>
      </c>
      <c r="H802" s="115"/>
      <c r="I802" s="115"/>
      <c r="L802" s="169">
        <v>43182</v>
      </c>
      <c r="M802" s="115">
        <v>1041.72</v>
      </c>
      <c r="N802" s="115">
        <v>1063</v>
      </c>
      <c r="O802" s="115">
        <v>1031</v>
      </c>
      <c r="P802" s="115">
        <v>1063</v>
      </c>
      <c r="Q802" s="115">
        <v>5208.6000000000004</v>
      </c>
      <c r="R802">
        <v>1666</v>
      </c>
    </row>
    <row r="803" spans="1:18" x14ac:dyDescent="0.25">
      <c r="A803" s="169">
        <v>43182</v>
      </c>
      <c r="B803" s="115">
        <v>1097.3599999999999</v>
      </c>
      <c r="C803" s="115">
        <v>1057.72</v>
      </c>
      <c r="D803" s="115">
        <v>1040.2</v>
      </c>
      <c r="E803" s="115">
        <v>1046</v>
      </c>
      <c r="F803" s="115">
        <v>5288.6</v>
      </c>
      <c r="G803">
        <v>187</v>
      </c>
      <c r="H803" s="115"/>
      <c r="I803" s="115"/>
      <c r="L803" s="169">
        <v>43185</v>
      </c>
      <c r="M803" s="115">
        <v>1039.99</v>
      </c>
      <c r="N803" s="115">
        <v>1059</v>
      </c>
      <c r="O803" s="115">
        <v>1034.99</v>
      </c>
      <c r="P803" s="115">
        <v>1042.2</v>
      </c>
      <c r="Q803" s="115">
        <v>5199.95</v>
      </c>
      <c r="R803">
        <v>2246</v>
      </c>
    </row>
    <row r="804" spans="1:18" x14ac:dyDescent="0.25">
      <c r="A804" s="169">
        <v>43185</v>
      </c>
      <c r="B804" s="115">
        <v>1074.17</v>
      </c>
      <c r="C804" s="115">
        <v>1040</v>
      </c>
      <c r="D804" s="115">
        <v>1030</v>
      </c>
      <c r="E804" s="115">
        <v>1074.17</v>
      </c>
      <c r="F804" s="115">
        <v>5200</v>
      </c>
      <c r="G804">
        <v>216</v>
      </c>
      <c r="H804" s="115"/>
      <c r="I804" s="115"/>
      <c r="L804" s="169">
        <v>43186</v>
      </c>
      <c r="M804" s="115">
        <v>1028.8699999999999</v>
      </c>
      <c r="N804" s="115">
        <v>1069.5999999999999</v>
      </c>
      <c r="O804" s="115">
        <v>1024.2</v>
      </c>
      <c r="P804" s="115">
        <v>1069.5999999999999</v>
      </c>
      <c r="Q804" s="115">
        <v>5144.3500000000004</v>
      </c>
      <c r="R804">
        <v>7199</v>
      </c>
    </row>
    <row r="805" spans="1:18" x14ac:dyDescent="0.25">
      <c r="A805" s="169">
        <v>43186</v>
      </c>
      <c r="B805" s="115">
        <v>1045</v>
      </c>
      <c r="C805" s="115">
        <v>1034.78</v>
      </c>
      <c r="D805" s="115">
        <v>1030</v>
      </c>
      <c r="E805" s="115">
        <v>1042.2</v>
      </c>
      <c r="F805" s="115">
        <v>5173.8999999999996</v>
      </c>
      <c r="G805">
        <v>569</v>
      </c>
      <c r="H805" s="115"/>
      <c r="I805" s="115"/>
      <c r="L805" s="169">
        <v>43187</v>
      </c>
      <c r="M805" s="115">
        <v>1040.23</v>
      </c>
      <c r="N805" s="115">
        <v>1046</v>
      </c>
      <c r="O805" s="115">
        <v>1025</v>
      </c>
      <c r="P805" s="115">
        <v>1028.8699999999999</v>
      </c>
      <c r="Q805" s="115">
        <v>5201.1499999999996</v>
      </c>
      <c r="R805">
        <v>1333</v>
      </c>
    </row>
    <row r="806" spans="1:18" x14ac:dyDescent="0.25">
      <c r="A806" s="169">
        <v>43187</v>
      </c>
      <c r="B806" s="115">
        <v>1044</v>
      </c>
      <c r="C806" s="115">
        <v>1033.03</v>
      </c>
      <c r="D806" s="115">
        <v>1030</v>
      </c>
      <c r="E806" s="115">
        <v>1044</v>
      </c>
      <c r="F806" s="115">
        <v>5165.1499999999996</v>
      </c>
      <c r="G806">
        <v>39</v>
      </c>
      <c r="H806" s="115"/>
      <c r="I806" s="115"/>
      <c r="L806" s="169">
        <v>43192</v>
      </c>
      <c r="M806" s="115">
        <v>1101.68</v>
      </c>
      <c r="N806" s="115">
        <v>1118.3699999999999</v>
      </c>
      <c r="O806" s="115">
        <v>1052</v>
      </c>
      <c r="P806" s="115">
        <v>1072</v>
      </c>
      <c r="Q806" s="115">
        <v>5508.4</v>
      </c>
      <c r="R806">
        <v>1515</v>
      </c>
    </row>
    <row r="807" spans="1:18" x14ac:dyDescent="0.25">
      <c r="A807" s="169">
        <v>43192</v>
      </c>
      <c r="B807" s="115">
        <v>1114</v>
      </c>
      <c r="C807" s="115">
        <v>1105.03</v>
      </c>
      <c r="D807" s="115">
        <v>1052</v>
      </c>
      <c r="E807" s="115">
        <v>1066.1300000000001</v>
      </c>
      <c r="F807" s="115">
        <v>5525.15</v>
      </c>
      <c r="G807">
        <v>185</v>
      </c>
      <c r="H807" s="115"/>
      <c r="I807" s="115"/>
      <c r="L807" s="169">
        <v>43193</v>
      </c>
      <c r="M807" s="115">
        <v>1089.92</v>
      </c>
      <c r="N807" s="115">
        <v>1099.99</v>
      </c>
      <c r="O807" s="115">
        <v>1081.32</v>
      </c>
      <c r="P807" s="115">
        <v>1099.99</v>
      </c>
      <c r="Q807" s="115">
        <v>5449.6</v>
      </c>
      <c r="R807">
        <v>1753</v>
      </c>
    </row>
    <row r="808" spans="1:18" x14ac:dyDescent="0.25">
      <c r="A808" s="169">
        <v>43193</v>
      </c>
      <c r="B808" s="115">
        <v>1100</v>
      </c>
      <c r="C808" s="115">
        <v>1095.4000000000001</v>
      </c>
      <c r="D808" s="115">
        <v>1088</v>
      </c>
      <c r="E808" s="115">
        <v>1099.26</v>
      </c>
      <c r="F808" s="115">
        <v>5477</v>
      </c>
      <c r="G808">
        <v>121</v>
      </c>
      <c r="H808" s="115"/>
      <c r="I808" s="115"/>
      <c r="L808" s="169">
        <v>43194</v>
      </c>
      <c r="M808" s="115">
        <v>1080.0899999999999</v>
      </c>
      <c r="N808" s="115">
        <v>1100.01</v>
      </c>
      <c r="O808" s="115">
        <v>1078</v>
      </c>
      <c r="P808" s="115">
        <v>1100</v>
      </c>
      <c r="Q808" s="115">
        <v>5400.45</v>
      </c>
      <c r="R808">
        <v>18083</v>
      </c>
    </row>
    <row r="809" spans="1:18" x14ac:dyDescent="0.25">
      <c r="A809" s="169">
        <v>43194</v>
      </c>
      <c r="B809" s="115">
        <v>1100</v>
      </c>
      <c r="C809" s="115">
        <v>1085.0899999999999</v>
      </c>
      <c r="D809" s="115">
        <v>1082</v>
      </c>
      <c r="E809" s="115">
        <v>1095</v>
      </c>
      <c r="F809" s="115">
        <v>5425.45</v>
      </c>
      <c r="G809">
        <v>174</v>
      </c>
      <c r="H809" s="115"/>
      <c r="I809" s="115"/>
      <c r="L809" s="169">
        <v>43195</v>
      </c>
      <c r="M809" s="115">
        <v>1084.27</v>
      </c>
      <c r="N809" s="115">
        <v>1090.28</v>
      </c>
      <c r="O809" s="115">
        <v>1081.06</v>
      </c>
      <c r="P809" s="115">
        <v>1090.26</v>
      </c>
      <c r="Q809" s="115">
        <v>5421.35</v>
      </c>
      <c r="R809">
        <v>575</v>
      </c>
    </row>
    <row r="810" spans="1:18" x14ac:dyDescent="0.25">
      <c r="A810" s="169">
        <v>43195</v>
      </c>
      <c r="B810" s="115">
        <v>1093</v>
      </c>
      <c r="C810" s="115">
        <v>1086.19</v>
      </c>
      <c r="D810" s="115">
        <v>1085</v>
      </c>
      <c r="E810" s="115">
        <v>1093</v>
      </c>
      <c r="F810" s="115">
        <v>5430.95</v>
      </c>
      <c r="G810">
        <v>108</v>
      </c>
      <c r="H810" s="115"/>
      <c r="I810" s="115"/>
      <c r="L810" s="169">
        <v>43196</v>
      </c>
      <c r="M810" s="115">
        <v>1080.3900000000001</v>
      </c>
      <c r="N810" s="115">
        <v>1095.5999999999999</v>
      </c>
      <c r="O810" s="115">
        <v>1078</v>
      </c>
      <c r="P810" s="115">
        <v>1095.5999999999999</v>
      </c>
      <c r="Q810" s="115">
        <v>5401.95</v>
      </c>
      <c r="R810">
        <v>1586</v>
      </c>
    </row>
    <row r="811" spans="1:18" x14ac:dyDescent="0.25">
      <c r="A811" s="169">
        <v>43196</v>
      </c>
      <c r="B811" s="115">
        <v>1093</v>
      </c>
      <c r="C811" s="115">
        <v>1080.4000000000001</v>
      </c>
      <c r="D811" s="115">
        <v>1080</v>
      </c>
      <c r="E811" s="115">
        <v>1090</v>
      </c>
      <c r="F811" s="115">
        <v>5402</v>
      </c>
      <c r="G811">
        <v>61</v>
      </c>
      <c r="H811" s="115"/>
      <c r="I811" s="115"/>
      <c r="L811" s="169">
        <v>43199</v>
      </c>
      <c r="M811" s="115">
        <v>1059.92</v>
      </c>
      <c r="N811" s="115">
        <v>1089.04</v>
      </c>
      <c r="O811" s="115">
        <v>1054.58</v>
      </c>
      <c r="P811" s="115">
        <v>1088.08</v>
      </c>
      <c r="Q811" s="115">
        <v>5299.6</v>
      </c>
      <c r="R811">
        <v>10526</v>
      </c>
    </row>
    <row r="812" spans="1:18" x14ac:dyDescent="0.25">
      <c r="A812" s="169">
        <v>43199</v>
      </c>
      <c r="B812" s="115">
        <v>1089.4100000000001</v>
      </c>
      <c r="C812" s="115">
        <v>1062.8900000000001</v>
      </c>
      <c r="D812" s="115">
        <v>1059.44</v>
      </c>
      <c r="E812" s="115">
        <v>1076.08</v>
      </c>
      <c r="F812" s="115">
        <v>5314.45</v>
      </c>
      <c r="G812">
        <v>160</v>
      </c>
      <c r="H812" s="115"/>
      <c r="I812" s="115"/>
      <c r="L812" s="169">
        <v>43200</v>
      </c>
      <c r="M812" s="115">
        <v>1062.25</v>
      </c>
      <c r="N812" s="115">
        <v>1074.17</v>
      </c>
      <c r="O812" s="115">
        <v>1056.04</v>
      </c>
      <c r="P812" s="115">
        <v>1068</v>
      </c>
      <c r="Q812" s="115">
        <v>5311.25</v>
      </c>
      <c r="R812">
        <v>1831</v>
      </c>
    </row>
    <row r="813" spans="1:18" x14ac:dyDescent="0.25">
      <c r="A813" s="169">
        <v>43200</v>
      </c>
      <c r="B813" s="115">
        <v>1083.5999999999999</v>
      </c>
      <c r="C813" s="115">
        <v>1066.27</v>
      </c>
      <c r="D813" s="115">
        <v>1057.6099999999999</v>
      </c>
      <c r="E813" s="115">
        <v>1076.79</v>
      </c>
      <c r="F813" s="115">
        <v>5331.35</v>
      </c>
      <c r="G813">
        <v>318</v>
      </c>
      <c r="H813" s="115"/>
      <c r="I813" s="115"/>
      <c r="L813" s="169">
        <v>43201</v>
      </c>
      <c r="M813" s="115">
        <v>1060.3699999999999</v>
      </c>
      <c r="N813" s="115">
        <v>1077.79</v>
      </c>
      <c r="O813" s="115">
        <v>1059</v>
      </c>
      <c r="P813" s="115">
        <v>1077.79</v>
      </c>
      <c r="Q813" s="115">
        <v>5301.85</v>
      </c>
      <c r="R813">
        <v>1241</v>
      </c>
    </row>
    <row r="814" spans="1:18" x14ac:dyDescent="0.25">
      <c r="A814" s="169">
        <v>43201</v>
      </c>
      <c r="B814" s="115">
        <v>1076</v>
      </c>
      <c r="C814" s="115">
        <v>1063.9000000000001</v>
      </c>
      <c r="D814" s="115">
        <v>1057.5999999999999</v>
      </c>
      <c r="E814" s="115">
        <v>1057.5999999999999</v>
      </c>
      <c r="F814" s="115">
        <v>5319.5</v>
      </c>
      <c r="G814">
        <v>43</v>
      </c>
      <c r="H814" s="115"/>
      <c r="I814" s="115"/>
      <c r="L814" s="169">
        <v>43202</v>
      </c>
      <c r="M814" s="115">
        <v>1057.44</v>
      </c>
      <c r="N814" s="115">
        <v>1061.99</v>
      </c>
      <c r="O814" s="115">
        <v>1054</v>
      </c>
      <c r="P814" s="115">
        <v>1060.01</v>
      </c>
      <c r="Q814" s="115">
        <v>5287.2</v>
      </c>
      <c r="R814">
        <v>1438</v>
      </c>
    </row>
    <row r="815" spans="1:18" x14ac:dyDescent="0.25">
      <c r="A815" s="169">
        <v>43202</v>
      </c>
      <c r="B815" s="115">
        <v>1071.4000000000001</v>
      </c>
      <c r="C815" s="115">
        <v>1057.17</v>
      </c>
      <c r="D815" s="115">
        <v>1055</v>
      </c>
      <c r="E815" s="115">
        <v>1071.4000000000001</v>
      </c>
      <c r="F815" s="115">
        <v>5285.85</v>
      </c>
      <c r="G815">
        <v>59</v>
      </c>
      <c r="H815" s="115"/>
      <c r="I815" s="115"/>
      <c r="L815" s="169">
        <v>43203</v>
      </c>
      <c r="M815" s="115">
        <v>1053.04</v>
      </c>
      <c r="N815" s="115">
        <v>1070</v>
      </c>
      <c r="O815" s="115">
        <v>1050</v>
      </c>
      <c r="P815" s="115">
        <v>1057.8</v>
      </c>
      <c r="Q815" s="115">
        <v>5265.2</v>
      </c>
      <c r="R815">
        <v>4175</v>
      </c>
    </row>
    <row r="816" spans="1:18" x14ac:dyDescent="0.25">
      <c r="A816" s="169">
        <v>43203</v>
      </c>
      <c r="B816" s="115">
        <v>1072.99</v>
      </c>
      <c r="C816" s="115">
        <v>1054.5999999999999</v>
      </c>
      <c r="D816" s="115">
        <v>1054</v>
      </c>
      <c r="E816" s="115">
        <v>1072.99</v>
      </c>
      <c r="F816" s="115">
        <v>5273</v>
      </c>
      <c r="G816">
        <v>90</v>
      </c>
      <c r="H816" s="115"/>
      <c r="I816" s="115"/>
      <c r="L816" s="169">
        <v>43206</v>
      </c>
      <c r="M816" s="115">
        <v>1059.8399999999999</v>
      </c>
      <c r="N816" s="115">
        <v>1078.4000000000001</v>
      </c>
      <c r="O816" s="115">
        <v>1052.01</v>
      </c>
      <c r="P816" s="115">
        <v>1078.4000000000001</v>
      </c>
      <c r="Q816" s="115">
        <v>5299.2</v>
      </c>
      <c r="R816">
        <v>949</v>
      </c>
    </row>
    <row r="817" spans="1:18" x14ac:dyDescent="0.25">
      <c r="A817" s="169">
        <v>43206</v>
      </c>
      <c r="B817" s="115">
        <v>1068.2</v>
      </c>
      <c r="C817" s="115">
        <v>1059.25</v>
      </c>
      <c r="D817" s="115">
        <v>1055.6099999999999</v>
      </c>
      <c r="E817" s="115">
        <v>1060</v>
      </c>
      <c r="F817" s="115">
        <v>5296.25</v>
      </c>
      <c r="G817">
        <v>86</v>
      </c>
      <c r="H817" s="115"/>
      <c r="I817" s="115"/>
      <c r="L817" s="169">
        <v>43207</v>
      </c>
      <c r="M817" s="115">
        <v>1059.9100000000001</v>
      </c>
      <c r="N817" s="115">
        <v>1079</v>
      </c>
      <c r="O817" s="115">
        <v>1050.4100000000001</v>
      </c>
      <c r="P817" s="115">
        <v>1063.9000000000001</v>
      </c>
      <c r="Q817" s="115">
        <v>5299.55</v>
      </c>
      <c r="R817">
        <v>10404</v>
      </c>
    </row>
    <row r="818" spans="1:18" x14ac:dyDescent="0.25">
      <c r="A818" s="169">
        <v>43207</v>
      </c>
      <c r="B818" s="115">
        <v>1065</v>
      </c>
      <c r="C818" s="115">
        <v>1060.33</v>
      </c>
      <c r="D818" s="115">
        <v>1055</v>
      </c>
      <c r="E818" s="115">
        <v>1060</v>
      </c>
      <c r="F818" s="115">
        <v>5301.65</v>
      </c>
      <c r="G818">
        <v>265</v>
      </c>
      <c r="H818" s="115"/>
      <c r="I818" s="115"/>
      <c r="L818" s="169">
        <v>43208</v>
      </c>
      <c r="M818" s="115">
        <v>1052.17</v>
      </c>
      <c r="N818" s="115">
        <v>1075.3499999999999</v>
      </c>
      <c r="O818" s="115">
        <v>1050.6199999999999</v>
      </c>
      <c r="P818" s="115">
        <v>1060.05</v>
      </c>
      <c r="Q818" s="115">
        <v>5260.85</v>
      </c>
      <c r="R818">
        <v>9878</v>
      </c>
    </row>
    <row r="819" spans="1:18" x14ac:dyDescent="0.25">
      <c r="A819" s="169">
        <v>43208</v>
      </c>
      <c r="B819" s="115">
        <v>1078.26</v>
      </c>
      <c r="C819" s="115">
        <v>1055</v>
      </c>
      <c r="D819" s="115">
        <v>1052</v>
      </c>
      <c r="E819" s="115">
        <v>1072.03</v>
      </c>
      <c r="F819" s="115">
        <v>5275</v>
      </c>
      <c r="G819">
        <v>118</v>
      </c>
      <c r="H819" s="115"/>
      <c r="I819" s="115"/>
      <c r="L819" s="169">
        <v>43209</v>
      </c>
      <c r="M819" s="115">
        <v>1059.67</v>
      </c>
      <c r="N819" s="115">
        <v>1060.8</v>
      </c>
      <c r="O819" s="115">
        <v>1052</v>
      </c>
      <c r="P819" s="115">
        <v>1055</v>
      </c>
      <c r="Q819" s="115">
        <v>5298.35</v>
      </c>
      <c r="R819">
        <v>8591</v>
      </c>
    </row>
    <row r="820" spans="1:18" x14ac:dyDescent="0.25">
      <c r="A820" s="169">
        <v>43209</v>
      </c>
      <c r="B820" s="115">
        <v>1067.48</v>
      </c>
      <c r="C820" s="115">
        <v>1060.04</v>
      </c>
      <c r="D820" s="115">
        <v>1055.01</v>
      </c>
      <c r="E820" s="115">
        <v>1060</v>
      </c>
      <c r="F820" s="115">
        <v>5300.2</v>
      </c>
      <c r="G820">
        <v>115</v>
      </c>
      <c r="H820" s="115"/>
      <c r="I820" s="115"/>
      <c r="L820" s="169">
        <v>43210</v>
      </c>
      <c r="M820" s="115">
        <v>1059.98</v>
      </c>
      <c r="N820" s="115">
        <v>1064</v>
      </c>
      <c r="O820" s="115">
        <v>1056</v>
      </c>
      <c r="P820" s="115">
        <v>1060.01</v>
      </c>
      <c r="Q820" s="115">
        <v>5299.9</v>
      </c>
      <c r="R820">
        <v>5338</v>
      </c>
    </row>
    <row r="821" spans="1:18" x14ac:dyDescent="0.25">
      <c r="A821" s="169">
        <v>43210</v>
      </c>
      <c r="B821" s="115">
        <v>1090.92</v>
      </c>
      <c r="C821" s="115">
        <v>1063.23</v>
      </c>
      <c r="D821" s="115">
        <v>1056</v>
      </c>
      <c r="E821" s="115">
        <v>1079.8</v>
      </c>
      <c r="F821" s="115">
        <v>5316.15</v>
      </c>
      <c r="G821">
        <v>8824</v>
      </c>
      <c r="H821" s="115"/>
      <c r="I821" s="115"/>
      <c r="L821" s="169">
        <v>43213</v>
      </c>
      <c r="M821" s="115">
        <v>1059.57</v>
      </c>
      <c r="N821" s="115">
        <v>1070.99</v>
      </c>
      <c r="O821" s="115">
        <v>1050</v>
      </c>
      <c r="P821" s="115">
        <v>1070.99</v>
      </c>
      <c r="Q821" s="115">
        <v>5297.85</v>
      </c>
      <c r="R821">
        <v>3109</v>
      </c>
    </row>
    <row r="822" spans="1:18" x14ac:dyDescent="0.25">
      <c r="A822" s="169">
        <v>43213</v>
      </c>
      <c r="B822" s="115">
        <v>1072.8699999999999</v>
      </c>
      <c r="C822" s="115">
        <v>1062.32</v>
      </c>
      <c r="D822" s="115">
        <v>1052</v>
      </c>
      <c r="E822" s="115">
        <v>1072.8699999999999</v>
      </c>
      <c r="F822" s="115">
        <v>5311.6</v>
      </c>
      <c r="G822">
        <v>236</v>
      </c>
      <c r="H822" s="115"/>
      <c r="I822" s="115"/>
      <c r="L822" s="169">
        <v>43214</v>
      </c>
      <c r="M822" s="115">
        <v>1059.74</v>
      </c>
      <c r="N822" s="115">
        <v>1075.5999999999999</v>
      </c>
      <c r="O822" s="115">
        <v>1056.21</v>
      </c>
      <c r="P822" s="115">
        <v>1069.78</v>
      </c>
      <c r="Q822" s="115">
        <v>5298.7</v>
      </c>
      <c r="R822">
        <v>30813</v>
      </c>
    </row>
    <row r="823" spans="1:18" x14ac:dyDescent="0.25">
      <c r="A823" s="169">
        <v>43214</v>
      </c>
      <c r="B823" s="115">
        <v>1075</v>
      </c>
      <c r="C823" s="115">
        <v>1058.25</v>
      </c>
      <c r="D823" s="115">
        <v>1056</v>
      </c>
      <c r="E823" s="115">
        <v>1063</v>
      </c>
      <c r="F823" s="115">
        <v>5291.25</v>
      </c>
      <c r="G823">
        <v>14328</v>
      </c>
      <c r="H823" s="115"/>
      <c r="I823" s="115"/>
      <c r="L823" s="169">
        <v>43215</v>
      </c>
      <c r="M823" s="115">
        <v>1060.0899999999999</v>
      </c>
      <c r="N823" s="115">
        <v>1074.8</v>
      </c>
      <c r="O823" s="115">
        <v>1058.02</v>
      </c>
      <c r="P823" s="115">
        <v>1066.9000000000001</v>
      </c>
      <c r="Q823" s="115">
        <v>5300.45</v>
      </c>
      <c r="R823">
        <v>29490</v>
      </c>
    </row>
    <row r="824" spans="1:18" x14ac:dyDescent="0.25">
      <c r="A824" s="169">
        <v>43215</v>
      </c>
      <c r="B824" s="115">
        <v>1092.5899999999999</v>
      </c>
      <c r="C824" s="115">
        <v>1063.7</v>
      </c>
      <c r="D824" s="115">
        <v>1057.01</v>
      </c>
      <c r="E824" s="115">
        <v>1070.21</v>
      </c>
      <c r="F824" s="115">
        <v>5318.5</v>
      </c>
      <c r="G824">
        <v>25155</v>
      </c>
      <c r="H824" s="115"/>
      <c r="I824" s="115"/>
      <c r="L824" s="169">
        <v>43216</v>
      </c>
      <c r="M824" s="115">
        <v>1075.04</v>
      </c>
      <c r="N824" s="115">
        <v>1080.01</v>
      </c>
      <c r="O824" s="115">
        <v>1061.94</v>
      </c>
      <c r="P824" s="115">
        <v>1069.6400000000001</v>
      </c>
      <c r="Q824" s="115">
        <v>5375.2</v>
      </c>
      <c r="R824">
        <v>1552</v>
      </c>
    </row>
    <row r="825" spans="1:18" x14ac:dyDescent="0.25">
      <c r="A825" s="169">
        <v>43216</v>
      </c>
      <c r="B825" s="115">
        <v>1093.99</v>
      </c>
      <c r="C825" s="115">
        <v>1080</v>
      </c>
      <c r="D825" s="115">
        <v>1066.49</v>
      </c>
      <c r="E825" s="115">
        <v>1093.99</v>
      </c>
      <c r="F825" s="115">
        <v>5400</v>
      </c>
      <c r="G825">
        <v>103</v>
      </c>
      <c r="H825" s="115"/>
      <c r="I825" s="115"/>
      <c r="L825" s="169">
        <v>43217</v>
      </c>
      <c r="M825" s="115">
        <v>1070.75</v>
      </c>
      <c r="N825" s="115">
        <v>1085</v>
      </c>
      <c r="O825" s="115">
        <v>1066.5999999999999</v>
      </c>
      <c r="P825" s="115">
        <v>1070.78</v>
      </c>
      <c r="Q825" s="115">
        <v>5353.75</v>
      </c>
      <c r="R825">
        <v>8285</v>
      </c>
    </row>
    <row r="826" spans="1:18" x14ac:dyDescent="0.25">
      <c r="A826" s="169">
        <v>43217</v>
      </c>
      <c r="B826" s="115">
        <v>1086.73</v>
      </c>
      <c r="C826" s="115">
        <v>1073.55</v>
      </c>
      <c r="D826" s="115">
        <v>1068.2</v>
      </c>
      <c r="E826" s="115">
        <v>1080</v>
      </c>
      <c r="F826" s="115">
        <v>5367.75</v>
      </c>
      <c r="G826">
        <v>22</v>
      </c>
      <c r="H826" s="115"/>
      <c r="I826" s="115"/>
      <c r="L826" s="169">
        <v>43220</v>
      </c>
      <c r="M826" s="115">
        <v>1073.68</v>
      </c>
      <c r="N826" s="115">
        <v>1084.8599999999999</v>
      </c>
      <c r="O826" s="115">
        <v>1067.48</v>
      </c>
      <c r="P826" s="115">
        <v>1073.1500000000001</v>
      </c>
      <c r="Q826" s="115">
        <v>5368.4</v>
      </c>
      <c r="R826">
        <v>1509</v>
      </c>
    </row>
    <row r="827" spans="1:18" x14ac:dyDescent="0.25">
      <c r="A827" s="169">
        <v>43220</v>
      </c>
      <c r="B827" s="115">
        <v>1080</v>
      </c>
      <c r="C827" s="115">
        <v>1080</v>
      </c>
      <c r="D827" s="115">
        <v>1067.8699999999999</v>
      </c>
      <c r="E827" s="115">
        <v>1075.68</v>
      </c>
      <c r="F827" s="115">
        <v>5400</v>
      </c>
      <c r="G827">
        <v>41</v>
      </c>
      <c r="H827" s="115"/>
      <c r="I827" s="115"/>
      <c r="L827" s="169">
        <v>43222</v>
      </c>
      <c r="M827" s="115">
        <v>1061.08</v>
      </c>
      <c r="N827" s="115">
        <v>1086</v>
      </c>
      <c r="O827" s="115">
        <v>1058.43</v>
      </c>
      <c r="P827" s="115">
        <v>1073</v>
      </c>
      <c r="Q827" s="115">
        <v>5305.4</v>
      </c>
      <c r="R827">
        <v>7376</v>
      </c>
    </row>
    <row r="828" spans="1:18" x14ac:dyDescent="0.25">
      <c r="A828" s="169">
        <v>43222</v>
      </c>
      <c r="B828" s="115">
        <v>1088.4000000000001</v>
      </c>
      <c r="C828" s="115">
        <v>1065.5899999999999</v>
      </c>
      <c r="D828" s="115">
        <v>1062</v>
      </c>
      <c r="E828" s="115">
        <v>1074</v>
      </c>
      <c r="F828" s="115">
        <v>5327.95</v>
      </c>
      <c r="G828">
        <v>194</v>
      </c>
      <c r="H828" s="115"/>
      <c r="I828" s="115"/>
      <c r="L828" s="169">
        <v>43223</v>
      </c>
      <c r="M828" s="115">
        <v>1067.98</v>
      </c>
      <c r="N828" s="115">
        <v>1080</v>
      </c>
      <c r="O828" s="115">
        <v>1064.1300000000001</v>
      </c>
      <c r="P828" s="115">
        <v>1068.8399999999999</v>
      </c>
      <c r="Q828" s="115">
        <v>5339.9</v>
      </c>
      <c r="R828">
        <v>792</v>
      </c>
    </row>
    <row r="829" spans="1:18" x14ac:dyDescent="0.25">
      <c r="A829" s="169">
        <v>43223</v>
      </c>
      <c r="B829" s="115">
        <v>1081.99</v>
      </c>
      <c r="C829" s="115">
        <v>1067.6300000000001</v>
      </c>
      <c r="D829" s="115">
        <v>1064.23</v>
      </c>
      <c r="E829" s="115">
        <v>1076.07</v>
      </c>
      <c r="F829" s="115">
        <v>5338.15</v>
      </c>
      <c r="G829">
        <v>25100</v>
      </c>
      <c r="H829" s="115"/>
      <c r="I829" s="115"/>
      <c r="L829" s="169">
        <v>43224</v>
      </c>
      <c r="M829" s="115">
        <v>1079.5899999999999</v>
      </c>
      <c r="N829" s="115">
        <v>1086.02</v>
      </c>
      <c r="O829" s="115">
        <v>1069</v>
      </c>
      <c r="P829" s="115">
        <v>1079.8</v>
      </c>
      <c r="Q829" s="115">
        <v>5397.95</v>
      </c>
      <c r="R829">
        <v>2996</v>
      </c>
    </row>
    <row r="830" spans="1:18" x14ac:dyDescent="0.25">
      <c r="A830" s="169">
        <v>43224</v>
      </c>
      <c r="B830" s="115">
        <v>1088</v>
      </c>
      <c r="C830" s="115">
        <v>1079.32</v>
      </c>
      <c r="D830" s="115">
        <v>1072</v>
      </c>
      <c r="E830" s="115">
        <v>1082.01</v>
      </c>
      <c r="F830" s="115">
        <v>5396.6</v>
      </c>
      <c r="G830">
        <v>241</v>
      </c>
      <c r="H830" s="115"/>
      <c r="I830" s="115"/>
      <c r="L830" s="169">
        <v>43227</v>
      </c>
      <c r="M830" s="115">
        <v>1079.96</v>
      </c>
      <c r="N830" s="115">
        <v>1086</v>
      </c>
      <c r="O830" s="115">
        <v>1074.4000000000001</v>
      </c>
      <c r="P830" s="115">
        <v>1084</v>
      </c>
      <c r="Q830" s="115">
        <v>5399.8</v>
      </c>
      <c r="R830">
        <v>1556</v>
      </c>
    </row>
    <row r="831" spans="1:18" x14ac:dyDescent="0.25">
      <c r="A831" s="169">
        <v>43227</v>
      </c>
      <c r="B831" s="115">
        <v>1085</v>
      </c>
      <c r="C831" s="115">
        <v>1082.45</v>
      </c>
      <c r="D831" s="115">
        <v>1074.4100000000001</v>
      </c>
      <c r="E831" s="115">
        <v>1079.2</v>
      </c>
      <c r="F831" s="115">
        <v>5412.25</v>
      </c>
      <c r="G831">
        <v>43</v>
      </c>
      <c r="H831" s="115"/>
      <c r="I831" s="115"/>
      <c r="L831" s="169">
        <v>43228</v>
      </c>
      <c r="M831" s="115">
        <v>1079.6199999999999</v>
      </c>
      <c r="N831" s="115">
        <v>1080.01</v>
      </c>
      <c r="O831" s="115">
        <v>1073.2</v>
      </c>
      <c r="P831" s="115">
        <v>1080</v>
      </c>
      <c r="Q831" s="115">
        <v>5398.1</v>
      </c>
      <c r="R831">
        <v>4601</v>
      </c>
    </row>
    <row r="832" spans="1:18" x14ac:dyDescent="0.25">
      <c r="A832" s="169">
        <v>43228</v>
      </c>
      <c r="B832" s="115">
        <v>1080</v>
      </c>
      <c r="C832" s="115">
        <v>1078.4000000000001</v>
      </c>
      <c r="D832" s="115">
        <v>1074.01</v>
      </c>
      <c r="E832" s="115">
        <v>1080</v>
      </c>
      <c r="F832" s="115">
        <v>5392</v>
      </c>
      <c r="G832">
        <v>82</v>
      </c>
      <c r="H832" s="115"/>
      <c r="I832" s="115"/>
      <c r="L832" s="169">
        <v>43229</v>
      </c>
      <c r="M832" s="115">
        <v>1073.33</v>
      </c>
      <c r="N832" s="115">
        <v>1080</v>
      </c>
      <c r="O832" s="115">
        <v>1050.5999999999999</v>
      </c>
      <c r="P832" s="115">
        <v>1076</v>
      </c>
      <c r="Q832" s="115">
        <v>5366.65</v>
      </c>
      <c r="R832">
        <v>11526</v>
      </c>
    </row>
    <row r="833" spans="1:18" x14ac:dyDescent="0.25">
      <c r="A833" s="169">
        <v>43229</v>
      </c>
      <c r="B833" s="115">
        <v>1080</v>
      </c>
      <c r="C833" s="115">
        <v>1077.46</v>
      </c>
      <c r="D833" s="115">
        <v>1054.32</v>
      </c>
      <c r="E833" s="115">
        <v>1076.2</v>
      </c>
      <c r="F833" s="115">
        <v>5387.3</v>
      </c>
      <c r="G833">
        <v>353</v>
      </c>
      <c r="H833" s="115"/>
      <c r="I833" s="115"/>
      <c r="L833" s="169">
        <v>43230</v>
      </c>
      <c r="M833" s="115">
        <v>1060.19</v>
      </c>
      <c r="N833" s="115">
        <v>1075.3900000000001</v>
      </c>
      <c r="O833" s="115">
        <v>1054.22</v>
      </c>
      <c r="P833" s="115">
        <v>1063.2</v>
      </c>
      <c r="Q833" s="115">
        <v>5300.95</v>
      </c>
      <c r="R833">
        <v>3795</v>
      </c>
    </row>
    <row r="834" spans="1:18" x14ac:dyDescent="0.25">
      <c r="A834" s="169">
        <v>43230</v>
      </c>
      <c r="B834" s="115">
        <v>1077.21</v>
      </c>
      <c r="C834" s="115">
        <v>1065.8800000000001</v>
      </c>
      <c r="D834" s="115">
        <v>1056.27</v>
      </c>
      <c r="E834" s="115">
        <v>1077.21</v>
      </c>
      <c r="F834" s="115">
        <v>5329.4</v>
      </c>
      <c r="G834">
        <v>95</v>
      </c>
      <c r="H834" s="115"/>
      <c r="I834" s="115"/>
      <c r="L834" s="169">
        <v>43231</v>
      </c>
      <c r="M834" s="115">
        <v>1060.3399999999999</v>
      </c>
      <c r="N834" s="115">
        <v>1080</v>
      </c>
      <c r="O834" s="115">
        <v>1053.27</v>
      </c>
      <c r="P834" s="115">
        <v>1080</v>
      </c>
      <c r="Q834" s="115">
        <v>5301.7</v>
      </c>
      <c r="R834">
        <v>3926</v>
      </c>
    </row>
    <row r="835" spans="1:18" x14ac:dyDescent="0.25">
      <c r="A835" s="169">
        <v>43231</v>
      </c>
      <c r="B835" s="115">
        <v>1076.83</v>
      </c>
      <c r="C835" s="115">
        <v>1060.01</v>
      </c>
      <c r="D835" s="115">
        <v>1057.01</v>
      </c>
      <c r="E835" s="115">
        <v>1057.01</v>
      </c>
      <c r="F835" s="115">
        <v>5300.05</v>
      </c>
      <c r="G835">
        <v>99</v>
      </c>
      <c r="H835" s="115"/>
      <c r="I835" s="115"/>
      <c r="L835" s="169">
        <v>43234</v>
      </c>
      <c r="M835" s="115">
        <v>1059.99</v>
      </c>
      <c r="N835" s="115">
        <v>1066.92</v>
      </c>
      <c r="O835" s="115">
        <v>1056.01</v>
      </c>
      <c r="P835" s="115">
        <v>1066.72</v>
      </c>
      <c r="Q835" s="115">
        <v>5299.95</v>
      </c>
      <c r="R835">
        <v>9842</v>
      </c>
    </row>
    <row r="836" spans="1:18" x14ac:dyDescent="0.25">
      <c r="A836" s="169">
        <v>43234</v>
      </c>
      <c r="B836" s="115">
        <v>1072</v>
      </c>
      <c r="C836" s="115">
        <v>1058.8699999999999</v>
      </c>
      <c r="D836" s="115">
        <v>1050</v>
      </c>
      <c r="E836" s="115">
        <v>1062</v>
      </c>
      <c r="F836" s="115">
        <v>5294.35</v>
      </c>
      <c r="G836">
        <v>652</v>
      </c>
      <c r="H836" s="115"/>
      <c r="I836" s="115"/>
      <c r="L836" s="169">
        <v>43235</v>
      </c>
      <c r="M836" s="115">
        <v>1059.0999999999999</v>
      </c>
      <c r="N836" s="115">
        <v>1071</v>
      </c>
      <c r="O836" s="115">
        <v>1054.22</v>
      </c>
      <c r="P836" s="115">
        <v>1066</v>
      </c>
      <c r="Q836" s="115">
        <v>5295.5</v>
      </c>
      <c r="R836">
        <v>1045</v>
      </c>
    </row>
    <row r="837" spans="1:18" x14ac:dyDescent="0.25">
      <c r="A837" s="169">
        <v>43235</v>
      </c>
      <c r="B837" s="115">
        <v>1073</v>
      </c>
      <c r="C837" s="115">
        <v>1057.8</v>
      </c>
      <c r="D837" s="115">
        <v>1055.5999999999999</v>
      </c>
      <c r="E837" s="115">
        <v>1073</v>
      </c>
      <c r="F837" s="115">
        <v>5289</v>
      </c>
      <c r="G837">
        <v>28</v>
      </c>
      <c r="H837" s="115"/>
      <c r="I837" s="115"/>
      <c r="L837" s="169">
        <v>43236</v>
      </c>
      <c r="M837" s="115">
        <v>1050.08</v>
      </c>
      <c r="N837" s="115">
        <v>1064</v>
      </c>
      <c r="O837" s="115">
        <v>1048.04</v>
      </c>
      <c r="P837" s="115">
        <v>1058</v>
      </c>
      <c r="Q837" s="115">
        <v>5250.4</v>
      </c>
      <c r="R837">
        <v>2359</v>
      </c>
    </row>
    <row r="838" spans="1:18" x14ac:dyDescent="0.25">
      <c r="A838" s="169">
        <v>43236</v>
      </c>
      <c r="B838" s="115">
        <v>1061</v>
      </c>
      <c r="C838" s="115">
        <v>1051.5</v>
      </c>
      <c r="D838" s="115">
        <v>1047.5999999999999</v>
      </c>
      <c r="E838" s="115">
        <v>1060</v>
      </c>
      <c r="F838" s="115">
        <v>5257.5</v>
      </c>
      <c r="G838">
        <v>298</v>
      </c>
      <c r="H838" s="115"/>
      <c r="I838" s="115"/>
      <c r="L838" s="169">
        <v>43237</v>
      </c>
      <c r="M838" s="115">
        <v>1069.6300000000001</v>
      </c>
      <c r="N838" s="115">
        <v>1088</v>
      </c>
      <c r="O838" s="115">
        <v>1048.2</v>
      </c>
      <c r="P838" s="115">
        <v>1055.94</v>
      </c>
      <c r="Q838" s="115">
        <v>5348.15</v>
      </c>
      <c r="R838">
        <v>14172</v>
      </c>
    </row>
    <row r="839" spans="1:18" x14ac:dyDescent="0.25">
      <c r="A839" s="169">
        <v>43237</v>
      </c>
      <c r="B839" s="115">
        <v>1108.99</v>
      </c>
      <c r="C839" s="115">
        <v>1070.6500000000001</v>
      </c>
      <c r="D839" s="115">
        <v>1056.46</v>
      </c>
      <c r="E839" s="115">
        <v>1057.8</v>
      </c>
      <c r="F839" s="115">
        <v>5353.25</v>
      </c>
      <c r="G839">
        <v>11179</v>
      </c>
      <c r="H839" s="115"/>
      <c r="I839" s="115"/>
      <c r="L839" s="169">
        <v>43238</v>
      </c>
      <c r="M839" s="115">
        <v>1068.28</v>
      </c>
      <c r="N839" s="115">
        <v>1070</v>
      </c>
      <c r="O839" s="115">
        <v>1060</v>
      </c>
      <c r="P839" s="115">
        <v>1070</v>
      </c>
      <c r="Q839" s="115">
        <v>5341.4</v>
      </c>
      <c r="R839">
        <v>2091</v>
      </c>
    </row>
    <row r="840" spans="1:18" x14ac:dyDescent="0.25">
      <c r="A840" s="169">
        <v>43238</v>
      </c>
      <c r="B840" s="115">
        <v>1086.04</v>
      </c>
      <c r="C840" s="115">
        <v>1068.76</v>
      </c>
      <c r="D840" s="115">
        <v>1060.21</v>
      </c>
      <c r="E840" s="115">
        <v>1086.04</v>
      </c>
      <c r="F840" s="115">
        <v>5343.8</v>
      </c>
      <c r="G840">
        <v>191</v>
      </c>
      <c r="H840" s="115"/>
      <c r="I840" s="115"/>
      <c r="L840" s="169">
        <v>43241</v>
      </c>
      <c r="M840" s="115">
        <v>1059.81</v>
      </c>
      <c r="N840" s="115">
        <v>1086</v>
      </c>
      <c r="O840" s="115">
        <v>1050</v>
      </c>
      <c r="P840" s="115">
        <v>1086</v>
      </c>
      <c r="Q840" s="115">
        <v>5299.05</v>
      </c>
      <c r="R840">
        <v>2937</v>
      </c>
    </row>
    <row r="841" spans="1:18" x14ac:dyDescent="0.25">
      <c r="A841" s="169">
        <v>43241</v>
      </c>
      <c r="B841" s="115">
        <v>1080</v>
      </c>
      <c r="C841" s="115">
        <v>1062.82</v>
      </c>
      <c r="D841" s="115">
        <v>1052.5999999999999</v>
      </c>
      <c r="E841" s="115">
        <v>1080</v>
      </c>
      <c r="F841" s="115">
        <v>5314.1</v>
      </c>
      <c r="G841">
        <v>111</v>
      </c>
      <c r="H841" s="115"/>
      <c r="I841" s="115"/>
      <c r="L841" s="169">
        <v>43242</v>
      </c>
      <c r="M841" s="115">
        <v>1064.5999999999999</v>
      </c>
      <c r="N841" s="115">
        <v>1079.5899999999999</v>
      </c>
      <c r="O841" s="115">
        <v>1058.02</v>
      </c>
      <c r="P841" s="115">
        <v>1060</v>
      </c>
      <c r="Q841" s="115">
        <v>5323</v>
      </c>
      <c r="R841">
        <v>25609</v>
      </c>
    </row>
    <row r="842" spans="1:18" x14ac:dyDescent="0.25">
      <c r="A842" s="169">
        <v>43242</v>
      </c>
      <c r="B842" s="115">
        <v>1077</v>
      </c>
      <c r="C842" s="115">
        <v>1058.1400000000001</v>
      </c>
      <c r="D842" s="115">
        <v>1055.1099999999999</v>
      </c>
      <c r="E842" s="115">
        <v>1062.8</v>
      </c>
      <c r="F842" s="115">
        <v>5290.7</v>
      </c>
      <c r="G842">
        <v>296</v>
      </c>
      <c r="H842" s="115"/>
      <c r="I842" s="115"/>
      <c r="L842" s="169">
        <v>43243</v>
      </c>
      <c r="M842" s="115">
        <v>1057.5</v>
      </c>
      <c r="N842" s="115">
        <v>1071.98</v>
      </c>
      <c r="O842" s="115">
        <v>1054</v>
      </c>
      <c r="P842" s="115">
        <v>1071.98</v>
      </c>
      <c r="Q842" s="115">
        <v>5287.5</v>
      </c>
      <c r="R842">
        <v>2786</v>
      </c>
    </row>
    <row r="843" spans="1:18" x14ac:dyDescent="0.25">
      <c r="A843" s="169">
        <v>43243</v>
      </c>
      <c r="B843" s="115">
        <v>1078.79</v>
      </c>
      <c r="C843" s="115">
        <v>1052.52</v>
      </c>
      <c r="D843" s="115">
        <v>1049.99</v>
      </c>
      <c r="E843" s="115">
        <v>1076</v>
      </c>
      <c r="F843" s="115">
        <v>5262.6</v>
      </c>
      <c r="G843">
        <v>922</v>
      </c>
      <c r="H843" s="115"/>
      <c r="I843" s="115"/>
      <c r="L843" s="169">
        <v>43244</v>
      </c>
      <c r="M843" s="115">
        <v>1064.76</v>
      </c>
      <c r="N843" s="115">
        <v>1067.3699999999999</v>
      </c>
      <c r="O843" s="115">
        <v>1054.44</v>
      </c>
      <c r="P843" s="115">
        <v>1058</v>
      </c>
      <c r="Q843" s="115">
        <v>5323.8</v>
      </c>
      <c r="R843">
        <v>13813</v>
      </c>
    </row>
    <row r="844" spans="1:18" x14ac:dyDescent="0.25">
      <c r="A844" s="169">
        <v>43244</v>
      </c>
      <c r="B844" s="115">
        <v>1078</v>
      </c>
      <c r="C844" s="115">
        <v>1061.58</v>
      </c>
      <c r="D844" s="115">
        <v>1040</v>
      </c>
      <c r="E844" s="115">
        <v>1077.99</v>
      </c>
      <c r="F844" s="115">
        <v>5307.9</v>
      </c>
      <c r="G844">
        <v>20715</v>
      </c>
      <c r="H844" s="115"/>
      <c r="I844" s="115"/>
      <c r="L844" s="169">
        <v>43245</v>
      </c>
      <c r="M844" s="115">
        <v>1067.58</v>
      </c>
      <c r="N844" s="115">
        <v>1074.8</v>
      </c>
      <c r="O844" s="115">
        <v>1056.2</v>
      </c>
      <c r="P844" s="115">
        <v>1066.8</v>
      </c>
      <c r="Q844" s="115">
        <v>5337.9</v>
      </c>
      <c r="R844">
        <v>50987</v>
      </c>
    </row>
    <row r="845" spans="1:18" x14ac:dyDescent="0.25">
      <c r="A845" s="169">
        <v>43245</v>
      </c>
      <c r="B845" s="115">
        <v>1084</v>
      </c>
      <c r="C845" s="115">
        <v>1068.25</v>
      </c>
      <c r="D845" s="115">
        <v>1065.01</v>
      </c>
      <c r="E845" s="115">
        <v>1084</v>
      </c>
      <c r="F845" s="115">
        <v>5341.25</v>
      </c>
      <c r="G845">
        <v>115</v>
      </c>
      <c r="H845" s="115"/>
      <c r="I845" s="115"/>
      <c r="L845" s="169">
        <v>43248</v>
      </c>
      <c r="M845" s="115">
        <v>1066.23</v>
      </c>
      <c r="N845" s="115">
        <v>1076</v>
      </c>
      <c r="O845" s="115">
        <v>1056</v>
      </c>
      <c r="P845" s="115">
        <v>1076</v>
      </c>
      <c r="Q845" s="115">
        <v>5331.15</v>
      </c>
      <c r="R845">
        <v>8923</v>
      </c>
    </row>
    <row r="846" spans="1:18" x14ac:dyDescent="0.25">
      <c r="A846" s="169">
        <v>43248</v>
      </c>
      <c r="B846" s="115">
        <v>1098</v>
      </c>
      <c r="C846" s="115">
        <v>1066.44</v>
      </c>
      <c r="D846" s="115">
        <v>1055.5999999999999</v>
      </c>
      <c r="E846" s="115">
        <v>1098</v>
      </c>
      <c r="F846" s="115">
        <v>5332.2</v>
      </c>
      <c r="G846">
        <v>104</v>
      </c>
      <c r="H846" s="115"/>
      <c r="I846" s="115"/>
      <c r="L846" s="169">
        <v>43249</v>
      </c>
      <c r="M846" s="115">
        <v>1059.8699999999999</v>
      </c>
      <c r="N846" s="115">
        <v>1070.01</v>
      </c>
      <c r="O846" s="115">
        <v>1058.02</v>
      </c>
      <c r="P846" s="115">
        <v>1068</v>
      </c>
      <c r="Q846" s="115">
        <v>5299.35</v>
      </c>
      <c r="R846">
        <v>6385</v>
      </c>
    </row>
    <row r="847" spans="1:18" x14ac:dyDescent="0.25">
      <c r="A847" s="169">
        <v>43249</v>
      </c>
      <c r="B847" s="115">
        <v>1090</v>
      </c>
      <c r="C847" s="115">
        <v>1060</v>
      </c>
      <c r="D847" s="115">
        <v>1050</v>
      </c>
      <c r="E847" s="115">
        <v>1090</v>
      </c>
      <c r="F847" s="115">
        <v>5300</v>
      </c>
      <c r="G847">
        <v>129</v>
      </c>
      <c r="H847" s="115"/>
      <c r="I847" s="115"/>
      <c r="L847" s="169">
        <v>43250</v>
      </c>
      <c r="M847" s="115">
        <v>1069.95</v>
      </c>
      <c r="N847" s="115">
        <v>1070.01</v>
      </c>
      <c r="O847" s="115">
        <v>1060.01</v>
      </c>
      <c r="P847" s="115">
        <v>1060.6300000000001</v>
      </c>
      <c r="Q847" s="115">
        <v>5349.75</v>
      </c>
      <c r="R847">
        <v>2557</v>
      </c>
    </row>
    <row r="848" spans="1:18" x14ac:dyDescent="0.25">
      <c r="A848" s="169">
        <v>43250</v>
      </c>
      <c r="B848" s="115">
        <v>1072</v>
      </c>
      <c r="C848" s="115">
        <v>1069.76</v>
      </c>
      <c r="D848" s="115">
        <v>1061.3499999999999</v>
      </c>
      <c r="E848" s="115">
        <v>1072</v>
      </c>
      <c r="F848" s="115">
        <v>5348.8</v>
      </c>
      <c r="G848">
        <v>864</v>
      </c>
      <c r="H848" s="115"/>
      <c r="I848" s="115"/>
      <c r="L848" s="169">
        <v>43251</v>
      </c>
      <c r="M848" s="115">
        <v>1066.3</v>
      </c>
      <c r="N848" s="115">
        <v>1069.98</v>
      </c>
      <c r="O848" s="115">
        <v>1062</v>
      </c>
      <c r="P848" s="115">
        <v>1062.01</v>
      </c>
      <c r="Q848" s="115">
        <v>5331.5</v>
      </c>
      <c r="R848">
        <v>2605</v>
      </c>
    </row>
    <row r="849" spans="1:18" x14ac:dyDescent="0.25">
      <c r="A849" s="169">
        <v>43251</v>
      </c>
      <c r="B849" s="115">
        <v>1074</v>
      </c>
      <c r="C849" s="115">
        <v>1064.97</v>
      </c>
      <c r="D849" s="115">
        <v>1063</v>
      </c>
      <c r="E849" s="115">
        <v>1070</v>
      </c>
      <c r="F849" s="115">
        <v>5324.85</v>
      </c>
      <c r="G849">
        <v>51077</v>
      </c>
      <c r="H849" s="115"/>
      <c r="I849" s="115"/>
      <c r="L849" s="169">
        <v>43252</v>
      </c>
      <c r="M849" s="115">
        <v>1060.46</v>
      </c>
      <c r="N849" s="115">
        <v>1077.5999999999999</v>
      </c>
      <c r="O849" s="115">
        <v>1058</v>
      </c>
      <c r="P849" s="115">
        <v>1077.5999999999999</v>
      </c>
      <c r="Q849" s="115">
        <v>5302.3</v>
      </c>
      <c r="R849">
        <v>4826</v>
      </c>
    </row>
    <row r="850" spans="1:18" x14ac:dyDescent="0.25">
      <c r="A850" s="169">
        <v>43252</v>
      </c>
      <c r="B850" s="115">
        <v>1069</v>
      </c>
      <c r="C850" s="115">
        <v>1065.6600000000001</v>
      </c>
      <c r="D850" s="115">
        <v>1062</v>
      </c>
      <c r="E850" s="115">
        <v>1063</v>
      </c>
      <c r="F850" s="115">
        <v>5328.3</v>
      </c>
      <c r="G850">
        <v>31</v>
      </c>
      <c r="H850" s="115"/>
      <c r="I850" s="115"/>
      <c r="L850" s="169">
        <v>43255</v>
      </c>
      <c r="M850" s="115">
        <v>1082.67</v>
      </c>
      <c r="N850" s="115">
        <v>1099.8</v>
      </c>
      <c r="O850" s="115">
        <v>1062</v>
      </c>
      <c r="P850" s="115">
        <v>1069</v>
      </c>
      <c r="Q850" s="115">
        <v>5413.35</v>
      </c>
      <c r="R850">
        <v>3017</v>
      </c>
    </row>
    <row r="851" spans="1:18" x14ac:dyDescent="0.25">
      <c r="A851" s="169">
        <v>43255</v>
      </c>
      <c r="B851" s="115">
        <v>1092.4100000000001</v>
      </c>
      <c r="C851" s="115">
        <v>1076.83</v>
      </c>
      <c r="D851" s="115">
        <v>1053.01</v>
      </c>
      <c r="E851" s="115">
        <v>1075</v>
      </c>
      <c r="F851" s="115">
        <v>5384.15</v>
      </c>
      <c r="G851">
        <v>248</v>
      </c>
      <c r="H851" s="115"/>
      <c r="I851" s="115"/>
      <c r="L851" s="169">
        <v>43256</v>
      </c>
      <c r="M851" s="115">
        <v>1065.96</v>
      </c>
      <c r="N851" s="115">
        <v>1083.99</v>
      </c>
      <c r="O851" s="115">
        <v>1060</v>
      </c>
      <c r="P851" s="115">
        <v>1083.99</v>
      </c>
      <c r="Q851" s="115">
        <v>5329.8</v>
      </c>
      <c r="R851">
        <v>2181</v>
      </c>
    </row>
    <row r="852" spans="1:18" x14ac:dyDescent="0.25">
      <c r="A852" s="169">
        <v>43256</v>
      </c>
      <c r="B852" s="115">
        <v>1087.9100000000001</v>
      </c>
      <c r="C852" s="115">
        <v>1067.04</v>
      </c>
      <c r="D852" s="115">
        <v>1066</v>
      </c>
      <c r="E852" s="115">
        <v>1087.9100000000001</v>
      </c>
      <c r="F852" s="115">
        <v>5335.2</v>
      </c>
      <c r="G852">
        <v>82</v>
      </c>
      <c r="H852" s="115"/>
      <c r="I852" s="115"/>
      <c r="L852" s="169">
        <v>43257</v>
      </c>
      <c r="M852" s="115">
        <v>1073.19</v>
      </c>
      <c r="N852" s="115">
        <v>1076</v>
      </c>
      <c r="O852" s="115">
        <v>1050.2</v>
      </c>
      <c r="P852" s="115">
        <v>1073</v>
      </c>
      <c r="Q852" s="115">
        <v>5365.95</v>
      </c>
      <c r="R852">
        <v>1541</v>
      </c>
    </row>
    <row r="853" spans="1:18" x14ac:dyDescent="0.25">
      <c r="A853" s="169">
        <v>43257</v>
      </c>
      <c r="B853" s="115">
        <v>1072</v>
      </c>
      <c r="C853" s="115">
        <v>1066.93</v>
      </c>
      <c r="D853" s="115">
        <v>1060</v>
      </c>
      <c r="E853" s="115">
        <v>1060</v>
      </c>
      <c r="F853" s="115">
        <v>5334.65</v>
      </c>
      <c r="G853">
        <v>632</v>
      </c>
      <c r="H853" s="115"/>
      <c r="I853" s="115"/>
      <c r="L853" s="169">
        <v>43258</v>
      </c>
      <c r="M853" s="115">
        <v>1080.92</v>
      </c>
      <c r="N853" s="115">
        <v>1085</v>
      </c>
      <c r="O853" s="115">
        <v>1066</v>
      </c>
      <c r="P853" s="115">
        <v>1079</v>
      </c>
      <c r="Q853" s="115">
        <v>5404.6</v>
      </c>
      <c r="R853">
        <v>3552</v>
      </c>
    </row>
    <row r="854" spans="1:18" x14ac:dyDescent="0.25">
      <c r="A854" s="169">
        <v>43258</v>
      </c>
      <c r="B854" s="115">
        <v>1085</v>
      </c>
      <c r="C854" s="115">
        <v>1082.0999999999999</v>
      </c>
      <c r="D854" s="115">
        <v>1070.29</v>
      </c>
      <c r="E854" s="115">
        <v>1070.29</v>
      </c>
      <c r="F854" s="115">
        <v>5410.5</v>
      </c>
      <c r="G854">
        <v>48</v>
      </c>
      <c r="H854" s="115"/>
      <c r="I854" s="115"/>
      <c r="L854" s="169">
        <v>43259</v>
      </c>
      <c r="M854" s="115">
        <v>1085.26</v>
      </c>
      <c r="N854" s="115">
        <v>1090.8399999999999</v>
      </c>
      <c r="O854" s="115">
        <v>1067.21</v>
      </c>
      <c r="P854" s="115">
        <v>1079.8</v>
      </c>
      <c r="Q854" s="115">
        <v>5426.3</v>
      </c>
      <c r="R854">
        <v>648</v>
      </c>
    </row>
    <row r="855" spans="1:18" x14ac:dyDescent="0.25">
      <c r="A855" s="169">
        <v>43259</v>
      </c>
      <c r="B855" s="115">
        <v>1088</v>
      </c>
      <c r="C855" s="115">
        <v>1085.25</v>
      </c>
      <c r="D855" s="115">
        <v>1077</v>
      </c>
      <c r="E855" s="115">
        <v>1087.6500000000001</v>
      </c>
      <c r="F855" s="115">
        <v>5426.25</v>
      </c>
      <c r="G855">
        <v>6433</v>
      </c>
      <c r="H855" s="115"/>
      <c r="I855" s="115"/>
      <c r="L855" s="169">
        <v>43262</v>
      </c>
      <c r="M855" s="115">
        <v>1097.5899999999999</v>
      </c>
      <c r="N855" s="115">
        <v>1100</v>
      </c>
      <c r="O855" s="115">
        <v>1088</v>
      </c>
      <c r="P855" s="115">
        <v>1090.99</v>
      </c>
      <c r="Q855" s="115">
        <v>5487.95</v>
      </c>
      <c r="R855">
        <v>847</v>
      </c>
    </row>
    <row r="856" spans="1:18" x14ac:dyDescent="0.25">
      <c r="A856" s="169">
        <v>43262</v>
      </c>
      <c r="B856" s="115">
        <v>1100</v>
      </c>
      <c r="C856" s="115">
        <v>1097.94</v>
      </c>
      <c r="D856" s="115">
        <v>1090.28</v>
      </c>
      <c r="E856" s="115">
        <v>1095.99</v>
      </c>
      <c r="F856" s="115">
        <v>5489.7</v>
      </c>
      <c r="G856">
        <v>55</v>
      </c>
      <c r="H856" s="115"/>
      <c r="I856" s="115"/>
      <c r="L856" s="169">
        <v>43263</v>
      </c>
      <c r="M856" s="115">
        <v>1081.05</v>
      </c>
      <c r="N856" s="115">
        <v>1111</v>
      </c>
      <c r="O856" s="115">
        <v>1075.2</v>
      </c>
      <c r="P856" s="115">
        <v>1101.8</v>
      </c>
      <c r="Q856" s="115">
        <v>5405.25</v>
      </c>
      <c r="R856">
        <v>1499</v>
      </c>
    </row>
    <row r="857" spans="1:18" x14ac:dyDescent="0.25">
      <c r="A857" s="169">
        <v>43263</v>
      </c>
      <c r="B857" s="115">
        <v>1111</v>
      </c>
      <c r="C857" s="115">
        <v>1083.73</v>
      </c>
      <c r="D857" s="115">
        <v>1082.21</v>
      </c>
      <c r="E857" s="115">
        <v>1108</v>
      </c>
      <c r="F857" s="115">
        <v>5418.65</v>
      </c>
      <c r="G857">
        <v>164</v>
      </c>
      <c r="H857" s="115"/>
      <c r="I857" s="115"/>
      <c r="L857" s="169">
        <v>43264</v>
      </c>
      <c r="M857" s="115">
        <v>1074.8699999999999</v>
      </c>
      <c r="N857" s="115">
        <v>1083.8499999999999</v>
      </c>
      <c r="O857" s="115">
        <v>1072.01</v>
      </c>
      <c r="P857" s="115">
        <v>1081</v>
      </c>
      <c r="Q857" s="115">
        <v>5374.35</v>
      </c>
      <c r="R857">
        <v>2224</v>
      </c>
    </row>
    <row r="858" spans="1:18" x14ac:dyDescent="0.25">
      <c r="A858" s="169">
        <v>43264</v>
      </c>
      <c r="B858" s="115">
        <v>1087.6099999999999</v>
      </c>
      <c r="C858" s="115">
        <v>1079.3</v>
      </c>
      <c r="D858" s="115">
        <v>1071.1099999999999</v>
      </c>
      <c r="E858" s="115">
        <v>1080.2</v>
      </c>
      <c r="F858" s="115">
        <v>5396.5</v>
      </c>
      <c r="G858">
        <v>152</v>
      </c>
      <c r="H858" s="115"/>
      <c r="I858" s="115"/>
      <c r="L858" s="169">
        <v>43265</v>
      </c>
      <c r="M858" s="115">
        <v>1079.99</v>
      </c>
      <c r="N858" s="115">
        <v>1090.78</v>
      </c>
      <c r="O858" s="115">
        <v>1073.5999999999999</v>
      </c>
      <c r="P858" s="115">
        <v>1073.6099999999999</v>
      </c>
      <c r="Q858" s="115">
        <v>5399.95</v>
      </c>
      <c r="R858">
        <v>5020</v>
      </c>
    </row>
    <row r="859" spans="1:18" x14ac:dyDescent="0.25">
      <c r="A859" s="169">
        <v>43265</v>
      </c>
      <c r="B859" s="115">
        <v>1089.3800000000001</v>
      </c>
      <c r="C859" s="115">
        <v>1080</v>
      </c>
      <c r="D859" s="115">
        <v>1080</v>
      </c>
      <c r="E859" s="115">
        <v>1089.3800000000001</v>
      </c>
      <c r="F859" s="115">
        <v>5400</v>
      </c>
      <c r="G859">
        <v>64</v>
      </c>
      <c r="H859" s="115"/>
      <c r="I859" s="115"/>
      <c r="L859" s="169">
        <v>43266</v>
      </c>
      <c r="M859" s="115">
        <v>1078.17</v>
      </c>
      <c r="N859" s="115">
        <v>1080.2</v>
      </c>
      <c r="O859" s="115">
        <v>1075</v>
      </c>
      <c r="P859" s="115">
        <v>1079.9100000000001</v>
      </c>
      <c r="Q859" s="115">
        <v>5390.85</v>
      </c>
      <c r="R859">
        <v>1099</v>
      </c>
    </row>
    <row r="860" spans="1:18" x14ac:dyDescent="0.25">
      <c r="A860" s="169">
        <v>43266</v>
      </c>
      <c r="B860" s="115">
        <v>1090</v>
      </c>
      <c r="C860" s="115">
        <v>1081.4100000000001</v>
      </c>
      <c r="D860" s="115">
        <v>1076</v>
      </c>
      <c r="E860" s="115">
        <v>1081</v>
      </c>
      <c r="F860" s="115">
        <v>5407.05</v>
      </c>
      <c r="G860">
        <v>202</v>
      </c>
      <c r="H860" s="115"/>
      <c r="I860" s="115"/>
      <c r="L860" s="169">
        <v>43269</v>
      </c>
      <c r="M860" s="115">
        <v>1063.8699999999999</v>
      </c>
      <c r="N860" s="115">
        <v>1098.5899999999999</v>
      </c>
      <c r="O860" s="115">
        <v>1060.2</v>
      </c>
      <c r="P860" s="115">
        <v>1098.5899999999999</v>
      </c>
      <c r="Q860" s="115">
        <v>5319.35</v>
      </c>
      <c r="R860">
        <v>1592</v>
      </c>
    </row>
    <row r="861" spans="1:18" x14ac:dyDescent="0.25">
      <c r="A861" s="169">
        <v>43269</v>
      </c>
      <c r="B861" s="115">
        <v>1084.3699999999999</v>
      </c>
      <c r="C861" s="115">
        <v>1060.8900000000001</v>
      </c>
      <c r="D861" s="115">
        <v>1060</v>
      </c>
      <c r="E861" s="115">
        <v>1084.3699999999999</v>
      </c>
      <c r="F861" s="115">
        <v>5304.45</v>
      </c>
      <c r="G861">
        <v>215</v>
      </c>
      <c r="H861" s="115"/>
      <c r="I861" s="115"/>
      <c r="L861" s="169">
        <v>43270</v>
      </c>
      <c r="M861" s="115">
        <v>1065.75</v>
      </c>
      <c r="N861" s="115">
        <v>1071.67</v>
      </c>
      <c r="O861" s="115">
        <v>1060</v>
      </c>
      <c r="P861" s="115">
        <v>1065</v>
      </c>
      <c r="Q861" s="115">
        <v>5328.75</v>
      </c>
      <c r="R861">
        <v>10281</v>
      </c>
    </row>
    <row r="862" spans="1:18" x14ac:dyDescent="0.25">
      <c r="A862" s="169">
        <v>43270</v>
      </c>
      <c r="B862" s="115">
        <v>1065.2</v>
      </c>
      <c r="C862" s="115">
        <v>1063</v>
      </c>
      <c r="D862" s="115">
        <v>1063</v>
      </c>
      <c r="E862" s="115">
        <v>1065.2</v>
      </c>
      <c r="F862" s="115">
        <v>5315</v>
      </c>
      <c r="G862">
        <v>32</v>
      </c>
      <c r="H862" s="115"/>
      <c r="I862" s="115"/>
      <c r="L862" s="169">
        <v>43271</v>
      </c>
      <c r="M862" s="115">
        <v>1079.98</v>
      </c>
      <c r="N862" s="115">
        <v>1082.5999999999999</v>
      </c>
      <c r="O862" s="115">
        <v>1060.27</v>
      </c>
      <c r="P862" s="115">
        <v>1060.27</v>
      </c>
      <c r="Q862" s="115">
        <v>5399.9</v>
      </c>
      <c r="R862">
        <v>2396</v>
      </c>
    </row>
    <row r="863" spans="1:18" x14ac:dyDescent="0.25">
      <c r="A863" s="169">
        <v>43271</v>
      </c>
      <c r="B863" s="115">
        <v>1080</v>
      </c>
      <c r="C863" s="115">
        <v>1080</v>
      </c>
      <c r="D863" s="115">
        <v>1050</v>
      </c>
      <c r="E863" s="115">
        <v>1050</v>
      </c>
      <c r="F863" s="115">
        <v>5400</v>
      </c>
      <c r="G863">
        <v>143</v>
      </c>
      <c r="H863" s="115"/>
      <c r="I863" s="115"/>
      <c r="L863" s="169">
        <v>43272</v>
      </c>
      <c r="M863" s="115">
        <v>1079.99</v>
      </c>
      <c r="N863" s="115">
        <v>1085</v>
      </c>
      <c r="O863" s="115">
        <v>1065.03</v>
      </c>
      <c r="P863" s="115">
        <v>1065.03</v>
      </c>
      <c r="Q863" s="115">
        <v>5399.95</v>
      </c>
      <c r="R863">
        <v>3924</v>
      </c>
    </row>
    <row r="864" spans="1:18" x14ac:dyDescent="0.25">
      <c r="A864" s="169">
        <v>43272</v>
      </c>
      <c r="B864" s="115">
        <v>1083</v>
      </c>
      <c r="C864" s="115">
        <v>1082.96</v>
      </c>
      <c r="D864" s="115">
        <v>1063.7</v>
      </c>
      <c r="E864" s="115">
        <v>1063.7</v>
      </c>
      <c r="F864" s="115">
        <v>5414.8</v>
      </c>
      <c r="G864">
        <v>2020</v>
      </c>
      <c r="H864" s="115"/>
      <c r="I864" s="115"/>
      <c r="L864" s="169">
        <v>43273</v>
      </c>
      <c r="M864" s="115">
        <v>1068.23</v>
      </c>
      <c r="N864" s="115">
        <v>1080.2</v>
      </c>
      <c r="O864" s="115">
        <v>1066.21</v>
      </c>
      <c r="P864" s="115">
        <v>1080.2</v>
      </c>
      <c r="Q864" s="115">
        <v>5341.15</v>
      </c>
      <c r="R864">
        <v>840</v>
      </c>
    </row>
    <row r="865" spans="1:18" x14ac:dyDescent="0.25">
      <c r="A865" s="169">
        <v>43273</v>
      </c>
      <c r="B865" s="115">
        <v>1082</v>
      </c>
      <c r="C865" s="115">
        <v>1066.3900000000001</v>
      </c>
      <c r="D865" s="115">
        <v>1060.21</v>
      </c>
      <c r="E865" s="115">
        <v>1082</v>
      </c>
      <c r="F865" s="115">
        <v>5331.95</v>
      </c>
      <c r="G865">
        <v>118</v>
      </c>
      <c r="H865" s="115"/>
      <c r="I865" s="115"/>
      <c r="L865" s="169">
        <v>43276</v>
      </c>
      <c r="M865" s="115">
        <v>1064.8499999999999</v>
      </c>
      <c r="N865" s="115">
        <v>1074.74</v>
      </c>
      <c r="O865" s="115">
        <v>1062.5999999999999</v>
      </c>
      <c r="P865" s="115">
        <v>1065.2</v>
      </c>
      <c r="Q865" s="115">
        <v>5324.25</v>
      </c>
      <c r="R865">
        <v>4725</v>
      </c>
    </row>
    <row r="866" spans="1:18" x14ac:dyDescent="0.25">
      <c r="A866" s="169">
        <v>43276</v>
      </c>
      <c r="B866" s="115">
        <v>1075.6600000000001</v>
      </c>
      <c r="C866" s="115">
        <v>1059.3399999999999</v>
      </c>
      <c r="D866" s="115">
        <v>1050</v>
      </c>
      <c r="E866" s="115">
        <v>1067</v>
      </c>
      <c r="F866" s="115">
        <v>5296.7</v>
      </c>
      <c r="G866">
        <v>25</v>
      </c>
      <c r="H866" s="115"/>
      <c r="I866" s="115"/>
      <c r="L866" s="169">
        <v>43277</v>
      </c>
      <c r="M866" s="115">
        <v>1068.98</v>
      </c>
      <c r="N866" s="115">
        <v>1070.8</v>
      </c>
      <c r="O866" s="115">
        <v>1064.01</v>
      </c>
      <c r="P866" s="115">
        <v>1064.01</v>
      </c>
      <c r="Q866" s="115">
        <v>5344.9</v>
      </c>
      <c r="R866">
        <v>879</v>
      </c>
    </row>
    <row r="867" spans="1:18" x14ac:dyDescent="0.25">
      <c r="A867" s="169">
        <v>43277</v>
      </c>
      <c r="B867" s="115">
        <v>1100</v>
      </c>
      <c r="C867" s="115">
        <v>1066.78</v>
      </c>
      <c r="D867" s="115">
        <v>1063.04</v>
      </c>
      <c r="E867" s="115">
        <v>1100</v>
      </c>
      <c r="F867" s="115">
        <v>5333.9</v>
      </c>
      <c r="G867">
        <v>5</v>
      </c>
      <c r="H867" s="115"/>
      <c r="I867" s="115"/>
      <c r="L867" s="169">
        <v>43278</v>
      </c>
      <c r="M867" s="115">
        <v>1059.95</v>
      </c>
      <c r="N867" s="115">
        <v>1090</v>
      </c>
      <c r="O867" s="115">
        <v>1041.06</v>
      </c>
      <c r="P867" s="115">
        <v>1066</v>
      </c>
      <c r="Q867" s="115">
        <v>5299.75</v>
      </c>
      <c r="R867">
        <v>15666</v>
      </c>
    </row>
    <row r="868" spans="1:18" x14ac:dyDescent="0.25">
      <c r="A868" s="169">
        <v>43278</v>
      </c>
      <c r="B868" s="115">
        <v>1074.94</v>
      </c>
      <c r="C868" s="115">
        <v>1055.9100000000001</v>
      </c>
      <c r="D868" s="115">
        <v>1044.4100000000001</v>
      </c>
      <c r="E868" s="115">
        <v>1062.23</v>
      </c>
      <c r="F868" s="115">
        <v>5279.55</v>
      </c>
      <c r="G868">
        <v>129</v>
      </c>
      <c r="H868" s="115"/>
      <c r="I868" s="115"/>
      <c r="L868" s="169">
        <v>43279</v>
      </c>
      <c r="M868" s="115">
        <v>1060.07</v>
      </c>
      <c r="N868" s="115">
        <v>1080.01</v>
      </c>
      <c r="O868" s="115">
        <v>1057.01</v>
      </c>
      <c r="P868" s="115">
        <v>1073.99</v>
      </c>
      <c r="Q868" s="115">
        <v>5300.35</v>
      </c>
      <c r="R868">
        <v>12542</v>
      </c>
    </row>
    <row r="869" spans="1:18" x14ac:dyDescent="0.25">
      <c r="A869" s="169">
        <v>43279</v>
      </c>
      <c r="B869" s="115">
        <v>1080</v>
      </c>
      <c r="C869" s="115">
        <v>1065.1600000000001</v>
      </c>
      <c r="D869" s="115">
        <v>1060.2</v>
      </c>
      <c r="E869" s="115">
        <v>1069</v>
      </c>
      <c r="F869" s="115">
        <v>5325.8</v>
      </c>
      <c r="G869">
        <v>137</v>
      </c>
      <c r="H869" s="115"/>
      <c r="I869" s="115"/>
      <c r="L869" s="169">
        <v>43280</v>
      </c>
      <c r="M869" s="115">
        <v>1110.72</v>
      </c>
      <c r="N869" s="115">
        <v>1124.05</v>
      </c>
      <c r="O869" s="115">
        <v>1063</v>
      </c>
      <c r="P869" s="115">
        <v>1063</v>
      </c>
      <c r="Q869" s="115">
        <v>5553.6</v>
      </c>
      <c r="R869">
        <v>2440</v>
      </c>
    </row>
    <row r="870" spans="1:18" x14ac:dyDescent="0.25">
      <c r="A870" s="169">
        <v>43280</v>
      </c>
      <c r="B870" s="115">
        <v>1130</v>
      </c>
      <c r="C870" s="115">
        <v>1106.28</v>
      </c>
      <c r="D870" s="115">
        <v>1083.42</v>
      </c>
      <c r="E870" s="115">
        <v>1086</v>
      </c>
      <c r="F870" s="115">
        <v>5531.4</v>
      </c>
      <c r="G870">
        <v>334</v>
      </c>
      <c r="H870" s="115"/>
      <c r="I870" s="115"/>
      <c r="L870" s="169">
        <v>43283</v>
      </c>
      <c r="M870" s="115">
        <v>1107.6600000000001</v>
      </c>
      <c r="N870" s="115">
        <v>1125</v>
      </c>
      <c r="O870" s="115">
        <v>1085.95</v>
      </c>
      <c r="P870" s="115">
        <v>1115.8</v>
      </c>
      <c r="Q870" s="115">
        <v>5538.3</v>
      </c>
      <c r="R870">
        <v>1439</v>
      </c>
    </row>
    <row r="871" spans="1:18" x14ac:dyDescent="0.25">
      <c r="A871" s="169">
        <v>43283</v>
      </c>
      <c r="B871" s="115">
        <v>1139.99</v>
      </c>
      <c r="C871" s="115">
        <v>1105.04</v>
      </c>
      <c r="D871" s="115">
        <v>1090.21</v>
      </c>
      <c r="E871" s="115">
        <v>1139.99</v>
      </c>
      <c r="F871" s="115">
        <v>5525.2</v>
      </c>
      <c r="G871">
        <v>158</v>
      </c>
      <c r="H871" s="115"/>
      <c r="I871" s="115"/>
      <c r="L871" s="169">
        <v>43284</v>
      </c>
      <c r="M871" s="115">
        <v>1110.6600000000001</v>
      </c>
      <c r="N871" s="115">
        <v>1117.8900000000001</v>
      </c>
      <c r="O871" s="115">
        <v>1072.4000000000001</v>
      </c>
      <c r="P871" s="115">
        <v>1117.8900000000001</v>
      </c>
      <c r="Q871" s="115">
        <v>5553.3</v>
      </c>
      <c r="R871">
        <v>1100</v>
      </c>
    </row>
    <row r="872" spans="1:18" x14ac:dyDescent="0.25">
      <c r="A872" s="169">
        <v>43284</v>
      </c>
      <c r="B872" s="115">
        <v>1112</v>
      </c>
      <c r="C872" s="115">
        <v>1105.53</v>
      </c>
      <c r="D872" s="115">
        <v>1068.9000000000001</v>
      </c>
      <c r="E872" s="115">
        <v>1090</v>
      </c>
      <c r="F872" s="115">
        <v>5527.65</v>
      </c>
      <c r="G872">
        <v>561</v>
      </c>
      <c r="H872" s="115"/>
      <c r="I872" s="115"/>
      <c r="L872" s="169">
        <v>43285</v>
      </c>
      <c r="M872" s="115">
        <v>1095.83</v>
      </c>
      <c r="N872" s="115">
        <v>1112.99</v>
      </c>
      <c r="O872" s="115">
        <v>1090</v>
      </c>
      <c r="P872" s="115">
        <v>1110.6500000000001</v>
      </c>
      <c r="Q872" s="115">
        <v>5479.15</v>
      </c>
      <c r="R872">
        <v>291</v>
      </c>
    </row>
    <row r="873" spans="1:18" x14ac:dyDescent="0.25">
      <c r="A873" s="169">
        <v>43285</v>
      </c>
      <c r="B873" s="115">
        <v>1112.44</v>
      </c>
      <c r="C873" s="115">
        <v>1103.99</v>
      </c>
      <c r="D873" s="115">
        <v>1094.0899999999999</v>
      </c>
      <c r="E873" s="115">
        <v>1095</v>
      </c>
      <c r="F873" s="115">
        <v>5519.95</v>
      </c>
      <c r="G873">
        <v>23</v>
      </c>
      <c r="H873" s="115"/>
      <c r="I873" s="115"/>
      <c r="L873" s="169">
        <v>43286</v>
      </c>
      <c r="M873" s="115">
        <v>1080.99</v>
      </c>
      <c r="N873" s="115">
        <v>1107.5999999999999</v>
      </c>
      <c r="O873" s="115">
        <v>1070.67</v>
      </c>
      <c r="P873" s="115">
        <v>1107.5999999999999</v>
      </c>
      <c r="Q873" s="115">
        <v>5404.95</v>
      </c>
      <c r="R873">
        <v>7751</v>
      </c>
    </row>
    <row r="874" spans="1:18" x14ac:dyDescent="0.25">
      <c r="A874" s="169">
        <v>43286</v>
      </c>
      <c r="B874" s="115">
        <v>1085.3</v>
      </c>
      <c r="C874" s="115">
        <v>1073.5</v>
      </c>
      <c r="D874" s="115">
        <v>1061</v>
      </c>
      <c r="E874" s="115">
        <v>1082.3699999999999</v>
      </c>
      <c r="F874" s="115">
        <v>5367.5</v>
      </c>
      <c r="G874">
        <v>122</v>
      </c>
      <c r="H874" s="115"/>
      <c r="I874" s="115"/>
      <c r="L874" s="169">
        <v>43287</v>
      </c>
      <c r="M874" s="115">
        <v>1099.6199999999999</v>
      </c>
      <c r="N874" s="115">
        <v>1109.8</v>
      </c>
      <c r="O874" s="115">
        <v>1080.02</v>
      </c>
      <c r="P874" s="115">
        <v>1081.5999999999999</v>
      </c>
      <c r="Q874" s="115">
        <v>5498.1</v>
      </c>
      <c r="R874">
        <v>2153</v>
      </c>
    </row>
    <row r="875" spans="1:18" x14ac:dyDescent="0.25">
      <c r="A875" s="169">
        <v>43287</v>
      </c>
      <c r="B875" s="115">
        <v>1111.8699999999999</v>
      </c>
      <c r="C875" s="115">
        <v>1094.3599999999999</v>
      </c>
      <c r="D875" s="115">
        <v>1061</v>
      </c>
      <c r="E875" s="115">
        <v>1090</v>
      </c>
      <c r="F875" s="115">
        <v>5471.8</v>
      </c>
      <c r="G875">
        <v>371</v>
      </c>
      <c r="H875" s="115"/>
      <c r="I875" s="115"/>
      <c r="L875" s="169">
        <v>43290</v>
      </c>
      <c r="M875" s="115">
        <v>1101.54</v>
      </c>
      <c r="N875" s="115">
        <v>1109.8</v>
      </c>
      <c r="O875" s="115">
        <v>1092</v>
      </c>
      <c r="P875" s="115">
        <v>1094.3599999999999</v>
      </c>
      <c r="Q875" s="115">
        <v>5507.7</v>
      </c>
      <c r="R875">
        <v>756</v>
      </c>
    </row>
    <row r="876" spans="1:18" x14ac:dyDescent="0.25">
      <c r="A876" s="169">
        <v>43290</v>
      </c>
      <c r="B876" s="115">
        <v>1107</v>
      </c>
      <c r="C876" s="115">
        <v>1102.22</v>
      </c>
      <c r="D876" s="115">
        <v>1099.5999999999999</v>
      </c>
      <c r="E876" s="115">
        <v>1099.5999999999999</v>
      </c>
      <c r="F876" s="115">
        <v>5511.1</v>
      </c>
      <c r="G876">
        <v>79</v>
      </c>
      <c r="H876" s="115"/>
      <c r="I876" s="115"/>
      <c r="L876" s="169">
        <v>43291</v>
      </c>
      <c r="M876" s="115">
        <v>1114.98</v>
      </c>
      <c r="N876" s="115">
        <v>1120</v>
      </c>
      <c r="O876" s="115">
        <v>1100</v>
      </c>
      <c r="P876" s="115">
        <v>1102.02</v>
      </c>
      <c r="Q876" s="115">
        <v>5574.9</v>
      </c>
      <c r="R876">
        <v>1366</v>
      </c>
    </row>
    <row r="877" spans="1:18" x14ac:dyDescent="0.25">
      <c r="A877" s="169">
        <v>43291</v>
      </c>
      <c r="B877" s="115">
        <v>1121.76</v>
      </c>
      <c r="C877" s="115">
        <v>1120</v>
      </c>
      <c r="D877" s="115">
        <v>1108.79</v>
      </c>
      <c r="E877" s="115">
        <v>1108.8</v>
      </c>
      <c r="F877" s="115">
        <v>5600</v>
      </c>
      <c r="G877">
        <v>122</v>
      </c>
      <c r="H877" s="115"/>
      <c r="I877" s="115"/>
      <c r="L877" s="169">
        <v>43292</v>
      </c>
      <c r="M877" s="115">
        <v>1109.8900000000001</v>
      </c>
      <c r="N877" s="115">
        <v>1112</v>
      </c>
      <c r="O877" s="115">
        <v>1090.01</v>
      </c>
      <c r="P877" s="115">
        <v>1109.77</v>
      </c>
      <c r="Q877" s="115">
        <v>5549.45</v>
      </c>
      <c r="R877">
        <v>3246</v>
      </c>
    </row>
    <row r="878" spans="1:18" x14ac:dyDescent="0.25">
      <c r="A878" s="169">
        <v>43292</v>
      </c>
      <c r="B878" s="115">
        <v>1111</v>
      </c>
      <c r="C878" s="115">
        <v>1109.32</v>
      </c>
      <c r="D878" s="115">
        <v>1073</v>
      </c>
      <c r="E878" s="115">
        <v>1073</v>
      </c>
      <c r="F878" s="115">
        <v>5546.6</v>
      </c>
      <c r="G878">
        <v>66</v>
      </c>
      <c r="H878" s="115"/>
      <c r="I878" s="115"/>
      <c r="L878" s="169">
        <v>43293</v>
      </c>
      <c r="M878" s="115">
        <v>1093.57</v>
      </c>
      <c r="N878" s="115">
        <v>1123.98</v>
      </c>
      <c r="O878" s="115">
        <v>1090.5999999999999</v>
      </c>
      <c r="P878" s="115">
        <v>1123.98</v>
      </c>
      <c r="Q878" s="115">
        <v>5467.85</v>
      </c>
      <c r="R878">
        <v>1762</v>
      </c>
    </row>
    <row r="879" spans="1:18" x14ac:dyDescent="0.25">
      <c r="A879" s="169">
        <v>43293</v>
      </c>
      <c r="B879" s="115">
        <v>1105.4000000000001</v>
      </c>
      <c r="C879" s="115">
        <v>1090.26</v>
      </c>
      <c r="D879" s="115">
        <v>1090</v>
      </c>
      <c r="E879" s="115">
        <v>1105.3</v>
      </c>
      <c r="F879" s="115">
        <v>5451.3</v>
      </c>
      <c r="G879">
        <v>10820</v>
      </c>
      <c r="H879" s="115"/>
      <c r="I879" s="115"/>
      <c r="L879" s="169">
        <v>43294</v>
      </c>
      <c r="M879" s="115">
        <v>1079.95</v>
      </c>
      <c r="N879" s="115">
        <v>1115</v>
      </c>
      <c r="O879" s="115">
        <v>1075.98</v>
      </c>
      <c r="P879" s="115">
        <v>1115</v>
      </c>
      <c r="Q879" s="115">
        <v>5399.75</v>
      </c>
      <c r="R879">
        <v>2719</v>
      </c>
    </row>
    <row r="880" spans="1:18" x14ac:dyDescent="0.25">
      <c r="A880" s="169">
        <v>43294</v>
      </c>
      <c r="B880" s="115">
        <v>1110</v>
      </c>
      <c r="C880" s="115">
        <v>1082.8399999999999</v>
      </c>
      <c r="D880" s="115">
        <v>1080</v>
      </c>
      <c r="E880" s="115">
        <v>1090</v>
      </c>
      <c r="F880" s="115">
        <v>5414.2</v>
      </c>
      <c r="G880">
        <v>96</v>
      </c>
      <c r="H880" s="115"/>
      <c r="I880" s="115"/>
      <c r="L880" s="169">
        <v>43297</v>
      </c>
      <c r="M880" s="115">
        <v>1072.1400000000001</v>
      </c>
      <c r="N880" s="115">
        <v>1088.5899999999999</v>
      </c>
      <c r="O880" s="115">
        <v>1070</v>
      </c>
      <c r="P880" s="115">
        <v>1070.01</v>
      </c>
      <c r="Q880" s="115">
        <v>5360.7</v>
      </c>
      <c r="R880">
        <v>794</v>
      </c>
    </row>
    <row r="881" spans="1:18" x14ac:dyDescent="0.25">
      <c r="A881" s="169">
        <v>43297</v>
      </c>
      <c r="B881" s="115">
        <v>1102.79</v>
      </c>
      <c r="C881" s="115">
        <v>1080.51</v>
      </c>
      <c r="D881" s="115">
        <v>1070.98</v>
      </c>
      <c r="E881" s="115">
        <v>1080</v>
      </c>
      <c r="F881" s="115">
        <v>5402.55</v>
      </c>
      <c r="G881">
        <v>89</v>
      </c>
      <c r="H881" s="115"/>
      <c r="I881" s="115"/>
      <c r="L881" s="169">
        <v>43298</v>
      </c>
      <c r="M881" s="115">
        <v>1058.4100000000001</v>
      </c>
      <c r="N881" s="115">
        <v>1093.2</v>
      </c>
      <c r="O881" s="115">
        <v>1054.69</v>
      </c>
      <c r="P881" s="115">
        <v>1079.99</v>
      </c>
      <c r="Q881" s="115">
        <v>5292.05</v>
      </c>
      <c r="R881">
        <v>19057</v>
      </c>
    </row>
    <row r="882" spans="1:18" x14ac:dyDescent="0.25">
      <c r="A882" s="169">
        <v>43298</v>
      </c>
      <c r="B882" s="115">
        <v>1094.3900000000001</v>
      </c>
      <c r="C882" s="115">
        <v>1060.2</v>
      </c>
      <c r="D882" s="115">
        <v>1056.4000000000001</v>
      </c>
      <c r="E882" s="115">
        <v>1076.03</v>
      </c>
      <c r="F882" s="115">
        <v>5301</v>
      </c>
      <c r="G882">
        <v>89</v>
      </c>
      <c r="H882" s="115"/>
      <c r="I882" s="115"/>
      <c r="L882" s="169">
        <v>43299</v>
      </c>
      <c r="M882" s="115">
        <v>1068.98</v>
      </c>
      <c r="N882" s="115">
        <v>1073.76</v>
      </c>
      <c r="O882" s="115">
        <v>1061.1300000000001</v>
      </c>
      <c r="P882" s="115">
        <v>1061.19</v>
      </c>
      <c r="Q882" s="115">
        <v>5344.9</v>
      </c>
      <c r="R882">
        <v>3259</v>
      </c>
    </row>
    <row r="883" spans="1:18" x14ac:dyDescent="0.25">
      <c r="A883" s="169">
        <v>43299</v>
      </c>
      <c r="B883" s="115">
        <v>1071.2</v>
      </c>
      <c r="C883" s="115">
        <v>1064.17</v>
      </c>
      <c r="D883" s="115">
        <v>1060.55</v>
      </c>
      <c r="E883" s="115">
        <v>1063.4100000000001</v>
      </c>
      <c r="F883" s="115">
        <v>5320.85</v>
      </c>
      <c r="G883">
        <v>55</v>
      </c>
      <c r="H883" s="115"/>
      <c r="I883" s="115"/>
      <c r="L883" s="169">
        <v>43300</v>
      </c>
      <c r="M883" s="115">
        <v>1043.53</v>
      </c>
      <c r="N883" s="115">
        <v>1068.8</v>
      </c>
      <c r="O883" s="115">
        <v>1041.98</v>
      </c>
      <c r="P883" s="115">
        <v>1060.6099999999999</v>
      </c>
      <c r="Q883" s="115">
        <v>5217.6499999999996</v>
      </c>
      <c r="R883">
        <v>1243</v>
      </c>
    </row>
    <row r="884" spans="1:18" x14ac:dyDescent="0.25">
      <c r="A884" s="169">
        <v>43300</v>
      </c>
      <c r="B884" s="115">
        <v>1069</v>
      </c>
      <c r="C884" s="115">
        <v>1048.18</v>
      </c>
      <c r="D884" s="115">
        <v>1044.4000000000001</v>
      </c>
      <c r="E884" s="115">
        <v>1060.03</v>
      </c>
      <c r="F884" s="115">
        <v>5240.8999999999996</v>
      </c>
      <c r="G884">
        <v>101</v>
      </c>
      <c r="H884" s="115"/>
      <c r="I884" s="115"/>
      <c r="L884" s="169">
        <v>43301</v>
      </c>
      <c r="M884" s="115">
        <v>1043.6199999999999</v>
      </c>
      <c r="N884" s="115">
        <v>1065.95</v>
      </c>
      <c r="O884" s="115">
        <v>1025.6600000000001</v>
      </c>
      <c r="P884" s="115">
        <v>1043.6099999999999</v>
      </c>
      <c r="Q884" s="115">
        <v>5218.1000000000004</v>
      </c>
      <c r="R884">
        <v>4645</v>
      </c>
    </row>
    <row r="885" spans="1:18" x14ac:dyDescent="0.25">
      <c r="A885" s="169">
        <v>43301</v>
      </c>
      <c r="B885" s="115">
        <v>1083.5899999999999</v>
      </c>
      <c r="C885" s="115">
        <v>1043.1199999999999</v>
      </c>
      <c r="D885" s="115">
        <v>1040</v>
      </c>
      <c r="E885" s="115">
        <v>1083.5899999999999</v>
      </c>
      <c r="F885" s="115">
        <v>5215.6000000000004</v>
      </c>
      <c r="G885">
        <v>161</v>
      </c>
      <c r="H885" s="115"/>
      <c r="I885" s="115"/>
      <c r="L885" s="169">
        <v>43304</v>
      </c>
      <c r="M885" s="115">
        <v>1051.73</v>
      </c>
      <c r="N885" s="115">
        <v>1061.95</v>
      </c>
      <c r="O885" s="115">
        <v>1037.4000000000001</v>
      </c>
      <c r="P885" s="115">
        <v>1043.4000000000001</v>
      </c>
      <c r="Q885" s="115">
        <v>5258.65</v>
      </c>
      <c r="R885">
        <v>890</v>
      </c>
    </row>
    <row r="886" spans="1:18" x14ac:dyDescent="0.25">
      <c r="A886" s="169">
        <v>43304</v>
      </c>
      <c r="B886" s="115">
        <v>1063.99</v>
      </c>
      <c r="C886" s="115">
        <v>1053.71</v>
      </c>
      <c r="D886" s="115">
        <v>1040</v>
      </c>
      <c r="E886" s="115">
        <v>1050.55</v>
      </c>
      <c r="F886" s="115">
        <v>5268.55</v>
      </c>
      <c r="G886">
        <v>62</v>
      </c>
      <c r="H886" s="115"/>
      <c r="I886" s="115"/>
      <c r="L886" s="169">
        <v>43305</v>
      </c>
      <c r="M886" s="115">
        <v>1064.1300000000001</v>
      </c>
      <c r="N886" s="115">
        <v>1085.97</v>
      </c>
      <c r="O886" s="115">
        <v>1041.28</v>
      </c>
      <c r="P886" s="115">
        <v>1061</v>
      </c>
      <c r="Q886" s="115">
        <v>5320.65</v>
      </c>
      <c r="R886">
        <v>1026</v>
      </c>
    </row>
    <row r="887" spans="1:18" x14ac:dyDescent="0.25">
      <c r="A887" s="169">
        <v>43305</v>
      </c>
      <c r="B887" s="115">
        <v>1084.48</v>
      </c>
      <c r="C887" s="115">
        <v>1070.76</v>
      </c>
      <c r="D887" s="115">
        <v>1051.02</v>
      </c>
      <c r="E887" s="115">
        <v>1063.42</v>
      </c>
      <c r="F887" s="115">
        <v>5353.8</v>
      </c>
      <c r="G887">
        <v>116</v>
      </c>
      <c r="H887" s="115"/>
      <c r="I887" s="115"/>
      <c r="L887" s="169">
        <v>43306</v>
      </c>
      <c r="M887" s="115">
        <v>1059.1099999999999</v>
      </c>
      <c r="N887" s="115">
        <v>1079.9100000000001</v>
      </c>
      <c r="O887" s="115">
        <v>1056</v>
      </c>
      <c r="P887" s="115">
        <v>1079.9100000000001</v>
      </c>
      <c r="Q887" s="115">
        <v>5295.55</v>
      </c>
      <c r="R887">
        <v>8756</v>
      </c>
    </row>
    <row r="888" spans="1:18" x14ac:dyDescent="0.25">
      <c r="A888" s="169">
        <v>43306</v>
      </c>
      <c r="B888" s="115">
        <v>1082.53</v>
      </c>
      <c r="C888" s="115">
        <v>1061.3</v>
      </c>
      <c r="D888" s="115">
        <v>1060.23</v>
      </c>
      <c r="E888" s="115">
        <v>1082.53</v>
      </c>
      <c r="F888" s="115">
        <v>5306.5</v>
      </c>
      <c r="G888">
        <v>357</v>
      </c>
      <c r="H888" s="115"/>
      <c r="I888" s="115"/>
      <c r="L888" s="169">
        <v>43307</v>
      </c>
      <c r="M888" s="115">
        <v>1060.2</v>
      </c>
      <c r="N888" s="115">
        <v>1078.73</v>
      </c>
      <c r="O888" s="115">
        <v>1057.04</v>
      </c>
      <c r="P888" s="115">
        <v>1060</v>
      </c>
      <c r="Q888" s="115">
        <v>5301</v>
      </c>
      <c r="R888">
        <v>1079</v>
      </c>
    </row>
    <row r="889" spans="1:18" x14ac:dyDescent="0.25">
      <c r="A889" s="169">
        <v>43307</v>
      </c>
      <c r="B889" s="115">
        <v>1079.8</v>
      </c>
      <c r="C889" s="115">
        <v>1067.97</v>
      </c>
      <c r="D889" s="115">
        <v>1061</v>
      </c>
      <c r="E889" s="115">
        <v>1079.8</v>
      </c>
      <c r="F889" s="115">
        <v>5339.85</v>
      </c>
      <c r="G889">
        <v>432</v>
      </c>
      <c r="H889" s="115"/>
      <c r="I889" s="115"/>
      <c r="L889" s="169">
        <v>43308</v>
      </c>
      <c r="M889" s="115">
        <v>1058.25</v>
      </c>
      <c r="N889" s="115">
        <v>1079.99</v>
      </c>
      <c r="O889" s="115">
        <v>1051.01</v>
      </c>
      <c r="P889" s="115">
        <v>1060</v>
      </c>
      <c r="Q889" s="115">
        <v>5291.25</v>
      </c>
      <c r="R889">
        <v>11985</v>
      </c>
    </row>
    <row r="890" spans="1:18" x14ac:dyDescent="0.25">
      <c r="A890" s="169">
        <v>43308</v>
      </c>
      <c r="B890" s="115">
        <v>1072.05</v>
      </c>
      <c r="C890" s="115">
        <v>1060</v>
      </c>
      <c r="D890" s="115">
        <v>1054.8900000000001</v>
      </c>
      <c r="E890" s="115">
        <v>1060.81</v>
      </c>
      <c r="F890" s="115">
        <v>5300</v>
      </c>
      <c r="G890">
        <v>223</v>
      </c>
      <c r="H890" s="115"/>
      <c r="I890" s="115"/>
      <c r="L890" s="169">
        <v>43311</v>
      </c>
      <c r="M890" s="115">
        <v>1056.8900000000001</v>
      </c>
      <c r="N890" s="115">
        <v>1063</v>
      </c>
      <c r="O890" s="115">
        <v>1052</v>
      </c>
      <c r="P890" s="115">
        <v>1063</v>
      </c>
      <c r="Q890" s="115">
        <v>5284.45</v>
      </c>
      <c r="R890">
        <v>12366</v>
      </c>
    </row>
    <row r="891" spans="1:18" x14ac:dyDescent="0.25">
      <c r="A891" s="169">
        <v>43311</v>
      </c>
      <c r="B891" s="115">
        <v>1068.78</v>
      </c>
      <c r="C891" s="115">
        <v>1054.94</v>
      </c>
      <c r="D891" s="115">
        <v>1054.4000000000001</v>
      </c>
      <c r="E891" s="115">
        <v>1064.4000000000001</v>
      </c>
      <c r="F891" s="115">
        <v>5274.7</v>
      </c>
      <c r="G891">
        <v>137</v>
      </c>
      <c r="H891" s="115"/>
      <c r="I891" s="115"/>
      <c r="L891" s="169">
        <v>43312</v>
      </c>
      <c r="M891" s="115">
        <v>1052.1300000000001</v>
      </c>
      <c r="N891" s="115">
        <v>1060</v>
      </c>
      <c r="O891" s="115">
        <v>1050.23</v>
      </c>
      <c r="P891" s="115">
        <v>1056.01</v>
      </c>
      <c r="Q891" s="115">
        <v>5260.65</v>
      </c>
      <c r="R891">
        <v>3542</v>
      </c>
    </row>
    <row r="892" spans="1:18" x14ac:dyDescent="0.25">
      <c r="A892" s="169">
        <v>43312</v>
      </c>
      <c r="B892" s="115">
        <v>1060</v>
      </c>
      <c r="C892" s="115">
        <v>1055.1199999999999</v>
      </c>
      <c r="D892" s="115">
        <v>1051</v>
      </c>
      <c r="E892" s="115">
        <v>1052.71</v>
      </c>
      <c r="F892" s="115">
        <v>5275.6</v>
      </c>
      <c r="G892">
        <v>221</v>
      </c>
      <c r="H892" s="115"/>
      <c r="I892" s="115"/>
      <c r="L892" s="169">
        <v>43313</v>
      </c>
      <c r="M892" s="115">
        <v>1059.48</v>
      </c>
      <c r="N892" s="115">
        <v>1060</v>
      </c>
      <c r="O892" s="115">
        <v>1052.2</v>
      </c>
      <c r="P892" s="115">
        <v>1059.99</v>
      </c>
      <c r="Q892" s="115">
        <v>5297.4</v>
      </c>
      <c r="R892">
        <v>437</v>
      </c>
    </row>
    <row r="893" spans="1:18" x14ac:dyDescent="0.25">
      <c r="A893" s="169">
        <v>43313</v>
      </c>
      <c r="B893" s="115">
        <v>1069.8</v>
      </c>
      <c r="C893" s="115">
        <v>1057.32</v>
      </c>
      <c r="D893" s="115">
        <v>1053.8399999999999</v>
      </c>
      <c r="E893" s="115">
        <v>1069.79</v>
      </c>
      <c r="F893" s="115">
        <v>5286.6</v>
      </c>
      <c r="G893">
        <v>490</v>
      </c>
      <c r="H893" s="115"/>
      <c r="I893" s="115"/>
      <c r="L893" s="169">
        <v>43314</v>
      </c>
      <c r="M893" s="115">
        <v>1048.78</v>
      </c>
      <c r="N893" s="115">
        <v>1059.79</v>
      </c>
      <c r="O893" s="115">
        <v>1046</v>
      </c>
      <c r="P893" s="115">
        <v>1056</v>
      </c>
      <c r="Q893" s="115">
        <v>5243.9</v>
      </c>
      <c r="R893">
        <v>613</v>
      </c>
    </row>
    <row r="894" spans="1:18" x14ac:dyDescent="0.25">
      <c r="A894" s="169">
        <v>43314</v>
      </c>
      <c r="B894" s="115">
        <v>1059.8</v>
      </c>
      <c r="C894" s="115">
        <v>1051.1500000000001</v>
      </c>
      <c r="D894" s="115">
        <v>1051</v>
      </c>
      <c r="E894" s="115">
        <v>1059.79</v>
      </c>
      <c r="F894" s="115">
        <v>5255.75</v>
      </c>
      <c r="G894">
        <v>84</v>
      </c>
      <c r="H894" s="115"/>
      <c r="I894" s="115"/>
      <c r="L894" s="169">
        <v>43315</v>
      </c>
      <c r="M894" s="115">
        <v>1057.82</v>
      </c>
      <c r="N894" s="115">
        <v>1059.8</v>
      </c>
      <c r="O894" s="115">
        <v>1040.74</v>
      </c>
      <c r="P894" s="115">
        <v>1052.01</v>
      </c>
      <c r="Q894" s="115">
        <v>5289.1</v>
      </c>
      <c r="R894">
        <v>12943</v>
      </c>
    </row>
    <row r="895" spans="1:18" x14ac:dyDescent="0.25">
      <c r="A895" s="169">
        <v>43315</v>
      </c>
      <c r="B895" s="115">
        <v>1060</v>
      </c>
      <c r="C895" s="115">
        <v>1058.46</v>
      </c>
      <c r="D895" s="115">
        <v>1047</v>
      </c>
      <c r="E895" s="115">
        <v>1056.97</v>
      </c>
      <c r="F895" s="115">
        <v>5292.3</v>
      </c>
      <c r="G895">
        <v>32502</v>
      </c>
      <c r="H895" s="115"/>
      <c r="I895" s="115"/>
      <c r="L895" s="169">
        <v>43318</v>
      </c>
      <c r="M895" s="115">
        <v>1054.96</v>
      </c>
      <c r="N895" s="115">
        <v>1058</v>
      </c>
      <c r="O895" s="115">
        <v>1041.44</v>
      </c>
      <c r="P895" s="115">
        <v>1041.44</v>
      </c>
      <c r="Q895" s="115">
        <v>5274.8</v>
      </c>
      <c r="R895">
        <v>572</v>
      </c>
    </row>
    <row r="896" spans="1:18" x14ac:dyDescent="0.25">
      <c r="A896" s="169">
        <v>43318</v>
      </c>
      <c r="B896" s="115">
        <v>1058</v>
      </c>
      <c r="C896" s="115">
        <v>1051.77</v>
      </c>
      <c r="D896" s="115">
        <v>1050.4000000000001</v>
      </c>
      <c r="E896" s="115">
        <v>1058</v>
      </c>
      <c r="F896" s="115">
        <v>5258.85</v>
      </c>
      <c r="G896">
        <v>30</v>
      </c>
      <c r="H896" s="115"/>
      <c r="I896" s="115"/>
      <c r="L896" s="169">
        <v>43319</v>
      </c>
      <c r="M896" s="115">
        <v>1050.0899999999999</v>
      </c>
      <c r="N896" s="115">
        <v>1058</v>
      </c>
      <c r="O896" s="115">
        <v>1043.22</v>
      </c>
      <c r="P896" s="115">
        <v>1058</v>
      </c>
      <c r="Q896" s="115">
        <v>5250.45</v>
      </c>
      <c r="R896">
        <v>23517</v>
      </c>
    </row>
    <row r="897" spans="1:18" x14ac:dyDescent="0.25">
      <c r="A897" s="169">
        <v>43319</v>
      </c>
      <c r="B897" s="115">
        <v>1058</v>
      </c>
      <c r="C897" s="115">
        <v>1054.33</v>
      </c>
      <c r="D897" s="115">
        <v>1046</v>
      </c>
      <c r="E897" s="115">
        <v>1058</v>
      </c>
      <c r="F897" s="115">
        <v>5271.65</v>
      </c>
      <c r="G897">
        <v>23</v>
      </c>
      <c r="H897" s="115"/>
      <c r="I897" s="115"/>
      <c r="L897" s="169">
        <v>43320</v>
      </c>
      <c r="M897" s="115">
        <v>1057.5899999999999</v>
      </c>
      <c r="N897" s="115">
        <v>1058</v>
      </c>
      <c r="O897" s="115">
        <v>1050.1099999999999</v>
      </c>
      <c r="P897" s="115">
        <v>1057.99</v>
      </c>
      <c r="Q897" s="115">
        <v>5287.95</v>
      </c>
      <c r="R897">
        <v>4811</v>
      </c>
    </row>
    <row r="898" spans="1:18" x14ac:dyDescent="0.25">
      <c r="A898" s="169">
        <v>43320</v>
      </c>
      <c r="B898" s="115">
        <v>1058</v>
      </c>
      <c r="C898" s="115">
        <v>1057.82</v>
      </c>
      <c r="D898" s="115">
        <v>1048.02</v>
      </c>
      <c r="E898" s="115">
        <v>1054</v>
      </c>
      <c r="F898" s="115">
        <v>5289.1</v>
      </c>
      <c r="G898">
        <v>8170</v>
      </c>
      <c r="H898" s="115"/>
      <c r="I898" s="115"/>
      <c r="L898" s="169">
        <v>43321</v>
      </c>
      <c r="M898" s="115">
        <v>1074.2</v>
      </c>
      <c r="N898" s="115">
        <v>1084.99</v>
      </c>
      <c r="O898" s="115">
        <v>1050.49</v>
      </c>
      <c r="P898" s="115">
        <v>1058</v>
      </c>
      <c r="Q898" s="115">
        <v>5371</v>
      </c>
      <c r="R898">
        <v>28332</v>
      </c>
    </row>
    <row r="899" spans="1:18" x14ac:dyDescent="0.25">
      <c r="A899" s="169">
        <v>43321</v>
      </c>
      <c r="B899" s="115">
        <v>1080.02</v>
      </c>
      <c r="C899" s="115">
        <v>1071.08</v>
      </c>
      <c r="D899" s="115">
        <v>1046</v>
      </c>
      <c r="E899" s="115">
        <v>1048</v>
      </c>
      <c r="F899" s="115">
        <v>5355.4</v>
      </c>
      <c r="G899">
        <v>925</v>
      </c>
      <c r="H899" s="115"/>
      <c r="I899" s="115"/>
      <c r="L899" s="169">
        <v>43322</v>
      </c>
      <c r="M899" s="115">
        <v>1066.6500000000001</v>
      </c>
      <c r="N899" s="115">
        <v>1084.8</v>
      </c>
      <c r="O899" s="115">
        <v>1061.02</v>
      </c>
      <c r="P899" s="115">
        <v>1084.8</v>
      </c>
      <c r="Q899" s="115">
        <v>5333.25</v>
      </c>
      <c r="R899">
        <v>966</v>
      </c>
    </row>
    <row r="900" spans="1:18" x14ac:dyDescent="0.25">
      <c r="A900" s="169">
        <v>43322</v>
      </c>
      <c r="B900" s="115">
        <v>1072.5999999999999</v>
      </c>
      <c r="C900" s="115">
        <v>1070.5899999999999</v>
      </c>
      <c r="D900" s="115">
        <v>1062</v>
      </c>
      <c r="E900" s="115">
        <v>1065.6099999999999</v>
      </c>
      <c r="F900" s="115">
        <v>5352.95</v>
      </c>
      <c r="G900">
        <v>119</v>
      </c>
      <c r="H900" s="115"/>
      <c r="I900" s="115"/>
      <c r="L900" s="169">
        <v>43325</v>
      </c>
      <c r="M900" s="115">
        <v>1079.94</v>
      </c>
      <c r="N900" s="115">
        <v>1084.54</v>
      </c>
      <c r="O900" s="115">
        <v>1060.2</v>
      </c>
      <c r="P900" s="115">
        <v>1066.6400000000001</v>
      </c>
      <c r="Q900" s="115">
        <v>5399.7</v>
      </c>
      <c r="R900">
        <v>3295</v>
      </c>
    </row>
    <row r="901" spans="1:18" x14ac:dyDescent="0.25">
      <c r="A901" s="169">
        <v>43325</v>
      </c>
      <c r="B901" s="115">
        <v>1080</v>
      </c>
      <c r="C901" s="115">
        <v>1078.4100000000001</v>
      </c>
      <c r="D901" s="115">
        <v>1070.8</v>
      </c>
      <c r="E901" s="115">
        <v>1071</v>
      </c>
      <c r="F901" s="115">
        <v>5392.05</v>
      </c>
      <c r="G901">
        <v>10180</v>
      </c>
      <c r="H901" s="115"/>
      <c r="I901" s="115"/>
      <c r="L901" s="169">
        <v>43326</v>
      </c>
      <c r="M901" s="115">
        <v>1075.74</v>
      </c>
      <c r="N901" s="115">
        <v>1083.83</v>
      </c>
      <c r="O901" s="115">
        <v>1062.4100000000001</v>
      </c>
      <c r="P901" s="115">
        <v>1083.83</v>
      </c>
      <c r="Q901" s="115">
        <v>5378.7</v>
      </c>
      <c r="R901">
        <v>725</v>
      </c>
    </row>
    <row r="902" spans="1:18" x14ac:dyDescent="0.25">
      <c r="A902" s="169">
        <v>43326</v>
      </c>
      <c r="B902" s="115">
        <v>1080</v>
      </c>
      <c r="C902" s="115">
        <v>1078.6400000000001</v>
      </c>
      <c r="D902" s="115">
        <v>1068</v>
      </c>
      <c r="E902" s="115">
        <v>1080</v>
      </c>
      <c r="F902" s="115">
        <v>5393.2</v>
      </c>
      <c r="G902">
        <v>72</v>
      </c>
      <c r="H902" s="115"/>
      <c r="I902" s="115"/>
      <c r="L902" s="169">
        <v>43328</v>
      </c>
      <c r="M902" s="115">
        <v>1061.8599999999999</v>
      </c>
      <c r="N902" s="115">
        <v>1080</v>
      </c>
      <c r="O902" s="115">
        <v>1059.21</v>
      </c>
      <c r="P902" s="115">
        <v>1066.01</v>
      </c>
      <c r="Q902" s="115">
        <v>5309.3</v>
      </c>
      <c r="R902">
        <v>2360</v>
      </c>
    </row>
    <row r="903" spans="1:18" x14ac:dyDescent="0.25">
      <c r="A903" s="169">
        <v>43328</v>
      </c>
      <c r="B903" s="115">
        <v>1099.8</v>
      </c>
      <c r="C903" s="115">
        <v>1064.9100000000001</v>
      </c>
      <c r="D903" s="115">
        <v>1062.21</v>
      </c>
      <c r="E903" s="115">
        <v>1097.5999999999999</v>
      </c>
      <c r="F903" s="115">
        <v>5324.55</v>
      </c>
      <c r="G903">
        <v>72</v>
      </c>
      <c r="H903" s="115"/>
      <c r="I903" s="115"/>
      <c r="L903" s="169">
        <v>43329</v>
      </c>
      <c r="M903" s="115">
        <v>1050.17</v>
      </c>
      <c r="N903" s="115">
        <v>1077.0999999999999</v>
      </c>
      <c r="O903" s="115">
        <v>1047.01</v>
      </c>
      <c r="P903" s="115">
        <v>1077.0999999999999</v>
      </c>
      <c r="Q903" s="115">
        <v>5250.85</v>
      </c>
      <c r="R903">
        <v>4390</v>
      </c>
    </row>
    <row r="904" spans="1:18" x14ac:dyDescent="0.25">
      <c r="A904" s="169">
        <v>43329</v>
      </c>
      <c r="B904" s="115">
        <v>1076.99</v>
      </c>
      <c r="C904" s="115">
        <v>1050.08</v>
      </c>
      <c r="D904" s="115">
        <v>1050</v>
      </c>
      <c r="E904" s="115">
        <v>1076.99</v>
      </c>
      <c r="F904" s="115">
        <v>5250.4</v>
      </c>
      <c r="G904">
        <v>100</v>
      </c>
      <c r="H904" s="115"/>
      <c r="I904" s="115"/>
      <c r="L904" s="169">
        <v>43332</v>
      </c>
      <c r="M904" s="115">
        <v>1058.1400000000001</v>
      </c>
      <c r="N904" s="115">
        <v>1068</v>
      </c>
      <c r="O904" s="115">
        <v>1052.05</v>
      </c>
      <c r="P904" s="115">
        <v>1060</v>
      </c>
      <c r="Q904" s="115">
        <v>5290.7</v>
      </c>
      <c r="R904">
        <v>977</v>
      </c>
    </row>
    <row r="905" spans="1:18" x14ac:dyDescent="0.25">
      <c r="A905" s="169">
        <v>43332</v>
      </c>
      <c r="B905" s="115">
        <v>1061.81</v>
      </c>
      <c r="C905" s="115">
        <v>1056.6099999999999</v>
      </c>
      <c r="D905" s="115">
        <v>1047.96</v>
      </c>
      <c r="E905" s="115">
        <v>1054.01</v>
      </c>
      <c r="F905" s="115">
        <v>5283.05</v>
      </c>
      <c r="G905">
        <v>162</v>
      </c>
      <c r="H905" s="115"/>
      <c r="I905" s="115"/>
      <c r="L905" s="169">
        <v>43333</v>
      </c>
      <c r="M905" s="115">
        <v>1048.1099999999999</v>
      </c>
      <c r="N905" s="115">
        <v>1060.01</v>
      </c>
      <c r="O905" s="115">
        <v>1043.03</v>
      </c>
      <c r="P905" s="115">
        <v>1060.01</v>
      </c>
      <c r="Q905" s="115">
        <v>5240.55</v>
      </c>
      <c r="R905">
        <v>2707</v>
      </c>
    </row>
    <row r="906" spans="1:18" x14ac:dyDescent="0.25">
      <c r="A906" s="169">
        <v>43333</v>
      </c>
      <c r="B906" s="115">
        <v>1062.26</v>
      </c>
      <c r="C906" s="115">
        <v>1045.6500000000001</v>
      </c>
      <c r="D906" s="115">
        <v>1044</v>
      </c>
      <c r="E906" s="115">
        <v>1058</v>
      </c>
      <c r="F906" s="115">
        <v>5228.25</v>
      </c>
      <c r="G906">
        <v>193</v>
      </c>
      <c r="H906" s="115"/>
      <c r="I906" s="115"/>
      <c r="L906" s="169">
        <v>43335</v>
      </c>
      <c r="M906" s="115">
        <v>1057.0999999999999</v>
      </c>
      <c r="N906" s="115">
        <v>1060</v>
      </c>
      <c r="O906" s="115">
        <v>1047.07</v>
      </c>
      <c r="P906" s="115">
        <v>1058</v>
      </c>
      <c r="Q906" s="115">
        <v>5285.5</v>
      </c>
      <c r="R906">
        <v>1384</v>
      </c>
    </row>
    <row r="907" spans="1:18" x14ac:dyDescent="0.25">
      <c r="A907" s="169">
        <v>43335</v>
      </c>
      <c r="B907" s="115">
        <v>1060.3900000000001</v>
      </c>
      <c r="C907" s="115">
        <v>1050.48</v>
      </c>
      <c r="D907" s="115">
        <v>1044.8900000000001</v>
      </c>
      <c r="E907" s="115">
        <v>1048</v>
      </c>
      <c r="F907" s="115">
        <v>5252.4</v>
      </c>
      <c r="G907">
        <v>155</v>
      </c>
      <c r="H907" s="115"/>
      <c r="I907" s="115"/>
      <c r="L907" s="169">
        <v>43336</v>
      </c>
      <c r="M907" s="115">
        <v>1074.6500000000001</v>
      </c>
      <c r="N907" s="115">
        <v>1089.57</v>
      </c>
      <c r="O907" s="115">
        <v>1042.93</v>
      </c>
      <c r="P907" s="115">
        <v>1048.8499999999999</v>
      </c>
      <c r="Q907" s="115">
        <v>5373.25</v>
      </c>
      <c r="R907">
        <v>13764</v>
      </c>
    </row>
    <row r="908" spans="1:18" x14ac:dyDescent="0.25">
      <c r="A908" s="169">
        <v>43336</v>
      </c>
      <c r="B908" s="115">
        <v>1083.5899999999999</v>
      </c>
      <c r="C908" s="115">
        <v>1078.43</v>
      </c>
      <c r="D908" s="115">
        <v>1046.5999999999999</v>
      </c>
      <c r="E908" s="115">
        <v>1062</v>
      </c>
      <c r="F908" s="115">
        <v>5392.15</v>
      </c>
      <c r="G908">
        <v>5182</v>
      </c>
      <c r="H908" s="115"/>
      <c r="I908" s="115"/>
      <c r="L908" s="169">
        <v>43339</v>
      </c>
      <c r="M908" s="115">
        <v>1077.3900000000001</v>
      </c>
      <c r="N908" s="115">
        <v>1086.03</v>
      </c>
      <c r="O908" s="115">
        <v>1072</v>
      </c>
      <c r="P908" s="115">
        <v>1084</v>
      </c>
      <c r="Q908" s="115">
        <v>5386.95</v>
      </c>
      <c r="R908">
        <v>1002</v>
      </c>
    </row>
    <row r="909" spans="1:18" x14ac:dyDescent="0.25">
      <c r="A909" s="169">
        <v>43339</v>
      </c>
      <c r="B909" s="115">
        <v>1089.8</v>
      </c>
      <c r="C909" s="115">
        <v>1071.4000000000001</v>
      </c>
      <c r="D909" s="115">
        <v>1070</v>
      </c>
      <c r="E909" s="115">
        <v>1089.8</v>
      </c>
      <c r="F909" s="115">
        <v>5357</v>
      </c>
      <c r="G909">
        <v>76</v>
      </c>
      <c r="H909" s="115"/>
      <c r="I909" s="115"/>
      <c r="L909" s="169">
        <v>43340</v>
      </c>
      <c r="M909" s="115">
        <v>1065.3</v>
      </c>
      <c r="N909" s="115">
        <v>1075</v>
      </c>
      <c r="O909" s="115">
        <v>1060.3399999999999</v>
      </c>
      <c r="P909" s="115">
        <v>1071.8</v>
      </c>
      <c r="Q909" s="115">
        <v>5326.5</v>
      </c>
      <c r="R909">
        <v>2627</v>
      </c>
    </row>
    <row r="910" spans="1:18" x14ac:dyDescent="0.25">
      <c r="A910" s="169">
        <v>43340</v>
      </c>
      <c r="B910" s="115">
        <v>1089.72</v>
      </c>
      <c r="C910" s="115">
        <v>1065.69</v>
      </c>
      <c r="D910" s="115">
        <v>1065.5999999999999</v>
      </c>
      <c r="E910" s="115">
        <v>1089.72</v>
      </c>
      <c r="F910" s="115">
        <v>5328.45</v>
      </c>
      <c r="G910">
        <v>103</v>
      </c>
      <c r="H910" s="115"/>
      <c r="I910" s="115"/>
      <c r="L910" s="169">
        <v>43341</v>
      </c>
      <c r="M910" s="115">
        <v>1087.7</v>
      </c>
      <c r="N910" s="115">
        <v>1104.79</v>
      </c>
      <c r="O910" s="115">
        <v>1061.22</v>
      </c>
      <c r="P910" s="115">
        <v>1061.22</v>
      </c>
      <c r="Q910" s="115">
        <v>5438.5</v>
      </c>
      <c r="R910">
        <v>4107</v>
      </c>
    </row>
    <row r="911" spans="1:18" x14ac:dyDescent="0.25">
      <c r="A911" s="169">
        <v>43341</v>
      </c>
      <c r="B911" s="115">
        <v>1103.74</v>
      </c>
      <c r="C911" s="115">
        <v>1092.68</v>
      </c>
      <c r="D911" s="115">
        <v>1075</v>
      </c>
      <c r="E911" s="115">
        <v>1089</v>
      </c>
      <c r="F911" s="115">
        <v>5463.4</v>
      </c>
      <c r="G911">
        <v>291</v>
      </c>
      <c r="H911" s="115"/>
      <c r="I911" s="115"/>
      <c r="L911" s="169">
        <v>43342</v>
      </c>
      <c r="M911" s="115">
        <v>1086.06</v>
      </c>
      <c r="N911" s="115">
        <v>1102.8</v>
      </c>
      <c r="O911" s="115">
        <v>1080.4000000000001</v>
      </c>
      <c r="P911" s="115">
        <v>1097.46</v>
      </c>
      <c r="Q911" s="115">
        <v>5430.3</v>
      </c>
      <c r="R911">
        <v>11366</v>
      </c>
    </row>
    <row r="912" spans="1:18" x14ac:dyDescent="0.25">
      <c r="A912" s="169">
        <v>43342</v>
      </c>
      <c r="B912" s="115">
        <v>1102.99</v>
      </c>
      <c r="C912" s="115">
        <v>1082.8599999999999</v>
      </c>
      <c r="D912" s="115">
        <v>1082</v>
      </c>
      <c r="E912" s="115">
        <v>1093.99</v>
      </c>
      <c r="F912" s="115">
        <v>5414.3</v>
      </c>
      <c r="G912">
        <v>117</v>
      </c>
      <c r="H912" s="115"/>
      <c r="I912" s="115"/>
      <c r="L912" s="169">
        <v>43343</v>
      </c>
      <c r="M912" s="115">
        <v>1089.48</v>
      </c>
      <c r="N912" s="115">
        <v>1111</v>
      </c>
      <c r="O912" s="115">
        <v>1068.27</v>
      </c>
      <c r="P912" s="115">
        <v>1086</v>
      </c>
      <c r="Q912" s="115">
        <v>5447.4</v>
      </c>
      <c r="R912">
        <v>5593</v>
      </c>
    </row>
    <row r="913" spans="1:18" x14ac:dyDescent="0.25">
      <c r="A913" s="169">
        <v>43343</v>
      </c>
      <c r="B913" s="115">
        <v>1110</v>
      </c>
      <c r="C913" s="115">
        <v>1084.3900000000001</v>
      </c>
      <c r="D913" s="115">
        <v>1068</v>
      </c>
      <c r="E913" s="115">
        <v>1110</v>
      </c>
      <c r="F913" s="115">
        <v>5421.95</v>
      </c>
      <c r="G913">
        <v>388</v>
      </c>
      <c r="H913" s="115"/>
      <c r="I913" s="115"/>
      <c r="L913" s="169">
        <v>43346</v>
      </c>
      <c r="M913" s="115">
        <v>1109.96</v>
      </c>
      <c r="N913" s="115">
        <v>1123.4000000000001</v>
      </c>
      <c r="O913" s="115">
        <v>1100.5</v>
      </c>
      <c r="P913" s="115">
        <v>1114</v>
      </c>
      <c r="Q913" s="115">
        <v>5549.8</v>
      </c>
      <c r="R913">
        <v>3690</v>
      </c>
    </row>
    <row r="914" spans="1:18" x14ac:dyDescent="0.25">
      <c r="A914" s="169">
        <v>43346</v>
      </c>
      <c r="B914" s="115">
        <v>1120</v>
      </c>
      <c r="C914" s="115">
        <v>1107.67</v>
      </c>
      <c r="D914" s="115">
        <v>1101.19</v>
      </c>
      <c r="E914" s="115">
        <v>1108</v>
      </c>
      <c r="F914" s="115">
        <v>5538.35</v>
      </c>
      <c r="G914">
        <v>196</v>
      </c>
      <c r="H914" s="115"/>
      <c r="I914" s="115"/>
      <c r="L914" s="169">
        <v>43347</v>
      </c>
      <c r="M914" s="115">
        <v>1101.3800000000001</v>
      </c>
      <c r="N914" s="115">
        <v>1150</v>
      </c>
      <c r="O914" s="115">
        <v>1096.01</v>
      </c>
      <c r="P914" s="115">
        <v>1099.01</v>
      </c>
      <c r="Q914" s="115">
        <v>5506.9</v>
      </c>
      <c r="R914">
        <v>7411</v>
      </c>
    </row>
    <row r="915" spans="1:18" x14ac:dyDescent="0.25">
      <c r="A915" s="169">
        <v>43347</v>
      </c>
      <c r="B915" s="115">
        <v>1159.99</v>
      </c>
      <c r="C915" s="115">
        <v>1099.53</v>
      </c>
      <c r="D915" s="115">
        <v>1080.01</v>
      </c>
      <c r="E915" s="115">
        <v>1140</v>
      </c>
      <c r="F915" s="115">
        <v>5497.65</v>
      </c>
      <c r="G915">
        <v>525</v>
      </c>
      <c r="H915" s="115"/>
      <c r="I915" s="115"/>
      <c r="L915" s="169">
        <v>43348</v>
      </c>
      <c r="M915" s="115">
        <v>1085.96</v>
      </c>
      <c r="N915" s="115">
        <v>1102</v>
      </c>
      <c r="O915" s="115">
        <v>1073</v>
      </c>
      <c r="P915" s="115">
        <v>1100.3399999999999</v>
      </c>
      <c r="Q915" s="115">
        <v>5429.8</v>
      </c>
      <c r="R915">
        <v>1053</v>
      </c>
    </row>
    <row r="916" spans="1:18" x14ac:dyDescent="0.25">
      <c r="A916" s="169">
        <v>43348</v>
      </c>
      <c r="B916" s="115">
        <v>1100</v>
      </c>
      <c r="C916" s="115">
        <v>1090</v>
      </c>
      <c r="D916" s="115">
        <v>1083.55</v>
      </c>
      <c r="E916" s="115">
        <v>1093.4000000000001</v>
      </c>
      <c r="F916" s="115">
        <v>5450</v>
      </c>
      <c r="G916">
        <v>53089</v>
      </c>
      <c r="H916" s="115"/>
      <c r="I916" s="115"/>
      <c r="L916" s="169">
        <v>43349</v>
      </c>
      <c r="M916" s="115">
        <v>1091.68</v>
      </c>
      <c r="N916" s="115">
        <v>1110</v>
      </c>
      <c r="O916" s="115">
        <v>1082.2</v>
      </c>
      <c r="P916" s="115">
        <v>1084</v>
      </c>
      <c r="Q916" s="115">
        <v>5458.4</v>
      </c>
      <c r="R916">
        <v>17983</v>
      </c>
    </row>
    <row r="917" spans="1:18" x14ac:dyDescent="0.25">
      <c r="A917" s="169">
        <v>43349</v>
      </c>
      <c r="B917" s="115">
        <v>1113.4100000000001</v>
      </c>
      <c r="C917" s="115">
        <v>1090.19</v>
      </c>
      <c r="D917" s="115">
        <v>1082.8</v>
      </c>
      <c r="E917" s="115">
        <v>1082.8</v>
      </c>
      <c r="F917" s="115">
        <v>5450.95</v>
      </c>
      <c r="G917">
        <v>183</v>
      </c>
      <c r="H917" s="115"/>
      <c r="I917" s="115"/>
      <c r="L917" s="169">
        <v>43350</v>
      </c>
      <c r="M917" s="115">
        <v>1103.3</v>
      </c>
      <c r="N917" s="115">
        <v>1113.2</v>
      </c>
      <c r="O917" s="115">
        <v>1062.43</v>
      </c>
      <c r="P917" s="115">
        <v>1091.92</v>
      </c>
      <c r="Q917" s="115">
        <v>5516.5</v>
      </c>
      <c r="R917">
        <v>1967</v>
      </c>
    </row>
    <row r="918" spans="1:18" x14ac:dyDescent="0.25">
      <c r="A918" s="169">
        <v>43350</v>
      </c>
      <c r="B918" s="115">
        <v>1111</v>
      </c>
      <c r="C918" s="115">
        <v>1100.58</v>
      </c>
      <c r="D918" s="115">
        <v>1076.8</v>
      </c>
      <c r="E918" s="115">
        <v>1082.8</v>
      </c>
      <c r="F918" s="115">
        <v>5502.9</v>
      </c>
      <c r="G918">
        <v>105</v>
      </c>
      <c r="H918" s="115"/>
      <c r="I918" s="115"/>
      <c r="L918" s="169">
        <v>43353</v>
      </c>
      <c r="M918" s="115">
        <v>1099.83</v>
      </c>
      <c r="N918" s="115">
        <v>1112.99</v>
      </c>
      <c r="O918" s="115">
        <v>1086.23</v>
      </c>
      <c r="P918" s="115">
        <v>1111</v>
      </c>
      <c r="Q918" s="115">
        <v>5499.15</v>
      </c>
      <c r="R918">
        <v>1594</v>
      </c>
    </row>
    <row r="919" spans="1:18" x14ac:dyDescent="0.25">
      <c r="A919" s="169">
        <v>43353</v>
      </c>
      <c r="B919" s="115">
        <v>1111.81</v>
      </c>
      <c r="C919" s="115">
        <v>1098.5899999999999</v>
      </c>
      <c r="D919" s="115">
        <v>1089.07</v>
      </c>
      <c r="E919" s="115">
        <v>1103.8</v>
      </c>
      <c r="F919" s="115">
        <v>5492.95</v>
      </c>
      <c r="G919">
        <v>44</v>
      </c>
      <c r="H919" s="115"/>
      <c r="I919" s="115"/>
      <c r="L919" s="169">
        <v>43354</v>
      </c>
      <c r="M919" s="115">
        <v>1082.3599999999999</v>
      </c>
      <c r="N919" s="115">
        <v>1100</v>
      </c>
      <c r="O919" s="115">
        <v>1070.4000000000001</v>
      </c>
      <c r="P919" s="115">
        <v>1095.52</v>
      </c>
      <c r="Q919" s="115">
        <v>5411.8</v>
      </c>
      <c r="R919">
        <v>2059</v>
      </c>
    </row>
    <row r="920" spans="1:18" x14ac:dyDescent="0.25">
      <c r="A920" s="169">
        <v>43354</v>
      </c>
      <c r="B920" s="115">
        <v>1099.98</v>
      </c>
      <c r="C920" s="115">
        <v>1083.93</v>
      </c>
      <c r="D920" s="115">
        <v>1075</v>
      </c>
      <c r="E920" s="115">
        <v>1084.8</v>
      </c>
      <c r="F920" s="115">
        <v>5419.65</v>
      </c>
      <c r="G920">
        <v>199</v>
      </c>
      <c r="H920" s="115"/>
      <c r="I920" s="115"/>
      <c r="L920" s="169">
        <v>43355</v>
      </c>
      <c r="M920" s="115">
        <v>1095.99</v>
      </c>
      <c r="N920" s="115">
        <v>1100</v>
      </c>
      <c r="O920" s="115">
        <v>1072.2</v>
      </c>
      <c r="P920" s="115">
        <v>1082.01</v>
      </c>
      <c r="Q920" s="115">
        <v>5479.95</v>
      </c>
      <c r="R920">
        <v>971</v>
      </c>
    </row>
    <row r="921" spans="1:18" x14ac:dyDescent="0.25">
      <c r="A921" s="169">
        <v>43355</v>
      </c>
      <c r="B921" s="115">
        <v>1089.8699999999999</v>
      </c>
      <c r="C921" s="115">
        <v>1088.54</v>
      </c>
      <c r="D921" s="115">
        <v>1076</v>
      </c>
      <c r="E921" s="115">
        <v>1077</v>
      </c>
      <c r="F921" s="115">
        <v>5442.7</v>
      </c>
      <c r="G921">
        <v>19</v>
      </c>
      <c r="H921" s="115"/>
      <c r="I921" s="115"/>
      <c r="L921" s="169">
        <v>43357</v>
      </c>
      <c r="M921" s="115">
        <v>1087.3</v>
      </c>
      <c r="N921" s="115">
        <v>1097.6099999999999</v>
      </c>
      <c r="O921" s="115">
        <v>1074.6099999999999</v>
      </c>
      <c r="P921" s="115">
        <v>1092.01</v>
      </c>
      <c r="Q921" s="115">
        <v>5436.5</v>
      </c>
      <c r="R921">
        <v>1819</v>
      </c>
    </row>
    <row r="922" spans="1:18" x14ac:dyDescent="0.25">
      <c r="A922" s="169">
        <v>43357</v>
      </c>
      <c r="B922" s="115">
        <v>1097</v>
      </c>
      <c r="C922" s="115">
        <v>1093.18</v>
      </c>
      <c r="D922" s="115">
        <v>1082.83</v>
      </c>
      <c r="E922" s="115">
        <v>1096.69</v>
      </c>
      <c r="F922" s="115">
        <v>5465.9</v>
      </c>
      <c r="G922">
        <v>162</v>
      </c>
      <c r="H922" s="115"/>
      <c r="I922" s="115"/>
      <c r="L922" s="169">
        <v>43360</v>
      </c>
      <c r="M922" s="115">
        <v>1093.21</v>
      </c>
      <c r="N922" s="115">
        <v>1108.78</v>
      </c>
      <c r="O922" s="115">
        <v>1073.4000000000001</v>
      </c>
      <c r="P922" s="115">
        <v>1085</v>
      </c>
      <c r="Q922" s="115">
        <v>5466.05</v>
      </c>
      <c r="R922">
        <v>1373</v>
      </c>
    </row>
    <row r="923" spans="1:18" x14ac:dyDescent="0.25">
      <c r="A923" s="169">
        <v>43360</v>
      </c>
      <c r="B923" s="115">
        <v>1118.6500000000001</v>
      </c>
      <c r="C923" s="115">
        <v>1097.71</v>
      </c>
      <c r="D923" s="115">
        <v>1080</v>
      </c>
      <c r="E923" s="115">
        <v>1080.02</v>
      </c>
      <c r="F923" s="115">
        <v>5488.55</v>
      </c>
      <c r="G923">
        <v>473</v>
      </c>
      <c r="H923" s="115"/>
      <c r="I923" s="115"/>
      <c r="L923" s="169">
        <v>43361</v>
      </c>
      <c r="M923" s="115">
        <v>1093.3900000000001</v>
      </c>
      <c r="N923" s="115">
        <v>1112.3800000000001</v>
      </c>
      <c r="O923" s="115">
        <v>1085.2</v>
      </c>
      <c r="P923" s="115">
        <v>1104.82</v>
      </c>
      <c r="Q923" s="115">
        <v>5466.95</v>
      </c>
      <c r="R923">
        <v>1051</v>
      </c>
    </row>
    <row r="924" spans="1:18" x14ac:dyDescent="0.25">
      <c r="A924" s="169">
        <v>43361</v>
      </c>
      <c r="B924" s="115">
        <v>1110</v>
      </c>
      <c r="C924" s="115">
        <v>1095.3800000000001</v>
      </c>
      <c r="D924" s="115">
        <v>1084.01</v>
      </c>
      <c r="E924" s="115">
        <v>1100</v>
      </c>
      <c r="F924" s="115">
        <v>5476.9</v>
      </c>
      <c r="G924">
        <v>100</v>
      </c>
      <c r="H924" s="115"/>
      <c r="I924" s="115"/>
      <c r="L924" s="169">
        <v>43362</v>
      </c>
      <c r="M924" s="115">
        <v>1093.3800000000001</v>
      </c>
      <c r="N924" s="115">
        <v>1108.3699999999999</v>
      </c>
      <c r="O924" s="115">
        <v>1082.2</v>
      </c>
      <c r="P924" s="115">
        <v>1098.05</v>
      </c>
      <c r="Q924" s="115">
        <v>5466.9</v>
      </c>
      <c r="R924">
        <v>68767</v>
      </c>
    </row>
    <row r="925" spans="1:18" x14ac:dyDescent="0.25">
      <c r="A925" s="169">
        <v>43362</v>
      </c>
      <c r="B925" s="115">
        <v>1120</v>
      </c>
      <c r="C925" s="115">
        <v>1083.3900000000001</v>
      </c>
      <c r="D925" s="115">
        <v>1080.23</v>
      </c>
      <c r="E925" s="115">
        <v>1120</v>
      </c>
      <c r="F925" s="115">
        <v>5416.95</v>
      </c>
      <c r="G925">
        <v>95</v>
      </c>
      <c r="H925" s="115"/>
      <c r="I925" s="115"/>
      <c r="L925" s="169">
        <v>43364</v>
      </c>
      <c r="M925" s="115">
        <v>1088.68</v>
      </c>
      <c r="N925" s="115">
        <v>1107.99</v>
      </c>
      <c r="O925" s="115">
        <v>1066.4000000000001</v>
      </c>
      <c r="P925" s="115">
        <v>1099.99</v>
      </c>
      <c r="Q925" s="115">
        <v>5443.4</v>
      </c>
      <c r="R925">
        <v>5296</v>
      </c>
    </row>
    <row r="926" spans="1:18" x14ac:dyDescent="0.25">
      <c r="A926" s="169">
        <v>43364</v>
      </c>
      <c r="B926" s="115">
        <v>1096.49</v>
      </c>
      <c r="C926" s="115">
        <v>1090.26</v>
      </c>
      <c r="D926" s="115">
        <v>1066.5999999999999</v>
      </c>
      <c r="E926" s="115">
        <v>1096</v>
      </c>
      <c r="F926" s="115">
        <v>5451.3</v>
      </c>
      <c r="G926">
        <v>423</v>
      </c>
      <c r="H926" s="115"/>
      <c r="I926" s="115"/>
      <c r="L926" s="169">
        <v>43367</v>
      </c>
      <c r="M926" s="115">
        <v>1064.4000000000001</v>
      </c>
      <c r="N926" s="115">
        <v>1094.6500000000001</v>
      </c>
      <c r="O926" s="115">
        <v>1058</v>
      </c>
      <c r="P926" s="115">
        <v>1080</v>
      </c>
      <c r="Q926" s="115">
        <v>5322</v>
      </c>
      <c r="R926">
        <v>11650</v>
      </c>
    </row>
    <row r="927" spans="1:18" x14ac:dyDescent="0.25">
      <c r="A927" s="169">
        <v>43367</v>
      </c>
      <c r="B927" s="115">
        <v>1090</v>
      </c>
      <c r="C927" s="115">
        <v>1059.95</v>
      </c>
      <c r="D927" s="115">
        <v>1054.2</v>
      </c>
      <c r="E927" s="115">
        <v>1080</v>
      </c>
      <c r="F927" s="115">
        <v>5299.75</v>
      </c>
      <c r="G927">
        <v>288</v>
      </c>
      <c r="H927" s="115"/>
      <c r="I927" s="115"/>
      <c r="L927" s="169">
        <v>43368</v>
      </c>
      <c r="M927" s="115">
        <v>1060.68</v>
      </c>
      <c r="N927" s="115">
        <v>1070</v>
      </c>
      <c r="O927" s="115">
        <v>1038.6099999999999</v>
      </c>
      <c r="P927" s="115">
        <v>1064.45</v>
      </c>
      <c r="Q927" s="115">
        <v>5303.4</v>
      </c>
      <c r="R927">
        <v>3476</v>
      </c>
    </row>
    <row r="928" spans="1:18" x14ac:dyDescent="0.25">
      <c r="A928" s="169">
        <v>43368</v>
      </c>
      <c r="B928" s="115">
        <v>1062</v>
      </c>
      <c r="C928" s="115">
        <v>1059.26</v>
      </c>
      <c r="D928" s="115">
        <v>1041</v>
      </c>
      <c r="E928" s="115">
        <v>1062</v>
      </c>
      <c r="F928" s="115">
        <v>5296.3</v>
      </c>
      <c r="G928">
        <v>107</v>
      </c>
      <c r="H928" s="115"/>
      <c r="I928" s="115"/>
      <c r="L928" s="169">
        <v>43369</v>
      </c>
      <c r="M928" s="115">
        <v>1070.93</v>
      </c>
      <c r="N928" s="115">
        <v>1081.1199999999999</v>
      </c>
      <c r="O928" s="115">
        <v>1035.47</v>
      </c>
      <c r="P928" s="115">
        <v>1071.4000000000001</v>
      </c>
      <c r="Q928" s="115">
        <v>5354.65</v>
      </c>
      <c r="R928">
        <v>5170</v>
      </c>
    </row>
    <row r="929" spans="1:18" x14ac:dyDescent="0.25">
      <c r="A929" s="169">
        <v>43369</v>
      </c>
      <c r="B929" s="115">
        <v>1080</v>
      </c>
      <c r="C929" s="115">
        <v>1077.9000000000001</v>
      </c>
      <c r="D929" s="115">
        <v>1038.01</v>
      </c>
      <c r="E929" s="115">
        <v>1077.4000000000001</v>
      </c>
      <c r="F929" s="115">
        <v>5389.5</v>
      </c>
      <c r="G929">
        <v>771</v>
      </c>
      <c r="H929" s="115"/>
      <c r="I929" s="115"/>
      <c r="L929" s="169">
        <v>43370</v>
      </c>
      <c r="M929" s="115">
        <v>1060.53</v>
      </c>
      <c r="N929" s="115">
        <v>1079.78</v>
      </c>
      <c r="O929" s="115">
        <v>1047</v>
      </c>
      <c r="P929" s="115">
        <v>1063.96</v>
      </c>
      <c r="Q929" s="115">
        <v>5302.65</v>
      </c>
      <c r="R929">
        <v>7120</v>
      </c>
    </row>
    <row r="930" spans="1:18" x14ac:dyDescent="0.25">
      <c r="A930" s="169">
        <v>43370</v>
      </c>
      <c r="B930" s="115">
        <v>1060.01</v>
      </c>
      <c r="C930" s="115">
        <v>1057.5999999999999</v>
      </c>
      <c r="D930" s="115">
        <v>1050.01</v>
      </c>
      <c r="E930" s="115">
        <v>1056</v>
      </c>
      <c r="F930" s="115">
        <v>5288</v>
      </c>
      <c r="G930">
        <v>107</v>
      </c>
      <c r="H930" s="115"/>
      <c r="I930" s="115"/>
      <c r="L930" s="169">
        <v>43371</v>
      </c>
      <c r="M930" s="115">
        <v>1075.18</v>
      </c>
      <c r="N930" s="115">
        <v>1105.5</v>
      </c>
      <c r="O930" s="115">
        <v>1035</v>
      </c>
      <c r="P930" s="115">
        <v>1077.99</v>
      </c>
      <c r="Q930" s="115">
        <v>5375.9</v>
      </c>
      <c r="R930">
        <v>3699</v>
      </c>
    </row>
    <row r="931" spans="1:18" x14ac:dyDescent="0.25">
      <c r="A931" s="169">
        <v>43371</v>
      </c>
      <c r="B931" s="115">
        <v>1096</v>
      </c>
      <c r="C931" s="115">
        <v>1079.03</v>
      </c>
      <c r="D931" s="115">
        <v>1035.47</v>
      </c>
      <c r="E931" s="115">
        <v>1044.01</v>
      </c>
      <c r="F931" s="115">
        <v>5395.15</v>
      </c>
      <c r="G931">
        <v>197</v>
      </c>
      <c r="H931" s="115"/>
      <c r="I931" s="115"/>
      <c r="L931" s="169">
        <v>43374</v>
      </c>
      <c r="M931" s="115">
        <v>1049.1199999999999</v>
      </c>
      <c r="N931" s="115">
        <v>1075.8</v>
      </c>
      <c r="O931" s="115">
        <v>1038</v>
      </c>
      <c r="P931" s="115">
        <v>1060.25</v>
      </c>
      <c r="Q931" s="115">
        <v>5245.6</v>
      </c>
      <c r="R931">
        <v>49799</v>
      </c>
    </row>
    <row r="932" spans="1:18" x14ac:dyDescent="0.25">
      <c r="A932" s="169">
        <v>43374</v>
      </c>
      <c r="B932" s="115">
        <v>1077.2</v>
      </c>
      <c r="C932" s="115">
        <v>1046.22</v>
      </c>
      <c r="D932" s="115">
        <v>1042.21</v>
      </c>
      <c r="E932" s="115">
        <v>1057.2</v>
      </c>
      <c r="F932" s="115">
        <v>5231.1000000000004</v>
      </c>
      <c r="G932">
        <v>159</v>
      </c>
      <c r="H932" s="115"/>
      <c r="I932" s="115"/>
      <c r="L932" s="169">
        <v>43376</v>
      </c>
      <c r="M932" s="115">
        <v>1042.5</v>
      </c>
      <c r="N932" s="115">
        <v>1055.6400000000001</v>
      </c>
      <c r="O932" s="115">
        <v>1038</v>
      </c>
      <c r="P932" s="115">
        <v>1055.6400000000001</v>
      </c>
      <c r="Q932" s="115">
        <v>5212.5</v>
      </c>
      <c r="R932">
        <v>921</v>
      </c>
    </row>
    <row r="933" spans="1:18" x14ac:dyDescent="0.25">
      <c r="A933" s="169">
        <v>43376</v>
      </c>
      <c r="B933" s="115">
        <v>1079.99</v>
      </c>
      <c r="C933" s="115">
        <v>1039.1600000000001</v>
      </c>
      <c r="D933" s="115">
        <v>1029.02</v>
      </c>
      <c r="E933" s="115">
        <v>1079.99</v>
      </c>
      <c r="F933" s="115">
        <v>5195.8</v>
      </c>
      <c r="G933">
        <v>121</v>
      </c>
      <c r="H933" s="115"/>
      <c r="I933" s="115"/>
      <c r="L933" s="169">
        <v>43377</v>
      </c>
      <c r="M933" s="115">
        <v>1040.06</v>
      </c>
      <c r="N933" s="115">
        <v>1050</v>
      </c>
      <c r="O933" s="115">
        <v>1014</v>
      </c>
      <c r="P933" s="115">
        <v>1050</v>
      </c>
      <c r="Q933" s="115">
        <v>5200.3</v>
      </c>
      <c r="R933">
        <v>4403</v>
      </c>
    </row>
    <row r="934" spans="1:18" x14ac:dyDescent="0.25">
      <c r="A934" s="169">
        <v>43377</v>
      </c>
      <c r="B934" s="115">
        <v>1051.5899999999999</v>
      </c>
      <c r="C934" s="115">
        <v>1036.2</v>
      </c>
      <c r="D934" s="115">
        <v>1018</v>
      </c>
      <c r="E934" s="115">
        <v>1032</v>
      </c>
      <c r="F934" s="115">
        <v>5181</v>
      </c>
      <c r="G934">
        <v>99</v>
      </c>
      <c r="H934" s="115"/>
      <c r="I934" s="115"/>
      <c r="L934" s="169">
        <v>43378</v>
      </c>
      <c r="M934" s="115">
        <v>1025.6600000000001</v>
      </c>
      <c r="N934" s="115">
        <v>1043.1600000000001</v>
      </c>
      <c r="O934" s="115">
        <v>1021.06</v>
      </c>
      <c r="P934" s="115">
        <v>1030</v>
      </c>
      <c r="Q934" s="115">
        <v>5128.3</v>
      </c>
      <c r="R934">
        <v>17941</v>
      </c>
    </row>
    <row r="935" spans="1:18" x14ac:dyDescent="0.25">
      <c r="A935" s="169">
        <v>43378</v>
      </c>
      <c r="B935" s="115">
        <v>1050</v>
      </c>
      <c r="C935" s="115">
        <v>1034.55</v>
      </c>
      <c r="D935" s="115">
        <v>1025</v>
      </c>
      <c r="E935" s="115">
        <v>1030.19</v>
      </c>
      <c r="F935" s="115">
        <v>5172.75</v>
      </c>
      <c r="G935">
        <v>1248</v>
      </c>
      <c r="H935" s="115"/>
      <c r="I935" s="115"/>
      <c r="L935" s="169">
        <v>43381</v>
      </c>
      <c r="M935" s="115">
        <v>1011.55</v>
      </c>
      <c r="N935" s="115">
        <v>1027.4100000000001</v>
      </c>
      <c r="O935" s="115">
        <v>987.99</v>
      </c>
      <c r="P935" s="115">
        <v>1025.3399999999999</v>
      </c>
      <c r="Q935" s="115">
        <v>5057.75</v>
      </c>
      <c r="R935">
        <v>7160</v>
      </c>
    </row>
    <row r="936" spans="1:18" x14ac:dyDescent="0.25">
      <c r="A936" s="169">
        <v>43381</v>
      </c>
      <c r="B936" s="115">
        <v>1039.8</v>
      </c>
      <c r="C936" s="115">
        <v>1004.47</v>
      </c>
      <c r="D936" s="115">
        <v>985.27</v>
      </c>
      <c r="E936" s="115">
        <v>1020.01</v>
      </c>
      <c r="F936" s="115">
        <v>5022.3500000000004</v>
      </c>
      <c r="G936">
        <v>563</v>
      </c>
      <c r="H936" s="115"/>
      <c r="I936" s="115"/>
      <c r="L936" s="169">
        <v>43382</v>
      </c>
      <c r="M936" s="115">
        <v>996.82</v>
      </c>
      <c r="N936" s="115">
        <v>1079.5999999999999</v>
      </c>
      <c r="O936" s="115">
        <v>984.84</v>
      </c>
      <c r="P936" s="115">
        <v>1079.5999999999999</v>
      </c>
      <c r="Q936" s="115">
        <v>4984.1000000000004</v>
      </c>
      <c r="R936">
        <v>3149</v>
      </c>
    </row>
    <row r="937" spans="1:18" x14ac:dyDescent="0.25">
      <c r="A937" s="169">
        <v>43382</v>
      </c>
      <c r="B937" s="115">
        <v>1010.63</v>
      </c>
      <c r="C937" s="115">
        <v>994.05</v>
      </c>
      <c r="D937" s="115">
        <v>990</v>
      </c>
      <c r="E937" s="115">
        <v>1010.63</v>
      </c>
      <c r="F937" s="115">
        <v>4970.25</v>
      </c>
      <c r="G937">
        <v>73</v>
      </c>
      <c r="H937" s="115"/>
      <c r="I937" s="115"/>
      <c r="L937" s="169">
        <v>43383</v>
      </c>
      <c r="M937" s="115">
        <v>1020.67</v>
      </c>
      <c r="N937" s="115">
        <v>1048</v>
      </c>
      <c r="O937" s="115">
        <v>985.27</v>
      </c>
      <c r="P937" s="115">
        <v>990</v>
      </c>
      <c r="Q937" s="115">
        <v>5103.3500000000004</v>
      </c>
      <c r="R937">
        <v>6606</v>
      </c>
    </row>
    <row r="938" spans="1:18" x14ac:dyDescent="0.25">
      <c r="A938" s="169">
        <v>43383</v>
      </c>
      <c r="B938" s="115">
        <v>1049.6300000000001</v>
      </c>
      <c r="C938" s="115">
        <v>1020.6</v>
      </c>
      <c r="D938" s="115">
        <v>975.29</v>
      </c>
      <c r="E938" s="115">
        <v>990.01</v>
      </c>
      <c r="F938" s="115">
        <v>5103</v>
      </c>
      <c r="G938">
        <v>2836</v>
      </c>
      <c r="H938" s="115"/>
      <c r="I938" s="115"/>
      <c r="L938" s="169">
        <v>43384</v>
      </c>
      <c r="M938" s="115">
        <v>1031.83</v>
      </c>
      <c r="N938" s="115">
        <v>1044.99</v>
      </c>
      <c r="O938" s="115">
        <v>1000</v>
      </c>
      <c r="P938" s="115">
        <v>1000.04</v>
      </c>
      <c r="Q938" s="115">
        <v>5159.1499999999996</v>
      </c>
      <c r="R938">
        <v>1342</v>
      </c>
    </row>
    <row r="939" spans="1:18" x14ac:dyDescent="0.25">
      <c r="A939" s="169">
        <v>43384</v>
      </c>
      <c r="B939" s="115">
        <v>1048</v>
      </c>
      <c r="C939" s="115">
        <v>1031</v>
      </c>
      <c r="D939" s="115">
        <v>999.8</v>
      </c>
      <c r="E939" s="115">
        <v>999.8</v>
      </c>
      <c r="F939" s="115">
        <v>5155</v>
      </c>
      <c r="G939">
        <v>80</v>
      </c>
      <c r="H939" s="115"/>
      <c r="I939" s="115"/>
      <c r="L939" s="169">
        <v>43385</v>
      </c>
      <c r="M939" s="115">
        <v>1045.46</v>
      </c>
      <c r="N939" s="115">
        <v>1059.5999999999999</v>
      </c>
      <c r="O939" s="115">
        <v>1021.6</v>
      </c>
      <c r="P939" s="115">
        <v>1047.45</v>
      </c>
      <c r="Q939" s="115">
        <v>5227.3</v>
      </c>
      <c r="R939">
        <v>970</v>
      </c>
    </row>
    <row r="940" spans="1:18" x14ac:dyDescent="0.25">
      <c r="A940" s="169">
        <v>43385</v>
      </c>
      <c r="B940" s="115">
        <v>1059.8</v>
      </c>
      <c r="C940" s="115">
        <v>1048</v>
      </c>
      <c r="D940" s="115">
        <v>1040.05</v>
      </c>
      <c r="E940" s="115">
        <v>1052.45</v>
      </c>
      <c r="F940" s="115">
        <v>5240</v>
      </c>
      <c r="G940">
        <v>88</v>
      </c>
      <c r="H940" s="115"/>
      <c r="I940" s="115"/>
      <c r="L940" s="169">
        <v>43388</v>
      </c>
      <c r="M940" s="115">
        <v>1042.68</v>
      </c>
      <c r="N940" s="115">
        <v>1056.23</v>
      </c>
      <c r="O940" s="115">
        <v>1022</v>
      </c>
      <c r="P940" s="115">
        <v>1045.47</v>
      </c>
      <c r="Q940" s="115">
        <v>5213.3999999999996</v>
      </c>
      <c r="R940">
        <v>4105</v>
      </c>
    </row>
    <row r="941" spans="1:18" x14ac:dyDescent="0.25">
      <c r="A941" s="169">
        <v>43388</v>
      </c>
      <c r="B941" s="115">
        <v>1042.6199999999999</v>
      </c>
      <c r="C941" s="115">
        <v>1030</v>
      </c>
      <c r="D941" s="115">
        <v>1026.02</v>
      </c>
      <c r="E941" s="115">
        <v>1040</v>
      </c>
      <c r="F941" s="115">
        <v>5150</v>
      </c>
      <c r="G941">
        <v>33</v>
      </c>
      <c r="H941" s="115"/>
      <c r="I941" s="115"/>
      <c r="L941" s="169">
        <v>43389</v>
      </c>
      <c r="M941" s="115">
        <v>1023.53</v>
      </c>
      <c r="N941" s="115">
        <v>1059.1199999999999</v>
      </c>
      <c r="O941" s="115">
        <v>1017.07</v>
      </c>
      <c r="P941" s="115">
        <v>1059.1199999999999</v>
      </c>
      <c r="Q941" s="115">
        <v>5117.6499999999996</v>
      </c>
      <c r="R941">
        <v>2262</v>
      </c>
    </row>
    <row r="942" spans="1:18" x14ac:dyDescent="0.25">
      <c r="A942" s="169">
        <v>43389</v>
      </c>
      <c r="B942" s="115">
        <v>1043.5999999999999</v>
      </c>
      <c r="C942" s="115">
        <v>1019.93</v>
      </c>
      <c r="D942" s="115">
        <v>1013.21</v>
      </c>
      <c r="E942" s="115">
        <v>1033.01</v>
      </c>
      <c r="F942" s="115">
        <v>5099.6499999999996</v>
      </c>
      <c r="G942">
        <v>68</v>
      </c>
      <c r="H942" s="115"/>
      <c r="I942" s="115"/>
      <c r="L942" s="169">
        <v>43390</v>
      </c>
      <c r="M942" s="115">
        <v>1012.28</v>
      </c>
      <c r="N942" s="115">
        <v>1038</v>
      </c>
      <c r="O942" s="115">
        <v>1010</v>
      </c>
      <c r="P942" s="115">
        <v>1030.71</v>
      </c>
      <c r="Q942" s="115">
        <v>5061.3999999999996</v>
      </c>
      <c r="R942">
        <v>6924</v>
      </c>
    </row>
    <row r="943" spans="1:18" x14ac:dyDescent="0.25">
      <c r="A943" s="169">
        <v>43390</v>
      </c>
      <c r="B943" s="115">
        <v>1032</v>
      </c>
      <c r="C943" s="115">
        <v>1012.93</v>
      </c>
      <c r="D943" s="115">
        <v>1008</v>
      </c>
      <c r="E943" s="115">
        <v>1020</v>
      </c>
      <c r="F943" s="115">
        <v>5064.6499999999996</v>
      </c>
      <c r="G943">
        <v>69</v>
      </c>
      <c r="H943" s="115"/>
      <c r="I943" s="115"/>
      <c r="L943" s="169">
        <v>43392</v>
      </c>
      <c r="M943" s="115">
        <v>998.56</v>
      </c>
      <c r="N943" s="115">
        <v>1027.99</v>
      </c>
      <c r="O943" s="115">
        <v>992</v>
      </c>
      <c r="P943" s="115">
        <v>1027.99</v>
      </c>
      <c r="Q943" s="115">
        <v>4992.8</v>
      </c>
      <c r="R943">
        <v>5880</v>
      </c>
    </row>
    <row r="944" spans="1:18" x14ac:dyDescent="0.25">
      <c r="A944" s="169">
        <v>43392</v>
      </c>
      <c r="B944" s="115">
        <v>1009.16</v>
      </c>
      <c r="C944" s="115">
        <v>997.17</v>
      </c>
      <c r="D944" s="115">
        <v>995</v>
      </c>
      <c r="E944" s="115">
        <v>1009.16</v>
      </c>
      <c r="F944" s="115">
        <v>4985.8500000000004</v>
      </c>
      <c r="G944">
        <v>73</v>
      </c>
      <c r="H944" s="115"/>
      <c r="I944" s="115"/>
      <c r="L944" s="169">
        <v>43395</v>
      </c>
      <c r="M944" s="115">
        <v>974.41</v>
      </c>
      <c r="N944" s="115">
        <v>1032</v>
      </c>
      <c r="O944" s="115">
        <v>965.4</v>
      </c>
      <c r="P944" s="115">
        <v>990.01</v>
      </c>
      <c r="Q944" s="115">
        <v>4872.05</v>
      </c>
      <c r="R944">
        <v>10819</v>
      </c>
    </row>
    <row r="945" spans="1:18" x14ac:dyDescent="0.25">
      <c r="A945" s="169">
        <v>43395</v>
      </c>
      <c r="B945" s="115">
        <v>1005.8</v>
      </c>
      <c r="C945" s="115">
        <v>977.9</v>
      </c>
      <c r="D945" s="115">
        <v>970</v>
      </c>
      <c r="E945" s="115">
        <v>1005.8</v>
      </c>
      <c r="F945" s="115">
        <v>4889.5</v>
      </c>
      <c r="G945">
        <v>1393</v>
      </c>
      <c r="H945" s="115"/>
      <c r="I945" s="115"/>
      <c r="L945" s="169">
        <v>43396</v>
      </c>
      <c r="M945" s="115">
        <v>967.85</v>
      </c>
      <c r="N945" s="115">
        <v>990</v>
      </c>
      <c r="O945" s="115">
        <v>921.11</v>
      </c>
      <c r="P945" s="115">
        <v>980</v>
      </c>
      <c r="Q945" s="115">
        <v>4839.25</v>
      </c>
      <c r="R945">
        <v>15759</v>
      </c>
    </row>
    <row r="946" spans="1:18" x14ac:dyDescent="0.25">
      <c r="A946" s="169">
        <v>43396</v>
      </c>
      <c r="B946" s="115">
        <v>990</v>
      </c>
      <c r="C946" s="115">
        <v>968.85</v>
      </c>
      <c r="D946" s="115">
        <v>919.8</v>
      </c>
      <c r="E946" s="115">
        <v>990</v>
      </c>
      <c r="F946" s="115">
        <v>4844.25</v>
      </c>
      <c r="G946">
        <v>16150</v>
      </c>
      <c r="H946" s="115"/>
      <c r="I946" s="115"/>
      <c r="L946" s="169">
        <v>43397</v>
      </c>
      <c r="M946" s="115">
        <v>960</v>
      </c>
      <c r="N946" s="115">
        <v>985</v>
      </c>
      <c r="O946" s="115">
        <v>952.04</v>
      </c>
      <c r="P946" s="115">
        <v>985</v>
      </c>
      <c r="Q946" s="115">
        <v>4800</v>
      </c>
      <c r="R946">
        <v>7564</v>
      </c>
    </row>
    <row r="947" spans="1:18" x14ac:dyDescent="0.25">
      <c r="A947" s="169">
        <v>43397</v>
      </c>
      <c r="B947" s="115">
        <v>964.9</v>
      </c>
      <c r="C947" s="115">
        <v>959.9</v>
      </c>
      <c r="D947" s="115">
        <v>952.5</v>
      </c>
      <c r="E947" s="115">
        <v>958</v>
      </c>
      <c r="F947" s="115">
        <v>4799.5</v>
      </c>
      <c r="G947">
        <v>104</v>
      </c>
      <c r="H947" s="115"/>
      <c r="I947" s="115"/>
      <c r="L947" s="169">
        <v>43398</v>
      </c>
      <c r="M947" s="115">
        <v>960.59</v>
      </c>
      <c r="N947" s="115">
        <v>973.43</v>
      </c>
      <c r="O947" s="115">
        <v>957.01</v>
      </c>
      <c r="P947" s="115">
        <v>960</v>
      </c>
      <c r="Q947" s="115">
        <v>4802.95</v>
      </c>
      <c r="R947">
        <v>808</v>
      </c>
    </row>
    <row r="948" spans="1:18" x14ac:dyDescent="0.25">
      <c r="A948" s="169">
        <v>43398</v>
      </c>
      <c r="B948" s="115">
        <v>969.74</v>
      </c>
      <c r="C948" s="115">
        <v>960</v>
      </c>
      <c r="D948" s="115">
        <v>956.2</v>
      </c>
      <c r="E948" s="115">
        <v>960</v>
      </c>
      <c r="F948" s="115">
        <v>4800</v>
      </c>
      <c r="G948">
        <v>44</v>
      </c>
      <c r="H948" s="115"/>
      <c r="I948" s="115"/>
      <c r="L948" s="169">
        <v>43399</v>
      </c>
      <c r="M948" s="115">
        <v>961.38</v>
      </c>
      <c r="N948" s="115">
        <v>970</v>
      </c>
      <c r="O948" s="115">
        <v>956.21</v>
      </c>
      <c r="P948" s="115">
        <v>957.82</v>
      </c>
      <c r="Q948" s="115">
        <v>4806.8999999999996</v>
      </c>
      <c r="R948">
        <v>14175</v>
      </c>
    </row>
    <row r="949" spans="1:18" x14ac:dyDescent="0.25">
      <c r="A949" s="169">
        <v>43399</v>
      </c>
      <c r="B949" s="115">
        <v>996</v>
      </c>
      <c r="C949" s="115">
        <v>968.43</v>
      </c>
      <c r="D949" s="115">
        <v>960.4</v>
      </c>
      <c r="E949" s="115">
        <v>996</v>
      </c>
      <c r="F949" s="115">
        <v>4842.1499999999996</v>
      </c>
      <c r="G949">
        <v>83</v>
      </c>
      <c r="H949" s="115"/>
      <c r="I949" s="115"/>
      <c r="L949" s="169">
        <v>43402</v>
      </c>
      <c r="M949" s="115">
        <v>974.85</v>
      </c>
      <c r="N949" s="115">
        <v>980</v>
      </c>
      <c r="O949" s="115">
        <v>963</v>
      </c>
      <c r="P949" s="115">
        <v>971.99</v>
      </c>
      <c r="Q949" s="115">
        <v>4874.25</v>
      </c>
      <c r="R949">
        <v>913</v>
      </c>
    </row>
    <row r="950" spans="1:18" x14ac:dyDescent="0.25">
      <c r="A950" s="169">
        <v>43402</v>
      </c>
      <c r="B950" s="115">
        <v>997.99</v>
      </c>
      <c r="C950" s="115">
        <v>977.85</v>
      </c>
      <c r="D950" s="115">
        <v>969</v>
      </c>
      <c r="E950" s="115">
        <v>997.99</v>
      </c>
      <c r="F950" s="115">
        <v>4889.25</v>
      </c>
      <c r="G950">
        <v>64</v>
      </c>
      <c r="H950" s="115"/>
      <c r="I950" s="115"/>
      <c r="L950" s="169">
        <v>43403</v>
      </c>
      <c r="M950" s="115">
        <v>984.24</v>
      </c>
      <c r="N950" s="115">
        <v>992</v>
      </c>
      <c r="O950" s="115">
        <v>970</v>
      </c>
      <c r="P950" s="115">
        <v>977.99</v>
      </c>
      <c r="Q950" s="115">
        <v>4921.2</v>
      </c>
      <c r="R950">
        <v>1490</v>
      </c>
    </row>
    <row r="951" spans="1:18" x14ac:dyDescent="0.25">
      <c r="A951" s="169">
        <v>43403</v>
      </c>
      <c r="B951" s="115">
        <v>990</v>
      </c>
      <c r="C951" s="115">
        <v>985.9</v>
      </c>
      <c r="D951" s="115">
        <v>977</v>
      </c>
      <c r="E951" s="115">
        <v>989.8</v>
      </c>
      <c r="F951" s="115">
        <v>4929.5</v>
      </c>
      <c r="G951">
        <v>42</v>
      </c>
      <c r="H951" s="115"/>
      <c r="I951" s="115"/>
      <c r="L951" s="169">
        <v>43404</v>
      </c>
      <c r="M951" s="115">
        <v>1005.95</v>
      </c>
      <c r="N951" s="115">
        <v>1020</v>
      </c>
      <c r="O951" s="115">
        <v>967.6</v>
      </c>
      <c r="P951" s="115">
        <v>990</v>
      </c>
      <c r="Q951" s="115">
        <v>5029.75</v>
      </c>
      <c r="R951">
        <v>10637</v>
      </c>
    </row>
    <row r="952" spans="1:18" x14ac:dyDescent="0.25">
      <c r="A952" s="169">
        <v>43404</v>
      </c>
      <c r="B952" s="115">
        <v>1019.8</v>
      </c>
      <c r="C952" s="115">
        <v>1001.42</v>
      </c>
      <c r="D952" s="115">
        <v>972</v>
      </c>
      <c r="E952" s="115">
        <v>976.03</v>
      </c>
      <c r="F952" s="115">
        <v>5007.1000000000004</v>
      </c>
      <c r="G952">
        <v>78</v>
      </c>
      <c r="H952" s="115"/>
      <c r="I952" s="115"/>
      <c r="L952" s="169">
        <v>43405</v>
      </c>
      <c r="M952" s="115">
        <v>1019.99</v>
      </c>
      <c r="N952" s="115">
        <v>1047.8</v>
      </c>
      <c r="O952" s="115">
        <v>1010</v>
      </c>
      <c r="P952" s="115">
        <v>1019.98</v>
      </c>
      <c r="Q952" s="115">
        <v>5099.95</v>
      </c>
      <c r="R952">
        <v>2063</v>
      </c>
    </row>
    <row r="953" spans="1:18" x14ac:dyDescent="0.25">
      <c r="A953" s="169">
        <v>43405</v>
      </c>
      <c r="B953" s="115">
        <v>1050</v>
      </c>
      <c r="C953" s="115">
        <v>1024.23</v>
      </c>
      <c r="D953" s="115">
        <v>1014.02</v>
      </c>
      <c r="E953" s="115">
        <v>1049.57</v>
      </c>
      <c r="F953" s="115">
        <v>5121.1499999999996</v>
      </c>
      <c r="G953">
        <v>481</v>
      </c>
      <c r="H953" s="115"/>
      <c r="I953" s="115"/>
      <c r="L953" s="169">
        <v>43406</v>
      </c>
      <c r="M953" s="115">
        <v>1009.64</v>
      </c>
      <c r="N953" s="115">
        <v>1038</v>
      </c>
      <c r="O953" s="115">
        <v>1004.51</v>
      </c>
      <c r="P953" s="115">
        <v>1037.99</v>
      </c>
      <c r="Q953" s="115">
        <v>5048.2</v>
      </c>
      <c r="R953">
        <v>2090</v>
      </c>
    </row>
    <row r="954" spans="1:18" x14ac:dyDescent="0.25">
      <c r="A954" s="169">
        <v>43406</v>
      </c>
      <c r="B954" s="115">
        <v>1051</v>
      </c>
      <c r="C954" s="115">
        <v>1012.74</v>
      </c>
      <c r="D954" s="115">
        <v>1010</v>
      </c>
      <c r="E954" s="115">
        <v>1036</v>
      </c>
      <c r="F954" s="115">
        <v>5063.7</v>
      </c>
      <c r="G954">
        <v>49</v>
      </c>
      <c r="H954" s="115"/>
      <c r="I954" s="115"/>
      <c r="L954" s="169">
        <v>43409</v>
      </c>
      <c r="M954" s="115">
        <v>1020.2</v>
      </c>
      <c r="N954" s="115">
        <v>1027.5999999999999</v>
      </c>
      <c r="O954" s="115">
        <v>1004.2</v>
      </c>
      <c r="P954" s="115">
        <v>1004.2</v>
      </c>
      <c r="Q954" s="115">
        <v>5101</v>
      </c>
      <c r="R954">
        <v>1845</v>
      </c>
    </row>
    <row r="955" spans="1:18" x14ac:dyDescent="0.25">
      <c r="A955" s="169">
        <v>43409</v>
      </c>
      <c r="B955" s="115">
        <v>1039.99</v>
      </c>
      <c r="C955" s="115">
        <v>1022.01</v>
      </c>
      <c r="D955" s="115">
        <v>1020</v>
      </c>
      <c r="E955" s="115">
        <v>1039.99</v>
      </c>
      <c r="F955" s="115">
        <v>5110.05</v>
      </c>
      <c r="G955">
        <v>256</v>
      </c>
      <c r="H955" s="115"/>
      <c r="I955" s="115"/>
      <c r="L955" s="169">
        <v>43410</v>
      </c>
      <c r="M955" s="115">
        <v>1020.33</v>
      </c>
      <c r="N955" s="115">
        <v>1024.5999999999999</v>
      </c>
      <c r="O955" s="115">
        <v>1006.4</v>
      </c>
      <c r="P955" s="115">
        <v>1019.35</v>
      </c>
      <c r="Q955" s="115">
        <v>5101.6499999999996</v>
      </c>
      <c r="R955">
        <v>875</v>
      </c>
    </row>
    <row r="956" spans="1:18" x14ac:dyDescent="0.25">
      <c r="A956" s="169">
        <v>43410</v>
      </c>
      <c r="B956" s="115">
        <v>1037.5899999999999</v>
      </c>
      <c r="C956" s="115">
        <v>1019.88</v>
      </c>
      <c r="D956" s="115">
        <v>1010.26</v>
      </c>
      <c r="E956" s="115">
        <v>1027.8</v>
      </c>
      <c r="F956" s="115">
        <v>5099.3999999999996</v>
      </c>
      <c r="G956">
        <v>136</v>
      </c>
      <c r="H956" s="115"/>
      <c r="I956" s="115"/>
      <c r="L956" s="169">
        <v>43411</v>
      </c>
      <c r="M956" s="115">
        <v>1044.83</v>
      </c>
      <c r="N956" s="115">
        <v>1050</v>
      </c>
      <c r="O956" s="115">
        <v>1023.99</v>
      </c>
      <c r="P956" s="115">
        <v>1026</v>
      </c>
      <c r="Q956" s="115">
        <v>5224.1499999999996</v>
      </c>
      <c r="R956">
        <v>775</v>
      </c>
    </row>
    <row r="957" spans="1:18" x14ac:dyDescent="0.25">
      <c r="A957" s="169">
        <v>43411</v>
      </c>
      <c r="B957" s="115">
        <v>1050</v>
      </c>
      <c r="C957" s="115">
        <v>1044.5899999999999</v>
      </c>
      <c r="D957" s="115">
        <v>1016</v>
      </c>
      <c r="E957" s="115">
        <v>1050</v>
      </c>
      <c r="F957" s="115">
        <v>5222.95</v>
      </c>
      <c r="G957">
        <v>60</v>
      </c>
      <c r="H957" s="115"/>
      <c r="I957" s="115"/>
      <c r="L957" s="169">
        <v>43413</v>
      </c>
      <c r="M957" s="115">
        <v>1082.3499999999999</v>
      </c>
      <c r="N957" s="115">
        <v>1090</v>
      </c>
      <c r="O957" s="115">
        <v>1045</v>
      </c>
      <c r="P957" s="115">
        <v>1049.99</v>
      </c>
      <c r="Q957" s="115">
        <v>5411.75</v>
      </c>
      <c r="R957">
        <v>3182</v>
      </c>
    </row>
    <row r="958" spans="1:18" x14ac:dyDescent="0.25">
      <c r="A958" s="169">
        <v>43413</v>
      </c>
      <c r="B958" s="115">
        <v>1092</v>
      </c>
      <c r="C958" s="115">
        <v>1089.92</v>
      </c>
      <c r="D958" s="115">
        <v>1020</v>
      </c>
      <c r="E958" s="115">
        <v>1020</v>
      </c>
      <c r="F958" s="115">
        <v>5449.6</v>
      </c>
      <c r="G958">
        <v>241</v>
      </c>
      <c r="H958" s="115"/>
      <c r="I958" s="115"/>
      <c r="L958" s="169">
        <v>43416</v>
      </c>
      <c r="M958" s="115">
        <v>1068.24</v>
      </c>
      <c r="N958" s="115">
        <v>1096</v>
      </c>
      <c r="O958" s="115">
        <v>1062</v>
      </c>
      <c r="P958" s="115">
        <v>1080</v>
      </c>
      <c r="Q958" s="115">
        <v>5341.2</v>
      </c>
      <c r="R958">
        <v>2398</v>
      </c>
    </row>
    <row r="959" spans="1:18" x14ac:dyDescent="0.25">
      <c r="A959" s="169">
        <v>43416</v>
      </c>
      <c r="B959" s="115">
        <v>1098</v>
      </c>
      <c r="C959" s="115">
        <v>1080</v>
      </c>
      <c r="D959" s="115">
        <v>1072</v>
      </c>
      <c r="E959" s="115">
        <v>1090</v>
      </c>
      <c r="F959" s="115">
        <v>5400</v>
      </c>
      <c r="G959">
        <v>79</v>
      </c>
      <c r="H959" s="115"/>
      <c r="I959" s="115"/>
      <c r="L959" s="169">
        <v>43417</v>
      </c>
      <c r="M959" s="115">
        <v>1067.1600000000001</v>
      </c>
      <c r="N959" s="115">
        <v>1080</v>
      </c>
      <c r="O959" s="115">
        <v>1055.18</v>
      </c>
      <c r="P959" s="115">
        <v>1055.18</v>
      </c>
      <c r="Q959" s="115">
        <v>5335.8</v>
      </c>
      <c r="R959">
        <v>5495</v>
      </c>
    </row>
    <row r="960" spans="1:18" x14ac:dyDescent="0.25">
      <c r="A960" s="169">
        <v>43417</v>
      </c>
      <c r="B960" s="115">
        <v>1088.9000000000001</v>
      </c>
      <c r="C960" s="115">
        <v>1065.92</v>
      </c>
      <c r="D960" s="115">
        <v>1064</v>
      </c>
      <c r="E960" s="115">
        <v>1064</v>
      </c>
      <c r="F960" s="115">
        <v>5329.6</v>
      </c>
      <c r="G960">
        <v>20</v>
      </c>
      <c r="H960" s="115"/>
      <c r="I960" s="115"/>
      <c r="L960" s="169">
        <v>43418</v>
      </c>
      <c r="M960" s="115">
        <v>1113.1600000000001</v>
      </c>
      <c r="N960" s="115">
        <v>1140</v>
      </c>
      <c r="O960" s="115">
        <v>1075</v>
      </c>
      <c r="P960" s="115">
        <v>1075</v>
      </c>
      <c r="Q960" s="115">
        <v>5565.8</v>
      </c>
      <c r="R960">
        <v>12830</v>
      </c>
    </row>
    <row r="961" spans="1:18" x14ac:dyDescent="0.25">
      <c r="A961" s="169">
        <v>43418</v>
      </c>
      <c r="B961" s="115">
        <v>1138.27</v>
      </c>
      <c r="C961" s="115">
        <v>1103.44</v>
      </c>
      <c r="D961" s="115">
        <v>1050.54</v>
      </c>
      <c r="E961" s="115">
        <v>1097.8</v>
      </c>
      <c r="F961" s="115">
        <v>5517.2</v>
      </c>
      <c r="G961">
        <v>700</v>
      </c>
      <c r="H961" s="115"/>
      <c r="I961" s="115"/>
      <c r="L961" s="169">
        <v>43419</v>
      </c>
      <c r="M961" s="115">
        <v>1102.6199999999999</v>
      </c>
      <c r="N961" s="115">
        <v>1115</v>
      </c>
      <c r="O961" s="115">
        <v>1081.19</v>
      </c>
      <c r="P961" s="115">
        <v>1093.2</v>
      </c>
      <c r="Q961" s="115">
        <v>5513.1</v>
      </c>
      <c r="R961">
        <v>15928</v>
      </c>
    </row>
    <row r="962" spans="1:18" x14ac:dyDescent="0.25">
      <c r="A962" s="169">
        <v>43419</v>
      </c>
      <c r="B962" s="115">
        <v>1120</v>
      </c>
      <c r="C962" s="115">
        <v>1106.83</v>
      </c>
      <c r="D962" s="115">
        <v>1085.01</v>
      </c>
      <c r="E962" s="115">
        <v>1085.01</v>
      </c>
      <c r="F962" s="115">
        <v>5534.15</v>
      </c>
      <c r="G962">
        <v>140</v>
      </c>
      <c r="H962" s="115"/>
      <c r="I962" s="115"/>
      <c r="L962" s="169">
        <v>43420</v>
      </c>
      <c r="M962" s="115">
        <v>1101.53</v>
      </c>
      <c r="N962" s="115">
        <v>1109</v>
      </c>
      <c r="O962" s="115">
        <v>1091.2</v>
      </c>
      <c r="P962" s="115">
        <v>1109</v>
      </c>
      <c r="Q962" s="115">
        <v>5507.65</v>
      </c>
      <c r="R962">
        <v>5090</v>
      </c>
    </row>
    <row r="963" spans="1:18" x14ac:dyDescent="0.25">
      <c r="A963" s="169">
        <v>43420</v>
      </c>
      <c r="B963" s="115">
        <v>1109</v>
      </c>
      <c r="C963" s="115">
        <v>1100.1500000000001</v>
      </c>
      <c r="D963" s="115">
        <v>1060</v>
      </c>
      <c r="E963" s="115">
        <v>1060</v>
      </c>
      <c r="F963" s="115">
        <v>5500.75</v>
      </c>
      <c r="G963">
        <v>32</v>
      </c>
      <c r="H963" s="115"/>
      <c r="I963" s="115"/>
      <c r="L963" s="169">
        <v>43423</v>
      </c>
      <c r="M963" s="115">
        <v>1095.9000000000001</v>
      </c>
      <c r="N963" s="115">
        <v>1106</v>
      </c>
      <c r="O963" s="115">
        <v>1082.2</v>
      </c>
      <c r="P963" s="115">
        <v>1100.4000000000001</v>
      </c>
      <c r="Q963" s="115">
        <v>5479.5</v>
      </c>
      <c r="R963">
        <v>4027</v>
      </c>
    </row>
    <row r="964" spans="1:18" x14ac:dyDescent="0.25">
      <c r="A964" s="169">
        <v>43423</v>
      </c>
      <c r="B964" s="115">
        <v>1108.79</v>
      </c>
      <c r="C964" s="115">
        <v>1099.53</v>
      </c>
      <c r="D964" s="115">
        <v>1090.2</v>
      </c>
      <c r="E964" s="115">
        <v>1108.74</v>
      </c>
      <c r="F964" s="115">
        <v>5497.65</v>
      </c>
      <c r="G964">
        <v>51</v>
      </c>
      <c r="H964" s="115"/>
      <c r="I964" s="115"/>
      <c r="L964" s="169">
        <v>43424</v>
      </c>
      <c r="M964" s="115">
        <v>1099.6400000000001</v>
      </c>
      <c r="N964" s="115">
        <v>1099.99</v>
      </c>
      <c r="O964" s="115">
        <v>1081</v>
      </c>
      <c r="P964" s="115">
        <v>1090</v>
      </c>
      <c r="Q964" s="115">
        <v>5498.2</v>
      </c>
      <c r="R964">
        <v>5348</v>
      </c>
    </row>
    <row r="965" spans="1:18" x14ac:dyDescent="0.25">
      <c r="A965" s="169">
        <v>43424</v>
      </c>
      <c r="B965" s="115">
        <v>1104</v>
      </c>
      <c r="C965" s="115">
        <v>1096.19</v>
      </c>
      <c r="D965" s="115">
        <v>1086</v>
      </c>
      <c r="E965" s="115">
        <v>1099.79</v>
      </c>
      <c r="F965" s="115">
        <v>5480.95</v>
      </c>
      <c r="G965">
        <v>90</v>
      </c>
      <c r="H965" s="115"/>
      <c r="I965" s="115"/>
      <c r="L965" s="169">
        <v>43425</v>
      </c>
      <c r="M965" s="115">
        <v>1099.47</v>
      </c>
      <c r="N965" s="115">
        <v>1100</v>
      </c>
      <c r="O965" s="115">
        <v>1085</v>
      </c>
      <c r="P965" s="115">
        <v>1090</v>
      </c>
      <c r="Q965" s="115">
        <v>5497.35</v>
      </c>
      <c r="R965">
        <v>5876</v>
      </c>
    </row>
    <row r="966" spans="1:18" x14ac:dyDescent="0.25">
      <c r="A966" s="169">
        <v>43425</v>
      </c>
      <c r="B966" s="115">
        <v>1130.4000000000001</v>
      </c>
      <c r="C966" s="115">
        <v>1103.3499999999999</v>
      </c>
      <c r="D966" s="115">
        <v>1090</v>
      </c>
      <c r="E966" s="115">
        <v>1090.01</v>
      </c>
      <c r="F966" s="115">
        <v>5516.75</v>
      </c>
      <c r="G966">
        <v>231</v>
      </c>
      <c r="H966" s="115"/>
      <c r="I966" s="115"/>
      <c r="L966" s="169">
        <v>43426</v>
      </c>
      <c r="M966" s="115">
        <v>1094.1600000000001</v>
      </c>
      <c r="N966" s="115">
        <v>1100.3900000000001</v>
      </c>
      <c r="O966" s="115">
        <v>1090.02</v>
      </c>
      <c r="P966" s="115">
        <v>1100.2</v>
      </c>
      <c r="Q966" s="115">
        <v>5470.8</v>
      </c>
      <c r="R966">
        <v>14727</v>
      </c>
    </row>
    <row r="967" spans="1:18" x14ac:dyDescent="0.25">
      <c r="A967" s="169">
        <v>43426</v>
      </c>
      <c r="B967" s="115">
        <v>1100.8900000000001</v>
      </c>
      <c r="C967" s="115">
        <v>1098.6400000000001</v>
      </c>
      <c r="D967" s="115">
        <v>1087.23</v>
      </c>
      <c r="E967" s="115">
        <v>1087.23</v>
      </c>
      <c r="F967" s="115">
        <v>5493.2</v>
      </c>
      <c r="G967">
        <v>63</v>
      </c>
      <c r="H967" s="115"/>
      <c r="I967" s="115"/>
      <c r="L967" s="169">
        <v>43430</v>
      </c>
      <c r="M967" s="115">
        <v>1097.9100000000001</v>
      </c>
      <c r="N967" s="115">
        <v>1102.19</v>
      </c>
      <c r="O967" s="115">
        <v>1094</v>
      </c>
      <c r="P967" s="115">
        <v>1094.1600000000001</v>
      </c>
      <c r="Q967" s="115">
        <v>5489.55</v>
      </c>
      <c r="R967">
        <v>6375</v>
      </c>
    </row>
    <row r="968" spans="1:18" x14ac:dyDescent="0.25">
      <c r="A968" s="169">
        <v>43430</v>
      </c>
      <c r="B968" s="115">
        <v>1109</v>
      </c>
      <c r="C968" s="115">
        <v>1101.3399999999999</v>
      </c>
      <c r="D968" s="115">
        <v>1096.67</v>
      </c>
      <c r="E968" s="115">
        <v>1109</v>
      </c>
      <c r="F968" s="115">
        <v>5506.7</v>
      </c>
      <c r="G968">
        <v>66</v>
      </c>
      <c r="H968" s="115"/>
      <c r="I968" s="115"/>
      <c r="L968" s="169">
        <v>43431</v>
      </c>
      <c r="M968" s="115">
        <v>1103.4000000000001</v>
      </c>
      <c r="N968" s="115">
        <v>1119.5999999999999</v>
      </c>
      <c r="O968" s="115">
        <v>1090.08</v>
      </c>
      <c r="P968" s="115">
        <v>1100</v>
      </c>
      <c r="Q968" s="115">
        <v>5517</v>
      </c>
      <c r="R968">
        <v>26125</v>
      </c>
    </row>
    <row r="969" spans="1:18" x14ac:dyDescent="0.25">
      <c r="A969" s="169">
        <v>43431</v>
      </c>
      <c r="B969" s="115">
        <v>1121.1400000000001</v>
      </c>
      <c r="C969" s="115">
        <v>1109.5</v>
      </c>
      <c r="D969" s="115">
        <v>1083.04</v>
      </c>
      <c r="E969" s="115">
        <v>1083.04</v>
      </c>
      <c r="F969" s="115">
        <v>5547.5</v>
      </c>
      <c r="G969">
        <v>593</v>
      </c>
      <c r="H969" s="115"/>
      <c r="I969" s="115"/>
      <c r="L969" s="169">
        <v>43432</v>
      </c>
      <c r="M969" s="115">
        <v>1095.6300000000001</v>
      </c>
      <c r="N969" s="115">
        <v>1114.02</v>
      </c>
      <c r="O969" s="115">
        <v>1084.2</v>
      </c>
      <c r="P969" s="115">
        <v>1105.22</v>
      </c>
      <c r="Q969" s="115">
        <v>5478.15</v>
      </c>
      <c r="R969">
        <v>2473</v>
      </c>
    </row>
    <row r="970" spans="1:18" x14ac:dyDescent="0.25">
      <c r="A970" s="169">
        <v>43432</v>
      </c>
      <c r="B970" s="115">
        <v>1103.4000000000001</v>
      </c>
      <c r="C970" s="115">
        <v>1093.22</v>
      </c>
      <c r="D970" s="115">
        <v>1084.45</v>
      </c>
      <c r="E970" s="115">
        <v>1098</v>
      </c>
      <c r="F970" s="115">
        <v>5466.1</v>
      </c>
      <c r="G970">
        <v>371</v>
      </c>
      <c r="H970" s="115"/>
      <c r="I970" s="115"/>
      <c r="L970" s="169">
        <v>43433</v>
      </c>
      <c r="M970" s="115">
        <v>1087.3499999999999</v>
      </c>
      <c r="N970" s="115">
        <v>1110</v>
      </c>
      <c r="O970" s="115">
        <v>1067</v>
      </c>
      <c r="P970" s="115">
        <v>1107.78</v>
      </c>
      <c r="Q970" s="115">
        <v>5436.75</v>
      </c>
      <c r="R970">
        <v>6505</v>
      </c>
    </row>
    <row r="971" spans="1:18" x14ac:dyDescent="0.25">
      <c r="A971" s="169">
        <v>43433</v>
      </c>
      <c r="B971" s="115">
        <v>1110</v>
      </c>
      <c r="C971" s="115">
        <v>1088.74</v>
      </c>
      <c r="D971" s="115">
        <v>1070.5999999999999</v>
      </c>
      <c r="E971" s="115">
        <v>1095</v>
      </c>
      <c r="F971" s="115">
        <v>5443.7</v>
      </c>
      <c r="G971">
        <v>161</v>
      </c>
      <c r="H971" s="115"/>
      <c r="I971" s="115"/>
      <c r="L971" s="169">
        <v>43434</v>
      </c>
      <c r="M971" s="115">
        <v>1055.74</v>
      </c>
      <c r="N971" s="115">
        <v>1103.75</v>
      </c>
      <c r="O971" s="115">
        <v>1040.96</v>
      </c>
      <c r="P971" s="115">
        <v>1090</v>
      </c>
      <c r="Q971" s="115">
        <v>5278.7</v>
      </c>
      <c r="R971">
        <v>39169</v>
      </c>
    </row>
    <row r="972" spans="1:18" x14ac:dyDescent="0.25">
      <c r="A972" s="169">
        <v>43434</v>
      </c>
      <c r="B972" s="115">
        <v>1105.1400000000001</v>
      </c>
      <c r="C972" s="115">
        <v>1065.71</v>
      </c>
      <c r="D972" s="115">
        <v>1047</v>
      </c>
      <c r="E972" s="115">
        <v>1099.99</v>
      </c>
      <c r="F972" s="115">
        <v>5328.55</v>
      </c>
      <c r="G972">
        <v>288</v>
      </c>
      <c r="H972" s="115"/>
      <c r="I972" s="115"/>
      <c r="L972" s="169">
        <v>43437</v>
      </c>
      <c r="M972" s="115">
        <v>1058.1099999999999</v>
      </c>
      <c r="N972" s="115">
        <v>1074.77</v>
      </c>
      <c r="O972" s="115">
        <v>1050</v>
      </c>
      <c r="P972" s="115">
        <v>1050</v>
      </c>
      <c r="Q972" s="115">
        <v>5290.55</v>
      </c>
      <c r="R972">
        <v>2564</v>
      </c>
    </row>
    <row r="973" spans="1:18" x14ac:dyDescent="0.25">
      <c r="A973" s="169">
        <v>43437</v>
      </c>
      <c r="B973" s="115">
        <v>1066.8</v>
      </c>
      <c r="C973" s="115">
        <v>1054.4000000000001</v>
      </c>
      <c r="D973" s="115">
        <v>1052</v>
      </c>
      <c r="E973" s="115">
        <v>1064</v>
      </c>
      <c r="F973" s="115">
        <v>5272</v>
      </c>
      <c r="G973">
        <v>155</v>
      </c>
      <c r="H973" s="115"/>
      <c r="I973" s="115"/>
      <c r="L973" s="169">
        <v>43438</v>
      </c>
      <c r="M973" s="115">
        <v>1095.5999999999999</v>
      </c>
      <c r="N973" s="115">
        <v>1114</v>
      </c>
      <c r="O973" s="115">
        <v>1053.8</v>
      </c>
      <c r="P973" s="115">
        <v>1060.32</v>
      </c>
      <c r="Q973" s="115">
        <v>5478</v>
      </c>
      <c r="R973">
        <v>5937</v>
      </c>
    </row>
    <row r="974" spans="1:18" x14ac:dyDescent="0.25">
      <c r="A974" s="169">
        <v>43438</v>
      </c>
      <c r="B974" s="115">
        <v>1109.5999999999999</v>
      </c>
      <c r="C974" s="115">
        <v>1094.55</v>
      </c>
      <c r="D974" s="115">
        <v>1063.78</v>
      </c>
      <c r="E974" s="115">
        <v>1063.78</v>
      </c>
      <c r="F974" s="115">
        <v>5472.75</v>
      </c>
      <c r="G974">
        <v>337</v>
      </c>
      <c r="H974" s="115"/>
      <c r="I974" s="115"/>
      <c r="L974" s="169">
        <v>43439</v>
      </c>
      <c r="M974" s="115">
        <v>1097.3699999999999</v>
      </c>
      <c r="N974" s="115">
        <v>1106</v>
      </c>
      <c r="O974" s="115">
        <v>1090</v>
      </c>
      <c r="P974" s="115">
        <v>1092.33</v>
      </c>
      <c r="Q974" s="115">
        <v>5486.85</v>
      </c>
      <c r="R974">
        <v>3528</v>
      </c>
    </row>
    <row r="975" spans="1:18" x14ac:dyDescent="0.25">
      <c r="A975" s="169">
        <v>43439</v>
      </c>
      <c r="B975" s="115">
        <v>1102</v>
      </c>
      <c r="C975" s="115">
        <v>1093</v>
      </c>
      <c r="D975" s="115">
        <v>1090</v>
      </c>
      <c r="E975" s="115">
        <v>1100.5999999999999</v>
      </c>
      <c r="F975" s="115">
        <v>5465</v>
      </c>
      <c r="G975">
        <v>75</v>
      </c>
      <c r="H975" s="115"/>
      <c r="I975" s="115"/>
      <c r="L975" s="169">
        <v>43440</v>
      </c>
      <c r="M975" s="115">
        <v>1084.8499999999999</v>
      </c>
      <c r="N975" s="115">
        <v>1100.4000000000001</v>
      </c>
      <c r="O975" s="115">
        <v>1072.2</v>
      </c>
      <c r="P975" s="115">
        <v>1090.01</v>
      </c>
      <c r="Q975" s="115">
        <v>5424.25</v>
      </c>
      <c r="R975">
        <v>4303</v>
      </c>
    </row>
    <row r="976" spans="1:18" x14ac:dyDescent="0.25">
      <c r="A976" s="169">
        <v>43440</v>
      </c>
      <c r="B976" s="115">
        <v>1102.8499999999999</v>
      </c>
      <c r="C976" s="115">
        <v>1084.28</v>
      </c>
      <c r="D976" s="115">
        <v>1080</v>
      </c>
      <c r="E976" s="115">
        <v>1100</v>
      </c>
      <c r="F976" s="115">
        <v>5421.4</v>
      </c>
      <c r="G976">
        <v>141</v>
      </c>
      <c r="H976" s="115"/>
      <c r="I976" s="115"/>
      <c r="L976" s="169">
        <v>43441</v>
      </c>
      <c r="M976" s="115">
        <v>1089.1099999999999</v>
      </c>
      <c r="N976" s="115">
        <v>1099.6199999999999</v>
      </c>
      <c r="O976" s="115">
        <v>1085.01</v>
      </c>
      <c r="P976" s="115">
        <v>1099.6199999999999</v>
      </c>
      <c r="Q976" s="115">
        <v>5445.55</v>
      </c>
      <c r="R976">
        <v>2533</v>
      </c>
    </row>
    <row r="977" spans="1:18" x14ac:dyDescent="0.25">
      <c r="A977" s="169">
        <v>43441</v>
      </c>
      <c r="B977" s="115">
        <v>1094.92</v>
      </c>
      <c r="C977" s="115">
        <v>1089.92</v>
      </c>
      <c r="D977" s="115">
        <v>1088</v>
      </c>
      <c r="E977" s="115">
        <v>1088</v>
      </c>
      <c r="F977" s="115">
        <v>5449.6</v>
      </c>
      <c r="G977">
        <v>175</v>
      </c>
      <c r="H977" s="115"/>
      <c r="I977" s="115"/>
      <c r="L977" s="169">
        <v>43444</v>
      </c>
      <c r="M977" s="115">
        <v>1066.58</v>
      </c>
      <c r="N977" s="115">
        <v>1088.01</v>
      </c>
      <c r="O977" s="115">
        <v>1055.23</v>
      </c>
      <c r="P977" s="115">
        <v>1088.01</v>
      </c>
      <c r="Q977" s="115">
        <v>5332.9</v>
      </c>
      <c r="R977">
        <v>2062</v>
      </c>
    </row>
    <row r="978" spans="1:18" x14ac:dyDescent="0.25">
      <c r="A978" s="169">
        <v>43444</v>
      </c>
      <c r="B978" s="115">
        <v>1072.52</v>
      </c>
      <c r="C978" s="115">
        <v>1061.6099999999999</v>
      </c>
      <c r="D978" s="115">
        <v>1055</v>
      </c>
      <c r="E978" s="115">
        <v>1068.6099999999999</v>
      </c>
      <c r="F978" s="115">
        <v>5308.05</v>
      </c>
      <c r="G978">
        <v>163</v>
      </c>
      <c r="H978" s="115"/>
      <c r="I978" s="115"/>
      <c r="L978" s="169">
        <v>43445</v>
      </c>
      <c r="M978" s="115">
        <v>1082.3</v>
      </c>
      <c r="N978" s="115">
        <v>1094.78</v>
      </c>
      <c r="O978" s="115">
        <v>1058.1099999999999</v>
      </c>
      <c r="P978" s="115">
        <v>1059.74</v>
      </c>
      <c r="Q978" s="115">
        <v>5411.5</v>
      </c>
      <c r="R978">
        <v>1401</v>
      </c>
    </row>
    <row r="979" spans="1:18" x14ac:dyDescent="0.25">
      <c r="A979" s="169">
        <v>43445</v>
      </c>
      <c r="B979" s="115">
        <v>1090</v>
      </c>
      <c r="C979" s="115">
        <v>1082.25</v>
      </c>
      <c r="D979" s="115">
        <v>1060</v>
      </c>
      <c r="E979" s="115">
        <v>1060</v>
      </c>
      <c r="F979" s="115">
        <v>5411.25</v>
      </c>
      <c r="G979">
        <v>80</v>
      </c>
      <c r="H979" s="115"/>
      <c r="I979" s="115"/>
      <c r="L979" s="169">
        <v>43446</v>
      </c>
      <c r="M979" s="115">
        <v>1090.96</v>
      </c>
      <c r="N979" s="115">
        <v>1100</v>
      </c>
      <c r="O979" s="115">
        <v>1080</v>
      </c>
      <c r="P979" s="115">
        <v>1088</v>
      </c>
      <c r="Q979" s="115">
        <v>5454.8</v>
      </c>
      <c r="R979">
        <v>14321</v>
      </c>
    </row>
    <row r="980" spans="1:18" x14ac:dyDescent="0.25">
      <c r="A980" s="169">
        <v>43446</v>
      </c>
      <c r="B980" s="115">
        <v>1098.5999999999999</v>
      </c>
      <c r="C980" s="115">
        <v>1095.9000000000001</v>
      </c>
      <c r="D980" s="115">
        <v>1080</v>
      </c>
      <c r="E980" s="115">
        <v>1080</v>
      </c>
      <c r="F980" s="115">
        <v>5479.5</v>
      </c>
      <c r="G980">
        <v>239</v>
      </c>
      <c r="H980" s="115"/>
      <c r="I980" s="115"/>
      <c r="L980" s="169">
        <v>43447</v>
      </c>
      <c r="M980" s="115">
        <v>1079.1600000000001</v>
      </c>
      <c r="N980" s="115">
        <v>1104.52</v>
      </c>
      <c r="O980" s="115">
        <v>1071.2</v>
      </c>
      <c r="P980" s="115">
        <v>1100</v>
      </c>
      <c r="Q980" s="115">
        <v>5395.8</v>
      </c>
      <c r="R980">
        <v>30272</v>
      </c>
    </row>
    <row r="981" spans="1:18" x14ac:dyDescent="0.25">
      <c r="A981" s="169">
        <v>43447</v>
      </c>
      <c r="B981" s="115">
        <v>1100</v>
      </c>
      <c r="C981" s="115">
        <v>1080.75</v>
      </c>
      <c r="D981" s="115">
        <v>1074</v>
      </c>
      <c r="E981" s="115">
        <v>1100</v>
      </c>
      <c r="F981" s="115">
        <v>5403.75</v>
      </c>
      <c r="G981">
        <v>47</v>
      </c>
      <c r="H981" s="115"/>
      <c r="I981" s="115"/>
      <c r="L981" s="169">
        <v>43448</v>
      </c>
      <c r="M981" s="115">
        <v>1086.8499999999999</v>
      </c>
      <c r="N981" s="115">
        <v>1097.76</v>
      </c>
      <c r="O981" s="115">
        <v>1063</v>
      </c>
      <c r="P981" s="115">
        <v>1063</v>
      </c>
      <c r="Q981" s="115">
        <v>5434.25</v>
      </c>
      <c r="R981">
        <v>1134</v>
      </c>
    </row>
    <row r="982" spans="1:18" x14ac:dyDescent="0.25">
      <c r="A982" s="169">
        <v>43448</v>
      </c>
      <c r="B982" s="115">
        <v>1094</v>
      </c>
      <c r="C982" s="115">
        <v>1081.3599999999999</v>
      </c>
      <c r="D982" s="115">
        <v>1079.05</v>
      </c>
      <c r="E982" s="115">
        <v>1080</v>
      </c>
      <c r="F982" s="115">
        <v>5406.8</v>
      </c>
      <c r="G982">
        <v>41</v>
      </c>
      <c r="H982" s="115"/>
      <c r="I982" s="115"/>
      <c r="L982" s="169">
        <v>43451</v>
      </c>
      <c r="M982" s="115">
        <v>1080.05</v>
      </c>
      <c r="N982" s="115">
        <v>1095.76</v>
      </c>
      <c r="O982" s="115">
        <v>1076.8</v>
      </c>
      <c r="P982" s="115">
        <v>1086.17</v>
      </c>
      <c r="Q982" s="115">
        <v>5400.25</v>
      </c>
      <c r="R982">
        <v>13603</v>
      </c>
    </row>
    <row r="983" spans="1:18" x14ac:dyDescent="0.25">
      <c r="A983" s="169">
        <v>43451</v>
      </c>
      <c r="B983" s="115">
        <v>1095</v>
      </c>
      <c r="C983" s="115">
        <v>1080</v>
      </c>
      <c r="D983" s="115">
        <v>1080</v>
      </c>
      <c r="E983" s="115">
        <v>1095</v>
      </c>
      <c r="F983" s="115">
        <v>5400</v>
      </c>
      <c r="G983">
        <v>36</v>
      </c>
      <c r="H983" s="115"/>
      <c r="I983" s="115"/>
      <c r="L983" s="169">
        <v>43452</v>
      </c>
      <c r="M983" s="115">
        <v>1099.25</v>
      </c>
      <c r="N983" s="115">
        <v>1102.2</v>
      </c>
      <c r="O983" s="115">
        <v>1081.03</v>
      </c>
      <c r="P983" s="115">
        <v>1087.96</v>
      </c>
      <c r="Q983" s="115">
        <v>5496.25</v>
      </c>
      <c r="R983">
        <v>1605</v>
      </c>
    </row>
    <row r="984" spans="1:18" x14ac:dyDescent="0.25">
      <c r="A984" s="169">
        <v>43452</v>
      </c>
      <c r="B984" s="115">
        <v>1100</v>
      </c>
      <c r="C984" s="115">
        <v>1098</v>
      </c>
      <c r="D984" s="115">
        <v>1084.01</v>
      </c>
      <c r="E984" s="115">
        <v>1096.5899999999999</v>
      </c>
      <c r="F984" s="115">
        <v>5490</v>
      </c>
      <c r="G984">
        <v>53</v>
      </c>
      <c r="H984" s="115"/>
      <c r="I984" s="115"/>
      <c r="L984" s="169">
        <v>43453</v>
      </c>
      <c r="M984" s="115">
        <v>1095.33</v>
      </c>
      <c r="N984" s="115">
        <v>1102</v>
      </c>
      <c r="O984" s="115">
        <v>1081.68</v>
      </c>
      <c r="P984" s="115">
        <v>1097</v>
      </c>
      <c r="Q984" s="115">
        <v>5476.65</v>
      </c>
      <c r="R984">
        <v>11435</v>
      </c>
    </row>
    <row r="985" spans="1:18" x14ac:dyDescent="0.25">
      <c r="A985" s="169">
        <v>43453</v>
      </c>
      <c r="B985" s="115">
        <v>1102</v>
      </c>
      <c r="C985" s="115">
        <v>1098.55</v>
      </c>
      <c r="D985" s="115">
        <v>1082</v>
      </c>
      <c r="E985" s="115">
        <v>1101.22</v>
      </c>
      <c r="F985" s="115">
        <v>5492.75</v>
      </c>
      <c r="G985">
        <v>104</v>
      </c>
      <c r="H985" s="115"/>
      <c r="I985" s="115"/>
      <c r="L985" s="169">
        <v>43454</v>
      </c>
      <c r="M985" s="115">
        <v>1100.8900000000001</v>
      </c>
      <c r="N985" s="115">
        <v>1104.2</v>
      </c>
      <c r="O985" s="115">
        <v>1083.71</v>
      </c>
      <c r="P985" s="115">
        <v>1093.8</v>
      </c>
      <c r="Q985" s="115">
        <v>5504.45</v>
      </c>
      <c r="R985">
        <v>710</v>
      </c>
    </row>
    <row r="986" spans="1:18" x14ac:dyDescent="0.25">
      <c r="A986" s="169">
        <v>43454</v>
      </c>
      <c r="B986" s="115">
        <v>1105</v>
      </c>
      <c r="C986" s="115">
        <v>1103.9100000000001</v>
      </c>
      <c r="D986" s="115">
        <v>1090.78</v>
      </c>
      <c r="E986" s="115">
        <v>1090.78</v>
      </c>
      <c r="F986" s="115">
        <v>5519.55</v>
      </c>
      <c r="G986">
        <v>25143</v>
      </c>
      <c r="H986" s="115"/>
      <c r="I986" s="115"/>
      <c r="L986" s="169">
        <v>43455</v>
      </c>
      <c r="M986" s="115">
        <v>1120.94</v>
      </c>
      <c r="N986" s="115">
        <v>1140</v>
      </c>
      <c r="O986" s="115">
        <v>1100.8399999999999</v>
      </c>
      <c r="P986" s="115">
        <v>1100.8399999999999</v>
      </c>
      <c r="Q986" s="115">
        <v>5604.7</v>
      </c>
      <c r="R986">
        <v>10800</v>
      </c>
    </row>
    <row r="987" spans="1:18" x14ac:dyDescent="0.25">
      <c r="A987" s="169">
        <v>43455</v>
      </c>
      <c r="B987" s="115">
        <v>1137</v>
      </c>
      <c r="C987" s="115">
        <v>1124.3499999999999</v>
      </c>
      <c r="D987" s="115">
        <v>1100.79</v>
      </c>
      <c r="E987" s="115">
        <v>1100.81</v>
      </c>
      <c r="F987" s="115">
        <v>5621.75</v>
      </c>
      <c r="G987">
        <v>2574</v>
      </c>
      <c r="H987" s="115"/>
      <c r="I987" s="115"/>
      <c r="L987" s="169">
        <v>43458</v>
      </c>
      <c r="M987" s="115">
        <v>1132.1500000000001</v>
      </c>
      <c r="N987" s="115">
        <v>1139.78</v>
      </c>
      <c r="O987" s="115">
        <v>1114.71</v>
      </c>
      <c r="P987" s="115">
        <v>1139.78</v>
      </c>
      <c r="Q987" s="115">
        <v>5660.75</v>
      </c>
      <c r="R987">
        <v>2096</v>
      </c>
    </row>
    <row r="988" spans="1:18" x14ac:dyDescent="0.25">
      <c r="A988" s="169">
        <v>43458</v>
      </c>
      <c r="B988" s="115">
        <v>1144.8399999999999</v>
      </c>
      <c r="C988" s="115">
        <v>1129.57</v>
      </c>
      <c r="D988" s="115">
        <v>1105.5899999999999</v>
      </c>
      <c r="E988" s="115">
        <v>1126</v>
      </c>
      <c r="F988" s="115">
        <v>5647.85</v>
      </c>
      <c r="G988">
        <v>299</v>
      </c>
      <c r="H988" s="115"/>
      <c r="I988" s="115"/>
      <c r="L988" s="169">
        <v>43460</v>
      </c>
      <c r="M988" s="115">
        <v>1092.28</v>
      </c>
      <c r="N988" s="115">
        <v>1130</v>
      </c>
      <c r="O988" s="115">
        <v>1086</v>
      </c>
      <c r="P988" s="115">
        <v>1119.8</v>
      </c>
      <c r="Q988" s="115">
        <v>5461.4</v>
      </c>
      <c r="R988">
        <v>7520</v>
      </c>
    </row>
    <row r="989" spans="1:18" x14ac:dyDescent="0.25">
      <c r="A989" s="169">
        <v>43460</v>
      </c>
      <c r="B989" s="115">
        <v>1133.6500000000001</v>
      </c>
      <c r="C989" s="115">
        <v>1100.55</v>
      </c>
      <c r="D989" s="115">
        <v>1086.3699999999999</v>
      </c>
      <c r="E989" s="115">
        <v>1133.6500000000001</v>
      </c>
      <c r="F989" s="115">
        <v>5502.75</v>
      </c>
      <c r="G989">
        <v>387</v>
      </c>
      <c r="H989" s="115"/>
      <c r="I989" s="115"/>
      <c r="L989" s="169">
        <v>43461</v>
      </c>
      <c r="M989" s="115">
        <v>1114.6600000000001</v>
      </c>
      <c r="N989" s="115">
        <v>1127</v>
      </c>
      <c r="O989" s="115">
        <v>1086.82</v>
      </c>
      <c r="P989" s="115">
        <v>1091.44</v>
      </c>
      <c r="Q989" s="115">
        <v>5573.3</v>
      </c>
      <c r="R989">
        <v>13403</v>
      </c>
    </row>
    <row r="990" spans="1:18" x14ac:dyDescent="0.25">
      <c r="A990" s="169">
        <v>43461</v>
      </c>
      <c r="B990" s="115">
        <v>1123.8699999999999</v>
      </c>
      <c r="C990" s="115">
        <v>1118.98</v>
      </c>
      <c r="D990" s="115">
        <v>1095.99</v>
      </c>
      <c r="E990" s="115">
        <v>1106.05</v>
      </c>
      <c r="F990" s="115">
        <v>5594.9</v>
      </c>
      <c r="G990">
        <v>107</v>
      </c>
      <c r="H990" s="115"/>
      <c r="I990" s="115"/>
      <c r="L990" s="169">
        <v>43462</v>
      </c>
      <c r="M990" s="115">
        <v>1124.95</v>
      </c>
      <c r="N990" s="115">
        <v>1132.8</v>
      </c>
      <c r="O990" s="115">
        <v>1107.98</v>
      </c>
      <c r="P990" s="115">
        <v>1111.98</v>
      </c>
      <c r="Q990" s="115">
        <v>5624.75</v>
      </c>
      <c r="R990">
        <v>1438</v>
      </c>
    </row>
    <row r="991" spans="1:18" x14ac:dyDescent="0.25">
      <c r="A991" s="169">
        <v>43462</v>
      </c>
      <c r="B991" s="115">
        <v>1130</v>
      </c>
      <c r="C991" s="115">
        <v>1127.07</v>
      </c>
      <c r="D991" s="115">
        <v>1110.6099999999999</v>
      </c>
      <c r="E991" s="115">
        <v>1115.78</v>
      </c>
      <c r="F991" s="115">
        <v>5635.35</v>
      </c>
      <c r="G991">
        <v>103</v>
      </c>
      <c r="H991" s="115"/>
      <c r="I991" s="115"/>
      <c r="L991" s="169">
        <v>43465</v>
      </c>
      <c r="M991" s="115">
        <v>1139.55</v>
      </c>
      <c r="N991" s="115">
        <v>1144</v>
      </c>
      <c r="O991" s="115">
        <v>1120.2</v>
      </c>
      <c r="P991" s="115">
        <v>1120.2</v>
      </c>
      <c r="Q991" s="115">
        <v>5697.75</v>
      </c>
      <c r="R991">
        <v>4114</v>
      </c>
    </row>
    <row r="992" spans="1:18" x14ac:dyDescent="0.25">
      <c r="A992" s="169">
        <v>43465</v>
      </c>
      <c r="B992" s="115">
        <v>1139.3900000000001</v>
      </c>
      <c r="C992" s="115">
        <v>1138.25</v>
      </c>
      <c r="D992" s="115">
        <v>1125.8</v>
      </c>
      <c r="E992" s="115">
        <v>1125.8</v>
      </c>
      <c r="F992" s="115">
        <v>5691.25</v>
      </c>
      <c r="G992">
        <v>44</v>
      </c>
      <c r="H992" s="115"/>
      <c r="I992" s="115"/>
      <c r="L992" s="169">
        <v>43466</v>
      </c>
      <c r="M992" s="115">
        <v>1129.24</v>
      </c>
      <c r="N992" s="115">
        <v>1139.3900000000001</v>
      </c>
      <c r="O992" s="115">
        <v>1121.01</v>
      </c>
      <c r="P992" s="115">
        <v>1137.6099999999999</v>
      </c>
      <c r="Q992" s="115">
        <v>5646.2</v>
      </c>
      <c r="R992">
        <v>841</v>
      </c>
    </row>
    <row r="993" spans="1:18" x14ac:dyDescent="0.25">
      <c r="A993" s="169">
        <v>43466</v>
      </c>
      <c r="B993" s="115">
        <v>1138</v>
      </c>
      <c r="C993" s="115">
        <v>1134</v>
      </c>
      <c r="D993" s="115">
        <v>1126.2</v>
      </c>
      <c r="E993" s="115">
        <v>1138</v>
      </c>
      <c r="F993" s="115">
        <v>5670</v>
      </c>
      <c r="G993">
        <v>13</v>
      </c>
      <c r="H993" s="115"/>
      <c r="I993" s="115"/>
      <c r="L993" s="169">
        <v>43467</v>
      </c>
      <c r="M993" s="115">
        <v>1138.3</v>
      </c>
      <c r="N993" s="115">
        <v>1146</v>
      </c>
      <c r="O993" s="115">
        <v>1129.5999999999999</v>
      </c>
      <c r="P993" s="115">
        <v>1129.6099999999999</v>
      </c>
      <c r="Q993" s="115">
        <v>5691.5</v>
      </c>
      <c r="R993">
        <v>11092</v>
      </c>
    </row>
    <row r="994" spans="1:18" x14ac:dyDescent="0.25">
      <c r="A994" s="169">
        <v>43467</v>
      </c>
      <c r="B994" s="115">
        <v>1144.2</v>
      </c>
      <c r="C994" s="115">
        <v>1134.8</v>
      </c>
      <c r="D994" s="115">
        <v>1132.2</v>
      </c>
      <c r="E994" s="115">
        <v>1134</v>
      </c>
      <c r="F994" s="115">
        <v>5674</v>
      </c>
      <c r="G994">
        <v>33</v>
      </c>
      <c r="H994" s="115"/>
      <c r="I994" s="115"/>
      <c r="L994" s="169">
        <v>43468</v>
      </c>
      <c r="M994" s="115">
        <v>1126.28</v>
      </c>
      <c r="N994" s="115">
        <v>1142</v>
      </c>
      <c r="O994" s="115">
        <v>1110</v>
      </c>
      <c r="P994" s="115">
        <v>1142</v>
      </c>
      <c r="Q994" s="115">
        <v>5631.4</v>
      </c>
      <c r="R994">
        <v>2098</v>
      </c>
    </row>
    <row r="995" spans="1:18" x14ac:dyDescent="0.25">
      <c r="A995" s="169">
        <v>43468</v>
      </c>
      <c r="B995" s="115">
        <v>1144.0899999999999</v>
      </c>
      <c r="C995" s="115">
        <v>1125.01</v>
      </c>
      <c r="D995" s="115">
        <v>1111</v>
      </c>
      <c r="E995" s="115">
        <v>1144.0899999999999</v>
      </c>
      <c r="F995" s="115">
        <v>5625.05</v>
      </c>
      <c r="G995">
        <v>2504</v>
      </c>
      <c r="H995" s="115"/>
      <c r="I995" s="115"/>
      <c r="L995" s="169">
        <v>43469</v>
      </c>
      <c r="M995" s="115">
        <v>1133.3800000000001</v>
      </c>
      <c r="N995" s="115">
        <v>1138.5899999999999</v>
      </c>
      <c r="O995" s="115">
        <v>1123.04</v>
      </c>
      <c r="P995" s="115">
        <v>1123.04</v>
      </c>
      <c r="Q995" s="115">
        <v>5666.9</v>
      </c>
      <c r="R995">
        <v>12891</v>
      </c>
    </row>
    <row r="996" spans="1:18" x14ac:dyDescent="0.25">
      <c r="A996" s="169">
        <v>43469</v>
      </c>
      <c r="B996" s="115">
        <v>1140</v>
      </c>
      <c r="C996" s="115">
        <v>1136</v>
      </c>
      <c r="D996" s="115">
        <v>1111</v>
      </c>
      <c r="E996" s="115">
        <v>1139.79</v>
      </c>
      <c r="F996" s="115">
        <v>5680</v>
      </c>
      <c r="G996">
        <v>109</v>
      </c>
      <c r="H996" s="115"/>
      <c r="I996" s="115"/>
      <c r="L996" s="169">
        <v>43472</v>
      </c>
      <c r="M996" s="115">
        <v>1137.3599999999999</v>
      </c>
      <c r="N996" s="115">
        <v>1144.3900000000001</v>
      </c>
      <c r="O996" s="115">
        <v>1128.93</v>
      </c>
      <c r="P996" s="115">
        <v>1140</v>
      </c>
      <c r="Q996" s="115">
        <v>5686.8</v>
      </c>
      <c r="R996">
        <v>1793</v>
      </c>
    </row>
    <row r="997" spans="1:18" x14ac:dyDescent="0.25">
      <c r="A997" s="169">
        <v>43472</v>
      </c>
      <c r="B997" s="115">
        <v>1142</v>
      </c>
      <c r="C997" s="115">
        <v>1140</v>
      </c>
      <c r="D997" s="115">
        <v>1131.8399999999999</v>
      </c>
      <c r="E997" s="115">
        <v>1142</v>
      </c>
      <c r="F997" s="115">
        <v>5700</v>
      </c>
      <c r="G997">
        <v>68</v>
      </c>
      <c r="H997" s="115"/>
      <c r="I997" s="115"/>
      <c r="L997" s="169">
        <v>43473</v>
      </c>
      <c r="M997" s="115">
        <v>1131.29</v>
      </c>
      <c r="N997" s="115">
        <v>1145.8</v>
      </c>
      <c r="O997" s="115">
        <v>1128</v>
      </c>
      <c r="P997" s="115">
        <v>1139.6199999999999</v>
      </c>
      <c r="Q997" s="115">
        <v>5656.45</v>
      </c>
      <c r="R997">
        <v>562</v>
      </c>
    </row>
    <row r="998" spans="1:18" x14ac:dyDescent="0.25">
      <c r="A998" s="169">
        <v>43473</v>
      </c>
      <c r="B998" s="115">
        <v>1142</v>
      </c>
      <c r="C998" s="115">
        <v>1132.04</v>
      </c>
      <c r="D998" s="115">
        <v>1131</v>
      </c>
      <c r="E998" s="115">
        <v>1139.99</v>
      </c>
      <c r="F998" s="115">
        <v>5660.2</v>
      </c>
      <c r="G998">
        <v>144</v>
      </c>
      <c r="H998" s="115"/>
      <c r="I998" s="115"/>
      <c r="L998" s="169">
        <v>43474</v>
      </c>
      <c r="M998" s="115">
        <v>1129.3399999999999</v>
      </c>
      <c r="N998" s="115">
        <v>1139.5899999999999</v>
      </c>
      <c r="O998" s="115">
        <v>1117.99</v>
      </c>
      <c r="P998" s="115">
        <v>1132.2</v>
      </c>
      <c r="Q998" s="115">
        <v>5646.7</v>
      </c>
      <c r="R998">
        <v>570</v>
      </c>
    </row>
    <row r="999" spans="1:18" x14ac:dyDescent="0.25">
      <c r="A999" s="169">
        <v>43474</v>
      </c>
      <c r="B999" s="115">
        <v>1134</v>
      </c>
      <c r="C999" s="115">
        <v>1130.2</v>
      </c>
      <c r="D999" s="115">
        <v>1130.2</v>
      </c>
      <c r="E999" s="115">
        <v>1134</v>
      </c>
      <c r="F999" s="115">
        <v>5651</v>
      </c>
      <c r="G999">
        <v>11</v>
      </c>
      <c r="H999" s="115"/>
      <c r="I999" s="115"/>
      <c r="L999" s="169">
        <v>43475</v>
      </c>
      <c r="M999" s="115">
        <v>1136.22</v>
      </c>
      <c r="N999" s="115">
        <v>1140.4000000000001</v>
      </c>
      <c r="O999" s="115">
        <v>1129.0899999999999</v>
      </c>
      <c r="P999" s="115">
        <v>1137.8699999999999</v>
      </c>
      <c r="Q999" s="115">
        <v>5681.1</v>
      </c>
      <c r="R999">
        <v>965</v>
      </c>
    </row>
    <row r="1000" spans="1:18" x14ac:dyDescent="0.25">
      <c r="A1000" s="169">
        <v>43475</v>
      </c>
      <c r="B1000" s="115">
        <v>1140</v>
      </c>
      <c r="C1000" s="115">
        <v>1134.52</v>
      </c>
      <c r="D1000" s="115">
        <v>1133.3499999999999</v>
      </c>
      <c r="E1000" s="115">
        <v>1137.1199999999999</v>
      </c>
      <c r="F1000" s="115">
        <v>5672.6</v>
      </c>
      <c r="G1000">
        <v>85</v>
      </c>
      <c r="H1000" s="115"/>
      <c r="I1000" s="115"/>
      <c r="L1000" s="169">
        <v>43476</v>
      </c>
      <c r="M1000" s="115">
        <v>1133.57</v>
      </c>
      <c r="N1000" s="115">
        <v>1142.8</v>
      </c>
      <c r="O1000" s="115">
        <v>1124</v>
      </c>
      <c r="P1000" s="115">
        <v>1137.8</v>
      </c>
      <c r="Q1000" s="115">
        <v>5667.85</v>
      </c>
      <c r="R1000">
        <v>6466</v>
      </c>
    </row>
    <row r="1001" spans="1:18" x14ac:dyDescent="0.25">
      <c r="A1001" s="169">
        <v>43476</v>
      </c>
      <c r="B1001" s="115">
        <v>1139.8</v>
      </c>
      <c r="C1001" s="115">
        <v>1135.6099999999999</v>
      </c>
      <c r="D1001" s="115">
        <v>1130</v>
      </c>
      <c r="E1001" s="115">
        <v>1134.21</v>
      </c>
      <c r="F1001" s="115">
        <v>5678.05</v>
      </c>
      <c r="G1001">
        <v>129</v>
      </c>
      <c r="H1001" s="115"/>
      <c r="I1001" s="115"/>
      <c r="L1001" s="169">
        <v>43479</v>
      </c>
      <c r="M1001" s="115">
        <v>1135.51</v>
      </c>
      <c r="N1001" s="115">
        <v>1159.5999999999999</v>
      </c>
      <c r="O1001" s="115">
        <v>1117.5999999999999</v>
      </c>
      <c r="P1001" s="115">
        <v>1133</v>
      </c>
      <c r="Q1001" s="115">
        <v>5677.55</v>
      </c>
      <c r="R1001">
        <v>2465</v>
      </c>
    </row>
    <row r="1002" spans="1:18" x14ac:dyDescent="0.25">
      <c r="A1002" s="169">
        <v>43479</v>
      </c>
      <c r="B1002" s="115">
        <v>1167.26</v>
      </c>
      <c r="C1002" s="115">
        <v>1129.7</v>
      </c>
      <c r="D1002" s="115">
        <v>1122</v>
      </c>
      <c r="E1002" s="115">
        <v>1123.8</v>
      </c>
      <c r="F1002" s="115">
        <v>5648.5</v>
      </c>
      <c r="G1002">
        <v>1623</v>
      </c>
      <c r="H1002" s="115"/>
      <c r="I1002" s="115"/>
      <c r="L1002" s="169">
        <v>43480</v>
      </c>
      <c r="M1002" s="115">
        <v>1132.48</v>
      </c>
      <c r="N1002" s="115">
        <v>1139.9000000000001</v>
      </c>
      <c r="O1002" s="115">
        <v>1124</v>
      </c>
      <c r="P1002" s="115">
        <v>1135.42</v>
      </c>
      <c r="Q1002" s="115">
        <v>5662.4</v>
      </c>
      <c r="R1002">
        <v>3495</v>
      </c>
    </row>
    <row r="1003" spans="1:18" x14ac:dyDescent="0.25">
      <c r="A1003" s="169">
        <v>43480</v>
      </c>
      <c r="B1003" s="115">
        <v>1137</v>
      </c>
      <c r="C1003" s="115">
        <v>1129.8800000000001</v>
      </c>
      <c r="D1003" s="115">
        <v>1120</v>
      </c>
      <c r="E1003" s="115">
        <v>1125.9000000000001</v>
      </c>
      <c r="F1003" s="115">
        <v>5649.4</v>
      </c>
      <c r="G1003">
        <v>89</v>
      </c>
      <c r="H1003" s="115"/>
      <c r="I1003" s="115"/>
      <c r="L1003" s="169">
        <v>43481</v>
      </c>
      <c r="M1003" s="115">
        <v>1135.21</v>
      </c>
      <c r="N1003" s="115">
        <v>1141.19</v>
      </c>
      <c r="O1003" s="115">
        <v>1128.02</v>
      </c>
      <c r="P1003" s="115">
        <v>1139.48</v>
      </c>
      <c r="Q1003" s="115">
        <v>5676.05</v>
      </c>
      <c r="R1003">
        <v>4577</v>
      </c>
    </row>
    <row r="1004" spans="1:18" x14ac:dyDescent="0.25">
      <c r="A1004" s="169">
        <v>43481</v>
      </c>
      <c r="B1004" s="115">
        <v>1140</v>
      </c>
      <c r="C1004" s="115">
        <v>1129.97</v>
      </c>
      <c r="D1004" s="115">
        <v>1128.2</v>
      </c>
      <c r="E1004" s="115">
        <v>1140</v>
      </c>
      <c r="F1004" s="115">
        <v>5649.85</v>
      </c>
      <c r="G1004">
        <v>628</v>
      </c>
      <c r="H1004" s="115"/>
      <c r="I1004" s="115"/>
      <c r="L1004" s="169">
        <v>43482</v>
      </c>
      <c r="M1004" s="115">
        <v>1120.95</v>
      </c>
      <c r="N1004" s="115">
        <v>1133.99</v>
      </c>
      <c r="O1004" s="115">
        <v>1116.02</v>
      </c>
      <c r="P1004" s="115">
        <v>1130.02</v>
      </c>
      <c r="Q1004" s="115">
        <v>5604.75</v>
      </c>
      <c r="R1004">
        <v>497</v>
      </c>
    </row>
    <row r="1005" spans="1:18" x14ac:dyDescent="0.25">
      <c r="A1005" s="169">
        <v>43482</v>
      </c>
      <c r="B1005" s="115">
        <v>1124.2</v>
      </c>
      <c r="C1005" s="115">
        <v>1123.2</v>
      </c>
      <c r="D1005" s="115">
        <v>1105</v>
      </c>
      <c r="E1005" s="115">
        <v>1105</v>
      </c>
      <c r="F1005" s="115">
        <v>5616</v>
      </c>
      <c r="G1005">
        <v>47</v>
      </c>
      <c r="H1005" s="115"/>
      <c r="I1005" s="115"/>
      <c r="L1005" s="169">
        <v>43483</v>
      </c>
      <c r="M1005" s="115">
        <v>1126.21</v>
      </c>
      <c r="N1005" s="115">
        <v>1130</v>
      </c>
      <c r="O1005" s="115">
        <v>1113.0999999999999</v>
      </c>
      <c r="P1005" s="115">
        <v>1123.3900000000001</v>
      </c>
      <c r="Q1005" s="115">
        <v>5631.05</v>
      </c>
      <c r="R1005">
        <v>310</v>
      </c>
    </row>
    <row r="1006" spans="1:18" x14ac:dyDescent="0.25">
      <c r="A1006" s="169">
        <v>43483</v>
      </c>
      <c r="B1006" s="115">
        <v>1135</v>
      </c>
      <c r="C1006" s="115">
        <v>1129.96</v>
      </c>
      <c r="D1006" s="115">
        <v>1119.99</v>
      </c>
      <c r="E1006" s="115">
        <v>1120.5999999999999</v>
      </c>
      <c r="F1006" s="115">
        <v>5649.8</v>
      </c>
      <c r="G1006">
        <v>19</v>
      </c>
      <c r="H1006" s="115"/>
      <c r="I1006" s="115"/>
      <c r="L1006" s="169">
        <v>43486</v>
      </c>
      <c r="M1006" s="115">
        <v>1116.25</v>
      </c>
      <c r="N1006" s="115">
        <v>1143.53</v>
      </c>
      <c r="O1006" s="115">
        <v>1111</v>
      </c>
      <c r="P1006" s="115">
        <v>1143.52</v>
      </c>
      <c r="Q1006" s="115">
        <v>5581.25</v>
      </c>
      <c r="R1006">
        <v>659</v>
      </c>
    </row>
    <row r="1007" spans="1:18" x14ac:dyDescent="0.25">
      <c r="A1007" s="169">
        <v>43486</v>
      </c>
      <c r="B1007" s="115">
        <v>1124.04</v>
      </c>
      <c r="C1007" s="115">
        <v>1120</v>
      </c>
      <c r="D1007" s="115">
        <v>1118</v>
      </c>
      <c r="E1007" s="115">
        <v>1118</v>
      </c>
      <c r="F1007" s="115">
        <v>5600</v>
      </c>
      <c r="G1007">
        <v>37</v>
      </c>
      <c r="H1007" s="115"/>
      <c r="I1007" s="115"/>
      <c r="L1007" s="169">
        <v>43487</v>
      </c>
      <c r="M1007" s="115">
        <v>1091.5</v>
      </c>
      <c r="N1007" s="115">
        <v>1122.6099999999999</v>
      </c>
      <c r="O1007" s="115">
        <v>1075.21</v>
      </c>
      <c r="P1007" s="115">
        <v>1116.26</v>
      </c>
      <c r="Q1007" s="115">
        <v>5457.5</v>
      </c>
      <c r="R1007">
        <v>8527</v>
      </c>
    </row>
    <row r="1008" spans="1:18" x14ac:dyDescent="0.25">
      <c r="A1008" s="169">
        <v>43487</v>
      </c>
      <c r="B1008" s="115">
        <v>1112.31</v>
      </c>
      <c r="C1008" s="115">
        <v>1089.42</v>
      </c>
      <c r="D1008" s="115">
        <v>1084.4000000000001</v>
      </c>
      <c r="E1008" s="115">
        <v>1112.31</v>
      </c>
      <c r="F1008" s="115">
        <v>5447.1</v>
      </c>
      <c r="G1008">
        <v>137</v>
      </c>
      <c r="H1008" s="115"/>
      <c r="I1008" s="115"/>
      <c r="L1008" s="169">
        <v>43488</v>
      </c>
      <c r="M1008" s="115">
        <v>1082.25</v>
      </c>
      <c r="N1008" s="115">
        <v>1106</v>
      </c>
      <c r="O1008" s="115">
        <v>1078</v>
      </c>
      <c r="P1008" s="115">
        <v>1091.5</v>
      </c>
      <c r="Q1008" s="115">
        <v>5411.25</v>
      </c>
      <c r="R1008">
        <v>3780</v>
      </c>
    </row>
    <row r="1009" spans="1:18" x14ac:dyDescent="0.25">
      <c r="A1009" s="169">
        <v>43488</v>
      </c>
      <c r="B1009" s="115">
        <v>1111.5999999999999</v>
      </c>
      <c r="C1009" s="115">
        <v>1086.83</v>
      </c>
      <c r="D1009" s="115">
        <v>1084.24</v>
      </c>
      <c r="E1009" s="115">
        <v>1107.6600000000001</v>
      </c>
      <c r="F1009" s="115">
        <v>5434.15</v>
      </c>
      <c r="G1009">
        <v>68</v>
      </c>
      <c r="H1009" s="115"/>
      <c r="I1009" s="115"/>
      <c r="L1009" s="169">
        <v>43489</v>
      </c>
      <c r="M1009" s="115">
        <v>1080.3900000000001</v>
      </c>
      <c r="N1009" s="115">
        <v>1097.93</v>
      </c>
      <c r="O1009" s="115">
        <v>1080</v>
      </c>
      <c r="P1009" s="115">
        <v>1086.77</v>
      </c>
      <c r="Q1009" s="115">
        <v>5401.95</v>
      </c>
      <c r="R1009">
        <v>1789</v>
      </c>
    </row>
    <row r="1010" spans="1:18" x14ac:dyDescent="0.25">
      <c r="A1010" s="169">
        <v>43489</v>
      </c>
      <c r="B1010" s="115">
        <v>1098.9000000000001</v>
      </c>
      <c r="C1010" s="115">
        <v>1079.94</v>
      </c>
      <c r="D1010" s="115">
        <v>1073.2</v>
      </c>
      <c r="E1010" s="115">
        <v>1098.9000000000001</v>
      </c>
      <c r="F1010" s="115">
        <v>5399.7</v>
      </c>
      <c r="G1010">
        <v>61</v>
      </c>
      <c r="H1010" s="115"/>
      <c r="I1010" s="115"/>
      <c r="L1010" s="169">
        <v>43490</v>
      </c>
      <c r="M1010" s="115">
        <v>1069.06</v>
      </c>
      <c r="N1010" s="115">
        <v>1097.8</v>
      </c>
      <c r="O1010" s="115">
        <v>1061.46</v>
      </c>
      <c r="P1010" s="115">
        <v>1097.8</v>
      </c>
      <c r="Q1010" s="115">
        <v>5345.3</v>
      </c>
      <c r="R1010">
        <v>8118</v>
      </c>
    </row>
    <row r="1011" spans="1:18" x14ac:dyDescent="0.25">
      <c r="A1011" s="169">
        <v>43490</v>
      </c>
      <c r="B1011" s="115">
        <v>1084.1099999999999</v>
      </c>
      <c r="C1011" s="115">
        <v>1062.06</v>
      </c>
      <c r="D1011" s="115">
        <v>1056.53</v>
      </c>
      <c r="E1011" s="115">
        <v>1081.4000000000001</v>
      </c>
      <c r="F1011" s="115">
        <v>5310.3</v>
      </c>
      <c r="G1011">
        <v>318</v>
      </c>
      <c r="H1011" s="115"/>
      <c r="I1011" s="115"/>
      <c r="L1011" s="169">
        <v>43493</v>
      </c>
      <c r="M1011" s="115">
        <v>1052.17</v>
      </c>
      <c r="N1011" s="115">
        <v>1066</v>
      </c>
      <c r="O1011" s="115">
        <v>1026</v>
      </c>
      <c r="P1011" s="115">
        <v>1066</v>
      </c>
      <c r="Q1011" s="115">
        <v>5260.85</v>
      </c>
      <c r="R1011">
        <v>6528</v>
      </c>
    </row>
    <row r="1012" spans="1:18" x14ac:dyDescent="0.25">
      <c r="A1012" s="169">
        <v>43493</v>
      </c>
      <c r="B1012" s="115">
        <v>1064.7</v>
      </c>
      <c r="C1012" s="115">
        <v>1047.3</v>
      </c>
      <c r="D1012" s="115">
        <v>1028.2</v>
      </c>
      <c r="E1012" s="115">
        <v>1055</v>
      </c>
      <c r="F1012" s="115">
        <v>5236.5</v>
      </c>
      <c r="G1012">
        <v>295</v>
      </c>
      <c r="H1012" s="115"/>
      <c r="I1012" s="115"/>
      <c r="L1012" s="169">
        <v>43494</v>
      </c>
      <c r="M1012" s="115">
        <v>1057.56</v>
      </c>
      <c r="N1012" s="115">
        <v>1076</v>
      </c>
      <c r="O1012" s="115">
        <v>1026.26</v>
      </c>
      <c r="P1012" s="115">
        <v>1041.8499999999999</v>
      </c>
      <c r="Q1012" s="115">
        <v>5287.8</v>
      </c>
      <c r="R1012">
        <v>5398</v>
      </c>
    </row>
    <row r="1013" spans="1:18" x14ac:dyDescent="0.25">
      <c r="A1013" s="169">
        <v>43494</v>
      </c>
      <c r="B1013" s="115">
        <v>1079.5999999999999</v>
      </c>
      <c r="C1013" s="115">
        <v>1053.9100000000001</v>
      </c>
      <c r="D1013" s="115">
        <v>1040</v>
      </c>
      <c r="E1013" s="115">
        <v>1043.52</v>
      </c>
      <c r="F1013" s="115">
        <v>5269.55</v>
      </c>
      <c r="G1013">
        <v>516</v>
      </c>
      <c r="H1013" s="115"/>
      <c r="I1013" s="115"/>
      <c r="L1013" s="169">
        <v>43495</v>
      </c>
      <c r="M1013" s="115">
        <v>1059.69</v>
      </c>
      <c r="N1013" s="115">
        <v>1064.6500000000001</v>
      </c>
      <c r="O1013" s="115">
        <v>1050</v>
      </c>
      <c r="P1013" s="115">
        <v>1062.21</v>
      </c>
      <c r="Q1013" s="115">
        <v>5298.45</v>
      </c>
      <c r="R1013">
        <v>5103</v>
      </c>
    </row>
    <row r="1014" spans="1:18" x14ac:dyDescent="0.25">
      <c r="A1014" s="169">
        <v>43495</v>
      </c>
      <c r="B1014" s="115">
        <v>1064</v>
      </c>
      <c r="C1014" s="115">
        <v>1057</v>
      </c>
      <c r="D1014" s="115">
        <v>1050.4000000000001</v>
      </c>
      <c r="E1014" s="115">
        <v>1055.33</v>
      </c>
      <c r="F1014" s="115">
        <v>5285</v>
      </c>
      <c r="G1014">
        <v>148</v>
      </c>
      <c r="H1014" s="115"/>
      <c r="I1014" s="115"/>
      <c r="L1014" s="169">
        <v>43496</v>
      </c>
      <c r="M1014" s="115">
        <v>1053.43</v>
      </c>
      <c r="N1014" s="115">
        <v>1064.8900000000001</v>
      </c>
      <c r="O1014" s="115">
        <v>1049.99</v>
      </c>
      <c r="P1014" s="115">
        <v>1050.8</v>
      </c>
      <c r="Q1014" s="115">
        <v>5267.15</v>
      </c>
      <c r="R1014">
        <v>6342</v>
      </c>
    </row>
    <row r="1015" spans="1:18" x14ac:dyDescent="0.25">
      <c r="A1015" s="169">
        <v>43496</v>
      </c>
      <c r="B1015" s="115">
        <v>1069</v>
      </c>
      <c r="C1015" s="115">
        <v>1055.29</v>
      </c>
      <c r="D1015" s="115">
        <v>1053.24</v>
      </c>
      <c r="E1015" s="115">
        <v>1058.2</v>
      </c>
      <c r="F1015" s="115">
        <v>5276.45</v>
      </c>
      <c r="G1015">
        <v>226</v>
      </c>
      <c r="H1015" s="115"/>
      <c r="I1015" s="115"/>
      <c r="L1015" s="169">
        <v>43497</v>
      </c>
      <c r="M1015" s="115">
        <v>1078.79</v>
      </c>
      <c r="N1015" s="115">
        <v>1090</v>
      </c>
      <c r="O1015" s="115">
        <v>1040.2</v>
      </c>
      <c r="P1015" s="115">
        <v>1050.28</v>
      </c>
      <c r="Q1015" s="115">
        <v>5393.95</v>
      </c>
      <c r="R1015">
        <v>1542</v>
      </c>
    </row>
    <row r="1016" spans="1:18" x14ac:dyDescent="0.25">
      <c r="A1016" s="169">
        <v>43497</v>
      </c>
      <c r="B1016" s="115">
        <v>1087.8</v>
      </c>
      <c r="C1016" s="115">
        <v>1074.07</v>
      </c>
      <c r="D1016" s="115">
        <v>1043.2</v>
      </c>
      <c r="E1016" s="115">
        <v>1054.2</v>
      </c>
      <c r="F1016" s="115">
        <v>5370.35</v>
      </c>
      <c r="G1016">
        <v>129</v>
      </c>
      <c r="H1016" s="115"/>
      <c r="I1016" s="115"/>
      <c r="L1016" s="169">
        <v>43500</v>
      </c>
      <c r="M1016" s="115">
        <v>1070.1099999999999</v>
      </c>
      <c r="N1016" s="115">
        <v>1090</v>
      </c>
      <c r="O1016" s="115">
        <v>1060.22</v>
      </c>
      <c r="P1016" s="115">
        <v>1079.3599999999999</v>
      </c>
      <c r="Q1016" s="115">
        <v>5350.55</v>
      </c>
      <c r="R1016">
        <v>2322</v>
      </c>
    </row>
    <row r="1017" spans="1:18" x14ac:dyDescent="0.25">
      <c r="A1017" s="169">
        <v>43500</v>
      </c>
      <c r="B1017" s="115">
        <v>1089</v>
      </c>
      <c r="C1017" s="115">
        <v>1069.98</v>
      </c>
      <c r="D1017" s="115">
        <v>1053.31</v>
      </c>
      <c r="E1017" s="115">
        <v>1083.22</v>
      </c>
      <c r="F1017" s="115">
        <v>5349.9</v>
      </c>
      <c r="G1017">
        <v>47</v>
      </c>
      <c r="H1017" s="115"/>
      <c r="I1017" s="115"/>
      <c r="L1017" s="169">
        <v>43501</v>
      </c>
      <c r="M1017" s="115">
        <v>1100.56</v>
      </c>
      <c r="N1017" s="115">
        <v>1140</v>
      </c>
      <c r="O1017" s="115">
        <v>1059.4000000000001</v>
      </c>
      <c r="P1017" s="115">
        <v>1060.23</v>
      </c>
      <c r="Q1017" s="115">
        <v>5502.8</v>
      </c>
      <c r="R1017">
        <v>14772</v>
      </c>
    </row>
    <row r="1018" spans="1:18" x14ac:dyDescent="0.25">
      <c r="A1018" s="169">
        <v>43501</v>
      </c>
      <c r="B1018" s="115">
        <v>1136</v>
      </c>
      <c r="C1018" s="115">
        <v>1096.6600000000001</v>
      </c>
      <c r="D1018" s="115">
        <v>1086.4000000000001</v>
      </c>
      <c r="E1018" s="115">
        <v>1088.76</v>
      </c>
      <c r="F1018" s="115">
        <v>5483.3</v>
      </c>
      <c r="G1018">
        <v>610</v>
      </c>
      <c r="H1018" s="115"/>
      <c r="I1018" s="115"/>
      <c r="L1018" s="169">
        <v>43502</v>
      </c>
      <c r="M1018" s="115">
        <v>1077.29</v>
      </c>
      <c r="N1018" s="115">
        <v>1109.22</v>
      </c>
      <c r="O1018" s="115">
        <v>1067.44</v>
      </c>
      <c r="P1018" s="115">
        <v>1108.26</v>
      </c>
      <c r="Q1018" s="115">
        <v>5386.45</v>
      </c>
      <c r="R1018">
        <v>1273</v>
      </c>
    </row>
    <row r="1019" spans="1:18" x14ac:dyDescent="0.25">
      <c r="A1019" s="169">
        <v>43502</v>
      </c>
      <c r="B1019" s="115">
        <v>1106.06</v>
      </c>
      <c r="C1019" s="115">
        <v>1077.98</v>
      </c>
      <c r="D1019" s="115">
        <v>1070.21</v>
      </c>
      <c r="E1019" s="115">
        <v>1096</v>
      </c>
      <c r="F1019" s="115">
        <v>5389.9</v>
      </c>
      <c r="G1019">
        <v>50</v>
      </c>
      <c r="H1019" s="115"/>
      <c r="I1019" s="115"/>
      <c r="L1019" s="169">
        <v>43503</v>
      </c>
      <c r="M1019" s="115">
        <v>1099.68</v>
      </c>
      <c r="N1019" s="115">
        <v>1102.79</v>
      </c>
      <c r="O1019" s="115">
        <v>1070.02</v>
      </c>
      <c r="P1019" s="115">
        <v>1071.81</v>
      </c>
      <c r="Q1019" s="115">
        <v>5498.4</v>
      </c>
      <c r="R1019">
        <v>2047</v>
      </c>
    </row>
    <row r="1020" spans="1:18" x14ac:dyDescent="0.25">
      <c r="A1020" s="169">
        <v>43503</v>
      </c>
      <c r="B1020" s="115">
        <v>1102</v>
      </c>
      <c r="C1020" s="115">
        <v>1096.72</v>
      </c>
      <c r="D1020" s="115">
        <v>1081.99</v>
      </c>
      <c r="E1020" s="115">
        <v>1081.99</v>
      </c>
      <c r="F1020" s="115">
        <v>5483.6</v>
      </c>
      <c r="G1020">
        <v>63</v>
      </c>
      <c r="H1020" s="115"/>
      <c r="I1020" s="115"/>
      <c r="L1020" s="169">
        <v>43504</v>
      </c>
      <c r="M1020" s="115">
        <v>1093.57</v>
      </c>
      <c r="N1020" s="115">
        <v>1099.96</v>
      </c>
      <c r="O1020" s="115">
        <v>1086.8</v>
      </c>
      <c r="P1020" s="115">
        <v>1096.0899999999999</v>
      </c>
      <c r="Q1020" s="115">
        <v>5467.85</v>
      </c>
      <c r="R1020">
        <v>661</v>
      </c>
    </row>
    <row r="1021" spans="1:18" x14ac:dyDescent="0.25">
      <c r="A1021" s="169">
        <v>43504</v>
      </c>
      <c r="B1021" s="115">
        <v>1128.5999999999999</v>
      </c>
      <c r="C1021" s="115">
        <v>1097.75</v>
      </c>
      <c r="D1021" s="115">
        <v>1088.3699999999999</v>
      </c>
      <c r="E1021" s="115">
        <v>1088.3699999999999</v>
      </c>
      <c r="F1021" s="115">
        <v>5488.75</v>
      </c>
      <c r="G1021">
        <v>63</v>
      </c>
      <c r="H1021" s="115"/>
      <c r="I1021" s="115"/>
      <c r="L1021" s="169">
        <v>43507</v>
      </c>
      <c r="M1021" s="115">
        <v>1080.5999999999999</v>
      </c>
      <c r="N1021" s="115">
        <v>1110.21</v>
      </c>
      <c r="O1021" s="115">
        <v>1072</v>
      </c>
      <c r="P1021" s="115">
        <v>1089</v>
      </c>
      <c r="Q1021" s="115">
        <v>5403</v>
      </c>
      <c r="R1021">
        <v>870</v>
      </c>
    </row>
    <row r="1022" spans="1:18" x14ac:dyDescent="0.25">
      <c r="A1022" s="169">
        <v>43507</v>
      </c>
      <c r="B1022" s="115">
        <v>1110</v>
      </c>
      <c r="C1022" s="115">
        <v>1077.51</v>
      </c>
      <c r="D1022" s="115">
        <v>1074.22</v>
      </c>
      <c r="E1022" s="115">
        <v>1110</v>
      </c>
      <c r="F1022" s="115">
        <v>5387.55</v>
      </c>
      <c r="G1022">
        <v>437</v>
      </c>
      <c r="H1022" s="115"/>
      <c r="I1022" s="115"/>
      <c r="L1022" s="169">
        <v>43508</v>
      </c>
      <c r="M1022" s="115">
        <v>1106.02</v>
      </c>
      <c r="N1022" s="115">
        <v>1112.79</v>
      </c>
      <c r="O1022" s="115">
        <v>1070.52</v>
      </c>
      <c r="P1022" s="115">
        <v>1070.52</v>
      </c>
      <c r="Q1022" s="115">
        <v>5530.1</v>
      </c>
      <c r="R1022">
        <v>6209</v>
      </c>
    </row>
    <row r="1023" spans="1:18" x14ac:dyDescent="0.25">
      <c r="A1023" s="169">
        <v>43508</v>
      </c>
      <c r="B1023" s="115">
        <v>1107.33</v>
      </c>
      <c r="C1023" s="115">
        <v>1105.99</v>
      </c>
      <c r="D1023" s="115">
        <v>1087.17</v>
      </c>
      <c r="E1023" s="115">
        <v>1102.97</v>
      </c>
      <c r="F1023" s="115">
        <v>5529.95</v>
      </c>
      <c r="G1023">
        <v>86</v>
      </c>
      <c r="H1023" s="115"/>
      <c r="I1023" s="115"/>
      <c r="L1023" s="169">
        <v>43509</v>
      </c>
      <c r="M1023" s="115">
        <v>1108.8900000000001</v>
      </c>
      <c r="N1023" s="115">
        <v>1119.58</v>
      </c>
      <c r="O1023" s="115">
        <v>1084</v>
      </c>
      <c r="P1023" s="115">
        <v>1107</v>
      </c>
      <c r="Q1023" s="115">
        <v>5544.45</v>
      </c>
      <c r="R1023">
        <v>4099</v>
      </c>
    </row>
    <row r="1024" spans="1:18" x14ac:dyDescent="0.25">
      <c r="A1024" s="169">
        <v>43509</v>
      </c>
      <c r="B1024" s="115">
        <v>1110</v>
      </c>
      <c r="C1024" s="115">
        <v>1110</v>
      </c>
      <c r="D1024" s="115">
        <v>1085</v>
      </c>
      <c r="E1024" s="115">
        <v>1100.74</v>
      </c>
      <c r="F1024" s="115">
        <v>5550</v>
      </c>
      <c r="G1024">
        <v>36</v>
      </c>
      <c r="H1024" s="115"/>
      <c r="I1024" s="115"/>
      <c r="L1024" s="169">
        <v>43510</v>
      </c>
      <c r="M1024" s="115">
        <v>1080.76</v>
      </c>
      <c r="N1024" s="115">
        <v>1118.99</v>
      </c>
      <c r="O1024" s="115">
        <v>1075</v>
      </c>
      <c r="P1024" s="115">
        <v>1091</v>
      </c>
      <c r="Q1024" s="115">
        <v>5403.8</v>
      </c>
      <c r="R1024">
        <v>1810</v>
      </c>
    </row>
    <row r="1025" spans="1:18" x14ac:dyDescent="0.25">
      <c r="A1025" s="169">
        <v>43510</v>
      </c>
      <c r="B1025" s="115">
        <v>1095</v>
      </c>
      <c r="C1025" s="115">
        <v>1076.6300000000001</v>
      </c>
      <c r="D1025" s="115">
        <v>1070.5999999999999</v>
      </c>
      <c r="E1025" s="115">
        <v>1087.48</v>
      </c>
      <c r="F1025" s="115">
        <v>5383.15</v>
      </c>
      <c r="G1025">
        <v>531</v>
      </c>
      <c r="H1025" s="115"/>
      <c r="I1025" s="115"/>
      <c r="L1025" s="169">
        <v>43511</v>
      </c>
      <c r="M1025" s="115">
        <v>1055.29</v>
      </c>
      <c r="N1025" s="115">
        <v>1078</v>
      </c>
      <c r="O1025" s="115">
        <v>1040.21</v>
      </c>
      <c r="P1025" s="115">
        <v>1078</v>
      </c>
      <c r="Q1025" s="115">
        <v>5276.45</v>
      </c>
      <c r="R1025">
        <v>6701</v>
      </c>
    </row>
    <row r="1026" spans="1:18" x14ac:dyDescent="0.25">
      <c r="A1026" s="169">
        <v>43511</v>
      </c>
      <c r="B1026" s="115">
        <v>1076.6300000000001</v>
      </c>
      <c r="C1026" s="115">
        <v>1049.5999999999999</v>
      </c>
      <c r="D1026" s="115">
        <v>1040</v>
      </c>
      <c r="E1026" s="115">
        <v>1076.6300000000001</v>
      </c>
      <c r="F1026" s="115">
        <v>5248</v>
      </c>
      <c r="G1026">
        <v>680</v>
      </c>
      <c r="H1026" s="115"/>
      <c r="I1026" s="115"/>
      <c r="L1026" s="169">
        <v>43514</v>
      </c>
      <c r="M1026" s="115">
        <v>1055.01</v>
      </c>
      <c r="N1026" s="115">
        <v>1062.43</v>
      </c>
      <c r="O1026" s="115">
        <v>1040.25</v>
      </c>
      <c r="P1026" s="115">
        <v>1055.29</v>
      </c>
      <c r="Q1026" s="115">
        <v>5275.05</v>
      </c>
      <c r="R1026">
        <v>1729</v>
      </c>
    </row>
    <row r="1027" spans="1:18" x14ac:dyDescent="0.25">
      <c r="A1027" s="169">
        <v>43514</v>
      </c>
      <c r="B1027" s="115">
        <v>1057</v>
      </c>
      <c r="C1027" s="115">
        <v>1055.93</v>
      </c>
      <c r="D1027" s="115">
        <v>1037</v>
      </c>
      <c r="E1027" s="115">
        <v>1051.2</v>
      </c>
      <c r="F1027" s="115">
        <v>5279.65</v>
      </c>
      <c r="G1027">
        <v>164</v>
      </c>
      <c r="H1027" s="115"/>
      <c r="I1027" s="115"/>
      <c r="L1027" s="169">
        <v>43515</v>
      </c>
      <c r="M1027" s="115">
        <v>1055.02</v>
      </c>
      <c r="N1027" s="115">
        <v>1059.56</v>
      </c>
      <c r="O1027" s="115">
        <v>1042</v>
      </c>
      <c r="P1027" s="115">
        <v>1058.07</v>
      </c>
      <c r="Q1027" s="115">
        <v>5275.1</v>
      </c>
      <c r="R1027">
        <v>1612</v>
      </c>
    </row>
    <row r="1028" spans="1:18" x14ac:dyDescent="0.25">
      <c r="A1028" s="169">
        <v>43515</v>
      </c>
      <c r="B1028" s="115">
        <v>1056.7</v>
      </c>
      <c r="C1028" s="115">
        <v>1052.1199999999999</v>
      </c>
      <c r="D1028" s="115">
        <v>1041.07</v>
      </c>
      <c r="E1028" s="115">
        <v>1056.45</v>
      </c>
      <c r="F1028" s="115">
        <v>5260.6</v>
      </c>
      <c r="G1028">
        <v>100</v>
      </c>
      <c r="H1028" s="115"/>
      <c r="I1028" s="115"/>
      <c r="L1028" s="169">
        <v>43516</v>
      </c>
      <c r="M1028" s="115">
        <v>1043.3599999999999</v>
      </c>
      <c r="N1028" s="115">
        <v>1062</v>
      </c>
      <c r="O1028" s="115">
        <v>1030.52</v>
      </c>
      <c r="P1028" s="115">
        <v>1062</v>
      </c>
      <c r="Q1028" s="115">
        <v>5216.8</v>
      </c>
      <c r="R1028">
        <v>7587</v>
      </c>
    </row>
    <row r="1029" spans="1:18" x14ac:dyDescent="0.25">
      <c r="A1029" s="169">
        <v>43516</v>
      </c>
      <c r="B1029" s="115">
        <v>1059.8</v>
      </c>
      <c r="C1029" s="115">
        <v>1041.03</v>
      </c>
      <c r="D1029" s="115">
        <v>1030.2</v>
      </c>
      <c r="E1029" s="115">
        <v>1055.05</v>
      </c>
      <c r="F1029" s="115">
        <v>5205.1499999999996</v>
      </c>
      <c r="G1029">
        <v>499</v>
      </c>
      <c r="H1029" s="115"/>
      <c r="I1029" s="115"/>
      <c r="L1029" s="169">
        <v>43517</v>
      </c>
      <c r="M1029" s="115">
        <v>1046.57</v>
      </c>
      <c r="N1029" s="115">
        <v>1090.77</v>
      </c>
      <c r="O1029" s="115">
        <v>1036.1199999999999</v>
      </c>
      <c r="P1029" s="115">
        <v>1059.02</v>
      </c>
      <c r="Q1029" s="115">
        <v>5232.8500000000004</v>
      </c>
      <c r="R1029">
        <v>42770</v>
      </c>
    </row>
    <row r="1030" spans="1:18" x14ac:dyDescent="0.25">
      <c r="A1030" s="169">
        <v>43517</v>
      </c>
      <c r="B1030" s="115">
        <v>1088.73</v>
      </c>
      <c r="C1030" s="115">
        <v>1057.1199999999999</v>
      </c>
      <c r="D1030" s="115">
        <v>1033.23</v>
      </c>
      <c r="E1030" s="115">
        <v>1063.4000000000001</v>
      </c>
      <c r="F1030" s="115">
        <v>5285.6</v>
      </c>
      <c r="G1030">
        <v>921</v>
      </c>
      <c r="H1030" s="115"/>
      <c r="I1030" s="115"/>
      <c r="L1030" s="169">
        <v>43518</v>
      </c>
      <c r="M1030" s="115">
        <v>1039.1300000000001</v>
      </c>
      <c r="N1030" s="115">
        <v>1053.98</v>
      </c>
      <c r="O1030" s="115">
        <v>1035.2</v>
      </c>
      <c r="P1030" s="115">
        <v>1046.57</v>
      </c>
      <c r="Q1030" s="115">
        <v>5195.6499999999996</v>
      </c>
      <c r="R1030">
        <v>2005</v>
      </c>
    </row>
    <row r="1031" spans="1:18" x14ac:dyDescent="0.25">
      <c r="A1031" s="169">
        <v>43518</v>
      </c>
      <c r="B1031" s="115">
        <v>1057</v>
      </c>
      <c r="C1031" s="115">
        <v>1041.44</v>
      </c>
      <c r="D1031" s="115">
        <v>1035</v>
      </c>
      <c r="E1031" s="115">
        <v>1035</v>
      </c>
      <c r="F1031" s="115">
        <v>5207.2</v>
      </c>
      <c r="G1031">
        <v>100</v>
      </c>
      <c r="H1031" s="115"/>
      <c r="I1031" s="115"/>
      <c r="L1031" s="169">
        <v>43521</v>
      </c>
      <c r="M1031" s="115">
        <v>1064.83</v>
      </c>
      <c r="N1031" s="115">
        <v>1084.71</v>
      </c>
      <c r="O1031" s="115">
        <v>1038.3</v>
      </c>
      <c r="P1031" s="115">
        <v>1043.29</v>
      </c>
      <c r="Q1031" s="115">
        <v>5324.15</v>
      </c>
      <c r="R1031">
        <v>2832</v>
      </c>
    </row>
    <row r="1032" spans="1:18" x14ac:dyDescent="0.25">
      <c r="A1032" s="169">
        <v>43521</v>
      </c>
      <c r="B1032" s="115">
        <v>1082.8699999999999</v>
      </c>
      <c r="C1032" s="115">
        <v>1067.78</v>
      </c>
      <c r="D1032" s="115">
        <v>1030.29</v>
      </c>
      <c r="E1032" s="115">
        <v>1040.02</v>
      </c>
      <c r="F1032" s="115">
        <v>5338.9</v>
      </c>
      <c r="G1032">
        <v>330</v>
      </c>
      <c r="H1032" s="115"/>
      <c r="I1032" s="115"/>
      <c r="L1032" s="169">
        <v>43522</v>
      </c>
      <c r="M1032" s="115">
        <v>1060.23</v>
      </c>
      <c r="N1032" s="115">
        <v>1067.58</v>
      </c>
      <c r="O1032" s="115">
        <v>1040.52</v>
      </c>
      <c r="P1032" s="115">
        <v>1044.1500000000001</v>
      </c>
      <c r="Q1032" s="115">
        <v>5301.15</v>
      </c>
      <c r="R1032">
        <v>1334</v>
      </c>
    </row>
    <row r="1033" spans="1:18" x14ac:dyDescent="0.25">
      <c r="A1033" s="169">
        <v>43522</v>
      </c>
      <c r="B1033" s="115">
        <v>1065</v>
      </c>
      <c r="C1033" s="115">
        <v>1062.44</v>
      </c>
      <c r="D1033" s="115">
        <v>1047</v>
      </c>
      <c r="E1033" s="115">
        <v>1052.03</v>
      </c>
      <c r="F1033" s="115">
        <v>5312.2</v>
      </c>
      <c r="G1033">
        <v>257</v>
      </c>
      <c r="H1033" s="115"/>
      <c r="I1033" s="115"/>
      <c r="L1033" s="169">
        <v>43523</v>
      </c>
      <c r="M1033" s="115">
        <v>1063.5999999999999</v>
      </c>
      <c r="N1033" s="115">
        <v>1076.18</v>
      </c>
      <c r="O1033" s="115">
        <v>1056.01</v>
      </c>
      <c r="P1033" s="115">
        <v>1063.76</v>
      </c>
      <c r="Q1033" s="115">
        <v>5318</v>
      </c>
      <c r="R1033">
        <v>963</v>
      </c>
    </row>
    <row r="1034" spans="1:18" x14ac:dyDescent="0.25">
      <c r="A1034" s="169">
        <v>43523</v>
      </c>
      <c r="B1034" s="115">
        <v>1073.8</v>
      </c>
      <c r="C1034" s="115">
        <v>1063.24</v>
      </c>
      <c r="D1034" s="115">
        <v>1060.2</v>
      </c>
      <c r="E1034" s="115">
        <v>1073.8</v>
      </c>
      <c r="F1034" s="115">
        <v>5316.2</v>
      </c>
      <c r="G1034">
        <v>111</v>
      </c>
      <c r="H1034" s="115"/>
      <c r="I1034" s="115"/>
      <c r="L1034" s="169">
        <v>43524</v>
      </c>
      <c r="M1034" s="115">
        <v>1079.9000000000001</v>
      </c>
      <c r="N1034" s="115">
        <v>1080.01</v>
      </c>
      <c r="O1034" s="115">
        <v>1060</v>
      </c>
      <c r="P1034" s="115">
        <v>1063.54</v>
      </c>
      <c r="Q1034" s="115">
        <v>5399.5</v>
      </c>
      <c r="R1034">
        <v>2011</v>
      </c>
    </row>
    <row r="1035" spans="1:18" x14ac:dyDescent="0.25">
      <c r="A1035" s="169">
        <v>43524</v>
      </c>
      <c r="B1035" s="115">
        <v>1080</v>
      </c>
      <c r="C1035" s="115">
        <v>1078.81</v>
      </c>
      <c r="D1035" s="115">
        <v>1062.8499999999999</v>
      </c>
      <c r="E1035" s="115">
        <v>1062.8499999999999</v>
      </c>
      <c r="F1035" s="115">
        <v>5394.05</v>
      </c>
      <c r="G1035">
        <v>73</v>
      </c>
      <c r="H1035" s="115"/>
      <c r="I1035" s="115"/>
      <c r="L1035" s="169">
        <v>43525</v>
      </c>
      <c r="M1035" s="115">
        <v>1077.82</v>
      </c>
      <c r="N1035" s="115">
        <v>1089.5999999999999</v>
      </c>
      <c r="O1035" s="115">
        <v>1072</v>
      </c>
      <c r="P1035" s="115">
        <v>1089.5999999999999</v>
      </c>
      <c r="Q1035" s="115">
        <v>5389.1</v>
      </c>
      <c r="R1035">
        <v>4290</v>
      </c>
    </row>
    <row r="1036" spans="1:18" x14ac:dyDescent="0.25">
      <c r="A1036" s="169">
        <v>43525</v>
      </c>
      <c r="B1036" s="115">
        <v>1086</v>
      </c>
      <c r="C1036" s="115">
        <v>1081.19</v>
      </c>
      <c r="D1036" s="115">
        <v>1073.7</v>
      </c>
      <c r="E1036" s="115">
        <v>1075.5</v>
      </c>
      <c r="F1036" s="115">
        <v>5405.95</v>
      </c>
      <c r="G1036">
        <v>49</v>
      </c>
      <c r="H1036" s="115"/>
      <c r="I1036" s="115"/>
      <c r="L1036" s="169">
        <v>43529</v>
      </c>
      <c r="M1036" s="115">
        <v>1096.77</v>
      </c>
      <c r="N1036" s="115">
        <v>1101.79</v>
      </c>
      <c r="O1036" s="115">
        <v>1060.29</v>
      </c>
      <c r="P1036" s="115">
        <v>1060.29</v>
      </c>
      <c r="Q1036" s="115">
        <v>5483.85</v>
      </c>
      <c r="R1036">
        <v>6450</v>
      </c>
    </row>
    <row r="1037" spans="1:18" x14ac:dyDescent="0.25">
      <c r="A1037" s="169">
        <v>43529</v>
      </c>
      <c r="B1037" s="115">
        <v>1099.8</v>
      </c>
      <c r="C1037" s="115">
        <v>1091.25</v>
      </c>
      <c r="D1037" s="115">
        <v>1077.82</v>
      </c>
      <c r="E1037" s="115">
        <v>1086.95</v>
      </c>
      <c r="F1037" s="115">
        <v>5456.25</v>
      </c>
      <c r="G1037">
        <v>186</v>
      </c>
      <c r="H1037" s="115"/>
      <c r="I1037" s="115"/>
      <c r="L1037" s="169">
        <v>43530</v>
      </c>
      <c r="M1037" s="115">
        <v>1089.17</v>
      </c>
      <c r="N1037" s="115">
        <v>1099.6199999999999</v>
      </c>
      <c r="O1037" s="115">
        <v>1076.02</v>
      </c>
      <c r="P1037" s="115">
        <v>1099.6199999999999</v>
      </c>
      <c r="Q1037" s="115">
        <v>5445.85</v>
      </c>
      <c r="R1037">
        <v>8041</v>
      </c>
    </row>
    <row r="1038" spans="1:18" x14ac:dyDescent="0.25">
      <c r="A1038" s="169">
        <v>43530</v>
      </c>
      <c r="B1038" s="115">
        <v>1094.67</v>
      </c>
      <c r="C1038" s="115">
        <v>1088.76</v>
      </c>
      <c r="D1038" s="115">
        <v>1071.31</v>
      </c>
      <c r="E1038" s="115">
        <v>1090</v>
      </c>
      <c r="F1038" s="115">
        <v>5443.8</v>
      </c>
      <c r="G1038">
        <v>45</v>
      </c>
      <c r="H1038" s="115"/>
      <c r="I1038" s="115"/>
      <c r="L1038" s="169">
        <v>43531</v>
      </c>
      <c r="M1038" s="115">
        <v>1107.43</v>
      </c>
      <c r="N1038" s="115">
        <v>1110.79</v>
      </c>
      <c r="O1038" s="115">
        <v>1071.1099999999999</v>
      </c>
      <c r="P1038" s="115">
        <v>1090.3900000000001</v>
      </c>
      <c r="Q1038" s="115">
        <v>5537.15</v>
      </c>
      <c r="R1038">
        <v>7993</v>
      </c>
    </row>
    <row r="1039" spans="1:18" x14ac:dyDescent="0.25">
      <c r="A1039" s="169">
        <v>43531</v>
      </c>
      <c r="B1039" s="115">
        <v>1109</v>
      </c>
      <c r="C1039" s="115">
        <v>1107.04</v>
      </c>
      <c r="D1039" s="115">
        <v>1073.23</v>
      </c>
      <c r="E1039" s="115">
        <v>1091.02</v>
      </c>
      <c r="F1039" s="115">
        <v>5535.2</v>
      </c>
      <c r="G1039">
        <v>214</v>
      </c>
      <c r="H1039" s="115"/>
      <c r="I1039" s="115"/>
      <c r="L1039" s="169">
        <v>43532</v>
      </c>
      <c r="M1039" s="115">
        <v>1100</v>
      </c>
      <c r="N1039" s="115">
        <v>1122</v>
      </c>
      <c r="O1039" s="115">
        <v>1090.2</v>
      </c>
      <c r="P1039" s="115">
        <v>1119.99</v>
      </c>
      <c r="Q1039" s="115">
        <v>5500</v>
      </c>
      <c r="R1039">
        <v>14865</v>
      </c>
    </row>
    <row r="1040" spans="1:18" x14ac:dyDescent="0.25">
      <c r="A1040" s="169">
        <v>43532</v>
      </c>
      <c r="B1040" s="115">
        <v>1119.79</v>
      </c>
      <c r="C1040" s="115">
        <v>1097.47</v>
      </c>
      <c r="D1040" s="115">
        <v>1096</v>
      </c>
      <c r="E1040" s="115">
        <v>1119.79</v>
      </c>
      <c r="F1040" s="115">
        <v>5487.35</v>
      </c>
      <c r="G1040">
        <v>126</v>
      </c>
      <c r="H1040" s="115"/>
      <c r="I1040" s="115"/>
      <c r="L1040" s="169">
        <v>43535</v>
      </c>
      <c r="M1040" s="115">
        <v>1097.79</v>
      </c>
      <c r="N1040" s="115">
        <v>1133.43</v>
      </c>
      <c r="O1040" s="115">
        <v>1091.76</v>
      </c>
      <c r="P1040" s="115">
        <v>1099.6199999999999</v>
      </c>
      <c r="Q1040" s="115">
        <v>5488.95</v>
      </c>
      <c r="R1040">
        <v>2268</v>
      </c>
    </row>
    <row r="1041" spans="1:18" x14ac:dyDescent="0.25">
      <c r="A1041" s="169">
        <v>43535</v>
      </c>
      <c r="B1041" s="115">
        <v>1120</v>
      </c>
      <c r="C1041" s="115">
        <v>1095.83</v>
      </c>
      <c r="D1041" s="115">
        <v>1091.04</v>
      </c>
      <c r="E1041" s="115">
        <v>1110</v>
      </c>
      <c r="F1041" s="115">
        <v>5479.15</v>
      </c>
      <c r="G1041">
        <v>202</v>
      </c>
      <c r="H1041" s="115"/>
      <c r="I1041" s="115"/>
      <c r="L1041" s="169">
        <v>43536</v>
      </c>
      <c r="M1041" s="115">
        <v>1082.23</v>
      </c>
      <c r="N1041" s="115">
        <v>1107.44</v>
      </c>
      <c r="O1041" s="115">
        <v>1075.2</v>
      </c>
      <c r="P1041" s="115">
        <v>1099</v>
      </c>
      <c r="Q1041" s="115">
        <v>5411.15</v>
      </c>
      <c r="R1041">
        <v>17535</v>
      </c>
    </row>
    <row r="1042" spans="1:18" x14ac:dyDescent="0.25">
      <c r="A1042" s="169">
        <v>43536</v>
      </c>
      <c r="B1042" s="115">
        <v>1100</v>
      </c>
      <c r="C1042" s="115">
        <v>1082.1500000000001</v>
      </c>
      <c r="D1042" s="115">
        <v>1075.4000000000001</v>
      </c>
      <c r="E1042" s="115">
        <v>1100</v>
      </c>
      <c r="F1042" s="115">
        <v>5410.75</v>
      </c>
      <c r="G1042">
        <v>180</v>
      </c>
      <c r="H1042" s="115"/>
      <c r="I1042" s="115"/>
      <c r="L1042" s="169">
        <v>43537</v>
      </c>
      <c r="M1042" s="115">
        <v>1119.4100000000001</v>
      </c>
      <c r="N1042" s="115">
        <v>1145</v>
      </c>
      <c r="O1042" s="115">
        <v>1084.05</v>
      </c>
      <c r="P1042" s="115">
        <v>1091.05</v>
      </c>
      <c r="Q1042" s="115">
        <v>5597.05</v>
      </c>
      <c r="R1042">
        <v>4334</v>
      </c>
    </row>
    <row r="1043" spans="1:18" x14ac:dyDescent="0.25">
      <c r="A1043" s="169">
        <v>43537</v>
      </c>
      <c r="B1043" s="115">
        <v>1138.9000000000001</v>
      </c>
      <c r="C1043" s="115">
        <v>1113.56</v>
      </c>
      <c r="D1043" s="115">
        <v>1080.55</v>
      </c>
      <c r="E1043" s="115">
        <v>1128.25</v>
      </c>
      <c r="F1043" s="115">
        <v>5567.8</v>
      </c>
      <c r="G1043">
        <v>196</v>
      </c>
      <c r="H1043" s="115"/>
      <c r="I1043" s="115"/>
      <c r="L1043" s="169">
        <v>43538</v>
      </c>
      <c r="M1043" s="115">
        <v>1092.18</v>
      </c>
      <c r="N1043" s="115">
        <v>1120.24</v>
      </c>
      <c r="O1043" s="115">
        <v>1089.96</v>
      </c>
      <c r="P1043" s="115">
        <v>1120.1400000000001</v>
      </c>
      <c r="Q1043" s="115">
        <v>5460.9</v>
      </c>
      <c r="R1043">
        <v>1287</v>
      </c>
    </row>
    <row r="1044" spans="1:18" x14ac:dyDescent="0.25">
      <c r="A1044" s="169">
        <v>43538</v>
      </c>
      <c r="B1044" s="115">
        <v>1120</v>
      </c>
      <c r="C1044" s="115">
        <v>1093.8599999999999</v>
      </c>
      <c r="D1044" s="115">
        <v>1087</v>
      </c>
      <c r="E1044" s="115">
        <v>1120</v>
      </c>
      <c r="F1044" s="115">
        <v>5469.3</v>
      </c>
      <c r="G1044">
        <v>165</v>
      </c>
      <c r="H1044" s="115"/>
      <c r="I1044" s="115"/>
      <c r="L1044" s="169">
        <v>43539</v>
      </c>
      <c r="M1044" s="115">
        <v>1083.9100000000001</v>
      </c>
      <c r="N1044" s="115">
        <v>1097.8599999999999</v>
      </c>
      <c r="O1044" s="115">
        <v>1076</v>
      </c>
      <c r="P1044" s="115">
        <v>1092.19</v>
      </c>
      <c r="Q1044" s="115">
        <v>5419.55</v>
      </c>
      <c r="R1044">
        <v>4810</v>
      </c>
    </row>
    <row r="1045" spans="1:18" x14ac:dyDescent="0.25">
      <c r="A1045" s="169">
        <v>43539</v>
      </c>
      <c r="B1045" s="115">
        <v>1095</v>
      </c>
      <c r="C1045" s="115">
        <v>1091.92</v>
      </c>
      <c r="D1045" s="115">
        <v>1077.9000000000001</v>
      </c>
      <c r="E1045" s="115">
        <v>1089.82</v>
      </c>
      <c r="F1045" s="115">
        <v>5459.6</v>
      </c>
      <c r="G1045">
        <v>81</v>
      </c>
      <c r="H1045" s="115"/>
      <c r="I1045" s="115"/>
      <c r="L1045" s="169">
        <v>43542</v>
      </c>
      <c r="M1045" s="115">
        <v>1090.03</v>
      </c>
      <c r="N1045" s="115">
        <v>1096.01</v>
      </c>
      <c r="O1045" s="115">
        <v>1079</v>
      </c>
      <c r="P1045" s="115">
        <v>1095.6199999999999</v>
      </c>
      <c r="Q1045" s="115">
        <v>5450.15</v>
      </c>
      <c r="R1045">
        <v>4817</v>
      </c>
    </row>
    <row r="1046" spans="1:18" x14ac:dyDescent="0.25">
      <c r="A1046" s="169">
        <v>43542</v>
      </c>
      <c r="B1046" s="115">
        <v>1094.83</v>
      </c>
      <c r="C1046" s="115">
        <v>1090.06</v>
      </c>
      <c r="D1046" s="115">
        <v>1082.73</v>
      </c>
      <c r="E1046" s="115">
        <v>1094.83</v>
      </c>
      <c r="F1046" s="115">
        <v>5450.3</v>
      </c>
      <c r="G1046">
        <v>56</v>
      </c>
      <c r="H1046" s="115"/>
      <c r="I1046" s="115"/>
      <c r="L1046" s="169">
        <v>43543</v>
      </c>
      <c r="M1046" s="115">
        <v>1092.8900000000001</v>
      </c>
      <c r="N1046" s="115">
        <v>1099.5999999999999</v>
      </c>
      <c r="O1046" s="115">
        <v>1080.27</v>
      </c>
      <c r="P1046" s="115">
        <v>1092.8599999999999</v>
      </c>
      <c r="Q1046" s="115">
        <v>5464.45</v>
      </c>
      <c r="R1046">
        <v>5802</v>
      </c>
    </row>
    <row r="1047" spans="1:18" x14ac:dyDescent="0.25">
      <c r="A1047" s="169">
        <v>43543</v>
      </c>
      <c r="B1047" s="115">
        <v>1098.57</v>
      </c>
      <c r="C1047" s="115">
        <v>1091.5899999999999</v>
      </c>
      <c r="D1047" s="115">
        <v>1082</v>
      </c>
      <c r="E1047" s="115">
        <v>1088.3499999999999</v>
      </c>
      <c r="F1047" s="115">
        <v>5457.95</v>
      </c>
      <c r="G1047">
        <v>180</v>
      </c>
      <c r="H1047" s="115"/>
      <c r="I1047" s="115"/>
      <c r="L1047" s="169">
        <v>43544</v>
      </c>
      <c r="M1047" s="115">
        <v>1080.92</v>
      </c>
      <c r="N1047" s="115">
        <v>1098.8</v>
      </c>
      <c r="O1047" s="115">
        <v>1077</v>
      </c>
      <c r="P1047" s="115">
        <v>1090</v>
      </c>
      <c r="Q1047" s="115">
        <v>5404.6</v>
      </c>
      <c r="R1047">
        <v>818</v>
      </c>
    </row>
    <row r="1048" spans="1:18" x14ac:dyDescent="0.25">
      <c r="A1048" s="169">
        <v>43544</v>
      </c>
      <c r="B1048" s="115">
        <v>1087.18</v>
      </c>
      <c r="C1048" s="115">
        <v>1080.93</v>
      </c>
      <c r="D1048" s="115">
        <v>1076</v>
      </c>
      <c r="E1048" s="115">
        <v>1084.51</v>
      </c>
      <c r="F1048" s="115">
        <v>5404.65</v>
      </c>
      <c r="G1048">
        <v>161</v>
      </c>
      <c r="H1048" s="115"/>
      <c r="I1048" s="115"/>
      <c r="L1048" s="169">
        <v>43546</v>
      </c>
      <c r="M1048" s="115">
        <v>1077.31</v>
      </c>
      <c r="N1048" s="115">
        <v>1089.5999999999999</v>
      </c>
      <c r="O1048" s="115">
        <v>1072.22</v>
      </c>
      <c r="P1048" s="115">
        <v>1080.2</v>
      </c>
      <c r="Q1048" s="115">
        <v>5386.55</v>
      </c>
      <c r="R1048">
        <v>546</v>
      </c>
    </row>
    <row r="1049" spans="1:18" x14ac:dyDescent="0.25">
      <c r="A1049" s="169">
        <v>43546</v>
      </c>
      <c r="B1049" s="115">
        <v>1080.1300000000001</v>
      </c>
      <c r="C1049" s="115">
        <v>1076.72</v>
      </c>
      <c r="D1049" s="115">
        <v>1068.57</v>
      </c>
      <c r="E1049" s="115">
        <v>1080</v>
      </c>
      <c r="F1049" s="115">
        <v>5383.6</v>
      </c>
      <c r="G1049">
        <v>256</v>
      </c>
      <c r="H1049" s="115"/>
      <c r="I1049" s="115"/>
      <c r="L1049" s="169">
        <v>43549</v>
      </c>
      <c r="M1049" s="115">
        <v>1083.71</v>
      </c>
      <c r="N1049" s="115">
        <v>1089.6199999999999</v>
      </c>
      <c r="O1049" s="115">
        <v>1068.01</v>
      </c>
      <c r="P1049" s="115">
        <v>1089.6199999999999</v>
      </c>
      <c r="Q1049" s="115">
        <v>5418.55</v>
      </c>
      <c r="R1049">
        <v>681</v>
      </c>
    </row>
    <row r="1050" spans="1:18" x14ac:dyDescent="0.25">
      <c r="A1050" s="169">
        <v>43549</v>
      </c>
      <c r="B1050" s="115">
        <v>1085.77</v>
      </c>
      <c r="C1050" s="115">
        <v>1081.08</v>
      </c>
      <c r="D1050" s="115">
        <v>1070</v>
      </c>
      <c r="E1050" s="115">
        <v>1073.9000000000001</v>
      </c>
      <c r="F1050" s="115">
        <v>5405.4</v>
      </c>
      <c r="G1050">
        <v>213</v>
      </c>
      <c r="H1050" s="115"/>
      <c r="I1050" s="115"/>
      <c r="L1050" s="169">
        <v>43550</v>
      </c>
      <c r="M1050" s="115">
        <v>1089.96</v>
      </c>
      <c r="N1050" s="115">
        <v>1092</v>
      </c>
      <c r="O1050" s="115">
        <v>1073.0999999999999</v>
      </c>
      <c r="P1050" s="115">
        <v>1085.01</v>
      </c>
      <c r="Q1050" s="115">
        <v>5449.8</v>
      </c>
      <c r="R1050">
        <v>8213</v>
      </c>
    </row>
    <row r="1051" spans="1:18" x14ac:dyDescent="0.25">
      <c r="A1051" s="169">
        <v>43550</v>
      </c>
      <c r="B1051" s="115">
        <v>1091</v>
      </c>
      <c r="C1051" s="115">
        <v>1090.17</v>
      </c>
      <c r="D1051" s="115">
        <v>1070.21</v>
      </c>
      <c r="E1051" s="115">
        <v>1088.55</v>
      </c>
      <c r="F1051" s="115">
        <v>5450.85</v>
      </c>
      <c r="G1051">
        <v>24</v>
      </c>
      <c r="H1051" s="115"/>
      <c r="I1051" s="115"/>
      <c r="L1051" s="169">
        <v>43551</v>
      </c>
      <c r="M1051" s="115">
        <v>1091.69</v>
      </c>
      <c r="N1051" s="115">
        <v>1103.7</v>
      </c>
      <c r="O1051" s="115">
        <v>1078.99</v>
      </c>
      <c r="P1051" s="115">
        <v>1090</v>
      </c>
      <c r="Q1051" s="115">
        <v>5458.45</v>
      </c>
      <c r="R1051">
        <v>945</v>
      </c>
    </row>
    <row r="1052" spans="1:18" x14ac:dyDescent="0.25">
      <c r="A1052" s="169">
        <v>43551</v>
      </c>
      <c r="B1052" s="115">
        <v>1111</v>
      </c>
      <c r="C1052" s="115">
        <v>1085.5</v>
      </c>
      <c r="D1052" s="115">
        <v>1079.73</v>
      </c>
      <c r="E1052" s="115">
        <v>1083.04</v>
      </c>
      <c r="F1052" s="115">
        <v>5427.5</v>
      </c>
      <c r="G1052">
        <v>222</v>
      </c>
      <c r="H1052" s="115"/>
      <c r="I1052" s="115"/>
      <c r="L1052" s="169">
        <v>43552</v>
      </c>
      <c r="M1052" s="115">
        <v>1075.97</v>
      </c>
      <c r="N1052" s="115">
        <v>1098.82</v>
      </c>
      <c r="O1052" s="115">
        <v>1071.03</v>
      </c>
      <c r="P1052" s="115">
        <v>1075.03</v>
      </c>
      <c r="Q1052" s="115">
        <v>5379.85</v>
      </c>
      <c r="R1052">
        <v>9454</v>
      </c>
    </row>
    <row r="1053" spans="1:18" x14ac:dyDescent="0.25">
      <c r="A1053" s="169">
        <v>43552</v>
      </c>
      <c r="B1053" s="115">
        <v>1085.7</v>
      </c>
      <c r="C1053" s="115">
        <v>1071.75</v>
      </c>
      <c r="D1053" s="115">
        <v>1069</v>
      </c>
      <c r="E1053" s="115">
        <v>1078.43</v>
      </c>
      <c r="F1053" s="115">
        <v>5358.75</v>
      </c>
      <c r="G1053">
        <v>216</v>
      </c>
      <c r="H1053" s="115"/>
      <c r="I1053" s="115"/>
      <c r="L1053" s="169">
        <v>43553</v>
      </c>
      <c r="M1053" s="115">
        <v>1100.77</v>
      </c>
      <c r="N1053" s="115">
        <v>1120</v>
      </c>
      <c r="O1053" s="115">
        <v>1065.2</v>
      </c>
      <c r="P1053" s="115">
        <v>1077.08</v>
      </c>
      <c r="Q1053" s="115">
        <v>5503.85</v>
      </c>
      <c r="R1053">
        <v>24160</v>
      </c>
    </row>
    <row r="1054" spans="1:18" x14ac:dyDescent="0.25">
      <c r="A1054" s="169">
        <v>43553</v>
      </c>
      <c r="B1054" s="115">
        <v>1112</v>
      </c>
      <c r="C1054" s="115">
        <v>1101.3399999999999</v>
      </c>
      <c r="D1054" s="115">
        <v>1077.28</v>
      </c>
      <c r="E1054" s="115">
        <v>1078.5999999999999</v>
      </c>
      <c r="F1054" s="115">
        <v>5506.7</v>
      </c>
      <c r="G1054">
        <v>302</v>
      </c>
      <c r="H1054" s="115"/>
      <c r="I1054" s="115"/>
      <c r="L1054" s="169">
        <v>43556</v>
      </c>
      <c r="M1054" s="115">
        <v>1095.48</v>
      </c>
      <c r="N1054" s="115">
        <v>1115.8</v>
      </c>
      <c r="O1054" s="115">
        <v>1091.1099999999999</v>
      </c>
      <c r="P1054" s="115">
        <v>1100.5999999999999</v>
      </c>
      <c r="Q1054" s="115">
        <v>5477.4</v>
      </c>
      <c r="R1054">
        <v>2657</v>
      </c>
    </row>
    <row r="1055" spans="1:18" x14ac:dyDescent="0.25">
      <c r="A1055" s="169">
        <v>43556</v>
      </c>
      <c r="B1055" s="115">
        <v>1118.8</v>
      </c>
      <c r="C1055" s="115">
        <v>1101.28</v>
      </c>
      <c r="D1055" s="115">
        <v>1089.46</v>
      </c>
      <c r="E1055" s="115">
        <v>1102.74</v>
      </c>
      <c r="F1055" s="115">
        <v>5506.4</v>
      </c>
      <c r="G1055">
        <v>50</v>
      </c>
      <c r="H1055" s="115"/>
      <c r="I1055" s="115"/>
      <c r="L1055" s="169">
        <v>43557</v>
      </c>
      <c r="M1055" s="115">
        <v>1099.33</v>
      </c>
      <c r="N1055" s="115">
        <v>1107.5999999999999</v>
      </c>
      <c r="O1055" s="115">
        <v>1094.02</v>
      </c>
      <c r="P1055" s="115">
        <v>1104.5899999999999</v>
      </c>
      <c r="Q1055" s="115">
        <v>5496.65</v>
      </c>
      <c r="R1055">
        <v>599</v>
      </c>
    </row>
    <row r="1056" spans="1:18" x14ac:dyDescent="0.25">
      <c r="A1056" s="169">
        <v>43557</v>
      </c>
      <c r="B1056" s="115">
        <v>1139.99</v>
      </c>
      <c r="C1056" s="115">
        <v>1098.9000000000001</v>
      </c>
      <c r="D1056" s="115">
        <v>1098.2</v>
      </c>
      <c r="E1056" s="115">
        <v>1139.99</v>
      </c>
      <c r="F1056" s="115">
        <v>5494.5</v>
      </c>
      <c r="G1056">
        <v>40</v>
      </c>
      <c r="H1056" s="115"/>
      <c r="I1056" s="115"/>
      <c r="L1056" s="169">
        <v>43558</v>
      </c>
      <c r="M1056" s="115">
        <v>1083.78</v>
      </c>
      <c r="N1056" s="115">
        <v>1105</v>
      </c>
      <c r="O1056" s="115">
        <v>1081.0999999999999</v>
      </c>
      <c r="P1056" s="115">
        <v>1104.67</v>
      </c>
      <c r="Q1056" s="115">
        <v>5418.9</v>
      </c>
      <c r="R1056">
        <v>704</v>
      </c>
    </row>
    <row r="1057" spans="1:18" x14ac:dyDescent="0.25">
      <c r="A1057" s="169">
        <v>43558</v>
      </c>
      <c r="B1057" s="115">
        <v>1103</v>
      </c>
      <c r="C1057" s="115">
        <v>1088.22</v>
      </c>
      <c r="D1057" s="115">
        <v>1081.01</v>
      </c>
      <c r="E1057" s="115">
        <v>1103</v>
      </c>
      <c r="F1057" s="115">
        <v>5441.1</v>
      </c>
      <c r="G1057">
        <v>16</v>
      </c>
      <c r="H1057" s="115"/>
      <c r="I1057" s="115"/>
      <c r="L1057" s="169">
        <v>43559</v>
      </c>
      <c r="M1057" s="115">
        <v>1085.4000000000001</v>
      </c>
      <c r="N1057" s="115">
        <v>1103.79</v>
      </c>
      <c r="O1057" s="115">
        <v>1084.02</v>
      </c>
      <c r="P1057" s="115">
        <v>1092.57</v>
      </c>
      <c r="Q1057" s="115">
        <v>5427</v>
      </c>
      <c r="R1057">
        <v>1116</v>
      </c>
    </row>
    <row r="1058" spans="1:18" x14ac:dyDescent="0.25">
      <c r="A1058" s="169">
        <v>43559</v>
      </c>
      <c r="B1058" s="115">
        <v>1105.4100000000001</v>
      </c>
      <c r="C1058" s="115">
        <v>1076.27</v>
      </c>
      <c r="D1058" s="115">
        <v>1067.23</v>
      </c>
      <c r="E1058" s="115">
        <v>1067.23</v>
      </c>
      <c r="F1058" s="115">
        <v>5381.35</v>
      </c>
      <c r="G1058">
        <v>453</v>
      </c>
      <c r="H1058" s="115"/>
      <c r="I1058" s="115"/>
      <c r="L1058" s="169">
        <v>43560</v>
      </c>
      <c r="M1058" s="115">
        <v>1093.8800000000001</v>
      </c>
      <c r="N1058" s="115">
        <v>1098</v>
      </c>
      <c r="O1058" s="115">
        <v>1080.03</v>
      </c>
      <c r="P1058" s="115">
        <v>1084</v>
      </c>
      <c r="Q1058" s="115">
        <v>5469.4</v>
      </c>
      <c r="R1058">
        <v>638</v>
      </c>
    </row>
    <row r="1059" spans="1:18" x14ac:dyDescent="0.25">
      <c r="A1059" s="169">
        <v>43560</v>
      </c>
      <c r="B1059" s="115">
        <v>1100</v>
      </c>
      <c r="C1059" s="115">
        <v>1098.17</v>
      </c>
      <c r="D1059" s="115">
        <v>1086.4000000000001</v>
      </c>
      <c r="E1059" s="115">
        <v>1100</v>
      </c>
      <c r="F1059" s="115">
        <v>5490.85</v>
      </c>
      <c r="G1059">
        <v>13</v>
      </c>
      <c r="H1059" s="115"/>
      <c r="I1059" s="115"/>
      <c r="L1059" s="169">
        <v>43563</v>
      </c>
      <c r="M1059" s="115">
        <v>1085.1300000000001</v>
      </c>
      <c r="N1059" s="115">
        <v>1105.05</v>
      </c>
      <c r="O1059" s="115">
        <v>1082</v>
      </c>
      <c r="P1059" s="115">
        <v>1096.82</v>
      </c>
      <c r="Q1059" s="115">
        <v>5425.65</v>
      </c>
      <c r="R1059">
        <v>1396</v>
      </c>
    </row>
    <row r="1060" spans="1:18" x14ac:dyDescent="0.25">
      <c r="A1060" s="169">
        <v>43563</v>
      </c>
      <c r="B1060" s="115">
        <v>1102</v>
      </c>
      <c r="C1060" s="115">
        <v>1083.3800000000001</v>
      </c>
      <c r="D1060" s="115">
        <v>1080.98</v>
      </c>
      <c r="E1060" s="115">
        <v>1096</v>
      </c>
      <c r="F1060" s="115">
        <v>5416.9</v>
      </c>
      <c r="G1060">
        <v>48</v>
      </c>
      <c r="H1060" s="115"/>
      <c r="I1060" s="115"/>
      <c r="L1060" s="169">
        <v>43564</v>
      </c>
      <c r="M1060" s="115">
        <v>1083.1099999999999</v>
      </c>
      <c r="N1060" s="115">
        <v>1097.8</v>
      </c>
      <c r="O1060" s="115">
        <v>1080</v>
      </c>
      <c r="P1060" s="115">
        <v>1097.8</v>
      </c>
      <c r="Q1060" s="115">
        <v>5415.55</v>
      </c>
      <c r="R1060">
        <v>610</v>
      </c>
    </row>
    <row r="1061" spans="1:18" x14ac:dyDescent="0.25">
      <c r="A1061" s="169">
        <v>43564</v>
      </c>
      <c r="B1061" s="115">
        <v>1093.77</v>
      </c>
      <c r="C1061" s="115">
        <v>1088.3</v>
      </c>
      <c r="D1061" s="115">
        <v>1084</v>
      </c>
      <c r="E1061" s="115">
        <v>1093.77</v>
      </c>
      <c r="F1061" s="115">
        <v>5441.5</v>
      </c>
      <c r="G1061">
        <v>20</v>
      </c>
      <c r="H1061" s="115"/>
      <c r="I1061" s="115"/>
      <c r="L1061" s="169">
        <v>43565</v>
      </c>
      <c r="M1061" s="115">
        <v>1097.26</v>
      </c>
      <c r="N1061" s="115">
        <v>1120</v>
      </c>
      <c r="O1061" s="115">
        <v>1080.99</v>
      </c>
      <c r="P1061" s="115">
        <v>1083.0999999999999</v>
      </c>
      <c r="Q1061" s="115">
        <v>5486.3</v>
      </c>
      <c r="R1061">
        <v>1979</v>
      </c>
    </row>
    <row r="1062" spans="1:18" x14ac:dyDescent="0.25">
      <c r="A1062" s="169">
        <v>43565</v>
      </c>
      <c r="B1062" s="115">
        <v>1110.3800000000001</v>
      </c>
      <c r="C1062" s="115">
        <v>1091.3699999999999</v>
      </c>
      <c r="D1062" s="115">
        <v>1083</v>
      </c>
      <c r="E1062" s="115">
        <v>1083</v>
      </c>
      <c r="F1062" s="115">
        <v>5456.85</v>
      </c>
      <c r="G1062">
        <v>77</v>
      </c>
      <c r="H1062" s="115"/>
      <c r="I1062" s="115"/>
      <c r="L1062" s="169">
        <v>43566</v>
      </c>
      <c r="M1062" s="115">
        <v>1085.3</v>
      </c>
      <c r="N1062" s="115">
        <v>1096.19</v>
      </c>
      <c r="O1062" s="115">
        <v>1083</v>
      </c>
      <c r="P1062" s="115">
        <v>1096.19</v>
      </c>
      <c r="Q1062" s="115">
        <v>5426.5</v>
      </c>
      <c r="R1062">
        <v>326</v>
      </c>
    </row>
    <row r="1063" spans="1:18" x14ac:dyDescent="0.25">
      <c r="A1063" s="169">
        <v>43566</v>
      </c>
      <c r="B1063" s="115">
        <v>1087.8</v>
      </c>
      <c r="C1063" s="115">
        <v>1080.3800000000001</v>
      </c>
      <c r="D1063" s="115">
        <v>1079.9000000000001</v>
      </c>
      <c r="E1063" s="115">
        <v>1087.73</v>
      </c>
      <c r="F1063" s="115">
        <v>5401.9</v>
      </c>
      <c r="G1063">
        <v>113</v>
      </c>
      <c r="H1063" s="115"/>
      <c r="I1063" s="115"/>
      <c r="L1063" s="169">
        <v>43567</v>
      </c>
      <c r="M1063" s="115">
        <v>1086.6099999999999</v>
      </c>
      <c r="N1063" s="115">
        <v>1096.54</v>
      </c>
      <c r="O1063" s="115">
        <v>1081.05</v>
      </c>
      <c r="P1063" s="115">
        <v>1096.45</v>
      </c>
      <c r="Q1063" s="115">
        <v>5433.05</v>
      </c>
      <c r="R1063">
        <v>527</v>
      </c>
    </row>
    <row r="1064" spans="1:18" x14ac:dyDescent="0.25">
      <c r="A1064" s="169">
        <v>43567</v>
      </c>
      <c r="B1064" s="115">
        <v>1094</v>
      </c>
      <c r="C1064" s="115">
        <v>1088</v>
      </c>
      <c r="D1064" s="115">
        <v>1088</v>
      </c>
      <c r="E1064" s="115">
        <v>1088</v>
      </c>
      <c r="F1064" s="115">
        <v>5440</v>
      </c>
      <c r="G1064">
        <v>12</v>
      </c>
      <c r="H1064" s="115"/>
      <c r="I1064" s="115"/>
      <c r="L1064" s="169">
        <v>43570</v>
      </c>
      <c r="M1064" s="115">
        <v>1096.6400000000001</v>
      </c>
      <c r="N1064" s="115">
        <v>1104.49</v>
      </c>
      <c r="O1064" s="115">
        <v>1082.23</v>
      </c>
      <c r="P1064" s="115">
        <v>1082.23</v>
      </c>
      <c r="Q1064" s="115">
        <v>5483.2</v>
      </c>
      <c r="R1064">
        <v>829</v>
      </c>
    </row>
    <row r="1065" spans="1:18" x14ac:dyDescent="0.25">
      <c r="A1065" s="169">
        <v>43570</v>
      </c>
      <c r="B1065" s="115">
        <v>1102</v>
      </c>
      <c r="C1065" s="115">
        <v>1100.8699999999999</v>
      </c>
      <c r="D1065" s="115">
        <v>1092.92</v>
      </c>
      <c r="E1065" s="115">
        <v>1094.3699999999999</v>
      </c>
      <c r="F1065" s="115">
        <v>5504.35</v>
      </c>
      <c r="G1065">
        <v>27</v>
      </c>
      <c r="H1065" s="115"/>
      <c r="I1065" s="115"/>
      <c r="L1065" s="169">
        <v>43571</v>
      </c>
      <c r="M1065" s="115">
        <v>1102.81</v>
      </c>
      <c r="N1065" s="115">
        <v>1107.8</v>
      </c>
      <c r="O1065" s="115">
        <v>1085.0999999999999</v>
      </c>
      <c r="P1065" s="115">
        <v>1099.6199999999999</v>
      </c>
      <c r="Q1065" s="115">
        <v>5514.05</v>
      </c>
      <c r="R1065">
        <v>756</v>
      </c>
    </row>
    <row r="1066" spans="1:18" x14ac:dyDescent="0.25">
      <c r="A1066" s="169">
        <v>43571</v>
      </c>
      <c r="B1066" s="115">
        <v>1109.99</v>
      </c>
      <c r="C1066" s="115">
        <v>1096.21</v>
      </c>
      <c r="D1066" s="115">
        <v>1082</v>
      </c>
      <c r="E1066" s="115">
        <v>1082</v>
      </c>
      <c r="F1066" s="115">
        <v>5481.05</v>
      </c>
      <c r="G1066">
        <v>109</v>
      </c>
      <c r="H1066" s="115"/>
      <c r="I1066" s="115"/>
      <c r="L1066" s="169">
        <v>43573</v>
      </c>
      <c r="M1066" s="115">
        <v>1096.07</v>
      </c>
      <c r="N1066" s="115">
        <v>1108.77</v>
      </c>
      <c r="O1066" s="115">
        <v>1091.22</v>
      </c>
      <c r="P1066" s="115">
        <v>1102.81</v>
      </c>
      <c r="Q1066" s="115">
        <v>5480.35</v>
      </c>
      <c r="R1066">
        <v>862</v>
      </c>
    </row>
    <row r="1067" spans="1:18" x14ac:dyDescent="0.25">
      <c r="A1067" s="169">
        <v>43573</v>
      </c>
      <c r="B1067" s="115">
        <v>1106</v>
      </c>
      <c r="C1067" s="115">
        <v>1095.48</v>
      </c>
      <c r="D1067" s="115">
        <v>1086</v>
      </c>
      <c r="E1067" s="115">
        <v>1098</v>
      </c>
      <c r="F1067" s="115">
        <v>5477.4</v>
      </c>
      <c r="G1067">
        <v>262</v>
      </c>
      <c r="H1067" s="115"/>
      <c r="I1067" s="115"/>
      <c r="L1067" s="169">
        <v>43577</v>
      </c>
      <c r="M1067" s="115">
        <v>1109.03</v>
      </c>
      <c r="N1067" s="115">
        <v>1113.5999999999999</v>
      </c>
      <c r="O1067" s="115">
        <v>1080.26</v>
      </c>
      <c r="P1067" s="115">
        <v>1099.6199999999999</v>
      </c>
      <c r="Q1067" s="115">
        <v>5545.15</v>
      </c>
      <c r="R1067">
        <v>1870</v>
      </c>
    </row>
    <row r="1068" spans="1:18" x14ac:dyDescent="0.25">
      <c r="A1068" s="169">
        <v>43577</v>
      </c>
      <c r="B1068" s="115">
        <v>1110.21</v>
      </c>
      <c r="C1068" s="115">
        <v>1107.02</v>
      </c>
      <c r="D1068" s="115">
        <v>1082.0899999999999</v>
      </c>
      <c r="E1068" s="115">
        <v>1094</v>
      </c>
      <c r="F1068" s="115">
        <v>5535.1</v>
      </c>
      <c r="G1068">
        <v>202</v>
      </c>
      <c r="H1068" s="115"/>
      <c r="I1068" s="115"/>
      <c r="L1068" s="169">
        <v>43578</v>
      </c>
      <c r="M1068" s="115">
        <v>1115.57</v>
      </c>
      <c r="N1068" s="115">
        <v>1120</v>
      </c>
      <c r="O1068" s="115">
        <v>1096.01</v>
      </c>
      <c r="P1068" s="115">
        <v>1103.19</v>
      </c>
      <c r="Q1068" s="115">
        <v>5577.85</v>
      </c>
      <c r="R1068">
        <v>3403</v>
      </c>
    </row>
    <row r="1069" spans="1:18" x14ac:dyDescent="0.25">
      <c r="A1069" s="169">
        <v>43578</v>
      </c>
      <c r="B1069" s="115">
        <v>1119</v>
      </c>
      <c r="C1069" s="115">
        <v>1117.57</v>
      </c>
      <c r="D1069" s="115">
        <v>1098.5</v>
      </c>
      <c r="E1069" s="115">
        <v>1098.5</v>
      </c>
      <c r="F1069" s="115">
        <v>5587.85</v>
      </c>
      <c r="G1069">
        <v>32</v>
      </c>
      <c r="H1069" s="115"/>
      <c r="I1069" s="115"/>
      <c r="L1069" s="169">
        <v>43579</v>
      </c>
      <c r="M1069" s="115">
        <v>1100</v>
      </c>
      <c r="N1069" s="115">
        <v>1119.01</v>
      </c>
      <c r="O1069" s="115">
        <v>1096.26</v>
      </c>
      <c r="P1069" s="115">
        <v>1115</v>
      </c>
      <c r="Q1069" s="115">
        <v>5500</v>
      </c>
      <c r="R1069">
        <v>818</v>
      </c>
    </row>
    <row r="1070" spans="1:18" x14ac:dyDescent="0.25">
      <c r="A1070" s="169">
        <v>43579</v>
      </c>
      <c r="B1070" s="115">
        <v>1116.74</v>
      </c>
      <c r="C1070" s="115">
        <v>1105.71</v>
      </c>
      <c r="D1070" s="115">
        <v>1103.68</v>
      </c>
      <c r="E1070" s="115">
        <v>1110.7</v>
      </c>
      <c r="F1070" s="115">
        <v>5528.55</v>
      </c>
      <c r="G1070">
        <v>36</v>
      </c>
      <c r="H1070" s="115"/>
      <c r="I1070" s="115"/>
      <c r="L1070" s="169">
        <v>43580</v>
      </c>
      <c r="M1070" s="115">
        <v>1113.1500000000001</v>
      </c>
      <c r="N1070" s="115">
        <v>1115.8</v>
      </c>
      <c r="O1070" s="115">
        <v>1095</v>
      </c>
      <c r="P1070" s="115">
        <v>1102.4100000000001</v>
      </c>
      <c r="Q1070" s="115">
        <v>5565.75</v>
      </c>
      <c r="R1070">
        <v>1002</v>
      </c>
    </row>
    <row r="1071" spans="1:18" x14ac:dyDescent="0.25">
      <c r="A1071" s="169">
        <v>43580</v>
      </c>
      <c r="B1071" s="115">
        <v>1115.7</v>
      </c>
      <c r="C1071" s="115">
        <v>1112.1099999999999</v>
      </c>
      <c r="D1071" s="115">
        <v>1093.07</v>
      </c>
      <c r="E1071" s="115">
        <v>1093.07</v>
      </c>
      <c r="F1071" s="115">
        <v>5560.55</v>
      </c>
      <c r="G1071">
        <v>45</v>
      </c>
      <c r="H1071" s="115"/>
      <c r="I1071" s="115"/>
      <c r="L1071" s="169">
        <v>43581</v>
      </c>
      <c r="M1071" s="115">
        <v>1092.8900000000001</v>
      </c>
      <c r="N1071" s="115">
        <v>1110.01</v>
      </c>
      <c r="O1071" s="115">
        <v>1085.01</v>
      </c>
      <c r="P1071" s="115">
        <v>1103.98</v>
      </c>
      <c r="Q1071" s="115">
        <v>5464.45</v>
      </c>
      <c r="R1071">
        <v>731</v>
      </c>
    </row>
    <row r="1072" spans="1:18" x14ac:dyDescent="0.25">
      <c r="A1072" s="169">
        <v>43581</v>
      </c>
      <c r="B1072" s="115">
        <v>1111.81</v>
      </c>
      <c r="C1072" s="115">
        <v>1096.31</v>
      </c>
      <c r="D1072" s="115">
        <v>1094.1600000000001</v>
      </c>
      <c r="E1072" s="115">
        <v>1094.1600000000001</v>
      </c>
      <c r="F1072" s="115">
        <v>5481.55</v>
      </c>
      <c r="G1072">
        <v>59</v>
      </c>
      <c r="H1072" s="115"/>
      <c r="I1072" s="115"/>
      <c r="L1072" s="169">
        <v>43585</v>
      </c>
      <c r="M1072" s="115">
        <v>1078.3599999999999</v>
      </c>
      <c r="N1072" s="115">
        <v>1097.98</v>
      </c>
      <c r="O1072" s="115">
        <v>1066.26</v>
      </c>
      <c r="P1072" s="115">
        <v>1093.2</v>
      </c>
      <c r="Q1072" s="115">
        <v>5391.8</v>
      </c>
      <c r="R1072">
        <v>2538</v>
      </c>
    </row>
    <row r="1073" spans="1:18" x14ac:dyDescent="0.25">
      <c r="A1073" s="169">
        <v>43585</v>
      </c>
      <c r="B1073" s="115">
        <v>1094.2</v>
      </c>
      <c r="C1073" s="115">
        <v>1076.83</v>
      </c>
      <c r="D1073" s="115">
        <v>1070</v>
      </c>
      <c r="E1073" s="115">
        <v>1085</v>
      </c>
      <c r="F1073" s="115">
        <v>5384.15</v>
      </c>
      <c r="G1073">
        <v>177</v>
      </c>
      <c r="H1073" s="115"/>
      <c r="I1073" s="115"/>
      <c r="L1073" s="169">
        <v>43587</v>
      </c>
      <c r="M1073" s="115">
        <v>1060.3599999999999</v>
      </c>
      <c r="N1073" s="115">
        <v>1090</v>
      </c>
      <c r="O1073" s="115">
        <v>1055.06</v>
      </c>
      <c r="P1073" s="115">
        <v>1090</v>
      </c>
      <c r="Q1073" s="115">
        <v>5301.8</v>
      </c>
      <c r="R1073">
        <v>1851</v>
      </c>
    </row>
    <row r="1074" spans="1:18" x14ac:dyDescent="0.25">
      <c r="A1074" s="169">
        <v>43587</v>
      </c>
      <c r="B1074" s="115">
        <v>1099</v>
      </c>
      <c r="C1074" s="115">
        <v>1062.56</v>
      </c>
      <c r="D1074" s="115">
        <v>1060</v>
      </c>
      <c r="E1074" s="115">
        <v>1099</v>
      </c>
      <c r="F1074" s="115">
        <v>5312.8</v>
      </c>
      <c r="G1074">
        <v>60</v>
      </c>
      <c r="H1074" s="115"/>
      <c r="I1074" s="115"/>
      <c r="L1074" s="169">
        <v>43588</v>
      </c>
      <c r="M1074" s="115">
        <v>1051.53</v>
      </c>
      <c r="N1074" s="115">
        <v>1079.93</v>
      </c>
      <c r="O1074" s="115">
        <v>1048.31</v>
      </c>
      <c r="P1074" s="115">
        <v>1068.17</v>
      </c>
      <c r="Q1074" s="115">
        <v>5257.65</v>
      </c>
      <c r="R1074">
        <v>1150</v>
      </c>
    </row>
    <row r="1075" spans="1:18" x14ac:dyDescent="0.25">
      <c r="A1075" s="169">
        <v>43588</v>
      </c>
      <c r="B1075" s="115">
        <v>1096</v>
      </c>
      <c r="C1075" s="115">
        <v>1056</v>
      </c>
      <c r="D1075" s="115">
        <v>1051.4000000000001</v>
      </c>
      <c r="E1075" s="115">
        <v>1080</v>
      </c>
      <c r="F1075" s="115">
        <v>5280</v>
      </c>
      <c r="G1075">
        <v>29</v>
      </c>
      <c r="H1075" s="115"/>
      <c r="I1075" s="115"/>
      <c r="L1075" s="169">
        <v>43591</v>
      </c>
      <c r="M1075" s="115">
        <v>1031.99</v>
      </c>
      <c r="N1075" s="115">
        <v>1060</v>
      </c>
      <c r="O1075" s="115">
        <v>1025.18</v>
      </c>
      <c r="P1075" s="115">
        <v>1060</v>
      </c>
      <c r="Q1075" s="115">
        <v>5159.95</v>
      </c>
      <c r="R1075">
        <v>2966</v>
      </c>
    </row>
    <row r="1076" spans="1:18" x14ac:dyDescent="0.25">
      <c r="A1076" s="169">
        <v>43591</v>
      </c>
      <c r="B1076" s="115">
        <v>1051.7</v>
      </c>
      <c r="C1076" s="115">
        <v>1031.46</v>
      </c>
      <c r="D1076" s="115">
        <v>1030.2</v>
      </c>
      <c r="E1076" s="115">
        <v>1042.8</v>
      </c>
      <c r="F1076" s="115">
        <v>5157.3</v>
      </c>
      <c r="G1076">
        <v>276</v>
      </c>
      <c r="H1076" s="115"/>
      <c r="I1076" s="115"/>
      <c r="L1076" s="169">
        <v>43592</v>
      </c>
      <c r="M1076" s="115">
        <v>1006.97</v>
      </c>
      <c r="N1076" s="115">
        <v>1044.1400000000001</v>
      </c>
      <c r="O1076" s="115">
        <v>997.87</v>
      </c>
      <c r="P1076" s="115">
        <v>1039.54</v>
      </c>
      <c r="Q1076" s="115">
        <v>5034.8500000000004</v>
      </c>
      <c r="R1076">
        <v>15269</v>
      </c>
    </row>
    <row r="1077" spans="1:18" x14ac:dyDescent="0.25">
      <c r="A1077" s="169">
        <v>43592</v>
      </c>
      <c r="B1077" s="115">
        <v>1038</v>
      </c>
      <c r="C1077" s="115">
        <v>1003.1</v>
      </c>
      <c r="D1077" s="115">
        <v>994.22</v>
      </c>
      <c r="E1077" s="115">
        <v>1035</v>
      </c>
      <c r="F1077" s="115">
        <v>5015.5</v>
      </c>
      <c r="G1077">
        <v>447</v>
      </c>
      <c r="H1077" s="115"/>
      <c r="I1077" s="115"/>
      <c r="L1077" s="169">
        <v>43593</v>
      </c>
      <c r="M1077" s="115">
        <v>992.33</v>
      </c>
      <c r="N1077" s="115">
        <v>1022.08</v>
      </c>
      <c r="O1077" s="115">
        <v>990</v>
      </c>
      <c r="P1077" s="115">
        <v>1022.08</v>
      </c>
      <c r="Q1077" s="115">
        <v>4961.6499999999996</v>
      </c>
      <c r="R1077">
        <v>4099</v>
      </c>
    </row>
    <row r="1078" spans="1:18" x14ac:dyDescent="0.25">
      <c r="A1078" s="169">
        <v>43593</v>
      </c>
      <c r="B1078" s="115">
        <v>1020</v>
      </c>
      <c r="C1078" s="115">
        <v>996.13</v>
      </c>
      <c r="D1078" s="115">
        <v>995.4</v>
      </c>
      <c r="E1078" s="115">
        <v>1020</v>
      </c>
      <c r="F1078" s="115">
        <v>4980.6499999999996</v>
      </c>
      <c r="G1078">
        <v>174</v>
      </c>
      <c r="H1078" s="115"/>
      <c r="I1078" s="115"/>
      <c r="L1078" s="169">
        <v>43594</v>
      </c>
      <c r="M1078" s="115">
        <v>978.44</v>
      </c>
      <c r="N1078" s="115">
        <v>999.62</v>
      </c>
      <c r="O1078" s="115">
        <v>953.1</v>
      </c>
      <c r="P1078" s="115">
        <v>999.62</v>
      </c>
      <c r="Q1078" s="115">
        <v>4892.2</v>
      </c>
      <c r="R1078">
        <v>13332</v>
      </c>
    </row>
    <row r="1079" spans="1:18" x14ac:dyDescent="0.25">
      <c r="A1079" s="169">
        <v>43594</v>
      </c>
      <c r="B1079" s="115">
        <v>992.32</v>
      </c>
      <c r="C1079" s="115">
        <v>979.34</v>
      </c>
      <c r="D1079" s="115">
        <v>953.96</v>
      </c>
      <c r="E1079" s="115">
        <v>973.57</v>
      </c>
      <c r="F1079" s="115">
        <v>4896.7</v>
      </c>
      <c r="G1079">
        <v>1460</v>
      </c>
      <c r="H1079" s="115"/>
      <c r="I1079" s="115"/>
      <c r="L1079" s="169">
        <v>43595</v>
      </c>
      <c r="M1079" s="115">
        <v>963.03</v>
      </c>
      <c r="N1079" s="115">
        <v>995.66</v>
      </c>
      <c r="O1079" s="115">
        <v>955</v>
      </c>
      <c r="P1079" s="115">
        <v>989.99</v>
      </c>
      <c r="Q1079" s="115">
        <v>4815.1499999999996</v>
      </c>
      <c r="R1079">
        <v>4270</v>
      </c>
    </row>
    <row r="1080" spans="1:18" x14ac:dyDescent="0.25">
      <c r="A1080" s="169">
        <v>43595</v>
      </c>
      <c r="B1080" s="115">
        <v>985.42</v>
      </c>
      <c r="C1080" s="115">
        <v>961.2</v>
      </c>
      <c r="D1080" s="115">
        <v>958</v>
      </c>
      <c r="E1080" s="115">
        <v>972</v>
      </c>
      <c r="F1080" s="115">
        <v>4806</v>
      </c>
      <c r="G1080">
        <v>499</v>
      </c>
      <c r="H1080" s="115"/>
      <c r="I1080" s="115"/>
      <c r="L1080" s="169">
        <v>43598</v>
      </c>
      <c r="M1080" s="115">
        <v>967.24</v>
      </c>
      <c r="N1080" s="115">
        <v>976</v>
      </c>
      <c r="O1080" s="115">
        <v>955.64</v>
      </c>
      <c r="P1080" s="115">
        <v>974.6</v>
      </c>
      <c r="Q1080" s="115">
        <v>4836.2</v>
      </c>
      <c r="R1080">
        <v>1467</v>
      </c>
    </row>
    <row r="1081" spans="1:18" x14ac:dyDescent="0.25">
      <c r="A1081" s="169">
        <v>43598</v>
      </c>
      <c r="B1081" s="115">
        <v>970</v>
      </c>
      <c r="C1081" s="115">
        <v>964.86</v>
      </c>
      <c r="D1081" s="115">
        <v>951.51</v>
      </c>
      <c r="E1081" s="115">
        <v>970</v>
      </c>
      <c r="F1081" s="115">
        <v>4824.3</v>
      </c>
      <c r="G1081">
        <v>541</v>
      </c>
      <c r="H1081" s="115"/>
      <c r="I1081" s="115"/>
      <c r="L1081" s="169">
        <v>43599</v>
      </c>
      <c r="M1081" s="115">
        <v>976.58</v>
      </c>
      <c r="N1081" s="115">
        <v>985.99</v>
      </c>
      <c r="O1081" s="115">
        <v>949</v>
      </c>
      <c r="P1081" s="115">
        <v>961.1</v>
      </c>
      <c r="Q1081" s="115">
        <v>4882.8999999999996</v>
      </c>
      <c r="R1081">
        <v>8606</v>
      </c>
    </row>
    <row r="1082" spans="1:18" x14ac:dyDescent="0.25">
      <c r="A1082" s="169">
        <v>43599</v>
      </c>
      <c r="B1082" s="115">
        <v>980</v>
      </c>
      <c r="C1082" s="115">
        <v>972.54</v>
      </c>
      <c r="D1082" s="115">
        <v>953.9</v>
      </c>
      <c r="E1082" s="115">
        <v>960.09</v>
      </c>
      <c r="F1082" s="115">
        <v>4862.7</v>
      </c>
      <c r="G1082">
        <v>1034</v>
      </c>
      <c r="H1082" s="115"/>
      <c r="I1082" s="115"/>
      <c r="L1082" s="169">
        <v>43600</v>
      </c>
      <c r="M1082" s="115">
        <v>965.98</v>
      </c>
      <c r="N1082" s="115">
        <v>985.77</v>
      </c>
      <c r="O1082" s="115">
        <v>954.01</v>
      </c>
      <c r="P1082" s="115">
        <v>975.18</v>
      </c>
      <c r="Q1082" s="115">
        <v>4829.8999999999996</v>
      </c>
      <c r="R1082">
        <v>3809</v>
      </c>
    </row>
    <row r="1083" spans="1:18" x14ac:dyDescent="0.25">
      <c r="A1083" s="169">
        <v>43600</v>
      </c>
      <c r="B1083" s="115">
        <v>980.42</v>
      </c>
      <c r="C1083" s="115">
        <v>960.02</v>
      </c>
      <c r="D1083" s="115">
        <v>953.62</v>
      </c>
      <c r="E1083" s="115">
        <v>970</v>
      </c>
      <c r="F1083" s="115">
        <v>4800.1000000000004</v>
      </c>
      <c r="G1083">
        <v>361</v>
      </c>
      <c r="H1083" s="115"/>
      <c r="I1083" s="115"/>
      <c r="L1083" s="169">
        <v>43601</v>
      </c>
      <c r="M1083" s="115">
        <v>957.01</v>
      </c>
      <c r="N1083" s="115">
        <v>973.99</v>
      </c>
      <c r="O1083" s="115">
        <v>949</v>
      </c>
      <c r="P1083" s="115">
        <v>973.99</v>
      </c>
      <c r="Q1083" s="115">
        <v>4785.05</v>
      </c>
      <c r="R1083">
        <v>3421</v>
      </c>
    </row>
    <row r="1084" spans="1:18" x14ac:dyDescent="0.25">
      <c r="A1084" s="169">
        <v>43601</v>
      </c>
      <c r="B1084" s="115">
        <v>967.83</v>
      </c>
      <c r="C1084" s="115">
        <v>951.58</v>
      </c>
      <c r="D1084" s="115">
        <v>949.4</v>
      </c>
      <c r="E1084" s="115">
        <v>967.83</v>
      </c>
      <c r="F1084" s="115">
        <v>4757.8999999999996</v>
      </c>
      <c r="G1084">
        <v>195</v>
      </c>
      <c r="H1084" s="115"/>
      <c r="I1084" s="115"/>
      <c r="L1084" s="169">
        <v>43602</v>
      </c>
      <c r="M1084" s="115">
        <v>956.89</v>
      </c>
      <c r="N1084" s="115">
        <v>967</v>
      </c>
      <c r="O1084" s="115">
        <v>936.41</v>
      </c>
      <c r="P1084" s="115">
        <v>952.2</v>
      </c>
      <c r="Q1084" s="115">
        <v>4784.45</v>
      </c>
      <c r="R1084">
        <v>8803</v>
      </c>
    </row>
    <row r="1085" spans="1:18" x14ac:dyDescent="0.25">
      <c r="A1085" s="169">
        <v>43602</v>
      </c>
      <c r="B1085" s="115">
        <v>961.91</v>
      </c>
      <c r="C1085" s="115">
        <v>950.45</v>
      </c>
      <c r="D1085" s="115">
        <v>934.21</v>
      </c>
      <c r="E1085" s="115">
        <v>950.74</v>
      </c>
      <c r="F1085" s="115">
        <v>4752.25</v>
      </c>
      <c r="G1085">
        <v>602</v>
      </c>
      <c r="H1085" s="115"/>
      <c r="I1085" s="115"/>
      <c r="L1085" s="169">
        <v>43605</v>
      </c>
      <c r="M1085" s="115">
        <v>969.98</v>
      </c>
      <c r="N1085" s="115">
        <v>993</v>
      </c>
      <c r="O1085" s="115">
        <v>961.03</v>
      </c>
      <c r="P1085" s="115">
        <v>993</v>
      </c>
      <c r="Q1085" s="115">
        <v>4849.8999999999996</v>
      </c>
      <c r="R1085">
        <v>2548</v>
      </c>
    </row>
    <row r="1086" spans="1:18" x14ac:dyDescent="0.25">
      <c r="A1086" s="169">
        <v>43605</v>
      </c>
      <c r="B1086" s="115">
        <v>988</v>
      </c>
      <c r="C1086" s="115">
        <v>969.08</v>
      </c>
      <c r="D1086" s="115">
        <v>958</v>
      </c>
      <c r="E1086" s="115">
        <v>966</v>
      </c>
      <c r="F1086" s="115">
        <v>4845.3999999999996</v>
      </c>
      <c r="G1086">
        <v>634</v>
      </c>
      <c r="H1086" s="115"/>
      <c r="I1086" s="115"/>
      <c r="L1086" s="169">
        <v>43606</v>
      </c>
      <c r="M1086" s="115">
        <v>977.44</v>
      </c>
      <c r="N1086" s="115">
        <v>988</v>
      </c>
      <c r="O1086" s="115">
        <v>956.12</v>
      </c>
      <c r="P1086" s="115">
        <v>975.45</v>
      </c>
      <c r="Q1086" s="115">
        <v>4887.2</v>
      </c>
      <c r="R1086">
        <v>1142</v>
      </c>
    </row>
    <row r="1087" spans="1:18" x14ac:dyDescent="0.25">
      <c r="A1087" s="169">
        <v>43606</v>
      </c>
      <c r="B1087" s="115">
        <v>987.48</v>
      </c>
      <c r="C1087" s="115">
        <v>975</v>
      </c>
      <c r="D1087" s="115">
        <v>962</v>
      </c>
      <c r="E1087" s="115">
        <v>968.81</v>
      </c>
      <c r="F1087" s="115">
        <v>4875</v>
      </c>
      <c r="G1087">
        <v>33</v>
      </c>
      <c r="H1087" s="115"/>
      <c r="I1087" s="115"/>
      <c r="L1087" s="169">
        <v>43607</v>
      </c>
      <c r="M1087" s="115">
        <v>974.34</v>
      </c>
      <c r="N1087" s="115">
        <v>989.4</v>
      </c>
      <c r="O1087" s="115">
        <v>974</v>
      </c>
      <c r="P1087" s="115">
        <v>974</v>
      </c>
      <c r="Q1087" s="115">
        <v>4871.7</v>
      </c>
      <c r="R1087">
        <v>5853</v>
      </c>
    </row>
    <row r="1088" spans="1:18" x14ac:dyDescent="0.25">
      <c r="A1088" s="169">
        <v>43607</v>
      </c>
      <c r="B1088" s="115">
        <v>989.4</v>
      </c>
      <c r="C1088" s="115">
        <v>974.41</v>
      </c>
      <c r="D1088" s="115">
        <v>974</v>
      </c>
      <c r="E1088" s="115">
        <v>982.6</v>
      </c>
      <c r="F1088" s="115">
        <v>4872.05</v>
      </c>
      <c r="G1088">
        <v>183</v>
      </c>
      <c r="H1088" s="115"/>
      <c r="I1088" s="115"/>
      <c r="L1088" s="169">
        <v>43608</v>
      </c>
      <c r="M1088" s="115">
        <v>1010.22</v>
      </c>
      <c r="N1088" s="115">
        <v>1020</v>
      </c>
      <c r="O1088" s="115">
        <v>975.2</v>
      </c>
      <c r="P1088" s="115">
        <v>982.19</v>
      </c>
      <c r="Q1088" s="115">
        <v>5051.1000000000004</v>
      </c>
      <c r="R1088">
        <v>2768</v>
      </c>
    </row>
    <row r="1089" spans="1:18" x14ac:dyDescent="0.25">
      <c r="A1089" s="169">
        <v>43608</v>
      </c>
      <c r="B1089" s="115">
        <v>1021.01</v>
      </c>
      <c r="C1089" s="115">
        <v>1018.76</v>
      </c>
      <c r="D1089" s="115">
        <v>975.57</v>
      </c>
      <c r="E1089" s="115">
        <v>984.13</v>
      </c>
      <c r="F1089" s="115">
        <v>5093.8</v>
      </c>
      <c r="G1089">
        <v>186</v>
      </c>
      <c r="H1089" s="115"/>
      <c r="I1089" s="115"/>
      <c r="L1089" s="169">
        <v>43609</v>
      </c>
      <c r="M1089" s="115">
        <v>1004.15</v>
      </c>
      <c r="N1089" s="115">
        <v>1024</v>
      </c>
      <c r="O1089" s="115">
        <v>1002</v>
      </c>
      <c r="P1089" s="115">
        <v>1010.21</v>
      </c>
      <c r="Q1089" s="115">
        <v>5020.75</v>
      </c>
      <c r="R1089">
        <v>931</v>
      </c>
    </row>
    <row r="1090" spans="1:18" x14ac:dyDescent="0.25">
      <c r="A1090" s="169">
        <v>43609</v>
      </c>
      <c r="B1090" s="115">
        <v>1040</v>
      </c>
      <c r="C1090" s="115">
        <v>1006.32</v>
      </c>
      <c r="D1090" s="115">
        <v>999.99</v>
      </c>
      <c r="E1090" s="115">
        <v>1040</v>
      </c>
      <c r="F1090" s="115">
        <v>5031.6000000000004</v>
      </c>
      <c r="G1090">
        <v>245</v>
      </c>
      <c r="H1090" s="115"/>
      <c r="I1090" s="115"/>
      <c r="L1090" s="169">
        <v>43612</v>
      </c>
      <c r="M1090" s="115">
        <v>1020.16</v>
      </c>
      <c r="N1090" s="115">
        <v>1022</v>
      </c>
      <c r="O1090" s="115">
        <v>1003.33</v>
      </c>
      <c r="P1090" s="115">
        <v>1006.04</v>
      </c>
      <c r="Q1090" s="115">
        <v>5100.8</v>
      </c>
      <c r="R1090">
        <v>736</v>
      </c>
    </row>
    <row r="1091" spans="1:18" x14ac:dyDescent="0.25">
      <c r="A1091" s="169">
        <v>43612</v>
      </c>
      <c r="B1091" s="115">
        <v>1024.92</v>
      </c>
      <c r="C1091" s="115">
        <v>1024.44</v>
      </c>
      <c r="D1091" s="115">
        <v>1008.18</v>
      </c>
      <c r="E1091" s="115">
        <v>1009.82</v>
      </c>
      <c r="F1091" s="115">
        <v>5122.2</v>
      </c>
      <c r="G1091">
        <v>90</v>
      </c>
      <c r="H1091" s="115"/>
      <c r="I1091" s="115"/>
      <c r="L1091" s="169">
        <v>43613</v>
      </c>
      <c r="M1091" s="115">
        <v>1049.03</v>
      </c>
      <c r="N1091" s="115">
        <v>1065.96</v>
      </c>
      <c r="O1091" s="115">
        <v>1023.46</v>
      </c>
      <c r="P1091" s="115">
        <v>1039.79</v>
      </c>
      <c r="Q1091" s="115">
        <v>5245.15</v>
      </c>
      <c r="R1091">
        <v>4812</v>
      </c>
    </row>
    <row r="1092" spans="1:18" x14ac:dyDescent="0.25">
      <c r="A1092" s="169">
        <v>43613</v>
      </c>
      <c r="B1092" s="115">
        <v>1068.72</v>
      </c>
      <c r="C1092" s="115">
        <v>1049.3800000000001</v>
      </c>
      <c r="D1092" s="115">
        <v>1027.18</v>
      </c>
      <c r="E1092" s="115">
        <v>1027.18</v>
      </c>
      <c r="F1092" s="115">
        <v>5246.9</v>
      </c>
      <c r="G1092">
        <v>79</v>
      </c>
      <c r="H1092" s="115"/>
      <c r="I1092" s="115"/>
      <c r="L1092" s="169">
        <v>43614</v>
      </c>
      <c r="M1092" s="115">
        <v>1027.8800000000001</v>
      </c>
      <c r="N1092" s="115">
        <v>1044</v>
      </c>
      <c r="O1092" s="115">
        <v>1020.33</v>
      </c>
      <c r="P1092" s="115">
        <v>1028.9000000000001</v>
      </c>
      <c r="Q1092" s="115">
        <v>5139.3999999999996</v>
      </c>
      <c r="R1092">
        <v>1332</v>
      </c>
    </row>
    <row r="1093" spans="1:18" x14ac:dyDescent="0.25">
      <c r="A1093" s="169">
        <v>43614</v>
      </c>
      <c r="B1093" s="115">
        <v>1040</v>
      </c>
      <c r="C1093" s="115">
        <v>1036.05</v>
      </c>
      <c r="D1093" s="115">
        <v>1025.51</v>
      </c>
      <c r="E1093" s="115">
        <v>1033</v>
      </c>
      <c r="F1093" s="115">
        <v>5180.25</v>
      </c>
      <c r="G1093">
        <v>85</v>
      </c>
      <c r="H1093" s="115"/>
      <c r="I1093" s="115"/>
      <c r="L1093" s="169">
        <v>43615</v>
      </c>
      <c r="M1093" s="115">
        <v>1028.8800000000001</v>
      </c>
      <c r="N1093" s="115">
        <v>1039.5999999999999</v>
      </c>
      <c r="O1093" s="115">
        <v>1020.2</v>
      </c>
      <c r="P1093" s="115">
        <v>1039.5999999999999</v>
      </c>
      <c r="Q1093" s="115">
        <v>5144.3999999999996</v>
      </c>
      <c r="R1093">
        <v>1327</v>
      </c>
    </row>
    <row r="1094" spans="1:18" x14ac:dyDescent="0.25">
      <c r="A1094" s="169">
        <v>43615</v>
      </c>
      <c r="B1094" s="115">
        <v>1035.5999999999999</v>
      </c>
      <c r="C1094" s="115">
        <v>1023.97</v>
      </c>
      <c r="D1094" s="115">
        <v>1017</v>
      </c>
      <c r="E1094" s="115">
        <v>1026.3</v>
      </c>
      <c r="F1094" s="115">
        <v>5119.8500000000004</v>
      </c>
      <c r="G1094">
        <v>115</v>
      </c>
      <c r="H1094" s="115"/>
      <c r="I1094" s="115"/>
      <c r="L1094" s="169">
        <v>43616</v>
      </c>
      <c r="M1094" s="115">
        <v>1029.8900000000001</v>
      </c>
      <c r="N1094" s="115">
        <v>1038.77</v>
      </c>
      <c r="O1094" s="115">
        <v>1020.48</v>
      </c>
      <c r="P1094" s="115">
        <v>1022</v>
      </c>
      <c r="Q1094" s="115">
        <v>5149.45</v>
      </c>
      <c r="R1094">
        <v>5208</v>
      </c>
    </row>
    <row r="1095" spans="1:18" x14ac:dyDescent="0.25">
      <c r="A1095" s="169">
        <v>43616</v>
      </c>
      <c r="B1095" s="115">
        <v>1038.8</v>
      </c>
      <c r="C1095" s="115">
        <v>1028.23</v>
      </c>
      <c r="D1095" s="115">
        <v>1023.18</v>
      </c>
      <c r="E1095" s="115">
        <v>1026.25</v>
      </c>
      <c r="F1095" s="115">
        <v>5141.1499999999996</v>
      </c>
      <c r="G1095">
        <v>17933</v>
      </c>
      <c r="H1095" s="115"/>
      <c r="I1095" s="115"/>
      <c r="L1095" s="169">
        <v>43619</v>
      </c>
      <c r="M1095" s="115">
        <v>1014.14</v>
      </c>
      <c r="N1095" s="115">
        <v>1039.4000000000001</v>
      </c>
      <c r="O1095" s="115">
        <v>1010.21</v>
      </c>
      <c r="P1095" s="115">
        <v>1030.01</v>
      </c>
      <c r="Q1095" s="115">
        <v>5070.7</v>
      </c>
      <c r="R1095">
        <v>1369</v>
      </c>
    </row>
    <row r="1096" spans="1:18" x14ac:dyDescent="0.25">
      <c r="A1096" s="169">
        <v>43619</v>
      </c>
      <c r="B1096" s="115">
        <v>1035.96</v>
      </c>
      <c r="C1096" s="115">
        <v>1012.6</v>
      </c>
      <c r="D1096" s="115">
        <v>1008.01</v>
      </c>
      <c r="E1096" s="115">
        <v>1035.96</v>
      </c>
      <c r="F1096" s="115">
        <v>5063</v>
      </c>
      <c r="G1096">
        <v>48</v>
      </c>
      <c r="H1096" s="115"/>
      <c r="I1096" s="115"/>
      <c r="L1096" s="169">
        <v>43620</v>
      </c>
      <c r="M1096" s="115">
        <v>1012.6</v>
      </c>
      <c r="N1096" s="115">
        <v>1018.78</v>
      </c>
      <c r="O1096" s="115">
        <v>1000.26</v>
      </c>
      <c r="P1096" s="115">
        <v>1002.42</v>
      </c>
      <c r="Q1096" s="115">
        <v>5063</v>
      </c>
      <c r="R1096">
        <v>1463</v>
      </c>
    </row>
    <row r="1097" spans="1:18" x14ac:dyDescent="0.25">
      <c r="A1097" s="169">
        <v>43620</v>
      </c>
      <c r="B1097" s="115">
        <v>1015</v>
      </c>
      <c r="C1097" s="115">
        <v>1014.6</v>
      </c>
      <c r="D1097" s="115">
        <v>1002.84</v>
      </c>
      <c r="E1097" s="115">
        <v>1002.84</v>
      </c>
      <c r="F1097" s="115">
        <v>5073</v>
      </c>
      <c r="G1097">
        <v>32</v>
      </c>
      <c r="H1097" s="115"/>
      <c r="I1097" s="115"/>
      <c r="L1097" s="169">
        <v>43622</v>
      </c>
      <c r="M1097" s="115">
        <v>1000.43</v>
      </c>
      <c r="N1097" s="115">
        <v>1019.77</v>
      </c>
      <c r="O1097" s="115">
        <v>994.2</v>
      </c>
      <c r="P1097" s="115">
        <v>1012.6</v>
      </c>
      <c r="Q1097" s="115">
        <v>5002.1499999999996</v>
      </c>
      <c r="R1097">
        <v>1548</v>
      </c>
    </row>
    <row r="1098" spans="1:18" x14ac:dyDescent="0.25">
      <c r="A1098" s="169">
        <v>43622</v>
      </c>
      <c r="B1098" s="115">
        <v>1023.36</v>
      </c>
      <c r="C1098" s="115">
        <v>1002.48</v>
      </c>
      <c r="D1098" s="115">
        <v>996.66</v>
      </c>
      <c r="E1098" s="115">
        <v>1023.36</v>
      </c>
      <c r="F1098" s="115">
        <v>5012.3999999999996</v>
      </c>
      <c r="G1098">
        <v>1363</v>
      </c>
      <c r="H1098" s="115"/>
      <c r="I1098" s="115"/>
      <c r="L1098" s="169">
        <v>43623</v>
      </c>
      <c r="M1098" s="115">
        <v>1014.84</v>
      </c>
      <c r="N1098" s="115">
        <v>1017.6</v>
      </c>
      <c r="O1098" s="115">
        <v>1002.2</v>
      </c>
      <c r="P1098" s="115">
        <v>1014.39</v>
      </c>
      <c r="Q1098" s="115">
        <v>5074.2</v>
      </c>
      <c r="R1098">
        <v>6609</v>
      </c>
    </row>
    <row r="1099" spans="1:18" x14ac:dyDescent="0.25">
      <c r="A1099" s="169">
        <v>43623</v>
      </c>
      <c r="B1099" s="115">
        <v>1012</v>
      </c>
      <c r="C1099" s="115">
        <v>1010.99</v>
      </c>
      <c r="D1099" s="115">
        <v>996.14</v>
      </c>
      <c r="E1099" s="115">
        <v>1009.6</v>
      </c>
      <c r="F1099" s="115">
        <v>5054.95</v>
      </c>
      <c r="G1099">
        <v>66</v>
      </c>
      <c r="H1099" s="115"/>
      <c r="I1099" s="115"/>
      <c r="L1099" s="169">
        <v>43626</v>
      </c>
      <c r="M1099" s="115">
        <v>1017.42</v>
      </c>
      <c r="N1099" s="115">
        <v>1023.18</v>
      </c>
      <c r="O1099" s="115">
        <v>1007.22</v>
      </c>
      <c r="P1099" s="115">
        <v>1007.22</v>
      </c>
      <c r="Q1099" s="115">
        <v>5087.1000000000004</v>
      </c>
      <c r="R1099">
        <v>793</v>
      </c>
    </row>
    <row r="1100" spans="1:18" x14ac:dyDescent="0.25">
      <c r="A1100" s="169">
        <v>43626</v>
      </c>
      <c r="B1100" s="115">
        <v>1018.43</v>
      </c>
      <c r="C1100" s="115">
        <v>1016.71</v>
      </c>
      <c r="D1100" s="115">
        <v>1008.96</v>
      </c>
      <c r="E1100" s="115">
        <v>1009.19</v>
      </c>
      <c r="F1100" s="115">
        <v>5083.55</v>
      </c>
      <c r="G1100">
        <v>27</v>
      </c>
      <c r="H1100" s="115"/>
      <c r="I1100" s="115"/>
      <c r="L1100" s="169">
        <v>43627</v>
      </c>
      <c r="M1100" s="115">
        <v>1021.55</v>
      </c>
      <c r="N1100" s="115">
        <v>1048</v>
      </c>
      <c r="O1100" s="115">
        <v>998.01</v>
      </c>
      <c r="P1100" s="115">
        <v>1019.17</v>
      </c>
      <c r="Q1100" s="115">
        <v>5107.75</v>
      </c>
      <c r="R1100">
        <v>7265</v>
      </c>
    </row>
    <row r="1101" spans="1:18" x14ac:dyDescent="0.25">
      <c r="A1101" s="169">
        <v>43627</v>
      </c>
      <c r="B1101" s="115">
        <v>1051</v>
      </c>
      <c r="C1101" s="115">
        <v>1024.71</v>
      </c>
      <c r="D1101" s="115">
        <v>999.8</v>
      </c>
      <c r="E1101" s="115">
        <v>1013.76</v>
      </c>
      <c r="F1101" s="115">
        <v>5123.55</v>
      </c>
      <c r="G1101">
        <v>1348</v>
      </c>
      <c r="H1101" s="115"/>
      <c r="I1101" s="115"/>
      <c r="L1101" s="169">
        <v>43628</v>
      </c>
      <c r="M1101" s="115">
        <v>1000.34</v>
      </c>
      <c r="N1101" s="115">
        <v>1039.52</v>
      </c>
      <c r="O1101" s="115">
        <v>994.2</v>
      </c>
      <c r="P1101" s="115">
        <v>1016.83</v>
      </c>
      <c r="Q1101" s="115">
        <v>5001.7</v>
      </c>
      <c r="R1101">
        <v>2674</v>
      </c>
    </row>
    <row r="1102" spans="1:18" x14ac:dyDescent="0.25">
      <c r="A1102" s="169">
        <v>43628</v>
      </c>
      <c r="B1102" s="115">
        <v>1028.98</v>
      </c>
      <c r="C1102" s="115">
        <v>1000.54</v>
      </c>
      <c r="D1102" s="115">
        <v>989.31</v>
      </c>
      <c r="E1102" s="115">
        <v>1028.98</v>
      </c>
      <c r="F1102" s="115">
        <v>5002.7</v>
      </c>
      <c r="G1102">
        <v>97</v>
      </c>
      <c r="H1102" s="115"/>
      <c r="I1102" s="115"/>
      <c r="L1102" s="169">
        <v>43629</v>
      </c>
      <c r="M1102" s="115">
        <v>989.47</v>
      </c>
      <c r="N1102" s="115">
        <v>1004.19</v>
      </c>
      <c r="O1102" s="115">
        <v>980.21</v>
      </c>
      <c r="P1102" s="115">
        <v>995.02</v>
      </c>
      <c r="Q1102" s="115">
        <v>4947.3500000000004</v>
      </c>
      <c r="R1102">
        <v>2523</v>
      </c>
    </row>
    <row r="1103" spans="1:18" x14ac:dyDescent="0.25">
      <c r="A1103" s="169">
        <v>43629</v>
      </c>
      <c r="B1103" s="115">
        <v>1001.52</v>
      </c>
      <c r="C1103" s="115">
        <v>994.64</v>
      </c>
      <c r="D1103" s="115">
        <v>985.09</v>
      </c>
      <c r="E1103" s="115">
        <v>995.2</v>
      </c>
      <c r="F1103" s="115">
        <v>4973.2</v>
      </c>
      <c r="G1103">
        <v>145</v>
      </c>
      <c r="H1103" s="115"/>
      <c r="I1103" s="115"/>
      <c r="L1103" s="169">
        <v>43630</v>
      </c>
      <c r="M1103" s="115">
        <v>972.7</v>
      </c>
      <c r="N1103" s="115">
        <v>1001.79</v>
      </c>
      <c r="O1103" s="115">
        <v>969.6</v>
      </c>
      <c r="P1103" s="115">
        <v>1001.79</v>
      </c>
      <c r="Q1103" s="115">
        <v>4863.5</v>
      </c>
      <c r="R1103">
        <v>2174</v>
      </c>
    </row>
    <row r="1104" spans="1:18" x14ac:dyDescent="0.25">
      <c r="A1104" s="169">
        <v>43630</v>
      </c>
      <c r="B1104" s="115">
        <v>991.42</v>
      </c>
      <c r="C1104" s="115">
        <v>971.6</v>
      </c>
      <c r="D1104" s="115">
        <v>970</v>
      </c>
      <c r="E1104" s="115">
        <v>988.7</v>
      </c>
      <c r="F1104" s="115">
        <v>4858</v>
      </c>
      <c r="G1104">
        <v>276</v>
      </c>
      <c r="H1104" s="115"/>
      <c r="I1104" s="115"/>
      <c r="L1104" s="169">
        <v>43633</v>
      </c>
      <c r="M1104" s="115">
        <v>961.27</v>
      </c>
      <c r="N1104" s="115">
        <v>977</v>
      </c>
      <c r="O1104" s="115">
        <v>947.2</v>
      </c>
      <c r="P1104" s="115">
        <v>972.7</v>
      </c>
      <c r="Q1104" s="115">
        <v>4806.3500000000004</v>
      </c>
      <c r="R1104">
        <v>10925</v>
      </c>
    </row>
    <row r="1105" spans="1:18" x14ac:dyDescent="0.25">
      <c r="A1105" s="169">
        <v>43633</v>
      </c>
      <c r="B1105" s="115">
        <v>972</v>
      </c>
      <c r="C1105" s="115">
        <v>961</v>
      </c>
      <c r="D1105" s="115">
        <v>950</v>
      </c>
      <c r="E1105" s="115">
        <v>966.01</v>
      </c>
      <c r="F1105" s="115">
        <v>4805</v>
      </c>
      <c r="G1105">
        <v>214</v>
      </c>
      <c r="H1105" s="115"/>
      <c r="I1105" s="115"/>
      <c r="L1105" s="169">
        <v>43634</v>
      </c>
      <c r="M1105" s="115">
        <v>960.62</v>
      </c>
      <c r="N1105" s="115">
        <v>971.6</v>
      </c>
      <c r="O1105" s="115">
        <v>955.66</v>
      </c>
      <c r="P1105" s="115">
        <v>967.79</v>
      </c>
      <c r="Q1105" s="115">
        <v>4803.1000000000004</v>
      </c>
      <c r="R1105">
        <v>394</v>
      </c>
    </row>
    <row r="1106" spans="1:18" x14ac:dyDescent="0.25">
      <c r="A1106" s="169">
        <v>43634</v>
      </c>
      <c r="B1106" s="115">
        <v>974.8</v>
      </c>
      <c r="C1106" s="115">
        <v>965.29</v>
      </c>
      <c r="D1106" s="115">
        <v>961.6</v>
      </c>
      <c r="E1106" s="115">
        <v>963.87</v>
      </c>
      <c r="F1106" s="115">
        <v>4826.45</v>
      </c>
      <c r="G1106">
        <v>58</v>
      </c>
      <c r="H1106" s="115"/>
      <c r="I1106" s="115"/>
      <c r="L1106" s="169">
        <v>43635</v>
      </c>
      <c r="M1106" s="115">
        <v>960.49</v>
      </c>
      <c r="N1106" s="115">
        <v>969.01</v>
      </c>
      <c r="O1106" s="115">
        <v>957.6</v>
      </c>
      <c r="P1106" s="115">
        <v>966.16</v>
      </c>
      <c r="Q1106" s="115">
        <v>4802.45</v>
      </c>
      <c r="R1106">
        <v>456</v>
      </c>
    </row>
    <row r="1107" spans="1:18" x14ac:dyDescent="0.25">
      <c r="A1107" s="169">
        <v>43635</v>
      </c>
      <c r="B1107" s="115">
        <v>968.2</v>
      </c>
      <c r="C1107" s="115">
        <v>959.7</v>
      </c>
      <c r="D1107" s="115">
        <v>956.05</v>
      </c>
      <c r="E1107" s="115">
        <v>966</v>
      </c>
      <c r="F1107" s="115">
        <v>4798.5</v>
      </c>
      <c r="G1107">
        <v>53</v>
      </c>
      <c r="H1107" s="115"/>
      <c r="I1107" s="115"/>
      <c r="L1107" s="169">
        <v>43636</v>
      </c>
      <c r="M1107" s="115">
        <v>966.48</v>
      </c>
      <c r="N1107" s="115">
        <v>973.2</v>
      </c>
      <c r="O1107" s="115">
        <v>952.3</v>
      </c>
      <c r="P1107" s="115">
        <v>955.35</v>
      </c>
      <c r="Q1107" s="115">
        <v>4832.3999999999996</v>
      </c>
      <c r="R1107">
        <v>1977</v>
      </c>
    </row>
    <row r="1108" spans="1:18" x14ac:dyDescent="0.25">
      <c r="A1108" s="169">
        <v>43636</v>
      </c>
      <c r="B1108" s="115">
        <v>972.39</v>
      </c>
      <c r="C1108" s="115">
        <v>971.1</v>
      </c>
      <c r="D1108" s="115">
        <v>955</v>
      </c>
      <c r="E1108" s="115">
        <v>955.94</v>
      </c>
      <c r="F1108" s="115">
        <v>4855.5</v>
      </c>
      <c r="G1108">
        <v>1440</v>
      </c>
      <c r="H1108" s="115"/>
      <c r="I1108" s="115"/>
      <c r="L1108" s="169">
        <v>43637</v>
      </c>
      <c r="M1108" s="115">
        <v>952.17</v>
      </c>
      <c r="N1108" s="115">
        <v>972.42</v>
      </c>
      <c r="O1108" s="115">
        <v>950.53</v>
      </c>
      <c r="P1108" s="115">
        <v>969.5</v>
      </c>
      <c r="Q1108" s="115">
        <v>4760.8500000000004</v>
      </c>
      <c r="R1108">
        <v>432</v>
      </c>
    </row>
    <row r="1109" spans="1:18" x14ac:dyDescent="0.25">
      <c r="A1109" s="169">
        <v>43637</v>
      </c>
      <c r="B1109" s="115">
        <v>964</v>
      </c>
      <c r="C1109" s="115">
        <v>952.74</v>
      </c>
      <c r="D1109" s="115">
        <v>952</v>
      </c>
      <c r="E1109" s="115">
        <v>960.81</v>
      </c>
      <c r="F1109" s="115">
        <v>4763.7</v>
      </c>
      <c r="G1109">
        <v>162</v>
      </c>
      <c r="H1109" s="115"/>
      <c r="I1109" s="115"/>
      <c r="L1109" s="169">
        <v>43640</v>
      </c>
      <c r="M1109" s="115">
        <v>980.48</v>
      </c>
      <c r="N1109" s="115">
        <v>984</v>
      </c>
      <c r="O1109" s="115">
        <v>950.67</v>
      </c>
      <c r="P1109" s="115">
        <v>959.93</v>
      </c>
      <c r="Q1109" s="115">
        <v>4902.3999999999996</v>
      </c>
      <c r="R1109">
        <v>808</v>
      </c>
    </row>
    <row r="1110" spans="1:18" x14ac:dyDescent="0.25">
      <c r="A1110" s="169">
        <v>43640</v>
      </c>
      <c r="B1110" s="115">
        <v>986.08</v>
      </c>
      <c r="C1110" s="115">
        <v>977.69</v>
      </c>
      <c r="D1110" s="115">
        <v>962.2</v>
      </c>
      <c r="E1110" s="115">
        <v>962.55</v>
      </c>
      <c r="F1110" s="115">
        <v>4888.45</v>
      </c>
      <c r="G1110">
        <v>85</v>
      </c>
      <c r="H1110" s="115"/>
      <c r="I1110" s="115"/>
      <c r="L1110" s="169">
        <v>43641</v>
      </c>
      <c r="M1110" s="115">
        <v>981.42</v>
      </c>
      <c r="N1110" s="115">
        <v>985</v>
      </c>
      <c r="O1110" s="115">
        <v>961.01</v>
      </c>
      <c r="P1110" s="115">
        <v>969.82</v>
      </c>
      <c r="Q1110" s="115">
        <v>4907.1000000000004</v>
      </c>
      <c r="R1110">
        <v>331</v>
      </c>
    </row>
    <row r="1111" spans="1:18" x14ac:dyDescent="0.25">
      <c r="A1111" s="169">
        <v>43641</v>
      </c>
      <c r="B1111" s="115">
        <v>982</v>
      </c>
      <c r="C1111" s="115">
        <v>982</v>
      </c>
      <c r="D1111" s="115">
        <v>982</v>
      </c>
      <c r="E1111" s="115">
        <v>982</v>
      </c>
      <c r="F1111" s="115">
        <v>4910</v>
      </c>
      <c r="G1111">
        <v>1</v>
      </c>
      <c r="H1111" s="115"/>
      <c r="I1111" s="115"/>
      <c r="L1111" s="169">
        <v>43642</v>
      </c>
      <c r="M1111" s="115">
        <v>982.1</v>
      </c>
      <c r="N1111" s="115">
        <v>989.91</v>
      </c>
      <c r="O1111" s="115">
        <v>966.87</v>
      </c>
      <c r="P1111" s="115">
        <v>983.64</v>
      </c>
      <c r="Q1111" s="115">
        <v>4910.5</v>
      </c>
      <c r="R1111">
        <v>947</v>
      </c>
    </row>
    <row r="1112" spans="1:18" x14ac:dyDescent="0.25">
      <c r="A1112" s="169">
        <v>43642</v>
      </c>
      <c r="B1112" s="115">
        <v>985.64</v>
      </c>
      <c r="C1112" s="115">
        <v>978.03</v>
      </c>
      <c r="D1112" s="115">
        <v>969.75</v>
      </c>
      <c r="E1112" s="115">
        <v>974.95</v>
      </c>
      <c r="F1112" s="115">
        <v>4890.1499999999996</v>
      </c>
      <c r="G1112">
        <v>65</v>
      </c>
      <c r="H1112" s="115"/>
      <c r="I1112" s="115"/>
      <c r="L1112" s="169">
        <v>43643</v>
      </c>
      <c r="M1112" s="115">
        <v>977.42</v>
      </c>
      <c r="N1112" s="115">
        <v>980.12</v>
      </c>
      <c r="O1112" s="115">
        <v>973.28</v>
      </c>
      <c r="P1112" s="115">
        <v>976.02</v>
      </c>
      <c r="Q1112" s="115">
        <v>4887.1000000000004</v>
      </c>
      <c r="R1112">
        <v>16748</v>
      </c>
    </row>
    <row r="1113" spans="1:18" x14ac:dyDescent="0.25">
      <c r="A1113" s="169">
        <v>43643</v>
      </c>
      <c r="B1113" s="115">
        <v>977.81</v>
      </c>
      <c r="C1113" s="115">
        <v>976.58</v>
      </c>
      <c r="D1113" s="115">
        <v>975.02</v>
      </c>
      <c r="E1113" s="115">
        <v>977.81</v>
      </c>
      <c r="F1113" s="115">
        <v>4882.8999999999996</v>
      </c>
      <c r="G1113">
        <v>4</v>
      </c>
      <c r="H1113" s="115"/>
      <c r="I1113" s="115"/>
      <c r="L1113" s="169">
        <v>43644</v>
      </c>
      <c r="M1113" s="115">
        <v>977.63</v>
      </c>
      <c r="N1113" s="115">
        <v>977.8</v>
      </c>
      <c r="O1113" s="115">
        <v>955.04</v>
      </c>
      <c r="P1113" s="115">
        <v>977.43</v>
      </c>
      <c r="Q1113" s="115">
        <v>4888.1499999999996</v>
      </c>
      <c r="R1113">
        <v>9476</v>
      </c>
    </row>
    <row r="1114" spans="1:18" x14ac:dyDescent="0.25">
      <c r="A1114" s="169">
        <v>43644</v>
      </c>
      <c r="B1114" s="115">
        <v>977.6</v>
      </c>
      <c r="C1114" s="115">
        <v>975.34</v>
      </c>
      <c r="D1114" s="115">
        <v>957</v>
      </c>
      <c r="E1114" s="115">
        <v>969</v>
      </c>
      <c r="F1114" s="115">
        <v>4876.7</v>
      </c>
      <c r="G1114">
        <v>309</v>
      </c>
      <c r="H1114" s="115"/>
      <c r="I1114" s="115"/>
      <c r="L1114" s="169">
        <v>43647</v>
      </c>
      <c r="M1114" s="115">
        <v>975.19</v>
      </c>
      <c r="N1114" s="115">
        <v>977.44</v>
      </c>
      <c r="O1114" s="115">
        <v>971.11</v>
      </c>
      <c r="P1114" s="115">
        <v>974.41</v>
      </c>
      <c r="Q1114" s="115">
        <v>4875.95</v>
      </c>
      <c r="R1114">
        <v>393</v>
      </c>
    </row>
    <row r="1115" spans="1:18" x14ac:dyDescent="0.25">
      <c r="A1115" s="169">
        <v>43647</v>
      </c>
      <c r="B1115" s="115">
        <v>977.75</v>
      </c>
      <c r="C1115" s="115">
        <v>975.27</v>
      </c>
      <c r="D1115" s="115">
        <v>972.8</v>
      </c>
      <c r="E1115" s="115">
        <v>975</v>
      </c>
      <c r="F1115" s="115">
        <v>4876.3500000000004</v>
      </c>
      <c r="G1115">
        <v>60</v>
      </c>
      <c r="H1115" s="115"/>
      <c r="I1115" s="115"/>
      <c r="L1115" s="169">
        <v>43648</v>
      </c>
      <c r="M1115" s="115">
        <v>977.02</v>
      </c>
      <c r="N1115" s="115">
        <v>977.8</v>
      </c>
      <c r="O1115" s="115">
        <v>970.01</v>
      </c>
      <c r="P1115" s="115">
        <v>976.25</v>
      </c>
      <c r="Q1115" s="115">
        <v>4885.1000000000004</v>
      </c>
      <c r="R1115">
        <v>496</v>
      </c>
    </row>
    <row r="1116" spans="1:18" x14ac:dyDescent="0.25">
      <c r="A1116" s="169">
        <v>43648</v>
      </c>
      <c r="B1116" s="115">
        <v>977.8</v>
      </c>
      <c r="C1116" s="115">
        <v>977.43</v>
      </c>
      <c r="D1116" s="115">
        <v>973</v>
      </c>
      <c r="E1116" s="115">
        <v>977.8</v>
      </c>
      <c r="F1116" s="115">
        <v>4887.1499999999996</v>
      </c>
      <c r="G1116">
        <v>13</v>
      </c>
      <c r="H1116" s="115"/>
      <c r="I1116" s="115"/>
      <c r="L1116" s="169">
        <v>43649</v>
      </c>
      <c r="M1116" s="115">
        <v>963.14</v>
      </c>
      <c r="N1116" s="115">
        <v>977.02</v>
      </c>
      <c r="O1116" s="115">
        <v>958.2</v>
      </c>
      <c r="P1116" s="115">
        <v>976.26</v>
      </c>
      <c r="Q1116" s="115">
        <v>4815.7</v>
      </c>
      <c r="R1116">
        <v>485</v>
      </c>
    </row>
    <row r="1117" spans="1:18" x14ac:dyDescent="0.25">
      <c r="A1117" s="169">
        <v>43649</v>
      </c>
      <c r="B1117" s="115">
        <v>975</v>
      </c>
      <c r="C1117" s="115">
        <v>961.37</v>
      </c>
      <c r="D1117" s="115">
        <v>960</v>
      </c>
      <c r="E1117" s="115">
        <v>974.63</v>
      </c>
      <c r="F1117" s="115">
        <v>4806.8500000000004</v>
      </c>
      <c r="G1117">
        <v>248</v>
      </c>
      <c r="H1117" s="115"/>
      <c r="I1117" s="115"/>
      <c r="L1117" s="169">
        <v>43650</v>
      </c>
      <c r="M1117" s="115">
        <v>977.37</v>
      </c>
      <c r="N1117" s="115">
        <v>980</v>
      </c>
      <c r="O1117" s="115">
        <v>947.11</v>
      </c>
      <c r="P1117" s="115">
        <v>964.19</v>
      </c>
      <c r="Q1117" s="115">
        <v>4886.8500000000004</v>
      </c>
      <c r="R1117">
        <v>5031</v>
      </c>
    </row>
    <row r="1118" spans="1:18" x14ac:dyDescent="0.25">
      <c r="A1118" s="169">
        <v>43650</v>
      </c>
      <c r="B1118" s="115">
        <v>980</v>
      </c>
      <c r="C1118" s="115">
        <v>977.53</v>
      </c>
      <c r="D1118" s="115">
        <v>954.71</v>
      </c>
      <c r="E1118" s="115">
        <v>960</v>
      </c>
      <c r="F1118" s="115">
        <v>4887.6499999999996</v>
      </c>
      <c r="G1118">
        <v>1197</v>
      </c>
      <c r="H1118" s="115"/>
      <c r="I1118" s="115"/>
      <c r="L1118" s="169">
        <v>43651</v>
      </c>
      <c r="M1118" s="115">
        <v>953.77</v>
      </c>
      <c r="N1118" s="115">
        <v>969.99</v>
      </c>
      <c r="O1118" s="115">
        <v>940</v>
      </c>
      <c r="P1118" s="115">
        <v>960.22</v>
      </c>
      <c r="Q1118" s="115">
        <v>4768.8500000000004</v>
      </c>
      <c r="R1118">
        <v>835</v>
      </c>
    </row>
    <row r="1119" spans="1:18" x14ac:dyDescent="0.25">
      <c r="A1119" s="169">
        <v>43651</v>
      </c>
      <c r="B1119" s="115">
        <v>969.4</v>
      </c>
      <c r="C1119" s="115">
        <v>954.38</v>
      </c>
      <c r="D1119" s="115">
        <v>952</v>
      </c>
      <c r="E1119" s="115">
        <v>962</v>
      </c>
      <c r="F1119" s="115">
        <v>4771.8999999999996</v>
      </c>
      <c r="G1119">
        <v>217</v>
      </c>
      <c r="H1119" s="115"/>
      <c r="I1119" s="115"/>
      <c r="L1119" s="169">
        <v>43654</v>
      </c>
      <c r="M1119" s="115">
        <v>942.07</v>
      </c>
      <c r="N1119" s="115">
        <v>955</v>
      </c>
      <c r="O1119" s="115">
        <v>940.6</v>
      </c>
      <c r="P1119" s="115">
        <v>954</v>
      </c>
      <c r="Q1119" s="115">
        <v>4710.3500000000004</v>
      </c>
      <c r="R1119">
        <v>1330</v>
      </c>
    </row>
    <row r="1120" spans="1:18" x14ac:dyDescent="0.25">
      <c r="A1120" s="169">
        <v>43654</v>
      </c>
      <c r="B1120" s="115">
        <v>954.46</v>
      </c>
      <c r="C1120" s="115">
        <v>942.32</v>
      </c>
      <c r="D1120" s="115">
        <v>940.9</v>
      </c>
      <c r="E1120" s="115">
        <v>954.46</v>
      </c>
      <c r="F1120" s="115">
        <v>4711.6000000000004</v>
      </c>
      <c r="G1120">
        <v>269</v>
      </c>
      <c r="H1120" s="115"/>
      <c r="I1120" s="115"/>
      <c r="L1120" s="169">
        <v>43655</v>
      </c>
      <c r="M1120" s="115">
        <v>934.14</v>
      </c>
      <c r="N1120" s="115">
        <v>947</v>
      </c>
      <c r="O1120" s="115">
        <v>926</v>
      </c>
      <c r="P1120" s="115">
        <v>941.01</v>
      </c>
      <c r="Q1120" s="115">
        <v>4670.7</v>
      </c>
      <c r="R1120">
        <v>11948</v>
      </c>
    </row>
    <row r="1121" spans="1:18" x14ac:dyDescent="0.25">
      <c r="A1121" s="169">
        <v>43655</v>
      </c>
      <c r="B1121" s="115">
        <v>948.21</v>
      </c>
      <c r="C1121" s="115">
        <v>935.11</v>
      </c>
      <c r="D1121" s="115">
        <v>926.94</v>
      </c>
      <c r="E1121" s="115">
        <v>947.2</v>
      </c>
      <c r="F1121" s="115">
        <v>4675.55</v>
      </c>
      <c r="G1121">
        <v>179</v>
      </c>
      <c r="H1121" s="115"/>
      <c r="I1121" s="115"/>
      <c r="L1121" s="169">
        <v>43656</v>
      </c>
      <c r="M1121" s="115">
        <v>915.13</v>
      </c>
      <c r="N1121" s="115">
        <v>940.02</v>
      </c>
      <c r="O1121" s="115">
        <v>906.13</v>
      </c>
      <c r="P1121" s="115">
        <v>940.02</v>
      </c>
      <c r="Q1121" s="115">
        <v>4575.6499999999996</v>
      </c>
      <c r="R1121">
        <v>2838</v>
      </c>
    </row>
    <row r="1122" spans="1:18" x14ac:dyDescent="0.25">
      <c r="A1122" s="169">
        <v>43656</v>
      </c>
      <c r="B1122" s="115">
        <v>934</v>
      </c>
      <c r="C1122" s="115">
        <v>914.78</v>
      </c>
      <c r="D1122" s="115">
        <v>908</v>
      </c>
      <c r="E1122" s="115">
        <v>934</v>
      </c>
      <c r="F1122" s="115">
        <v>4573.8999999999996</v>
      </c>
      <c r="G1122">
        <v>571</v>
      </c>
      <c r="H1122" s="115"/>
      <c r="I1122" s="115"/>
      <c r="L1122" s="169">
        <v>43657</v>
      </c>
      <c r="M1122" s="115">
        <v>899.4</v>
      </c>
      <c r="N1122" s="115">
        <v>920.21</v>
      </c>
      <c r="O1122" s="115">
        <v>893.6</v>
      </c>
      <c r="P1122" s="115">
        <v>920.21</v>
      </c>
      <c r="Q1122" s="115">
        <v>4497</v>
      </c>
      <c r="R1122">
        <v>2255</v>
      </c>
    </row>
    <row r="1123" spans="1:18" x14ac:dyDescent="0.25">
      <c r="A1123" s="169">
        <v>43657</v>
      </c>
      <c r="B1123" s="115">
        <v>914.78</v>
      </c>
      <c r="C1123" s="115">
        <v>899.49</v>
      </c>
      <c r="D1123" s="115">
        <v>895.99</v>
      </c>
      <c r="E1123" s="115">
        <v>914.78</v>
      </c>
      <c r="F1123" s="115">
        <v>4497.45</v>
      </c>
      <c r="G1123">
        <v>198</v>
      </c>
      <c r="H1123" s="115"/>
      <c r="I1123" s="115"/>
      <c r="L1123" s="169">
        <v>43658</v>
      </c>
      <c r="M1123" s="115">
        <v>894.69</v>
      </c>
      <c r="N1123" s="115">
        <v>901.7</v>
      </c>
      <c r="O1123" s="115">
        <v>884.04</v>
      </c>
      <c r="P1123" s="115">
        <v>899.78</v>
      </c>
      <c r="Q1123" s="115">
        <v>4473.45</v>
      </c>
      <c r="R1123">
        <v>4053</v>
      </c>
    </row>
    <row r="1124" spans="1:18" x14ac:dyDescent="0.25">
      <c r="A1124" s="169">
        <v>43658</v>
      </c>
      <c r="B1124" s="115">
        <v>900</v>
      </c>
      <c r="C1124" s="115">
        <v>894.11</v>
      </c>
      <c r="D1124" s="115">
        <v>885.76</v>
      </c>
      <c r="E1124" s="115">
        <v>900</v>
      </c>
      <c r="F1124" s="115">
        <v>4470.55</v>
      </c>
      <c r="G1124">
        <v>163</v>
      </c>
      <c r="H1124" s="115"/>
      <c r="I1124" s="115"/>
      <c r="L1124" s="169">
        <v>43661</v>
      </c>
      <c r="M1124" s="115">
        <v>889.97</v>
      </c>
      <c r="N1124" s="115">
        <v>909.76</v>
      </c>
      <c r="O1124" s="115">
        <v>886.04</v>
      </c>
      <c r="P1124" s="115">
        <v>897.8</v>
      </c>
      <c r="Q1124" s="115">
        <v>4449.8500000000004</v>
      </c>
      <c r="R1124">
        <v>1557</v>
      </c>
    </row>
    <row r="1125" spans="1:18" x14ac:dyDescent="0.25">
      <c r="A1125" s="169">
        <v>43661</v>
      </c>
      <c r="B1125" s="115">
        <v>899.97</v>
      </c>
      <c r="C1125" s="115">
        <v>892.48</v>
      </c>
      <c r="D1125" s="115">
        <v>890</v>
      </c>
      <c r="E1125" s="115">
        <v>899.97</v>
      </c>
      <c r="F1125" s="115">
        <v>4462.3999999999996</v>
      </c>
      <c r="G1125">
        <v>146</v>
      </c>
      <c r="H1125" s="115"/>
      <c r="I1125" s="115"/>
      <c r="L1125" s="169">
        <v>43662</v>
      </c>
      <c r="M1125" s="115">
        <v>878.46</v>
      </c>
      <c r="N1125" s="115">
        <v>894.19</v>
      </c>
      <c r="O1125" s="115">
        <v>876.42</v>
      </c>
      <c r="P1125" s="115">
        <v>894.01</v>
      </c>
      <c r="Q1125" s="115">
        <v>4392.3</v>
      </c>
      <c r="R1125">
        <v>20349</v>
      </c>
    </row>
    <row r="1126" spans="1:18" x14ac:dyDescent="0.25">
      <c r="A1126" s="169">
        <v>43662</v>
      </c>
      <c r="B1126" s="115">
        <v>890.2</v>
      </c>
      <c r="C1126" s="115">
        <v>879.09</v>
      </c>
      <c r="D1126" s="115">
        <v>877.12</v>
      </c>
      <c r="E1126" s="115">
        <v>890</v>
      </c>
      <c r="F1126" s="115">
        <v>4395.45</v>
      </c>
      <c r="G1126">
        <v>864</v>
      </c>
      <c r="H1126" s="115"/>
      <c r="I1126" s="115"/>
      <c r="L1126" s="169">
        <v>43663</v>
      </c>
      <c r="M1126" s="115">
        <v>874.21</v>
      </c>
      <c r="N1126" s="115">
        <v>883</v>
      </c>
      <c r="O1126" s="115">
        <v>870.99</v>
      </c>
      <c r="P1126" s="115">
        <v>878.72</v>
      </c>
      <c r="Q1126" s="115">
        <v>4371.05</v>
      </c>
      <c r="R1126">
        <v>9974</v>
      </c>
    </row>
    <row r="1127" spans="1:18" x14ac:dyDescent="0.25">
      <c r="A1127" s="169">
        <v>43663</v>
      </c>
      <c r="B1127" s="115">
        <v>880</v>
      </c>
      <c r="C1127" s="115">
        <v>874.16</v>
      </c>
      <c r="D1127" s="115">
        <v>871.42</v>
      </c>
      <c r="E1127" s="115">
        <v>880</v>
      </c>
      <c r="F1127" s="115">
        <v>4370.8</v>
      </c>
      <c r="G1127">
        <v>215</v>
      </c>
      <c r="H1127" s="115"/>
      <c r="I1127" s="115"/>
      <c r="L1127" s="169">
        <v>43664</v>
      </c>
      <c r="M1127" s="115">
        <v>868.6</v>
      </c>
      <c r="N1127" s="115">
        <v>883.83</v>
      </c>
      <c r="O1127" s="115">
        <v>857.6</v>
      </c>
      <c r="P1127" s="115">
        <v>883.82</v>
      </c>
      <c r="Q1127" s="115">
        <v>4343</v>
      </c>
      <c r="R1127">
        <v>12320</v>
      </c>
    </row>
    <row r="1128" spans="1:18" x14ac:dyDescent="0.25">
      <c r="A1128" s="169">
        <v>43664</v>
      </c>
      <c r="B1128" s="115">
        <v>870.2</v>
      </c>
      <c r="C1128" s="115">
        <v>869</v>
      </c>
      <c r="D1128" s="115">
        <v>857.79</v>
      </c>
      <c r="E1128" s="115">
        <v>870.2</v>
      </c>
      <c r="F1128" s="115">
        <v>4345</v>
      </c>
      <c r="G1128">
        <v>615</v>
      </c>
      <c r="H1128" s="115"/>
      <c r="I1128" s="115"/>
      <c r="L1128" s="169">
        <v>43665</v>
      </c>
      <c r="M1128" s="115">
        <v>854.26</v>
      </c>
      <c r="N1128" s="115">
        <v>868.83</v>
      </c>
      <c r="O1128" s="115">
        <v>840.2</v>
      </c>
      <c r="P1128" s="115">
        <v>868.83</v>
      </c>
      <c r="Q1128" s="115">
        <v>4271.3</v>
      </c>
      <c r="R1128">
        <v>20529</v>
      </c>
    </row>
    <row r="1129" spans="1:18" x14ac:dyDescent="0.25">
      <c r="A1129" s="169">
        <v>43665</v>
      </c>
      <c r="B1129" s="115">
        <v>867.56</v>
      </c>
      <c r="C1129" s="115">
        <v>852.96</v>
      </c>
      <c r="D1129" s="115">
        <v>840</v>
      </c>
      <c r="E1129" s="115">
        <v>867.56</v>
      </c>
      <c r="F1129" s="115">
        <v>4264.8</v>
      </c>
      <c r="G1129">
        <v>396</v>
      </c>
      <c r="H1129" s="115"/>
      <c r="I1129" s="115"/>
      <c r="L1129" s="169">
        <v>43668</v>
      </c>
      <c r="M1129" s="115">
        <v>843.35</v>
      </c>
      <c r="N1129" s="115">
        <v>858</v>
      </c>
      <c r="O1129" s="115">
        <v>830.01</v>
      </c>
      <c r="P1129" s="115">
        <v>858</v>
      </c>
      <c r="Q1129" s="115">
        <v>4216.75</v>
      </c>
      <c r="R1129">
        <v>9429</v>
      </c>
    </row>
    <row r="1130" spans="1:18" x14ac:dyDescent="0.25">
      <c r="A1130" s="169">
        <v>43668</v>
      </c>
      <c r="B1130" s="115">
        <v>854.17</v>
      </c>
      <c r="C1130" s="115">
        <v>843.13</v>
      </c>
      <c r="D1130" s="115">
        <v>832</v>
      </c>
      <c r="E1130" s="115">
        <v>847.72</v>
      </c>
      <c r="F1130" s="115">
        <v>4215.6499999999996</v>
      </c>
      <c r="G1130">
        <v>872</v>
      </c>
      <c r="H1130" s="115"/>
      <c r="I1130" s="115"/>
      <c r="L1130" s="169">
        <v>43669</v>
      </c>
      <c r="M1130" s="115">
        <v>840.24</v>
      </c>
      <c r="N1130" s="115">
        <v>843.05</v>
      </c>
      <c r="O1130" s="115">
        <v>828.1</v>
      </c>
      <c r="P1130" s="115">
        <v>841.04</v>
      </c>
      <c r="Q1130" s="115">
        <v>4201.2</v>
      </c>
      <c r="R1130">
        <v>14999</v>
      </c>
    </row>
    <row r="1131" spans="1:18" x14ac:dyDescent="0.25">
      <c r="A1131" s="169">
        <v>43669</v>
      </c>
      <c r="B1131" s="115">
        <v>841</v>
      </c>
      <c r="C1131" s="115">
        <v>840</v>
      </c>
      <c r="D1131" s="115">
        <v>834.29</v>
      </c>
      <c r="E1131" s="115">
        <v>834.29</v>
      </c>
      <c r="F1131" s="115">
        <v>4200</v>
      </c>
      <c r="G1131">
        <v>105</v>
      </c>
      <c r="H1131" s="115"/>
      <c r="I1131" s="115"/>
      <c r="L1131" s="169">
        <v>43670</v>
      </c>
      <c r="M1131" s="115">
        <v>817.75</v>
      </c>
      <c r="N1131" s="115">
        <v>821.94</v>
      </c>
      <c r="O1131" s="115">
        <v>794.99</v>
      </c>
      <c r="P1131" s="115">
        <v>820</v>
      </c>
      <c r="Q1131" s="115">
        <v>4088.75</v>
      </c>
      <c r="R1131">
        <v>86339</v>
      </c>
    </row>
    <row r="1132" spans="1:18" x14ac:dyDescent="0.25">
      <c r="A1132" s="169">
        <v>43670</v>
      </c>
      <c r="B1132" s="115">
        <v>830</v>
      </c>
      <c r="C1132" s="115">
        <v>817.73</v>
      </c>
      <c r="D1132" s="115">
        <v>794.38</v>
      </c>
      <c r="E1132" s="115">
        <v>830</v>
      </c>
      <c r="F1132" s="115">
        <v>4088.65</v>
      </c>
      <c r="G1132">
        <v>1141</v>
      </c>
      <c r="H1132" s="115"/>
      <c r="I1132" s="115"/>
      <c r="L1132" s="169">
        <v>43671</v>
      </c>
      <c r="M1132" s="115">
        <v>804.14</v>
      </c>
      <c r="N1132" s="115">
        <v>826</v>
      </c>
      <c r="O1132" s="115">
        <v>795.18</v>
      </c>
      <c r="P1132" s="115">
        <v>804</v>
      </c>
      <c r="Q1132" s="115">
        <v>4020.7</v>
      </c>
      <c r="R1132">
        <v>24585</v>
      </c>
    </row>
    <row r="1133" spans="1:18" x14ac:dyDescent="0.25">
      <c r="A1133" s="169">
        <v>43671</v>
      </c>
      <c r="B1133" s="115">
        <v>821.77</v>
      </c>
      <c r="C1133" s="115">
        <v>809</v>
      </c>
      <c r="D1133" s="115">
        <v>796</v>
      </c>
      <c r="E1133" s="115">
        <v>812</v>
      </c>
      <c r="F1133" s="115">
        <v>4045</v>
      </c>
      <c r="G1133">
        <v>131</v>
      </c>
      <c r="H1133" s="115"/>
      <c r="I1133" s="115"/>
      <c r="L1133" s="169">
        <v>43672</v>
      </c>
      <c r="M1133" s="115">
        <v>804.67</v>
      </c>
      <c r="N1133" s="115">
        <v>812.63</v>
      </c>
      <c r="O1133" s="115">
        <v>794.2</v>
      </c>
      <c r="P1133" s="115">
        <v>794.2</v>
      </c>
      <c r="Q1133" s="115">
        <v>4023.35</v>
      </c>
      <c r="R1133">
        <v>5190</v>
      </c>
    </row>
    <row r="1134" spans="1:18" x14ac:dyDescent="0.25">
      <c r="A1134" s="169">
        <v>43672</v>
      </c>
      <c r="B1134" s="115">
        <v>812.94</v>
      </c>
      <c r="C1134" s="115">
        <v>807.7</v>
      </c>
      <c r="D1134" s="115">
        <v>800</v>
      </c>
      <c r="E1134" s="115">
        <v>803.43</v>
      </c>
      <c r="F1134" s="115">
        <v>4038.5</v>
      </c>
      <c r="G1134">
        <v>82</v>
      </c>
      <c r="H1134" s="115"/>
      <c r="I1134" s="115"/>
      <c r="L1134" s="169">
        <v>43675</v>
      </c>
      <c r="M1134" s="115">
        <v>793.01</v>
      </c>
      <c r="N1134" s="115">
        <v>807.19</v>
      </c>
      <c r="O1134" s="115">
        <v>767.1</v>
      </c>
      <c r="P1134" s="115">
        <v>795.01</v>
      </c>
      <c r="Q1134" s="115">
        <v>3965.05</v>
      </c>
      <c r="R1134">
        <v>35877</v>
      </c>
    </row>
    <row r="1135" spans="1:18" x14ac:dyDescent="0.25">
      <c r="A1135" s="169">
        <v>43675</v>
      </c>
      <c r="B1135" s="115">
        <v>805.4</v>
      </c>
      <c r="C1135" s="115">
        <v>798.4</v>
      </c>
      <c r="D1135" s="115">
        <v>768.2</v>
      </c>
      <c r="E1135" s="115">
        <v>795</v>
      </c>
      <c r="F1135" s="115">
        <v>3992</v>
      </c>
      <c r="G1135">
        <v>340</v>
      </c>
      <c r="H1135" s="115"/>
      <c r="I1135" s="115"/>
      <c r="L1135" s="169">
        <v>43676</v>
      </c>
      <c r="M1135" s="115">
        <v>828.92</v>
      </c>
      <c r="N1135" s="115">
        <v>833.27</v>
      </c>
      <c r="O1135" s="115">
        <v>784.4</v>
      </c>
      <c r="P1135" s="115">
        <v>784.4</v>
      </c>
      <c r="Q1135" s="115">
        <v>4144.6000000000004</v>
      </c>
      <c r="R1135">
        <v>5117</v>
      </c>
    </row>
    <row r="1136" spans="1:18" x14ac:dyDescent="0.25">
      <c r="A1136" s="169">
        <v>43676</v>
      </c>
      <c r="B1136" s="115">
        <v>833.19</v>
      </c>
      <c r="C1136" s="115">
        <v>828.63</v>
      </c>
      <c r="D1136" s="115">
        <v>793</v>
      </c>
      <c r="E1136" s="115">
        <v>796</v>
      </c>
      <c r="F1136" s="115">
        <v>4143.1499999999996</v>
      </c>
      <c r="G1136">
        <v>112</v>
      </c>
      <c r="H1136" s="115"/>
      <c r="I1136" s="115"/>
      <c r="L1136" s="169">
        <v>43677</v>
      </c>
      <c r="M1136" s="115">
        <v>836.03</v>
      </c>
      <c r="N1136" s="115">
        <v>860</v>
      </c>
      <c r="O1136" s="115">
        <v>810.48</v>
      </c>
      <c r="P1136" s="115">
        <v>812.49</v>
      </c>
      <c r="Q1136" s="115">
        <v>4180.1499999999996</v>
      </c>
      <c r="R1136">
        <v>7670</v>
      </c>
    </row>
    <row r="1137" spans="1:18" x14ac:dyDescent="0.25">
      <c r="A1137" s="169">
        <v>43677</v>
      </c>
      <c r="B1137" s="115">
        <v>867.93</v>
      </c>
      <c r="C1137" s="115">
        <v>842.11</v>
      </c>
      <c r="D1137" s="115">
        <v>814.61</v>
      </c>
      <c r="E1137" s="115">
        <v>823.4</v>
      </c>
      <c r="F1137" s="115">
        <v>4210.55</v>
      </c>
      <c r="G1137">
        <v>295</v>
      </c>
      <c r="H1137" s="115"/>
      <c r="I1137" s="115"/>
      <c r="L1137" s="169">
        <v>43678</v>
      </c>
      <c r="M1137" s="115">
        <v>827.63</v>
      </c>
      <c r="N1137" s="115">
        <v>843.56</v>
      </c>
      <c r="O1137" s="115">
        <v>811.01</v>
      </c>
      <c r="P1137" s="115">
        <v>811.01</v>
      </c>
      <c r="Q1137" s="115">
        <v>4138.1499999999996</v>
      </c>
      <c r="R1137">
        <v>4063</v>
      </c>
    </row>
    <row r="1138" spans="1:18" x14ac:dyDescent="0.25">
      <c r="A1138" s="169">
        <v>43678</v>
      </c>
      <c r="B1138" s="115">
        <v>843.9</v>
      </c>
      <c r="C1138" s="115">
        <v>823.48</v>
      </c>
      <c r="D1138" s="115">
        <v>810</v>
      </c>
      <c r="E1138" s="115">
        <v>829.4</v>
      </c>
      <c r="F1138" s="115">
        <v>4117.3999999999996</v>
      </c>
      <c r="G1138">
        <v>107</v>
      </c>
      <c r="H1138" s="115"/>
      <c r="I1138" s="115"/>
      <c r="L1138" s="169">
        <v>43679</v>
      </c>
      <c r="M1138" s="115">
        <v>818.93</v>
      </c>
      <c r="N1138" s="115">
        <v>822.27</v>
      </c>
      <c r="O1138" s="115">
        <v>802.82</v>
      </c>
      <c r="P1138" s="115">
        <v>812</v>
      </c>
      <c r="Q1138" s="115">
        <v>4094.65</v>
      </c>
      <c r="R1138">
        <v>5032</v>
      </c>
    </row>
    <row r="1139" spans="1:18" x14ac:dyDescent="0.25">
      <c r="A1139" s="169">
        <v>43679</v>
      </c>
      <c r="B1139" s="115">
        <v>825.99</v>
      </c>
      <c r="C1139" s="115">
        <v>814.19</v>
      </c>
      <c r="D1139" s="115">
        <v>800.8</v>
      </c>
      <c r="E1139" s="115">
        <v>813.2</v>
      </c>
      <c r="F1139" s="115">
        <v>4070.95</v>
      </c>
      <c r="G1139">
        <v>60</v>
      </c>
      <c r="H1139" s="115"/>
      <c r="I1139" s="115"/>
      <c r="L1139" s="169">
        <v>43682</v>
      </c>
      <c r="M1139" s="115">
        <v>862.99</v>
      </c>
      <c r="N1139" s="115">
        <v>872.2</v>
      </c>
      <c r="O1139" s="115">
        <v>805.57</v>
      </c>
      <c r="P1139" s="115">
        <v>812</v>
      </c>
      <c r="Q1139" s="115">
        <v>4314.95</v>
      </c>
      <c r="R1139">
        <v>6210</v>
      </c>
    </row>
    <row r="1140" spans="1:18" x14ac:dyDescent="0.25">
      <c r="A1140" s="169">
        <v>43682</v>
      </c>
      <c r="B1140" s="115">
        <v>872</v>
      </c>
      <c r="C1140" s="115">
        <v>864.76</v>
      </c>
      <c r="D1140" s="115">
        <v>810.54</v>
      </c>
      <c r="E1140" s="115">
        <v>810.54</v>
      </c>
      <c r="F1140" s="115">
        <v>4323.8</v>
      </c>
      <c r="G1140">
        <v>232</v>
      </c>
      <c r="H1140" s="115"/>
      <c r="I1140" s="115"/>
      <c r="L1140" s="169">
        <v>43683</v>
      </c>
      <c r="M1140" s="115">
        <v>853.9</v>
      </c>
      <c r="N1140" s="115">
        <v>879.25</v>
      </c>
      <c r="O1140" s="115">
        <v>843.85</v>
      </c>
      <c r="P1140" s="115">
        <v>853.2</v>
      </c>
      <c r="Q1140" s="115">
        <v>4269.5</v>
      </c>
      <c r="R1140">
        <v>6085</v>
      </c>
    </row>
    <row r="1141" spans="1:18" x14ac:dyDescent="0.25">
      <c r="A1141" s="169">
        <v>43683</v>
      </c>
      <c r="B1141" s="115">
        <v>875</v>
      </c>
      <c r="C1141" s="115">
        <v>854.07</v>
      </c>
      <c r="D1141" s="115">
        <v>847.8</v>
      </c>
      <c r="E1141" s="115">
        <v>872.43</v>
      </c>
      <c r="F1141" s="115">
        <v>4270.3500000000004</v>
      </c>
      <c r="G1141">
        <v>234</v>
      </c>
      <c r="H1141" s="115"/>
      <c r="I1141" s="115"/>
      <c r="L1141" s="169">
        <v>43684</v>
      </c>
      <c r="M1141" s="115">
        <v>881.72</v>
      </c>
      <c r="N1141" s="115">
        <v>885</v>
      </c>
      <c r="O1141" s="115">
        <v>848.45</v>
      </c>
      <c r="P1141" s="115">
        <v>857.6</v>
      </c>
      <c r="Q1141" s="115">
        <v>4408.6000000000004</v>
      </c>
      <c r="R1141">
        <v>1827</v>
      </c>
    </row>
    <row r="1142" spans="1:18" x14ac:dyDescent="0.25">
      <c r="A1142" s="169">
        <v>43684</v>
      </c>
      <c r="B1142" s="115">
        <v>884.78</v>
      </c>
      <c r="C1142" s="115">
        <v>882.93</v>
      </c>
      <c r="D1142" s="115">
        <v>840</v>
      </c>
      <c r="E1142" s="115">
        <v>840</v>
      </c>
      <c r="F1142" s="115">
        <v>4414.6499999999996</v>
      </c>
      <c r="G1142">
        <v>61</v>
      </c>
      <c r="H1142" s="115"/>
      <c r="I1142" s="115"/>
      <c r="L1142" s="169">
        <v>43685</v>
      </c>
      <c r="M1142" s="115">
        <v>878.53</v>
      </c>
      <c r="N1142" s="115">
        <v>883.97</v>
      </c>
      <c r="O1142" s="115">
        <v>857.09</v>
      </c>
      <c r="P1142" s="115">
        <v>878</v>
      </c>
      <c r="Q1142" s="115">
        <v>4392.6499999999996</v>
      </c>
      <c r="R1142">
        <v>2344</v>
      </c>
    </row>
    <row r="1143" spans="1:18" x14ac:dyDescent="0.25">
      <c r="A1143" s="169">
        <v>43685</v>
      </c>
      <c r="B1143" s="115">
        <v>882.4</v>
      </c>
      <c r="C1143" s="115">
        <v>877.92</v>
      </c>
      <c r="D1143" s="115">
        <v>858.22</v>
      </c>
      <c r="E1143" s="115">
        <v>861.22</v>
      </c>
      <c r="F1143" s="115">
        <v>4389.6000000000004</v>
      </c>
      <c r="G1143">
        <v>68</v>
      </c>
      <c r="H1143" s="115"/>
      <c r="I1143" s="115"/>
      <c r="L1143" s="169">
        <v>43686</v>
      </c>
      <c r="M1143" s="115">
        <v>879.7</v>
      </c>
      <c r="N1143" s="115">
        <v>881.89</v>
      </c>
      <c r="O1143" s="115">
        <v>862.53</v>
      </c>
      <c r="P1143" s="115">
        <v>862.53</v>
      </c>
      <c r="Q1143" s="115">
        <v>4398.5</v>
      </c>
      <c r="R1143">
        <v>61335</v>
      </c>
    </row>
    <row r="1144" spans="1:18" x14ac:dyDescent="0.25">
      <c r="A1144" s="169">
        <v>43686</v>
      </c>
      <c r="B1144" s="115">
        <v>878.2</v>
      </c>
      <c r="C1144" s="115">
        <v>873.82</v>
      </c>
      <c r="D1144" s="115">
        <v>869.6</v>
      </c>
      <c r="E1144" s="115">
        <v>878.2</v>
      </c>
      <c r="F1144" s="115">
        <v>4369.1000000000004</v>
      </c>
      <c r="G1144">
        <v>89</v>
      </c>
      <c r="H1144" s="115"/>
      <c r="I1144" s="115"/>
      <c r="L1144" s="169">
        <v>43690</v>
      </c>
      <c r="M1144" s="115">
        <v>848.85</v>
      </c>
      <c r="N1144" s="115">
        <v>885.38</v>
      </c>
      <c r="O1144" s="115">
        <v>841.03</v>
      </c>
      <c r="P1144" s="115">
        <v>878</v>
      </c>
      <c r="Q1144" s="115">
        <v>4244.25</v>
      </c>
      <c r="R1144">
        <v>11926</v>
      </c>
    </row>
    <row r="1145" spans="1:18" x14ac:dyDescent="0.25">
      <c r="A1145" s="169">
        <v>43690</v>
      </c>
      <c r="B1145" s="115">
        <v>875.97</v>
      </c>
      <c r="C1145" s="115">
        <v>849.5</v>
      </c>
      <c r="D1145" s="115">
        <v>844.4</v>
      </c>
      <c r="E1145" s="115">
        <v>875.97</v>
      </c>
      <c r="F1145" s="115">
        <v>4247.5</v>
      </c>
      <c r="G1145">
        <v>64</v>
      </c>
      <c r="H1145" s="115"/>
      <c r="I1145" s="115"/>
      <c r="L1145" s="169">
        <v>43691</v>
      </c>
      <c r="M1145" s="115">
        <v>828.79</v>
      </c>
      <c r="N1145" s="115">
        <v>859.44</v>
      </c>
      <c r="O1145" s="115">
        <v>822.2</v>
      </c>
      <c r="P1145" s="115">
        <v>859.44</v>
      </c>
      <c r="Q1145" s="115">
        <v>4143.95</v>
      </c>
      <c r="R1145">
        <v>2160</v>
      </c>
    </row>
    <row r="1146" spans="1:18" x14ac:dyDescent="0.25">
      <c r="A1146" s="169">
        <v>43691</v>
      </c>
      <c r="B1146" s="115">
        <v>857</v>
      </c>
      <c r="C1146" s="115">
        <v>829.95</v>
      </c>
      <c r="D1146" s="115">
        <v>824.44</v>
      </c>
      <c r="E1146" s="115">
        <v>854.4</v>
      </c>
      <c r="F1146" s="115">
        <v>4149.75</v>
      </c>
      <c r="G1146">
        <v>239</v>
      </c>
      <c r="H1146" s="115"/>
      <c r="I1146" s="115"/>
      <c r="L1146" s="169">
        <v>43693</v>
      </c>
      <c r="M1146" s="115">
        <v>824.3</v>
      </c>
      <c r="N1146" s="115">
        <v>835.6</v>
      </c>
      <c r="O1146" s="115">
        <v>818</v>
      </c>
      <c r="P1146" s="115">
        <v>823</v>
      </c>
      <c r="Q1146" s="115">
        <v>4121.5</v>
      </c>
      <c r="R1146">
        <v>1260</v>
      </c>
    </row>
    <row r="1147" spans="1:18" x14ac:dyDescent="0.25">
      <c r="A1147" s="169">
        <v>43693</v>
      </c>
      <c r="B1147" s="115">
        <v>833.53</v>
      </c>
      <c r="C1147" s="115">
        <v>822.51</v>
      </c>
      <c r="D1147" s="115">
        <v>820</v>
      </c>
      <c r="E1147" s="115">
        <v>821.61</v>
      </c>
      <c r="F1147" s="115">
        <v>4112.55</v>
      </c>
      <c r="G1147">
        <v>146</v>
      </c>
      <c r="H1147" s="115"/>
      <c r="I1147" s="115"/>
      <c r="L1147" s="169">
        <v>43696</v>
      </c>
      <c r="M1147" s="115">
        <v>834.58</v>
      </c>
      <c r="N1147" s="115">
        <v>836.8</v>
      </c>
      <c r="O1147" s="115">
        <v>812.4</v>
      </c>
      <c r="P1147" s="115">
        <v>812.4</v>
      </c>
      <c r="Q1147" s="115">
        <v>4172.8999999999996</v>
      </c>
      <c r="R1147">
        <v>11173</v>
      </c>
    </row>
    <row r="1148" spans="1:18" x14ac:dyDescent="0.25">
      <c r="A1148" s="169">
        <v>43696</v>
      </c>
      <c r="B1148" s="115">
        <v>835.98</v>
      </c>
      <c r="C1148" s="115">
        <v>831.22</v>
      </c>
      <c r="D1148" s="115">
        <v>819.14</v>
      </c>
      <c r="E1148" s="115">
        <v>819.14</v>
      </c>
      <c r="F1148" s="115">
        <v>4156.1000000000004</v>
      </c>
      <c r="G1148">
        <v>49</v>
      </c>
      <c r="H1148" s="115"/>
      <c r="I1148" s="115"/>
      <c r="L1148" s="169">
        <v>43697</v>
      </c>
      <c r="M1148" s="115">
        <v>822.91</v>
      </c>
      <c r="N1148" s="115">
        <v>843.98</v>
      </c>
      <c r="O1148" s="115">
        <v>807</v>
      </c>
      <c r="P1148" s="115">
        <v>837.79</v>
      </c>
      <c r="Q1148" s="115">
        <v>4114.55</v>
      </c>
      <c r="R1148">
        <v>3347</v>
      </c>
    </row>
    <row r="1149" spans="1:18" x14ac:dyDescent="0.25">
      <c r="A1149" s="169">
        <v>43697</v>
      </c>
      <c r="B1149" s="115">
        <v>851.8</v>
      </c>
      <c r="C1149" s="115">
        <v>812.14</v>
      </c>
      <c r="D1149" s="115">
        <v>809</v>
      </c>
      <c r="E1149" s="115">
        <v>836.46</v>
      </c>
      <c r="F1149" s="115">
        <v>4060.7</v>
      </c>
      <c r="G1149">
        <v>223</v>
      </c>
      <c r="H1149" s="115"/>
      <c r="I1149" s="115"/>
      <c r="L1149" s="169">
        <v>43698</v>
      </c>
      <c r="M1149" s="115">
        <v>823.44</v>
      </c>
      <c r="N1149" s="115">
        <v>831.2</v>
      </c>
      <c r="O1149" s="115">
        <v>821</v>
      </c>
      <c r="P1149" s="115">
        <v>831.2</v>
      </c>
      <c r="Q1149" s="115">
        <v>4117.2</v>
      </c>
      <c r="R1149">
        <v>580</v>
      </c>
    </row>
    <row r="1150" spans="1:18" x14ac:dyDescent="0.25">
      <c r="A1150" s="169">
        <v>43698</v>
      </c>
      <c r="B1150" s="115">
        <v>827.85</v>
      </c>
      <c r="C1150" s="115">
        <v>823.06</v>
      </c>
      <c r="D1150" s="115">
        <v>821.3</v>
      </c>
      <c r="E1150" s="115">
        <v>822.6</v>
      </c>
      <c r="F1150" s="115">
        <v>4115.3</v>
      </c>
      <c r="G1150">
        <v>9</v>
      </c>
      <c r="H1150" s="115"/>
      <c r="I1150" s="115"/>
      <c r="L1150" s="169">
        <v>43699</v>
      </c>
      <c r="M1150" s="115">
        <v>801.98</v>
      </c>
      <c r="N1150" s="115">
        <v>826.79</v>
      </c>
      <c r="O1150" s="115">
        <v>788</v>
      </c>
      <c r="P1150" s="115">
        <v>817.77</v>
      </c>
      <c r="Q1150" s="115">
        <v>4009.9</v>
      </c>
      <c r="R1150">
        <v>12429</v>
      </c>
    </row>
    <row r="1151" spans="1:18" x14ac:dyDescent="0.25">
      <c r="A1151" s="169">
        <v>43699</v>
      </c>
      <c r="B1151" s="115">
        <v>813.71</v>
      </c>
      <c r="C1151" s="115">
        <v>805.29</v>
      </c>
      <c r="D1151" s="115">
        <v>790.4</v>
      </c>
      <c r="E1151" s="115">
        <v>812.19</v>
      </c>
      <c r="F1151" s="115">
        <v>4026.45</v>
      </c>
      <c r="G1151">
        <v>253</v>
      </c>
      <c r="H1151" s="115"/>
      <c r="I1151" s="115"/>
      <c r="L1151" s="169">
        <v>43700</v>
      </c>
      <c r="M1151" s="115">
        <v>800.96</v>
      </c>
      <c r="N1151" s="115">
        <v>810.03</v>
      </c>
      <c r="O1151" s="115">
        <v>790.26</v>
      </c>
      <c r="P1151" s="115">
        <v>801</v>
      </c>
      <c r="Q1151" s="115">
        <v>4004.8</v>
      </c>
      <c r="R1151">
        <v>4309</v>
      </c>
    </row>
    <row r="1152" spans="1:18" x14ac:dyDescent="0.25">
      <c r="A1152" s="169">
        <v>43700</v>
      </c>
      <c r="B1152" s="115">
        <v>805.32</v>
      </c>
      <c r="C1152" s="115">
        <v>800.83</v>
      </c>
      <c r="D1152" s="115">
        <v>792.06</v>
      </c>
      <c r="E1152" s="115">
        <v>800</v>
      </c>
      <c r="F1152" s="115">
        <v>4004.15</v>
      </c>
      <c r="G1152">
        <v>138</v>
      </c>
      <c r="H1152" s="115"/>
      <c r="I1152" s="115"/>
      <c r="L1152" s="169">
        <v>43703</v>
      </c>
      <c r="M1152" s="115">
        <v>813.87</v>
      </c>
      <c r="N1152" s="115">
        <v>819.8</v>
      </c>
      <c r="O1152" s="115">
        <v>801</v>
      </c>
      <c r="P1152" s="115">
        <v>813.87</v>
      </c>
      <c r="Q1152" s="115">
        <v>4069.35</v>
      </c>
      <c r="R1152">
        <v>2262</v>
      </c>
    </row>
    <row r="1153" spans="1:18" x14ac:dyDescent="0.25">
      <c r="A1153" s="169">
        <v>43703</v>
      </c>
      <c r="B1153" s="115">
        <v>836.69</v>
      </c>
      <c r="C1153" s="115">
        <v>814.31</v>
      </c>
      <c r="D1153" s="115">
        <v>805.7</v>
      </c>
      <c r="E1153" s="115">
        <v>816.79</v>
      </c>
      <c r="F1153" s="115">
        <v>4071.55</v>
      </c>
      <c r="G1153">
        <v>122</v>
      </c>
      <c r="H1153" s="115"/>
      <c r="I1153" s="115"/>
      <c r="L1153" s="169">
        <v>43704</v>
      </c>
      <c r="M1153" s="115">
        <v>826.37</v>
      </c>
      <c r="N1153" s="115">
        <v>845</v>
      </c>
      <c r="O1153" s="115">
        <v>802.4</v>
      </c>
      <c r="P1153" s="115">
        <v>802.4</v>
      </c>
      <c r="Q1153" s="115">
        <v>4131.8500000000004</v>
      </c>
      <c r="R1153">
        <v>4873</v>
      </c>
    </row>
    <row r="1154" spans="1:18" x14ac:dyDescent="0.25">
      <c r="A1154" s="169">
        <v>43704</v>
      </c>
      <c r="B1154" s="115">
        <v>831</v>
      </c>
      <c r="C1154" s="115">
        <v>824.45</v>
      </c>
      <c r="D1154" s="115">
        <v>812</v>
      </c>
      <c r="E1154" s="115">
        <v>821.35</v>
      </c>
      <c r="F1154" s="115">
        <v>4122.25</v>
      </c>
      <c r="G1154">
        <v>69</v>
      </c>
      <c r="H1154" s="115"/>
      <c r="I1154" s="115"/>
      <c r="L1154" s="169">
        <v>43705</v>
      </c>
      <c r="M1154" s="115">
        <v>814.54</v>
      </c>
      <c r="N1154" s="115">
        <v>832</v>
      </c>
      <c r="O1154" s="115">
        <v>801</v>
      </c>
      <c r="P1154" s="115">
        <v>832</v>
      </c>
      <c r="Q1154" s="115">
        <v>4072.7</v>
      </c>
      <c r="R1154">
        <v>9589</v>
      </c>
    </row>
    <row r="1155" spans="1:18" x14ac:dyDescent="0.25">
      <c r="A1155" s="169">
        <v>43705</v>
      </c>
      <c r="B1155" s="115">
        <v>826</v>
      </c>
      <c r="C1155" s="115">
        <v>813.93</v>
      </c>
      <c r="D1155" s="115">
        <v>803</v>
      </c>
      <c r="E1155" s="115">
        <v>826</v>
      </c>
      <c r="F1155" s="115">
        <v>4069.65</v>
      </c>
      <c r="G1155">
        <v>77</v>
      </c>
      <c r="H1155" s="115"/>
      <c r="I1155" s="115"/>
      <c r="L1155" s="169">
        <v>43706</v>
      </c>
      <c r="M1155" s="115">
        <v>804.42</v>
      </c>
      <c r="N1155" s="115">
        <v>822.65</v>
      </c>
      <c r="O1155" s="115">
        <v>801</v>
      </c>
      <c r="P1155" s="115">
        <v>806.4</v>
      </c>
      <c r="Q1155" s="115">
        <v>4022.1</v>
      </c>
      <c r="R1155">
        <v>3428</v>
      </c>
    </row>
    <row r="1156" spans="1:18" x14ac:dyDescent="0.25">
      <c r="A1156" s="169">
        <v>43706</v>
      </c>
      <c r="B1156" s="115">
        <v>823.02</v>
      </c>
      <c r="C1156" s="115">
        <v>805.42</v>
      </c>
      <c r="D1156" s="115">
        <v>800.04</v>
      </c>
      <c r="E1156" s="115">
        <v>814</v>
      </c>
      <c r="F1156" s="115">
        <v>4027.1</v>
      </c>
      <c r="G1156">
        <v>75</v>
      </c>
      <c r="H1156" s="115"/>
      <c r="I1156" s="115"/>
      <c r="L1156" s="169">
        <v>43707</v>
      </c>
      <c r="M1156" s="115">
        <v>812.55</v>
      </c>
      <c r="N1156" s="115">
        <v>823.8</v>
      </c>
      <c r="O1156" s="115">
        <v>792</v>
      </c>
      <c r="P1156" s="115">
        <v>823.8</v>
      </c>
      <c r="Q1156" s="115">
        <v>4062.75</v>
      </c>
      <c r="R1156">
        <v>7493</v>
      </c>
    </row>
    <row r="1157" spans="1:18" x14ac:dyDescent="0.25">
      <c r="A1157" s="169">
        <v>43707</v>
      </c>
      <c r="B1157" s="115">
        <v>813</v>
      </c>
      <c r="C1157" s="115">
        <v>812.83</v>
      </c>
      <c r="D1157" s="115">
        <v>793.67</v>
      </c>
      <c r="E1157" s="115">
        <v>803.01</v>
      </c>
      <c r="F1157" s="115">
        <v>4064.15</v>
      </c>
      <c r="G1157">
        <v>87</v>
      </c>
      <c r="H1157" s="115"/>
      <c r="I1157" s="115"/>
      <c r="L1157" s="169">
        <v>43711</v>
      </c>
      <c r="M1157" s="115">
        <v>801.62</v>
      </c>
      <c r="N1157" s="115">
        <v>824</v>
      </c>
      <c r="O1157" s="115">
        <v>800</v>
      </c>
      <c r="P1157" s="115">
        <v>824</v>
      </c>
      <c r="Q1157" s="115">
        <v>4008.1</v>
      </c>
      <c r="R1157">
        <v>947</v>
      </c>
    </row>
    <row r="1158" spans="1:18" x14ac:dyDescent="0.25">
      <c r="A1158" s="169">
        <v>43711</v>
      </c>
      <c r="B1158" s="115">
        <v>810.93</v>
      </c>
      <c r="C1158" s="115">
        <v>805.05</v>
      </c>
      <c r="D1158" s="115">
        <v>803</v>
      </c>
      <c r="E1158" s="115">
        <v>803</v>
      </c>
      <c r="F1158" s="115">
        <v>4025.25</v>
      </c>
      <c r="G1158">
        <v>143</v>
      </c>
      <c r="H1158" s="115"/>
      <c r="I1158" s="115"/>
      <c r="L1158" s="169">
        <v>43712</v>
      </c>
      <c r="M1158" s="115">
        <v>799.24</v>
      </c>
      <c r="N1158" s="115">
        <v>806.01</v>
      </c>
      <c r="O1158" s="115">
        <v>789</v>
      </c>
      <c r="P1158" s="115">
        <v>801.62</v>
      </c>
      <c r="Q1158" s="115">
        <v>3996.2</v>
      </c>
      <c r="R1158">
        <v>61219</v>
      </c>
    </row>
    <row r="1159" spans="1:18" x14ac:dyDescent="0.25">
      <c r="A1159" s="169">
        <v>43712</v>
      </c>
      <c r="B1159" s="115">
        <v>804.6</v>
      </c>
      <c r="C1159" s="115">
        <v>794</v>
      </c>
      <c r="D1159" s="115">
        <v>790</v>
      </c>
      <c r="E1159" s="115">
        <v>804.6</v>
      </c>
      <c r="F1159" s="115">
        <v>3970</v>
      </c>
      <c r="G1159">
        <v>14</v>
      </c>
      <c r="H1159" s="115"/>
      <c r="I1159" s="115"/>
      <c r="L1159" s="169">
        <v>43713</v>
      </c>
      <c r="M1159" s="115">
        <v>806.86</v>
      </c>
      <c r="N1159" s="115">
        <v>816.8</v>
      </c>
      <c r="O1159" s="115">
        <v>793</v>
      </c>
      <c r="P1159" s="115">
        <v>793</v>
      </c>
      <c r="Q1159" s="115">
        <v>4034.3</v>
      </c>
      <c r="R1159">
        <v>1838</v>
      </c>
    </row>
    <row r="1160" spans="1:18" x14ac:dyDescent="0.25">
      <c r="A1160" s="169">
        <v>43713</v>
      </c>
      <c r="B1160" s="115">
        <v>810</v>
      </c>
      <c r="C1160" s="115">
        <v>803.89</v>
      </c>
      <c r="D1160" s="115">
        <v>798.13</v>
      </c>
      <c r="E1160" s="115">
        <v>800.95</v>
      </c>
      <c r="F1160" s="115">
        <v>4019.45</v>
      </c>
      <c r="G1160">
        <v>23</v>
      </c>
      <c r="H1160" s="115"/>
      <c r="I1160" s="115"/>
      <c r="L1160" s="169">
        <v>43714</v>
      </c>
      <c r="M1160" s="115">
        <v>822.69</v>
      </c>
      <c r="N1160" s="115">
        <v>833.8</v>
      </c>
      <c r="O1160" s="115">
        <v>805.2</v>
      </c>
      <c r="P1160" s="115">
        <v>818.6</v>
      </c>
      <c r="Q1160" s="115">
        <v>4113.45</v>
      </c>
      <c r="R1160">
        <v>2584</v>
      </c>
    </row>
    <row r="1161" spans="1:18" x14ac:dyDescent="0.25">
      <c r="A1161" s="169">
        <v>43714</v>
      </c>
      <c r="B1161" s="115">
        <v>831</v>
      </c>
      <c r="C1161" s="115">
        <v>822.73</v>
      </c>
      <c r="D1161" s="115">
        <v>798</v>
      </c>
      <c r="E1161" s="115">
        <v>805.1</v>
      </c>
      <c r="F1161" s="115">
        <v>4113.6499999999996</v>
      </c>
      <c r="G1161">
        <v>105</v>
      </c>
      <c r="H1161" s="115"/>
      <c r="I1161" s="115"/>
      <c r="L1161" s="169">
        <v>43717</v>
      </c>
      <c r="M1161" s="115">
        <v>829.53</v>
      </c>
      <c r="N1161" s="115">
        <v>840</v>
      </c>
      <c r="O1161" s="115">
        <v>825</v>
      </c>
      <c r="P1161" s="115">
        <v>840</v>
      </c>
      <c r="Q1161" s="115">
        <v>4147.6499999999996</v>
      </c>
      <c r="R1161">
        <v>2388</v>
      </c>
    </row>
    <row r="1162" spans="1:18" x14ac:dyDescent="0.25">
      <c r="A1162" s="169">
        <v>43717</v>
      </c>
      <c r="B1162" s="115">
        <v>832.55</v>
      </c>
      <c r="C1162" s="115">
        <v>830</v>
      </c>
      <c r="D1162" s="115">
        <v>810.21</v>
      </c>
      <c r="E1162" s="115">
        <v>810.21</v>
      </c>
      <c r="F1162" s="115">
        <v>4150</v>
      </c>
      <c r="G1162">
        <v>48</v>
      </c>
      <c r="H1162" s="115"/>
      <c r="I1162" s="115"/>
      <c r="L1162" s="169">
        <v>43719</v>
      </c>
      <c r="M1162" s="115">
        <v>808.62</v>
      </c>
      <c r="N1162" s="115">
        <v>843</v>
      </c>
      <c r="O1162" s="115">
        <v>805</v>
      </c>
      <c r="P1162" s="115">
        <v>843</v>
      </c>
      <c r="Q1162" s="115">
        <v>4043.1</v>
      </c>
      <c r="R1162">
        <v>12722</v>
      </c>
    </row>
    <row r="1163" spans="1:18" x14ac:dyDescent="0.25">
      <c r="A1163" s="169">
        <v>43719</v>
      </c>
      <c r="B1163" s="115">
        <v>836.91</v>
      </c>
      <c r="C1163" s="115">
        <v>814.67</v>
      </c>
      <c r="D1163" s="115">
        <v>804.15</v>
      </c>
      <c r="E1163" s="115">
        <v>835.14</v>
      </c>
      <c r="F1163" s="115">
        <v>4073.35</v>
      </c>
      <c r="G1163">
        <v>81</v>
      </c>
      <c r="H1163" s="115"/>
      <c r="I1163" s="115"/>
      <c r="L1163" s="169">
        <v>43720</v>
      </c>
      <c r="M1163" s="115">
        <v>811.88</v>
      </c>
      <c r="N1163" s="115">
        <v>819.4</v>
      </c>
      <c r="O1163" s="115">
        <v>810</v>
      </c>
      <c r="P1163" s="115">
        <v>810</v>
      </c>
      <c r="Q1163" s="115">
        <v>4059.4</v>
      </c>
      <c r="R1163">
        <v>1048</v>
      </c>
    </row>
    <row r="1164" spans="1:18" x14ac:dyDescent="0.25">
      <c r="A1164" s="169">
        <v>43720</v>
      </c>
      <c r="B1164" s="115">
        <v>814.4</v>
      </c>
      <c r="C1164" s="115">
        <v>809.35</v>
      </c>
      <c r="D1164" s="115">
        <v>809.12</v>
      </c>
      <c r="E1164" s="115">
        <v>813</v>
      </c>
      <c r="F1164" s="115">
        <v>4046.75</v>
      </c>
      <c r="G1164">
        <v>23</v>
      </c>
      <c r="H1164" s="115"/>
      <c r="I1164" s="115"/>
      <c r="L1164" s="169">
        <v>43721</v>
      </c>
      <c r="M1164" s="115">
        <v>827.88</v>
      </c>
      <c r="N1164" s="115">
        <v>829.79</v>
      </c>
      <c r="O1164" s="115">
        <v>810</v>
      </c>
      <c r="P1164" s="115">
        <v>817.4</v>
      </c>
      <c r="Q1164" s="115">
        <v>4139.3999999999996</v>
      </c>
      <c r="R1164">
        <v>9464</v>
      </c>
    </row>
    <row r="1165" spans="1:18" x14ac:dyDescent="0.25">
      <c r="A1165" s="169">
        <v>43721</v>
      </c>
      <c r="B1165" s="115">
        <v>828.8</v>
      </c>
      <c r="C1165" s="115">
        <v>827.09</v>
      </c>
      <c r="D1165" s="115">
        <v>809.2</v>
      </c>
      <c r="E1165" s="115">
        <v>815</v>
      </c>
      <c r="F1165" s="115">
        <v>4135.45</v>
      </c>
      <c r="G1165">
        <v>5043</v>
      </c>
      <c r="H1165" s="115"/>
      <c r="I1165" s="115"/>
      <c r="L1165" s="169">
        <v>43724</v>
      </c>
      <c r="M1165" s="115">
        <v>835.86</v>
      </c>
      <c r="N1165" s="115">
        <v>838.99</v>
      </c>
      <c r="O1165" s="115">
        <v>810.94</v>
      </c>
      <c r="P1165" s="115">
        <v>826.9</v>
      </c>
      <c r="Q1165" s="115">
        <v>4179.3</v>
      </c>
      <c r="R1165">
        <v>2334</v>
      </c>
    </row>
    <row r="1166" spans="1:18" x14ac:dyDescent="0.25">
      <c r="A1166" s="169">
        <v>43724</v>
      </c>
      <c r="B1166" s="115">
        <v>839.52</v>
      </c>
      <c r="C1166" s="115">
        <v>834.67</v>
      </c>
      <c r="D1166" s="115">
        <v>815.13</v>
      </c>
      <c r="E1166" s="115">
        <v>816.81</v>
      </c>
      <c r="F1166" s="115">
        <v>4173.3500000000004</v>
      </c>
      <c r="G1166">
        <v>131</v>
      </c>
      <c r="H1166" s="115"/>
      <c r="I1166" s="115"/>
      <c r="L1166" s="169">
        <v>43725</v>
      </c>
      <c r="M1166" s="115">
        <v>820.7</v>
      </c>
      <c r="N1166" s="115">
        <v>829.97</v>
      </c>
      <c r="O1166" s="115">
        <v>815</v>
      </c>
      <c r="P1166" s="115">
        <v>821.6</v>
      </c>
      <c r="Q1166" s="115">
        <v>4103.5</v>
      </c>
      <c r="R1166">
        <v>37970</v>
      </c>
    </row>
    <row r="1167" spans="1:18" x14ac:dyDescent="0.25">
      <c r="A1167" s="169">
        <v>43725</v>
      </c>
      <c r="B1167" s="115">
        <v>826</v>
      </c>
      <c r="C1167" s="115">
        <v>826</v>
      </c>
      <c r="D1167" s="115">
        <v>820</v>
      </c>
      <c r="E1167" s="115">
        <v>821.01</v>
      </c>
      <c r="F1167" s="115">
        <v>4130</v>
      </c>
      <c r="G1167">
        <v>18</v>
      </c>
      <c r="H1167" s="115"/>
      <c r="I1167" s="115"/>
      <c r="L1167" s="169">
        <v>43726</v>
      </c>
      <c r="M1167" s="115">
        <v>809.37</v>
      </c>
      <c r="N1167" s="115">
        <v>829.8</v>
      </c>
      <c r="O1167" s="115">
        <v>804</v>
      </c>
      <c r="P1167" s="115">
        <v>815.26</v>
      </c>
      <c r="Q1167" s="115">
        <v>4046.85</v>
      </c>
      <c r="R1167">
        <v>14693</v>
      </c>
    </row>
    <row r="1168" spans="1:18" x14ac:dyDescent="0.25">
      <c r="A1168" s="169">
        <v>43726</v>
      </c>
      <c r="B1168" s="115">
        <v>824.62</v>
      </c>
      <c r="C1168" s="115">
        <v>806.6</v>
      </c>
      <c r="D1168" s="115">
        <v>796.27</v>
      </c>
      <c r="E1168" s="115">
        <v>796.27</v>
      </c>
      <c r="F1168" s="115">
        <v>4033</v>
      </c>
      <c r="G1168">
        <v>111</v>
      </c>
      <c r="H1168" s="115"/>
      <c r="I1168" s="115"/>
      <c r="L1168" s="169">
        <v>43727</v>
      </c>
      <c r="M1168" s="115">
        <v>799.99</v>
      </c>
      <c r="N1168" s="115">
        <v>815.91</v>
      </c>
      <c r="O1168" s="115">
        <v>797.14</v>
      </c>
      <c r="P1168" s="115">
        <v>810.2</v>
      </c>
      <c r="Q1168" s="115">
        <v>3999.95</v>
      </c>
      <c r="R1168">
        <v>728</v>
      </c>
    </row>
    <row r="1169" spans="1:18" x14ac:dyDescent="0.25">
      <c r="A1169" s="169">
        <v>43727</v>
      </c>
      <c r="B1169" s="115">
        <v>810.4</v>
      </c>
      <c r="C1169" s="115">
        <v>800.81</v>
      </c>
      <c r="D1169" s="115">
        <v>800</v>
      </c>
      <c r="E1169" s="115">
        <v>810</v>
      </c>
      <c r="F1169" s="115">
        <v>4004.05</v>
      </c>
      <c r="G1169">
        <v>85</v>
      </c>
      <c r="H1169" s="115"/>
      <c r="I1169" s="115"/>
      <c r="L1169" s="169">
        <v>43728</v>
      </c>
      <c r="M1169" s="115">
        <v>829.32</v>
      </c>
      <c r="N1169" s="115">
        <v>851.43</v>
      </c>
      <c r="O1169" s="115">
        <v>797.02</v>
      </c>
      <c r="P1169" s="115">
        <v>802.52</v>
      </c>
      <c r="Q1169" s="115">
        <v>4146.6000000000004</v>
      </c>
      <c r="R1169">
        <v>9262</v>
      </c>
    </row>
    <row r="1170" spans="1:18" x14ac:dyDescent="0.25">
      <c r="A1170" s="169">
        <v>43728</v>
      </c>
      <c r="B1170" s="115">
        <v>850</v>
      </c>
      <c r="C1170" s="115">
        <v>826.19</v>
      </c>
      <c r="D1170" s="115">
        <v>798.8</v>
      </c>
      <c r="E1170" s="115">
        <v>803.03</v>
      </c>
      <c r="F1170" s="115">
        <v>4130.95</v>
      </c>
      <c r="G1170">
        <v>196</v>
      </c>
      <c r="H1170" s="115"/>
      <c r="I1170" s="115"/>
      <c r="L1170" s="169">
        <v>43731</v>
      </c>
      <c r="M1170" s="115">
        <v>822.74</v>
      </c>
      <c r="N1170" s="115">
        <v>858.99</v>
      </c>
      <c r="O1170" s="115">
        <v>816.2</v>
      </c>
      <c r="P1170" s="115">
        <v>834</v>
      </c>
      <c r="Q1170" s="115">
        <v>4113.7</v>
      </c>
      <c r="R1170">
        <v>38101</v>
      </c>
    </row>
    <row r="1171" spans="1:18" x14ac:dyDescent="0.25">
      <c r="A1171" s="169">
        <v>43731</v>
      </c>
      <c r="B1171" s="115">
        <v>860.2</v>
      </c>
      <c r="C1171" s="115">
        <v>834.63</v>
      </c>
      <c r="D1171" s="115">
        <v>820.25</v>
      </c>
      <c r="E1171" s="115">
        <v>858</v>
      </c>
      <c r="F1171" s="115">
        <v>4173.1499999999996</v>
      </c>
      <c r="G1171">
        <v>737</v>
      </c>
      <c r="H1171" s="115"/>
      <c r="I1171" s="115"/>
      <c r="L1171" s="169">
        <v>43732</v>
      </c>
      <c r="M1171" s="115">
        <v>837.69</v>
      </c>
      <c r="N1171" s="115">
        <v>840.66</v>
      </c>
      <c r="O1171" s="115">
        <v>812.87</v>
      </c>
      <c r="P1171" s="115">
        <v>837.2</v>
      </c>
      <c r="Q1171" s="115">
        <v>4188.45</v>
      </c>
      <c r="R1171">
        <v>7231</v>
      </c>
    </row>
    <row r="1172" spans="1:18" x14ac:dyDescent="0.25">
      <c r="A1172" s="169">
        <v>43732</v>
      </c>
      <c r="B1172" s="115">
        <v>839</v>
      </c>
      <c r="C1172" s="115">
        <v>834.83</v>
      </c>
      <c r="D1172" s="115">
        <v>813.22</v>
      </c>
      <c r="E1172" s="115">
        <v>834.6</v>
      </c>
      <c r="F1172" s="115">
        <v>4174.1499999999996</v>
      </c>
      <c r="G1172">
        <v>1318</v>
      </c>
      <c r="H1172" s="115"/>
      <c r="I1172" s="115"/>
      <c r="L1172" s="169">
        <v>43733</v>
      </c>
      <c r="M1172" s="115">
        <v>833.47</v>
      </c>
      <c r="N1172" s="115">
        <v>838</v>
      </c>
      <c r="O1172" s="115">
        <v>803.92</v>
      </c>
      <c r="P1172" s="115">
        <v>837.69</v>
      </c>
      <c r="Q1172" s="115">
        <v>4167.3500000000004</v>
      </c>
      <c r="R1172">
        <v>23648</v>
      </c>
    </row>
    <row r="1173" spans="1:18" x14ac:dyDescent="0.25">
      <c r="A1173" s="169">
        <v>43733</v>
      </c>
      <c r="B1173" s="115">
        <v>837.6</v>
      </c>
      <c r="C1173" s="115">
        <v>834.42</v>
      </c>
      <c r="D1173" s="115">
        <v>810</v>
      </c>
      <c r="E1173" s="115">
        <v>828.63</v>
      </c>
      <c r="F1173" s="115">
        <v>4172.1000000000004</v>
      </c>
      <c r="G1173">
        <v>846</v>
      </c>
      <c r="H1173" s="115"/>
      <c r="I1173" s="115"/>
      <c r="L1173" s="169">
        <v>43734</v>
      </c>
      <c r="M1173" s="115">
        <v>862.45</v>
      </c>
      <c r="N1173" s="115">
        <v>878.99</v>
      </c>
      <c r="O1173" s="115">
        <v>825.31</v>
      </c>
      <c r="P1173" s="115">
        <v>834</v>
      </c>
      <c r="Q1173" s="115">
        <v>4312.25</v>
      </c>
      <c r="R1173">
        <v>6342</v>
      </c>
    </row>
    <row r="1174" spans="1:18" x14ac:dyDescent="0.25">
      <c r="A1174" s="169">
        <v>43734</v>
      </c>
      <c r="B1174" s="115">
        <v>877.6</v>
      </c>
      <c r="C1174" s="115">
        <v>850.42</v>
      </c>
      <c r="D1174" s="115">
        <v>829.14</v>
      </c>
      <c r="E1174" s="115">
        <v>829.15</v>
      </c>
      <c r="F1174" s="115">
        <v>4252.1000000000004</v>
      </c>
      <c r="G1174">
        <v>354</v>
      </c>
      <c r="H1174" s="115"/>
      <c r="I1174" s="115"/>
      <c r="L1174" s="169">
        <v>43735</v>
      </c>
      <c r="M1174" s="115">
        <v>859.88</v>
      </c>
      <c r="N1174" s="115">
        <v>863.19</v>
      </c>
      <c r="O1174" s="115">
        <v>830</v>
      </c>
      <c r="P1174" s="115">
        <v>842.6</v>
      </c>
      <c r="Q1174" s="115">
        <v>4299.3999999999996</v>
      </c>
      <c r="R1174">
        <v>12692</v>
      </c>
    </row>
    <row r="1175" spans="1:18" x14ac:dyDescent="0.25">
      <c r="A1175" s="169">
        <v>43735</v>
      </c>
      <c r="B1175" s="115">
        <v>862.99</v>
      </c>
      <c r="C1175" s="115">
        <v>857.65</v>
      </c>
      <c r="D1175" s="115">
        <v>830.53</v>
      </c>
      <c r="E1175" s="115">
        <v>847.4</v>
      </c>
      <c r="F1175" s="115">
        <v>4288.25</v>
      </c>
      <c r="G1175">
        <v>109</v>
      </c>
      <c r="H1175" s="115"/>
      <c r="I1175" s="115"/>
      <c r="L1175" s="169">
        <v>43738</v>
      </c>
      <c r="M1175" s="115">
        <v>874.77</v>
      </c>
      <c r="N1175" s="115">
        <v>878.84</v>
      </c>
      <c r="O1175" s="115">
        <v>843.52</v>
      </c>
      <c r="P1175" s="115">
        <v>862.01</v>
      </c>
      <c r="Q1175" s="115">
        <v>4373.8500000000004</v>
      </c>
      <c r="R1175">
        <v>1377</v>
      </c>
    </row>
    <row r="1176" spans="1:18" x14ac:dyDescent="0.25">
      <c r="A1176" s="169">
        <v>43738</v>
      </c>
      <c r="B1176" s="115">
        <v>877.6</v>
      </c>
      <c r="C1176" s="115">
        <v>877.07</v>
      </c>
      <c r="D1176" s="115">
        <v>845</v>
      </c>
      <c r="E1176" s="115">
        <v>848.94</v>
      </c>
      <c r="F1176" s="115">
        <v>4385.3500000000004</v>
      </c>
      <c r="G1176">
        <v>62</v>
      </c>
      <c r="H1176" s="115"/>
      <c r="I1176" s="115"/>
      <c r="L1176" s="169">
        <v>43739</v>
      </c>
      <c r="M1176" s="115">
        <v>851.24</v>
      </c>
      <c r="N1176" s="115">
        <v>880</v>
      </c>
      <c r="O1176" s="115">
        <v>839.9</v>
      </c>
      <c r="P1176" s="115">
        <v>879.99</v>
      </c>
      <c r="Q1176" s="115">
        <v>4256.2</v>
      </c>
      <c r="R1176">
        <v>7357</v>
      </c>
    </row>
    <row r="1177" spans="1:18" x14ac:dyDescent="0.25">
      <c r="A1177" s="169">
        <v>43739</v>
      </c>
      <c r="B1177" s="115">
        <v>877.6</v>
      </c>
      <c r="C1177" s="115">
        <v>859.89</v>
      </c>
      <c r="D1177" s="115">
        <v>842.2</v>
      </c>
      <c r="E1177" s="115">
        <v>875.97</v>
      </c>
      <c r="F1177" s="115">
        <v>4299.45</v>
      </c>
      <c r="G1177">
        <v>157</v>
      </c>
      <c r="H1177" s="115"/>
      <c r="I1177" s="115"/>
      <c r="L1177" s="169">
        <v>43741</v>
      </c>
      <c r="M1177" s="115">
        <v>853.01</v>
      </c>
      <c r="N1177" s="115">
        <v>863.58</v>
      </c>
      <c r="O1177" s="115">
        <v>840.22</v>
      </c>
      <c r="P1177" s="115">
        <v>846.21</v>
      </c>
      <c r="Q1177" s="115">
        <v>4265.05</v>
      </c>
      <c r="R1177">
        <v>2797</v>
      </c>
    </row>
    <row r="1178" spans="1:18" x14ac:dyDescent="0.25">
      <c r="A1178" s="169">
        <v>43741</v>
      </c>
      <c r="B1178" s="115">
        <v>850.83</v>
      </c>
      <c r="C1178" s="115">
        <v>845.52</v>
      </c>
      <c r="D1178" s="115">
        <v>842.11</v>
      </c>
      <c r="E1178" s="115">
        <v>845.92</v>
      </c>
      <c r="F1178" s="115">
        <v>4227.6000000000004</v>
      </c>
      <c r="G1178">
        <v>29</v>
      </c>
      <c r="H1178" s="115"/>
      <c r="I1178" s="115"/>
      <c r="L1178" s="169">
        <v>43742</v>
      </c>
      <c r="M1178" s="115">
        <v>840.53</v>
      </c>
      <c r="N1178" s="115">
        <v>853.25</v>
      </c>
      <c r="O1178" s="115">
        <v>834.4</v>
      </c>
      <c r="P1178" s="115">
        <v>844.78</v>
      </c>
      <c r="Q1178" s="115">
        <v>4202.6499999999996</v>
      </c>
      <c r="R1178">
        <v>842</v>
      </c>
    </row>
    <row r="1179" spans="1:18" x14ac:dyDescent="0.25">
      <c r="A1179" s="169">
        <v>43742</v>
      </c>
      <c r="B1179" s="115">
        <v>853</v>
      </c>
      <c r="C1179" s="115">
        <v>840.84</v>
      </c>
      <c r="D1179" s="115">
        <v>828.8</v>
      </c>
      <c r="E1179" s="115">
        <v>846.5</v>
      </c>
      <c r="F1179" s="115">
        <v>4204.2</v>
      </c>
      <c r="G1179">
        <v>43</v>
      </c>
      <c r="H1179" s="115"/>
      <c r="I1179" s="115"/>
      <c r="L1179" s="169">
        <v>43745</v>
      </c>
      <c r="M1179" s="115">
        <v>834.46</v>
      </c>
      <c r="N1179" s="115">
        <v>844.21</v>
      </c>
      <c r="O1179" s="115">
        <v>831</v>
      </c>
      <c r="P1179" s="115">
        <v>842</v>
      </c>
      <c r="Q1179" s="115">
        <v>4172.3</v>
      </c>
      <c r="R1179">
        <v>5084</v>
      </c>
    </row>
    <row r="1180" spans="1:18" x14ac:dyDescent="0.25">
      <c r="A1180" s="169">
        <v>43745</v>
      </c>
      <c r="B1180" s="115">
        <v>841.21</v>
      </c>
      <c r="C1180" s="115">
        <v>833.47</v>
      </c>
      <c r="D1180" s="115">
        <v>814</v>
      </c>
      <c r="E1180" s="115">
        <v>840.01</v>
      </c>
      <c r="F1180" s="115">
        <v>4167.3500000000004</v>
      </c>
      <c r="G1180">
        <v>376</v>
      </c>
      <c r="H1180" s="115"/>
      <c r="I1180" s="115"/>
      <c r="L1180" s="169">
        <v>43747</v>
      </c>
      <c r="M1180" s="115">
        <v>823.41</v>
      </c>
      <c r="N1180" s="115">
        <v>831.98</v>
      </c>
      <c r="O1180" s="115">
        <v>820.4</v>
      </c>
      <c r="P1180" s="115">
        <v>828</v>
      </c>
      <c r="Q1180" s="115">
        <v>4117.05</v>
      </c>
      <c r="R1180">
        <v>1272</v>
      </c>
    </row>
    <row r="1181" spans="1:18" x14ac:dyDescent="0.25">
      <c r="A1181" s="169">
        <v>43747</v>
      </c>
      <c r="B1181" s="115">
        <v>825</v>
      </c>
      <c r="C1181" s="115">
        <v>823.47</v>
      </c>
      <c r="D1181" s="115">
        <v>821.6</v>
      </c>
      <c r="E1181" s="115">
        <v>825</v>
      </c>
      <c r="F1181" s="115">
        <v>4117.3500000000004</v>
      </c>
      <c r="G1181">
        <v>51</v>
      </c>
      <c r="H1181" s="115"/>
      <c r="I1181" s="115"/>
      <c r="L1181" s="169">
        <v>43748</v>
      </c>
      <c r="M1181" s="115">
        <v>826.59</v>
      </c>
      <c r="N1181" s="115">
        <v>829.43</v>
      </c>
      <c r="O1181" s="115">
        <v>815.06</v>
      </c>
      <c r="P1181" s="115">
        <v>826.01</v>
      </c>
      <c r="Q1181" s="115">
        <v>4132.95</v>
      </c>
      <c r="R1181">
        <v>803</v>
      </c>
    </row>
    <row r="1182" spans="1:18" x14ac:dyDescent="0.25">
      <c r="A1182" s="169">
        <v>43748</v>
      </c>
      <c r="B1182" s="115">
        <v>830.8</v>
      </c>
      <c r="C1182" s="115">
        <v>826.51</v>
      </c>
      <c r="D1182" s="115">
        <v>817.6</v>
      </c>
      <c r="E1182" s="115">
        <v>824.45</v>
      </c>
      <c r="F1182" s="115">
        <v>4132.55</v>
      </c>
      <c r="G1182">
        <v>32</v>
      </c>
      <c r="H1182" s="115"/>
      <c r="I1182" s="115"/>
      <c r="L1182" s="169">
        <v>43749</v>
      </c>
      <c r="M1182" s="115">
        <v>830.01</v>
      </c>
      <c r="N1182" s="115">
        <v>837.76</v>
      </c>
      <c r="O1182" s="115">
        <v>820.01</v>
      </c>
      <c r="P1182" s="115">
        <v>823.01</v>
      </c>
      <c r="Q1182" s="115">
        <v>4150.05</v>
      </c>
      <c r="R1182">
        <v>5802</v>
      </c>
    </row>
    <row r="1183" spans="1:18" x14ac:dyDescent="0.25">
      <c r="A1183" s="169">
        <v>43749</v>
      </c>
      <c r="B1183" s="115">
        <v>834.89</v>
      </c>
      <c r="C1183" s="115">
        <v>828.11</v>
      </c>
      <c r="D1183" s="115">
        <v>820</v>
      </c>
      <c r="E1183" s="115">
        <v>820</v>
      </c>
      <c r="F1183" s="115">
        <v>4140.55</v>
      </c>
      <c r="G1183">
        <v>113</v>
      </c>
      <c r="H1183" s="115"/>
      <c r="I1183" s="115"/>
      <c r="L1183" s="169">
        <v>43752</v>
      </c>
      <c r="M1183" s="115">
        <v>825.71</v>
      </c>
      <c r="N1183" s="115">
        <v>845.16</v>
      </c>
      <c r="O1183" s="115">
        <v>822.2</v>
      </c>
      <c r="P1183" s="115">
        <v>830.44</v>
      </c>
      <c r="Q1183" s="115">
        <v>4128.55</v>
      </c>
      <c r="R1183">
        <v>1066</v>
      </c>
    </row>
    <row r="1184" spans="1:18" x14ac:dyDescent="0.25">
      <c r="A1184" s="169">
        <v>43752</v>
      </c>
      <c r="B1184" s="115">
        <v>828.11</v>
      </c>
      <c r="C1184" s="115">
        <v>827.66</v>
      </c>
      <c r="D1184" s="115">
        <v>823.23</v>
      </c>
      <c r="E1184" s="115">
        <v>828</v>
      </c>
      <c r="F1184" s="115">
        <v>4138.3</v>
      </c>
      <c r="G1184">
        <v>23</v>
      </c>
      <c r="H1184" s="115"/>
      <c r="I1184" s="115"/>
      <c r="L1184" s="169">
        <v>43753</v>
      </c>
      <c r="M1184" s="115">
        <v>825.78</v>
      </c>
      <c r="N1184" s="115">
        <v>834.4</v>
      </c>
      <c r="O1184" s="115">
        <v>816.01</v>
      </c>
      <c r="P1184" s="115">
        <v>820.06</v>
      </c>
      <c r="Q1184" s="115">
        <v>4128.8999999999996</v>
      </c>
      <c r="R1184">
        <v>1325</v>
      </c>
    </row>
    <row r="1185" spans="1:18" x14ac:dyDescent="0.25">
      <c r="A1185" s="169">
        <v>43753</v>
      </c>
      <c r="B1185" s="115">
        <v>825</v>
      </c>
      <c r="C1185" s="115">
        <v>825</v>
      </c>
      <c r="D1185" s="115">
        <v>817</v>
      </c>
      <c r="E1185" s="115">
        <v>820.39</v>
      </c>
      <c r="F1185" s="115">
        <v>4125</v>
      </c>
      <c r="G1185">
        <v>38</v>
      </c>
      <c r="H1185" s="115"/>
      <c r="I1185" s="115"/>
      <c r="L1185" s="169">
        <v>43754</v>
      </c>
      <c r="M1185" s="115">
        <v>829.48</v>
      </c>
      <c r="N1185" s="115">
        <v>834.99</v>
      </c>
      <c r="O1185" s="115">
        <v>820.33</v>
      </c>
      <c r="P1185" s="115">
        <v>834.8</v>
      </c>
      <c r="Q1185" s="115">
        <v>4147.3999999999996</v>
      </c>
      <c r="R1185">
        <v>86852</v>
      </c>
    </row>
    <row r="1186" spans="1:18" x14ac:dyDescent="0.25">
      <c r="A1186" s="169">
        <v>43754</v>
      </c>
      <c r="B1186" s="115">
        <v>830.14</v>
      </c>
      <c r="C1186" s="115">
        <v>822.8</v>
      </c>
      <c r="D1186" s="115">
        <v>822.8</v>
      </c>
      <c r="E1186" s="115">
        <v>824</v>
      </c>
      <c r="F1186" s="115">
        <v>4114</v>
      </c>
      <c r="G1186">
        <v>51</v>
      </c>
      <c r="H1186" s="115"/>
      <c r="I1186" s="115"/>
      <c r="L1186" s="169">
        <v>43755</v>
      </c>
      <c r="M1186" s="115">
        <v>818.17</v>
      </c>
      <c r="N1186" s="115">
        <v>830</v>
      </c>
      <c r="O1186" s="115">
        <v>810.04</v>
      </c>
      <c r="P1186" s="115">
        <v>828.01</v>
      </c>
      <c r="Q1186" s="115">
        <v>4090.85</v>
      </c>
      <c r="R1186">
        <v>31074</v>
      </c>
    </row>
    <row r="1187" spans="1:18" x14ac:dyDescent="0.25">
      <c r="A1187" s="169">
        <v>43755</v>
      </c>
      <c r="B1187" s="115">
        <v>826.6</v>
      </c>
      <c r="C1187" s="115">
        <v>823.73</v>
      </c>
      <c r="D1187" s="115">
        <v>812.35</v>
      </c>
      <c r="E1187" s="115">
        <v>826.4</v>
      </c>
      <c r="F1187" s="115">
        <v>4118.6499999999996</v>
      </c>
      <c r="G1187">
        <v>114</v>
      </c>
      <c r="H1187" s="115"/>
      <c r="I1187" s="115"/>
      <c r="L1187" s="169">
        <v>43756</v>
      </c>
      <c r="M1187" s="115">
        <v>825.97</v>
      </c>
      <c r="N1187" s="115">
        <v>841.8</v>
      </c>
      <c r="O1187" s="115">
        <v>818.89</v>
      </c>
      <c r="P1187" s="115">
        <v>841.8</v>
      </c>
      <c r="Q1187" s="115">
        <v>4129.8500000000004</v>
      </c>
      <c r="R1187">
        <v>16233</v>
      </c>
    </row>
    <row r="1188" spans="1:18" x14ac:dyDescent="0.25">
      <c r="A1188" s="169">
        <v>43756</v>
      </c>
      <c r="B1188" s="115">
        <v>831.63</v>
      </c>
      <c r="C1188" s="115">
        <v>819.94</v>
      </c>
      <c r="D1188" s="115">
        <v>818.17</v>
      </c>
      <c r="E1188" s="115">
        <v>823.39</v>
      </c>
      <c r="F1188" s="115">
        <v>4099.7</v>
      </c>
      <c r="G1188">
        <v>160</v>
      </c>
      <c r="H1188" s="115"/>
      <c r="I1188" s="115"/>
      <c r="L1188" s="169">
        <v>43760</v>
      </c>
      <c r="M1188" s="115">
        <v>811.98</v>
      </c>
      <c r="N1188" s="115">
        <v>824.99</v>
      </c>
      <c r="O1188" s="115">
        <v>804.21</v>
      </c>
      <c r="P1188" s="115">
        <v>820.2</v>
      </c>
      <c r="Q1188" s="115">
        <v>4059.9</v>
      </c>
      <c r="R1188">
        <v>13042</v>
      </c>
    </row>
    <row r="1189" spans="1:18" x14ac:dyDescent="0.25">
      <c r="A1189" s="169">
        <v>43760</v>
      </c>
      <c r="B1189" s="115">
        <v>820</v>
      </c>
      <c r="C1189" s="115">
        <v>810.48</v>
      </c>
      <c r="D1189" s="115">
        <v>805.4</v>
      </c>
      <c r="E1189" s="115">
        <v>816</v>
      </c>
      <c r="F1189" s="115">
        <v>4052.4</v>
      </c>
      <c r="G1189">
        <v>276</v>
      </c>
      <c r="H1189" s="115"/>
      <c r="I1189" s="115"/>
      <c r="L1189" s="169">
        <v>43761</v>
      </c>
      <c r="M1189" s="115">
        <v>805.1</v>
      </c>
      <c r="N1189" s="115">
        <v>814</v>
      </c>
      <c r="O1189" s="115">
        <v>798.93</v>
      </c>
      <c r="P1189" s="115">
        <v>813.4</v>
      </c>
      <c r="Q1189" s="115">
        <v>4025.5</v>
      </c>
      <c r="R1189">
        <v>18823</v>
      </c>
    </row>
    <row r="1190" spans="1:18" x14ac:dyDescent="0.25">
      <c r="A1190" s="169">
        <v>43761</v>
      </c>
      <c r="B1190" s="115">
        <v>814.36</v>
      </c>
      <c r="C1190" s="115">
        <v>805</v>
      </c>
      <c r="D1190" s="115">
        <v>798.8</v>
      </c>
      <c r="E1190" s="115">
        <v>813.9</v>
      </c>
      <c r="F1190" s="115">
        <v>4025</v>
      </c>
      <c r="G1190">
        <v>244</v>
      </c>
      <c r="H1190" s="115"/>
      <c r="I1190" s="115"/>
      <c r="L1190" s="169">
        <v>43762</v>
      </c>
      <c r="M1190" s="115">
        <v>800.31</v>
      </c>
      <c r="N1190" s="115">
        <v>807.53</v>
      </c>
      <c r="O1190" s="115">
        <v>791.6</v>
      </c>
      <c r="P1190" s="115">
        <v>806</v>
      </c>
      <c r="Q1190" s="115">
        <v>4001.55</v>
      </c>
      <c r="R1190">
        <v>28713</v>
      </c>
    </row>
    <row r="1191" spans="1:18" x14ac:dyDescent="0.25">
      <c r="A1191" s="169">
        <v>43762</v>
      </c>
      <c r="B1191" s="115">
        <v>806.95</v>
      </c>
      <c r="C1191" s="115">
        <v>800.69</v>
      </c>
      <c r="D1191" s="115">
        <v>793.8</v>
      </c>
      <c r="E1191" s="115">
        <v>806.95</v>
      </c>
      <c r="F1191" s="115">
        <v>4003.45</v>
      </c>
      <c r="G1191">
        <v>207</v>
      </c>
      <c r="H1191" s="115"/>
      <c r="I1191" s="115"/>
      <c r="L1191" s="169">
        <v>43763</v>
      </c>
      <c r="M1191" s="115">
        <v>797.34</v>
      </c>
      <c r="N1191" s="115">
        <v>803.19</v>
      </c>
      <c r="O1191" s="115">
        <v>794.2</v>
      </c>
      <c r="P1191" s="115">
        <v>800.31</v>
      </c>
      <c r="Q1191" s="115">
        <v>3986.7</v>
      </c>
      <c r="R1191">
        <v>3399</v>
      </c>
    </row>
    <row r="1192" spans="1:18" x14ac:dyDescent="0.25">
      <c r="A1192" s="169">
        <v>43763</v>
      </c>
      <c r="B1192" s="115">
        <v>804.26</v>
      </c>
      <c r="C1192" s="115">
        <v>799.17</v>
      </c>
      <c r="D1192" s="115">
        <v>793.4</v>
      </c>
      <c r="E1192" s="115">
        <v>800</v>
      </c>
      <c r="F1192" s="115">
        <v>3995.85</v>
      </c>
      <c r="G1192">
        <v>82</v>
      </c>
      <c r="H1192" s="115"/>
      <c r="I1192" s="115"/>
      <c r="L1192" s="169">
        <v>43765</v>
      </c>
      <c r="M1192" s="115">
        <v>804.95</v>
      </c>
      <c r="N1192" s="115">
        <v>808.8</v>
      </c>
      <c r="O1192" s="115">
        <v>794</v>
      </c>
      <c r="P1192" s="115">
        <v>805.54</v>
      </c>
      <c r="Q1192" s="115">
        <v>4024.75</v>
      </c>
      <c r="R1192">
        <v>766</v>
      </c>
    </row>
    <row r="1193" spans="1:18" x14ac:dyDescent="0.25">
      <c r="A1193" s="169">
        <v>43765</v>
      </c>
      <c r="B1193" s="115">
        <v>808.6</v>
      </c>
      <c r="C1193" s="115">
        <v>808.28</v>
      </c>
      <c r="D1193" s="115">
        <v>796</v>
      </c>
      <c r="E1193" s="115">
        <v>798.25</v>
      </c>
      <c r="F1193" s="115">
        <v>4041.4</v>
      </c>
      <c r="G1193">
        <v>40</v>
      </c>
      <c r="H1193" s="115"/>
      <c r="I1193" s="115"/>
      <c r="L1193" s="169">
        <v>43767</v>
      </c>
      <c r="M1193" s="115">
        <v>806.07</v>
      </c>
      <c r="N1193" s="115">
        <v>817.8</v>
      </c>
      <c r="O1193" s="115">
        <v>797.39</v>
      </c>
      <c r="P1193" s="115">
        <v>805.4</v>
      </c>
      <c r="Q1193" s="115">
        <v>4030.35</v>
      </c>
      <c r="R1193">
        <v>16296</v>
      </c>
    </row>
    <row r="1194" spans="1:18" x14ac:dyDescent="0.25">
      <c r="A1194" s="169">
        <v>43767</v>
      </c>
      <c r="B1194" s="115">
        <v>815.96</v>
      </c>
      <c r="C1194" s="115">
        <v>805.82</v>
      </c>
      <c r="D1194" s="115">
        <v>797.91</v>
      </c>
      <c r="E1194" s="115">
        <v>807.71</v>
      </c>
      <c r="F1194" s="115">
        <v>4029.1</v>
      </c>
      <c r="G1194">
        <v>190</v>
      </c>
      <c r="H1194" s="115"/>
      <c r="I1194" s="115"/>
      <c r="L1194" s="169">
        <v>43768</v>
      </c>
      <c r="M1194" s="115">
        <v>830.53</v>
      </c>
      <c r="N1194" s="115">
        <v>839.99</v>
      </c>
      <c r="O1194" s="115">
        <v>806.22</v>
      </c>
      <c r="P1194" s="115">
        <v>807</v>
      </c>
      <c r="Q1194" s="115">
        <v>4152.6499999999996</v>
      </c>
      <c r="R1194">
        <v>2199</v>
      </c>
    </row>
    <row r="1195" spans="1:18" x14ac:dyDescent="0.25">
      <c r="A1195" s="169">
        <v>43768</v>
      </c>
      <c r="B1195" s="115">
        <v>838</v>
      </c>
      <c r="C1195" s="115">
        <v>829.97</v>
      </c>
      <c r="D1195" s="115">
        <v>806</v>
      </c>
      <c r="E1195" s="115">
        <v>817.59</v>
      </c>
      <c r="F1195" s="115">
        <v>4149.8500000000004</v>
      </c>
      <c r="G1195">
        <v>207</v>
      </c>
      <c r="H1195" s="115"/>
      <c r="I1195" s="115"/>
      <c r="L1195" s="169">
        <v>43769</v>
      </c>
      <c r="M1195" s="115">
        <v>859.73</v>
      </c>
      <c r="N1195" s="115">
        <v>868</v>
      </c>
      <c r="O1195" s="115">
        <v>830</v>
      </c>
      <c r="P1195" s="115">
        <v>830</v>
      </c>
      <c r="Q1195" s="115">
        <v>4298.6499999999996</v>
      </c>
      <c r="R1195">
        <v>17209</v>
      </c>
    </row>
    <row r="1196" spans="1:18" x14ac:dyDescent="0.25">
      <c r="A1196" s="169">
        <v>43769</v>
      </c>
      <c r="B1196" s="115">
        <v>870</v>
      </c>
      <c r="C1196" s="115">
        <v>867.03</v>
      </c>
      <c r="D1196" s="115">
        <v>839.6</v>
      </c>
      <c r="E1196" s="115">
        <v>840</v>
      </c>
      <c r="F1196" s="115">
        <v>4335.1499999999996</v>
      </c>
      <c r="G1196">
        <v>606</v>
      </c>
      <c r="H1196" s="115"/>
      <c r="I1196" s="115"/>
      <c r="L1196" s="169">
        <v>43770</v>
      </c>
      <c r="M1196" s="115">
        <v>867.69</v>
      </c>
      <c r="N1196" s="115">
        <v>880</v>
      </c>
      <c r="O1196" s="115">
        <v>858</v>
      </c>
      <c r="P1196" s="115">
        <v>863</v>
      </c>
      <c r="Q1196" s="115">
        <v>4338.45</v>
      </c>
      <c r="R1196">
        <v>1879</v>
      </c>
    </row>
    <row r="1197" spans="1:18" x14ac:dyDescent="0.25">
      <c r="A1197" s="169">
        <v>43770</v>
      </c>
      <c r="B1197" s="115">
        <v>880</v>
      </c>
      <c r="C1197" s="115">
        <v>868.13</v>
      </c>
      <c r="D1197" s="115">
        <v>859</v>
      </c>
      <c r="E1197" s="115">
        <v>859.4</v>
      </c>
      <c r="F1197" s="115">
        <v>4340.6499999999996</v>
      </c>
      <c r="G1197">
        <v>329</v>
      </c>
      <c r="H1197" s="115"/>
      <c r="I1197" s="115"/>
      <c r="L1197" s="169">
        <v>43773</v>
      </c>
      <c r="M1197" s="115">
        <v>841.47</v>
      </c>
      <c r="N1197" s="115">
        <v>875.51</v>
      </c>
      <c r="O1197" s="115">
        <v>832.26</v>
      </c>
      <c r="P1197" s="115">
        <v>867.69</v>
      </c>
      <c r="Q1197" s="115">
        <v>4207.3500000000004</v>
      </c>
      <c r="R1197">
        <v>1503</v>
      </c>
    </row>
    <row r="1198" spans="1:18" x14ac:dyDescent="0.25">
      <c r="A1198" s="169">
        <v>43773</v>
      </c>
      <c r="B1198" s="115">
        <v>866</v>
      </c>
      <c r="C1198" s="115">
        <v>846.72</v>
      </c>
      <c r="D1198" s="115">
        <v>840.21</v>
      </c>
      <c r="E1198" s="115">
        <v>866</v>
      </c>
      <c r="F1198" s="115">
        <v>4233.6000000000004</v>
      </c>
      <c r="G1198">
        <v>8126</v>
      </c>
      <c r="H1198" s="115"/>
      <c r="I1198" s="115"/>
      <c r="L1198" s="169">
        <v>43774</v>
      </c>
      <c r="M1198" s="115">
        <v>850.25</v>
      </c>
      <c r="N1198" s="115">
        <v>851.6</v>
      </c>
      <c r="O1198" s="115">
        <v>836</v>
      </c>
      <c r="P1198" s="115">
        <v>841.41</v>
      </c>
      <c r="Q1198" s="115">
        <v>4251.25</v>
      </c>
      <c r="R1198">
        <v>4531</v>
      </c>
    </row>
    <row r="1199" spans="1:18" x14ac:dyDescent="0.25">
      <c r="A1199" s="169">
        <v>43774</v>
      </c>
      <c r="B1199" s="115">
        <v>849.94</v>
      </c>
      <c r="C1199" s="115">
        <v>844.07</v>
      </c>
      <c r="D1199" s="115">
        <v>836</v>
      </c>
      <c r="E1199" s="115">
        <v>849.67</v>
      </c>
      <c r="F1199" s="115">
        <v>4220.3500000000004</v>
      </c>
      <c r="G1199">
        <v>167</v>
      </c>
      <c r="H1199" s="115"/>
      <c r="I1199" s="115"/>
      <c r="L1199" s="169">
        <v>43775</v>
      </c>
      <c r="M1199" s="115">
        <v>832.05</v>
      </c>
      <c r="N1199" s="115">
        <v>853.73</v>
      </c>
      <c r="O1199" s="115">
        <v>830</v>
      </c>
      <c r="P1199" s="115">
        <v>851.68</v>
      </c>
      <c r="Q1199" s="115">
        <v>4160.25</v>
      </c>
      <c r="R1199">
        <v>11691</v>
      </c>
    </row>
    <row r="1200" spans="1:18" x14ac:dyDescent="0.25">
      <c r="A1200" s="169">
        <v>43775</v>
      </c>
      <c r="B1200" s="115">
        <v>844.01</v>
      </c>
      <c r="C1200" s="115">
        <v>831.55</v>
      </c>
      <c r="D1200" s="115">
        <v>830.2</v>
      </c>
      <c r="E1200" s="115">
        <v>844.01</v>
      </c>
      <c r="F1200" s="115">
        <v>4157.75</v>
      </c>
      <c r="G1200">
        <v>442</v>
      </c>
      <c r="H1200" s="115"/>
      <c r="I1200" s="115"/>
      <c r="L1200" s="169">
        <v>43776</v>
      </c>
      <c r="M1200" s="115">
        <v>861.06</v>
      </c>
      <c r="N1200" s="115">
        <v>868.94</v>
      </c>
      <c r="O1200" s="115">
        <v>830</v>
      </c>
      <c r="P1200" s="115">
        <v>831.99</v>
      </c>
      <c r="Q1200" s="115">
        <v>4305.3</v>
      </c>
      <c r="R1200">
        <v>6023</v>
      </c>
    </row>
    <row r="1201" spans="1:18" x14ac:dyDescent="0.25">
      <c r="A1201" s="169">
        <v>43776</v>
      </c>
      <c r="B1201" s="115">
        <v>866.36</v>
      </c>
      <c r="C1201" s="115">
        <v>862.02</v>
      </c>
      <c r="D1201" s="115">
        <v>831.55</v>
      </c>
      <c r="E1201" s="115">
        <v>832.67</v>
      </c>
      <c r="F1201" s="115">
        <v>4310.1000000000004</v>
      </c>
      <c r="G1201">
        <v>156</v>
      </c>
      <c r="H1201" s="115"/>
      <c r="I1201" s="115"/>
      <c r="L1201" s="169">
        <v>43777</v>
      </c>
      <c r="M1201" s="115">
        <v>856.55</v>
      </c>
      <c r="N1201" s="115">
        <v>877.4</v>
      </c>
      <c r="O1201" s="115">
        <v>850.2</v>
      </c>
      <c r="P1201" s="115">
        <v>877.4</v>
      </c>
      <c r="Q1201" s="115">
        <v>4282.75</v>
      </c>
      <c r="R1201">
        <v>4233</v>
      </c>
    </row>
    <row r="1202" spans="1:18" x14ac:dyDescent="0.25">
      <c r="A1202" s="169">
        <v>43777</v>
      </c>
      <c r="B1202" s="115">
        <v>873.65</v>
      </c>
      <c r="C1202" s="115">
        <v>856.14</v>
      </c>
      <c r="D1202" s="115">
        <v>855</v>
      </c>
      <c r="E1202" s="115">
        <v>863.3</v>
      </c>
      <c r="F1202" s="115">
        <v>4280.7</v>
      </c>
      <c r="G1202">
        <v>218</v>
      </c>
      <c r="H1202" s="115"/>
      <c r="I1202" s="115"/>
      <c r="L1202" s="169">
        <v>43780</v>
      </c>
      <c r="M1202" s="115">
        <v>853.53</v>
      </c>
      <c r="N1202" s="115">
        <v>862.79</v>
      </c>
      <c r="O1202" s="115">
        <v>849.44</v>
      </c>
      <c r="P1202" s="115">
        <v>860.63</v>
      </c>
      <c r="Q1202" s="115">
        <v>4267.6499999999996</v>
      </c>
      <c r="R1202">
        <v>1210</v>
      </c>
    </row>
    <row r="1203" spans="1:18" x14ac:dyDescent="0.25">
      <c r="A1203" s="169">
        <v>43780</v>
      </c>
      <c r="B1203" s="115">
        <v>860</v>
      </c>
      <c r="C1203" s="115">
        <v>852.28</v>
      </c>
      <c r="D1203" s="115">
        <v>831</v>
      </c>
      <c r="E1203" s="115">
        <v>860</v>
      </c>
      <c r="F1203" s="115">
        <v>4261.3999999999996</v>
      </c>
      <c r="G1203">
        <v>89</v>
      </c>
      <c r="H1203" s="115"/>
      <c r="I1203" s="115"/>
      <c r="L1203" s="169">
        <v>43782</v>
      </c>
      <c r="M1203" s="115">
        <v>851.51</v>
      </c>
      <c r="N1203" s="115">
        <v>860.72</v>
      </c>
      <c r="O1203" s="115">
        <v>840.6</v>
      </c>
      <c r="P1203" s="115">
        <v>845.8</v>
      </c>
      <c r="Q1203" s="115">
        <v>4257.55</v>
      </c>
      <c r="R1203">
        <v>4096</v>
      </c>
    </row>
    <row r="1204" spans="1:18" x14ac:dyDescent="0.25">
      <c r="A1204" s="169">
        <v>43782</v>
      </c>
      <c r="B1204" s="115">
        <v>848.21</v>
      </c>
      <c r="C1204" s="115">
        <v>845.65</v>
      </c>
      <c r="D1204" s="115">
        <v>844.2</v>
      </c>
      <c r="E1204" s="115">
        <v>844.21</v>
      </c>
      <c r="F1204" s="115">
        <v>4228.25</v>
      </c>
      <c r="G1204">
        <v>5</v>
      </c>
      <c r="H1204" s="115"/>
      <c r="I1204" s="115"/>
      <c r="L1204" s="169">
        <v>43783</v>
      </c>
      <c r="M1204" s="115">
        <v>851.73</v>
      </c>
      <c r="N1204" s="115">
        <v>869.62</v>
      </c>
      <c r="O1204" s="115">
        <v>833.32</v>
      </c>
      <c r="P1204" s="115">
        <v>856.74</v>
      </c>
      <c r="Q1204" s="115">
        <v>4258.6499999999996</v>
      </c>
      <c r="R1204">
        <v>4709</v>
      </c>
    </row>
    <row r="1205" spans="1:18" x14ac:dyDescent="0.25">
      <c r="A1205" s="169">
        <v>43783</v>
      </c>
      <c r="B1205" s="115">
        <v>868.6</v>
      </c>
      <c r="C1205" s="115">
        <v>853.56</v>
      </c>
      <c r="D1205" s="115">
        <v>836</v>
      </c>
      <c r="E1205" s="115">
        <v>836.01</v>
      </c>
      <c r="F1205" s="115">
        <v>4267.8</v>
      </c>
      <c r="G1205">
        <v>149</v>
      </c>
      <c r="H1205" s="115"/>
      <c r="I1205" s="115"/>
      <c r="L1205" s="169">
        <v>43784</v>
      </c>
      <c r="M1205" s="115">
        <v>855.63</v>
      </c>
      <c r="N1205" s="115">
        <v>862.4</v>
      </c>
      <c r="O1205" s="115">
        <v>850.68</v>
      </c>
      <c r="P1205" s="115">
        <v>860</v>
      </c>
      <c r="Q1205" s="115">
        <v>4278.1499999999996</v>
      </c>
      <c r="R1205">
        <v>4189</v>
      </c>
    </row>
    <row r="1206" spans="1:18" x14ac:dyDescent="0.25">
      <c r="A1206" s="169">
        <v>43784</v>
      </c>
      <c r="B1206" s="115">
        <v>860</v>
      </c>
      <c r="C1206" s="115">
        <v>855.8</v>
      </c>
      <c r="D1206" s="115">
        <v>852</v>
      </c>
      <c r="E1206" s="115">
        <v>860</v>
      </c>
      <c r="F1206" s="115">
        <v>4279</v>
      </c>
      <c r="G1206">
        <v>222</v>
      </c>
      <c r="H1206" s="115"/>
      <c r="I1206" s="115"/>
      <c r="L1206" s="169">
        <v>43787</v>
      </c>
      <c r="M1206" s="115">
        <v>876.85</v>
      </c>
      <c r="N1206" s="115">
        <v>915.51</v>
      </c>
      <c r="O1206" s="115">
        <v>856.01</v>
      </c>
      <c r="P1206" s="115">
        <v>860</v>
      </c>
      <c r="Q1206" s="115">
        <v>4384.25</v>
      </c>
      <c r="R1206">
        <v>11870</v>
      </c>
    </row>
    <row r="1207" spans="1:18" x14ac:dyDescent="0.25">
      <c r="A1207" s="169">
        <v>43787</v>
      </c>
      <c r="B1207" s="115">
        <v>914</v>
      </c>
      <c r="C1207" s="115">
        <v>875.69</v>
      </c>
      <c r="D1207" s="115">
        <v>855.57</v>
      </c>
      <c r="E1207" s="115">
        <v>860.99</v>
      </c>
      <c r="F1207" s="115">
        <v>4378.45</v>
      </c>
      <c r="G1207">
        <v>798</v>
      </c>
      <c r="H1207" s="115"/>
      <c r="I1207" s="115"/>
      <c r="L1207" s="169">
        <v>43788</v>
      </c>
      <c r="M1207" s="115">
        <v>879.91</v>
      </c>
      <c r="N1207" s="115">
        <v>898.99</v>
      </c>
      <c r="O1207" s="115">
        <v>871.09</v>
      </c>
      <c r="P1207" s="115">
        <v>883.87</v>
      </c>
      <c r="Q1207" s="115">
        <v>4399.55</v>
      </c>
      <c r="R1207">
        <v>4415</v>
      </c>
    </row>
    <row r="1208" spans="1:18" x14ac:dyDescent="0.25">
      <c r="A1208" s="169">
        <v>43788</v>
      </c>
      <c r="B1208" s="115">
        <v>899.56</v>
      </c>
      <c r="C1208" s="115">
        <v>879.2</v>
      </c>
      <c r="D1208" s="115">
        <v>876.02</v>
      </c>
      <c r="E1208" s="115">
        <v>894.48</v>
      </c>
      <c r="F1208" s="115">
        <v>4396</v>
      </c>
      <c r="G1208">
        <v>37</v>
      </c>
      <c r="H1208" s="115"/>
      <c r="I1208" s="115"/>
      <c r="L1208" s="169">
        <v>43789</v>
      </c>
      <c r="M1208" s="115">
        <v>867.99</v>
      </c>
      <c r="N1208" s="115">
        <v>896.67</v>
      </c>
      <c r="O1208" s="115">
        <v>867.2</v>
      </c>
      <c r="P1208" s="115">
        <v>884.93</v>
      </c>
      <c r="Q1208" s="115">
        <v>4339.95</v>
      </c>
      <c r="R1208">
        <v>11484</v>
      </c>
    </row>
    <row r="1209" spans="1:18" x14ac:dyDescent="0.25">
      <c r="A1209" s="169">
        <v>43789</v>
      </c>
      <c r="B1209" s="115">
        <v>897.9</v>
      </c>
      <c r="C1209" s="115">
        <v>869.79</v>
      </c>
      <c r="D1209" s="115">
        <v>860</v>
      </c>
      <c r="E1209" s="115">
        <v>886.08</v>
      </c>
      <c r="F1209" s="115">
        <v>4348.95</v>
      </c>
      <c r="G1209">
        <v>101</v>
      </c>
      <c r="H1209" s="115"/>
      <c r="I1209" s="115"/>
      <c r="L1209" s="169">
        <v>43790</v>
      </c>
      <c r="M1209" s="115">
        <v>868.32</v>
      </c>
      <c r="N1209" s="115">
        <v>875</v>
      </c>
      <c r="O1209" s="115">
        <v>863.23</v>
      </c>
      <c r="P1209" s="115">
        <v>872.53</v>
      </c>
      <c r="Q1209" s="115">
        <v>4341.6000000000004</v>
      </c>
      <c r="R1209">
        <v>6051</v>
      </c>
    </row>
    <row r="1210" spans="1:18" x14ac:dyDescent="0.25">
      <c r="A1210" s="169">
        <v>43790</v>
      </c>
      <c r="B1210" s="115">
        <v>872.59</v>
      </c>
      <c r="C1210" s="115">
        <v>865.48</v>
      </c>
      <c r="D1210" s="115">
        <v>864.81</v>
      </c>
      <c r="E1210" s="115">
        <v>872.59</v>
      </c>
      <c r="F1210" s="115">
        <v>4327.3999999999996</v>
      </c>
      <c r="G1210">
        <v>18</v>
      </c>
      <c r="H1210" s="115"/>
      <c r="I1210" s="115"/>
      <c r="L1210" s="169">
        <v>43791</v>
      </c>
      <c r="M1210" s="115">
        <v>844.13</v>
      </c>
      <c r="N1210" s="115">
        <v>870.42</v>
      </c>
      <c r="O1210" s="115">
        <v>838.66</v>
      </c>
      <c r="P1210" s="115">
        <v>870.42</v>
      </c>
      <c r="Q1210" s="115">
        <v>4220.6499999999996</v>
      </c>
      <c r="R1210">
        <v>16835</v>
      </c>
    </row>
    <row r="1211" spans="1:18" x14ac:dyDescent="0.25">
      <c r="A1211" s="169">
        <v>43791</v>
      </c>
      <c r="B1211" s="115">
        <v>866</v>
      </c>
      <c r="C1211" s="115">
        <v>845.77</v>
      </c>
      <c r="D1211" s="115">
        <v>834.06</v>
      </c>
      <c r="E1211" s="115">
        <v>860.96</v>
      </c>
      <c r="F1211" s="115">
        <v>4228.8500000000004</v>
      </c>
      <c r="G1211">
        <v>234</v>
      </c>
      <c r="H1211" s="115"/>
      <c r="I1211" s="115"/>
      <c r="L1211" s="169">
        <v>43794</v>
      </c>
      <c r="M1211" s="115">
        <v>844.63</v>
      </c>
      <c r="N1211" s="115">
        <v>859.39</v>
      </c>
      <c r="O1211" s="115">
        <v>840.01</v>
      </c>
      <c r="P1211" s="115">
        <v>859.39</v>
      </c>
      <c r="Q1211" s="115">
        <v>4223.1499999999996</v>
      </c>
      <c r="R1211">
        <v>1320</v>
      </c>
    </row>
    <row r="1212" spans="1:18" x14ac:dyDescent="0.25">
      <c r="A1212" s="169">
        <v>43794</v>
      </c>
      <c r="B1212" s="115">
        <v>858</v>
      </c>
      <c r="C1212" s="115">
        <v>844.46</v>
      </c>
      <c r="D1212" s="115">
        <v>840.44</v>
      </c>
      <c r="E1212" s="115">
        <v>858</v>
      </c>
      <c r="F1212" s="115">
        <v>4222.3</v>
      </c>
      <c r="G1212">
        <v>158</v>
      </c>
      <c r="H1212" s="115"/>
      <c r="I1212" s="115"/>
      <c r="L1212" s="169">
        <v>43795</v>
      </c>
      <c r="M1212" s="115">
        <v>866.43</v>
      </c>
      <c r="N1212" s="115">
        <v>888.01</v>
      </c>
      <c r="O1212" s="115">
        <v>823.18</v>
      </c>
      <c r="P1212" s="115">
        <v>846.13</v>
      </c>
      <c r="Q1212" s="115">
        <v>4332.1499999999996</v>
      </c>
      <c r="R1212">
        <v>47887</v>
      </c>
    </row>
    <row r="1213" spans="1:18" x14ac:dyDescent="0.25">
      <c r="A1213" s="169">
        <v>43795</v>
      </c>
      <c r="B1213" s="115">
        <v>914.8</v>
      </c>
      <c r="C1213" s="115">
        <v>842.45</v>
      </c>
      <c r="D1213" s="115">
        <v>824.4</v>
      </c>
      <c r="E1213" s="115">
        <v>858.6</v>
      </c>
      <c r="F1213" s="115">
        <v>4212.25</v>
      </c>
      <c r="G1213">
        <v>446</v>
      </c>
      <c r="H1213" s="115"/>
      <c r="I1213" s="115"/>
      <c r="L1213" s="169">
        <v>43796</v>
      </c>
      <c r="M1213" s="115">
        <v>859.14</v>
      </c>
      <c r="N1213" s="115">
        <v>862</v>
      </c>
      <c r="O1213" s="115">
        <v>839.4</v>
      </c>
      <c r="P1213" s="115">
        <v>839.4</v>
      </c>
      <c r="Q1213" s="115">
        <v>4295.7</v>
      </c>
      <c r="R1213">
        <v>7087</v>
      </c>
    </row>
    <row r="1214" spans="1:18" x14ac:dyDescent="0.25">
      <c r="A1214" s="169">
        <v>43796</v>
      </c>
      <c r="B1214" s="115">
        <v>862</v>
      </c>
      <c r="C1214" s="115">
        <v>860.33</v>
      </c>
      <c r="D1214" s="115">
        <v>842</v>
      </c>
      <c r="E1214" s="115">
        <v>848</v>
      </c>
      <c r="F1214" s="115">
        <v>4301.6499999999996</v>
      </c>
      <c r="G1214">
        <v>8489</v>
      </c>
      <c r="H1214" s="115"/>
      <c r="I1214" s="115"/>
      <c r="L1214" s="169">
        <v>43797</v>
      </c>
      <c r="M1214" s="115">
        <v>864.82</v>
      </c>
      <c r="N1214" s="115">
        <v>898.79</v>
      </c>
      <c r="O1214" s="115">
        <v>846.39</v>
      </c>
      <c r="P1214" s="115">
        <v>860.14</v>
      </c>
      <c r="Q1214" s="115">
        <v>4324.1000000000004</v>
      </c>
      <c r="R1214">
        <v>23288</v>
      </c>
    </row>
    <row r="1215" spans="1:18" x14ac:dyDescent="0.25">
      <c r="A1215" s="169">
        <v>43797</v>
      </c>
      <c r="B1215" s="115">
        <v>890</v>
      </c>
      <c r="C1215" s="115">
        <v>878.41</v>
      </c>
      <c r="D1215" s="115">
        <v>848</v>
      </c>
      <c r="E1215" s="115">
        <v>852</v>
      </c>
      <c r="F1215" s="115">
        <v>4392.05</v>
      </c>
      <c r="G1215">
        <v>165</v>
      </c>
      <c r="H1215" s="115"/>
      <c r="I1215" s="115"/>
      <c r="L1215" s="169">
        <v>43798</v>
      </c>
      <c r="M1215" s="115">
        <v>869.58</v>
      </c>
      <c r="N1215" s="115">
        <v>877.8</v>
      </c>
      <c r="O1215" s="115">
        <v>860</v>
      </c>
      <c r="P1215" s="115">
        <v>860</v>
      </c>
      <c r="Q1215" s="115">
        <v>4347.8999999999996</v>
      </c>
      <c r="R1215">
        <v>3306</v>
      </c>
    </row>
    <row r="1216" spans="1:18" x14ac:dyDescent="0.25">
      <c r="A1216" s="169">
        <v>43798</v>
      </c>
      <c r="B1216" s="115">
        <v>879.51</v>
      </c>
      <c r="C1216" s="115">
        <v>869.94</v>
      </c>
      <c r="D1216" s="115">
        <v>866</v>
      </c>
      <c r="E1216" s="115">
        <v>874.43</v>
      </c>
      <c r="F1216" s="115">
        <v>4349.7</v>
      </c>
      <c r="G1216">
        <v>379</v>
      </c>
      <c r="H1216" s="115"/>
      <c r="I1216" s="115"/>
      <c r="L1216" s="169">
        <v>43801</v>
      </c>
      <c r="M1216" s="115">
        <v>863.07</v>
      </c>
      <c r="N1216" s="115">
        <v>867.8</v>
      </c>
      <c r="O1216" s="115">
        <v>859</v>
      </c>
      <c r="P1216" s="115">
        <v>867.24</v>
      </c>
      <c r="Q1216" s="115">
        <v>4315.3500000000004</v>
      </c>
      <c r="R1216">
        <v>10981</v>
      </c>
    </row>
    <row r="1217" spans="1:18" x14ac:dyDescent="0.25">
      <c r="A1217" s="169">
        <v>43801</v>
      </c>
      <c r="B1217" s="115">
        <v>865.99</v>
      </c>
      <c r="C1217" s="115">
        <v>863.73</v>
      </c>
      <c r="D1217" s="115">
        <v>858.31</v>
      </c>
      <c r="E1217" s="115">
        <v>864.85</v>
      </c>
      <c r="F1217" s="115">
        <v>4318.6499999999996</v>
      </c>
      <c r="G1217">
        <v>5</v>
      </c>
      <c r="H1217" s="115"/>
      <c r="I1217" s="115"/>
      <c r="L1217" s="169">
        <v>43802</v>
      </c>
      <c r="M1217" s="115">
        <v>861.61</v>
      </c>
      <c r="N1217" s="115">
        <v>868</v>
      </c>
      <c r="O1217" s="115">
        <v>850.45</v>
      </c>
      <c r="P1217" s="115">
        <v>863.85</v>
      </c>
      <c r="Q1217" s="115">
        <v>4308.05</v>
      </c>
      <c r="R1217">
        <v>3498</v>
      </c>
    </row>
    <row r="1218" spans="1:18" x14ac:dyDescent="0.25">
      <c r="A1218" s="169">
        <v>43802</v>
      </c>
      <c r="B1218" s="115">
        <v>875.22</v>
      </c>
      <c r="C1218" s="115">
        <v>862.66</v>
      </c>
      <c r="D1218" s="115">
        <v>855.4</v>
      </c>
      <c r="E1218" s="115">
        <v>863.8</v>
      </c>
      <c r="F1218" s="115">
        <v>4313.3</v>
      </c>
      <c r="G1218">
        <v>122</v>
      </c>
      <c r="H1218" s="115"/>
      <c r="I1218" s="115"/>
      <c r="L1218" s="169">
        <v>43803</v>
      </c>
      <c r="M1218" s="115">
        <v>880.25</v>
      </c>
      <c r="N1218" s="115">
        <v>898.54</v>
      </c>
      <c r="O1218" s="115">
        <v>853.43</v>
      </c>
      <c r="P1218" s="115">
        <v>864.16</v>
      </c>
      <c r="Q1218" s="115">
        <v>4401.25</v>
      </c>
      <c r="R1218">
        <v>9501</v>
      </c>
    </row>
    <row r="1219" spans="1:18" x14ac:dyDescent="0.25">
      <c r="A1219" s="169">
        <v>43803</v>
      </c>
      <c r="B1219" s="115">
        <v>898</v>
      </c>
      <c r="C1219" s="115">
        <v>884.88</v>
      </c>
      <c r="D1219" s="115">
        <v>855.5</v>
      </c>
      <c r="E1219" s="115">
        <v>865.96</v>
      </c>
      <c r="F1219" s="115">
        <v>4424.3999999999996</v>
      </c>
      <c r="G1219">
        <v>584</v>
      </c>
      <c r="H1219" s="115"/>
      <c r="I1219" s="115"/>
      <c r="L1219" s="169">
        <v>43804</v>
      </c>
      <c r="M1219" s="115">
        <v>891.3</v>
      </c>
      <c r="N1219" s="115">
        <v>899.8</v>
      </c>
      <c r="O1219" s="115">
        <v>874.59</v>
      </c>
      <c r="P1219" s="115">
        <v>881.61</v>
      </c>
      <c r="Q1219" s="115">
        <v>4456.5</v>
      </c>
      <c r="R1219">
        <v>4051</v>
      </c>
    </row>
    <row r="1220" spans="1:18" x14ac:dyDescent="0.25">
      <c r="A1220" s="169">
        <v>43804</v>
      </c>
      <c r="B1220" s="115">
        <v>899.66</v>
      </c>
      <c r="C1220" s="115">
        <v>886.36</v>
      </c>
      <c r="D1220" s="115">
        <v>880</v>
      </c>
      <c r="E1220" s="115">
        <v>880</v>
      </c>
      <c r="F1220" s="115">
        <v>4431.8</v>
      </c>
      <c r="G1220">
        <v>413</v>
      </c>
      <c r="H1220" s="115"/>
      <c r="I1220" s="115"/>
      <c r="L1220" s="169">
        <v>43805</v>
      </c>
      <c r="M1220" s="115">
        <v>885.16</v>
      </c>
      <c r="N1220" s="115">
        <v>895</v>
      </c>
      <c r="O1220" s="115">
        <v>861.23</v>
      </c>
      <c r="P1220" s="115">
        <v>891.86</v>
      </c>
      <c r="Q1220" s="115">
        <v>4425.8</v>
      </c>
      <c r="R1220">
        <v>4976</v>
      </c>
    </row>
    <row r="1221" spans="1:18" x14ac:dyDescent="0.25">
      <c r="A1221" s="169">
        <v>43805</v>
      </c>
      <c r="B1221" s="115">
        <v>893.78</v>
      </c>
      <c r="C1221" s="115">
        <v>877.27</v>
      </c>
      <c r="D1221" s="115">
        <v>860.21</v>
      </c>
      <c r="E1221" s="115">
        <v>881.09</v>
      </c>
      <c r="F1221" s="115">
        <v>4386.3500000000004</v>
      </c>
      <c r="G1221">
        <v>69</v>
      </c>
      <c r="H1221" s="115"/>
      <c r="I1221" s="115"/>
      <c r="L1221" s="169">
        <v>43808</v>
      </c>
      <c r="M1221" s="115">
        <v>882.82</v>
      </c>
      <c r="N1221" s="115">
        <v>899</v>
      </c>
      <c r="O1221" s="115">
        <v>874.01</v>
      </c>
      <c r="P1221" s="115">
        <v>883.25</v>
      </c>
      <c r="Q1221" s="115">
        <v>4414.1000000000004</v>
      </c>
      <c r="R1221">
        <v>9805</v>
      </c>
    </row>
    <row r="1222" spans="1:18" x14ac:dyDescent="0.25">
      <c r="A1222" s="169">
        <v>43808</v>
      </c>
      <c r="B1222" s="115">
        <v>898</v>
      </c>
      <c r="C1222" s="115">
        <v>882.61</v>
      </c>
      <c r="D1222" s="115">
        <v>872.4</v>
      </c>
      <c r="E1222" s="115">
        <v>875.91</v>
      </c>
      <c r="F1222" s="115">
        <v>4413.05</v>
      </c>
      <c r="G1222">
        <v>23</v>
      </c>
      <c r="H1222" s="115"/>
      <c r="I1222" s="115"/>
      <c r="L1222" s="169">
        <v>43809</v>
      </c>
      <c r="M1222" s="115">
        <v>863.42</v>
      </c>
      <c r="N1222" s="115">
        <v>888.73</v>
      </c>
      <c r="O1222" s="115">
        <v>856.2</v>
      </c>
      <c r="P1222" s="115">
        <v>884.22</v>
      </c>
      <c r="Q1222" s="115">
        <v>4317.1000000000004</v>
      </c>
      <c r="R1222">
        <v>7459</v>
      </c>
    </row>
    <row r="1223" spans="1:18" x14ac:dyDescent="0.25">
      <c r="A1223" s="169">
        <v>43809</v>
      </c>
      <c r="B1223" s="115">
        <v>882</v>
      </c>
      <c r="C1223" s="115">
        <v>862.23</v>
      </c>
      <c r="D1223" s="115">
        <v>857.84</v>
      </c>
      <c r="E1223" s="115">
        <v>882</v>
      </c>
      <c r="F1223" s="115">
        <v>4311.1499999999996</v>
      </c>
      <c r="G1223">
        <v>146</v>
      </c>
      <c r="H1223" s="115"/>
      <c r="I1223" s="115"/>
      <c r="L1223" s="169">
        <v>43810</v>
      </c>
      <c r="M1223" s="115">
        <v>860.59</v>
      </c>
      <c r="N1223" s="115">
        <v>869.4</v>
      </c>
      <c r="O1223" s="115">
        <v>840</v>
      </c>
      <c r="P1223" s="115">
        <v>853.01</v>
      </c>
      <c r="Q1223" s="115">
        <v>4302.95</v>
      </c>
      <c r="R1223">
        <v>7218</v>
      </c>
    </row>
    <row r="1224" spans="1:18" x14ac:dyDescent="0.25">
      <c r="A1224" s="169">
        <v>43810</v>
      </c>
      <c r="B1224" s="115">
        <v>877.8</v>
      </c>
      <c r="C1224" s="115">
        <v>864.67</v>
      </c>
      <c r="D1224" s="115">
        <v>840</v>
      </c>
      <c r="E1224" s="115">
        <v>853</v>
      </c>
      <c r="F1224" s="115">
        <v>4323.3500000000004</v>
      </c>
      <c r="G1224">
        <v>258</v>
      </c>
      <c r="H1224" s="115"/>
      <c r="I1224" s="115"/>
      <c r="L1224" s="169">
        <v>43811</v>
      </c>
      <c r="M1224" s="115">
        <v>871.23</v>
      </c>
      <c r="N1224" s="115">
        <v>875.94</v>
      </c>
      <c r="O1224" s="115">
        <v>851.99</v>
      </c>
      <c r="P1224" s="115">
        <v>855.38</v>
      </c>
      <c r="Q1224" s="115">
        <v>4356.1499999999996</v>
      </c>
      <c r="R1224">
        <v>2328</v>
      </c>
    </row>
    <row r="1225" spans="1:18" x14ac:dyDescent="0.25">
      <c r="A1225" s="169">
        <v>43811</v>
      </c>
      <c r="B1225" s="115">
        <v>875</v>
      </c>
      <c r="C1225" s="115">
        <v>866.24</v>
      </c>
      <c r="D1225" s="115">
        <v>852.86</v>
      </c>
      <c r="E1225" s="115">
        <v>860.4</v>
      </c>
      <c r="F1225" s="115">
        <v>4331.2</v>
      </c>
      <c r="G1225">
        <v>38</v>
      </c>
      <c r="H1225" s="115"/>
      <c r="I1225" s="115"/>
      <c r="L1225" s="169">
        <v>43812</v>
      </c>
      <c r="M1225" s="115">
        <v>868.88</v>
      </c>
      <c r="N1225" s="115">
        <v>875.8</v>
      </c>
      <c r="O1225" s="115">
        <v>862.26</v>
      </c>
      <c r="P1225" s="115">
        <v>873.99</v>
      </c>
      <c r="Q1225" s="115">
        <v>4344.3999999999996</v>
      </c>
      <c r="R1225">
        <v>858</v>
      </c>
    </row>
    <row r="1226" spans="1:18" x14ac:dyDescent="0.25">
      <c r="A1226" s="169">
        <v>43812</v>
      </c>
      <c r="B1226" s="115">
        <v>873.87</v>
      </c>
      <c r="C1226" s="115">
        <v>873.17</v>
      </c>
      <c r="D1226" s="115">
        <v>860.75</v>
      </c>
      <c r="E1226" s="115">
        <v>865.2</v>
      </c>
      <c r="F1226" s="115">
        <v>4365.8500000000004</v>
      </c>
      <c r="G1226">
        <v>7</v>
      </c>
      <c r="H1226" s="115"/>
      <c r="I1226" s="115"/>
      <c r="L1226" s="169">
        <v>43815</v>
      </c>
      <c r="M1226" s="115">
        <v>885.26</v>
      </c>
      <c r="N1226" s="115">
        <v>898</v>
      </c>
      <c r="O1226" s="115">
        <v>864.06</v>
      </c>
      <c r="P1226" s="115">
        <v>868.76</v>
      </c>
      <c r="Q1226" s="115">
        <v>4426.3</v>
      </c>
      <c r="R1226">
        <v>3483</v>
      </c>
    </row>
    <row r="1227" spans="1:18" x14ac:dyDescent="0.25">
      <c r="A1227" s="169">
        <v>43815</v>
      </c>
      <c r="B1227" s="115">
        <v>897.6</v>
      </c>
      <c r="C1227" s="115">
        <v>880.08</v>
      </c>
      <c r="D1227" s="115">
        <v>861.79</v>
      </c>
      <c r="E1227" s="115">
        <v>877.35</v>
      </c>
      <c r="F1227" s="115">
        <v>4400.3999999999996</v>
      </c>
      <c r="G1227">
        <v>43</v>
      </c>
      <c r="H1227" s="115"/>
      <c r="I1227" s="115"/>
      <c r="L1227" s="169">
        <v>43816</v>
      </c>
      <c r="M1227" s="115">
        <v>889.97</v>
      </c>
      <c r="N1227" s="115">
        <v>899</v>
      </c>
      <c r="O1227" s="115">
        <v>872</v>
      </c>
      <c r="P1227" s="115">
        <v>885.38</v>
      </c>
      <c r="Q1227" s="115">
        <v>4449.8500000000004</v>
      </c>
      <c r="R1227">
        <v>6684</v>
      </c>
    </row>
    <row r="1228" spans="1:18" x14ac:dyDescent="0.25">
      <c r="A1228" s="169">
        <v>43816</v>
      </c>
      <c r="B1228" s="115">
        <v>896.06</v>
      </c>
      <c r="C1228" s="115">
        <v>885.51</v>
      </c>
      <c r="D1228" s="115">
        <v>873.82</v>
      </c>
      <c r="E1228" s="115">
        <v>896.06</v>
      </c>
      <c r="F1228" s="115">
        <v>4427.55</v>
      </c>
      <c r="G1228">
        <v>21</v>
      </c>
      <c r="H1228" s="115"/>
      <c r="I1228" s="115"/>
      <c r="L1228" s="169">
        <v>43817</v>
      </c>
      <c r="M1228" s="115">
        <v>885.4</v>
      </c>
      <c r="N1228" s="115">
        <v>890</v>
      </c>
      <c r="O1228" s="115">
        <v>864.02</v>
      </c>
      <c r="P1228" s="115">
        <v>887.99</v>
      </c>
      <c r="Q1228" s="115">
        <v>4427</v>
      </c>
      <c r="R1228">
        <v>7546</v>
      </c>
    </row>
    <row r="1229" spans="1:18" x14ac:dyDescent="0.25">
      <c r="A1229" s="169">
        <v>43817</v>
      </c>
      <c r="B1229" s="115">
        <v>887.62</v>
      </c>
      <c r="C1229" s="115">
        <v>884.89</v>
      </c>
      <c r="D1229" s="115">
        <v>873.63</v>
      </c>
      <c r="E1229" s="115">
        <v>883.34</v>
      </c>
      <c r="F1229" s="115">
        <v>4424.45</v>
      </c>
      <c r="G1229">
        <v>79</v>
      </c>
      <c r="H1229" s="115"/>
      <c r="I1229" s="115"/>
      <c r="L1229" s="169">
        <v>43818</v>
      </c>
      <c r="M1229" s="115">
        <v>899.74</v>
      </c>
      <c r="N1229" s="115">
        <v>907.97</v>
      </c>
      <c r="O1229" s="115">
        <v>878.42</v>
      </c>
      <c r="P1229" s="115">
        <v>882.73</v>
      </c>
      <c r="Q1229" s="115">
        <v>4498.7</v>
      </c>
      <c r="R1229">
        <v>3874</v>
      </c>
    </row>
    <row r="1230" spans="1:18" x14ac:dyDescent="0.25">
      <c r="A1230" s="169">
        <v>43818</v>
      </c>
      <c r="B1230" s="115">
        <v>908</v>
      </c>
      <c r="C1230" s="115">
        <v>900.47</v>
      </c>
      <c r="D1230" s="115">
        <v>881.64</v>
      </c>
      <c r="E1230" s="115">
        <v>881.65</v>
      </c>
      <c r="F1230" s="115">
        <v>4502.3500000000004</v>
      </c>
      <c r="G1230">
        <v>66</v>
      </c>
      <c r="H1230" s="115"/>
      <c r="I1230" s="115"/>
      <c r="L1230" s="169">
        <v>43819</v>
      </c>
      <c r="M1230" s="115">
        <v>909.58</v>
      </c>
      <c r="N1230" s="115">
        <v>915</v>
      </c>
      <c r="O1230" s="115">
        <v>902</v>
      </c>
      <c r="P1230" s="115">
        <v>902</v>
      </c>
      <c r="Q1230" s="115">
        <v>4547.8999999999996</v>
      </c>
      <c r="R1230">
        <v>7088</v>
      </c>
    </row>
    <row r="1231" spans="1:18" x14ac:dyDescent="0.25">
      <c r="A1231" s="169">
        <v>43819</v>
      </c>
      <c r="B1231" s="115">
        <v>916</v>
      </c>
      <c r="C1231" s="115">
        <v>910.74</v>
      </c>
      <c r="D1231" s="115">
        <v>903.23</v>
      </c>
      <c r="E1231" s="115">
        <v>909.8</v>
      </c>
      <c r="F1231" s="115">
        <v>4553.7</v>
      </c>
      <c r="G1231">
        <v>254</v>
      </c>
      <c r="H1231" s="115"/>
      <c r="I1231" s="115"/>
      <c r="L1231" s="169">
        <v>43822</v>
      </c>
      <c r="M1231" s="115">
        <v>898.63</v>
      </c>
      <c r="N1231" s="115">
        <v>913.31</v>
      </c>
      <c r="O1231" s="115">
        <v>882.41</v>
      </c>
      <c r="P1231" s="115">
        <v>909.62</v>
      </c>
      <c r="Q1231" s="115">
        <v>4493.1499999999996</v>
      </c>
      <c r="R1231">
        <v>7891</v>
      </c>
    </row>
    <row r="1232" spans="1:18" x14ac:dyDescent="0.25">
      <c r="A1232" s="169">
        <v>43822</v>
      </c>
      <c r="B1232" s="115">
        <v>905.07</v>
      </c>
      <c r="C1232" s="115">
        <v>895.01</v>
      </c>
      <c r="D1232" s="115">
        <v>882.2</v>
      </c>
      <c r="E1232" s="115">
        <v>905.07</v>
      </c>
      <c r="F1232" s="115">
        <v>4475.05</v>
      </c>
      <c r="G1232">
        <v>173</v>
      </c>
      <c r="H1232" s="115"/>
      <c r="I1232" s="115"/>
      <c r="L1232" s="169">
        <v>43823</v>
      </c>
      <c r="M1232" s="115">
        <v>909.26</v>
      </c>
      <c r="N1232" s="115">
        <v>914.79</v>
      </c>
      <c r="O1232" s="115">
        <v>896.81</v>
      </c>
      <c r="P1232" s="115">
        <v>900.01</v>
      </c>
      <c r="Q1232" s="115">
        <v>4546.3</v>
      </c>
      <c r="R1232">
        <v>4461</v>
      </c>
    </row>
    <row r="1233" spans="1:18" x14ac:dyDescent="0.25">
      <c r="A1233" s="169">
        <v>43823</v>
      </c>
      <c r="B1233" s="115">
        <v>912</v>
      </c>
      <c r="C1233" s="115">
        <v>908.35</v>
      </c>
      <c r="D1233" s="115">
        <v>897.35</v>
      </c>
      <c r="E1233" s="115">
        <v>904.87</v>
      </c>
      <c r="F1233" s="115">
        <v>4541.75</v>
      </c>
      <c r="G1233">
        <v>271</v>
      </c>
      <c r="H1233" s="115"/>
      <c r="I1233" s="115"/>
      <c r="L1233" s="169">
        <v>43825</v>
      </c>
      <c r="M1233" s="115">
        <v>911.85</v>
      </c>
      <c r="N1233" s="115">
        <v>916</v>
      </c>
      <c r="O1233" s="115">
        <v>893</v>
      </c>
      <c r="P1233" s="115">
        <v>908.81</v>
      </c>
      <c r="Q1233" s="115">
        <v>4559.25</v>
      </c>
      <c r="R1233">
        <v>6516</v>
      </c>
    </row>
    <row r="1234" spans="1:18" x14ac:dyDescent="0.25">
      <c r="A1234" s="169">
        <v>43825</v>
      </c>
      <c r="B1234" s="115">
        <v>914</v>
      </c>
      <c r="C1234" s="115">
        <v>912.33</v>
      </c>
      <c r="D1234" s="115">
        <v>894.84</v>
      </c>
      <c r="E1234" s="115">
        <v>894.84</v>
      </c>
      <c r="F1234" s="115">
        <v>4561.6499999999996</v>
      </c>
      <c r="G1234">
        <v>11</v>
      </c>
      <c r="H1234" s="115"/>
      <c r="I1234" s="115"/>
      <c r="L1234" s="169">
        <v>43826</v>
      </c>
      <c r="M1234" s="115">
        <v>915.97</v>
      </c>
      <c r="N1234" s="115">
        <v>921.98</v>
      </c>
      <c r="O1234" s="115">
        <v>901</v>
      </c>
      <c r="P1234" s="115">
        <v>915.6</v>
      </c>
      <c r="Q1234" s="115">
        <v>4579.8500000000004</v>
      </c>
      <c r="R1234">
        <v>7106</v>
      </c>
    </row>
    <row r="1235" spans="1:18" x14ac:dyDescent="0.25">
      <c r="A1235" s="169">
        <v>43826</v>
      </c>
      <c r="B1235" s="115">
        <v>922</v>
      </c>
      <c r="C1235" s="115">
        <v>915.94</v>
      </c>
      <c r="D1235" s="115">
        <v>884.4</v>
      </c>
      <c r="E1235" s="115">
        <v>904.1</v>
      </c>
      <c r="F1235" s="115">
        <v>4579.7</v>
      </c>
      <c r="G1235">
        <v>67</v>
      </c>
      <c r="H1235" s="115"/>
      <c r="I1235" s="115"/>
      <c r="L1235" s="169">
        <v>43829</v>
      </c>
      <c r="M1235" s="115">
        <v>926.35</v>
      </c>
      <c r="N1235" s="115">
        <v>952.43</v>
      </c>
      <c r="O1235" s="115">
        <v>911.23</v>
      </c>
      <c r="P1235" s="115">
        <v>916</v>
      </c>
      <c r="Q1235" s="115">
        <v>4631.75</v>
      </c>
      <c r="R1235">
        <v>10620</v>
      </c>
    </row>
    <row r="1236" spans="1:18" x14ac:dyDescent="0.25">
      <c r="A1236" s="169">
        <v>43829</v>
      </c>
      <c r="B1236" s="115">
        <v>950</v>
      </c>
      <c r="C1236" s="115">
        <v>936.71</v>
      </c>
      <c r="D1236" s="115">
        <v>913</v>
      </c>
      <c r="E1236" s="115">
        <v>923</v>
      </c>
      <c r="F1236" s="115">
        <v>4683.55</v>
      </c>
      <c r="G1236">
        <v>125</v>
      </c>
      <c r="H1236" s="115"/>
      <c r="I1236" s="115"/>
      <c r="L1236" s="169">
        <v>43830</v>
      </c>
      <c r="M1236" s="115">
        <v>940.35</v>
      </c>
      <c r="N1236" s="115">
        <v>949.8</v>
      </c>
      <c r="O1236" s="115">
        <v>920.28</v>
      </c>
      <c r="P1236" s="115">
        <v>926.4</v>
      </c>
      <c r="Q1236" s="115">
        <v>4701.75</v>
      </c>
      <c r="R1236">
        <v>10543</v>
      </c>
    </row>
    <row r="1237" spans="1:18" x14ac:dyDescent="0.25">
      <c r="A1237" s="169">
        <v>43830</v>
      </c>
      <c r="B1237" s="115">
        <v>950</v>
      </c>
      <c r="C1237" s="115">
        <v>939.69</v>
      </c>
      <c r="D1237" s="115">
        <v>918.63</v>
      </c>
      <c r="E1237" s="115">
        <v>928.84</v>
      </c>
      <c r="F1237" s="115">
        <v>4698.45</v>
      </c>
      <c r="G1237">
        <v>485</v>
      </c>
      <c r="H1237" s="115"/>
      <c r="I1237" s="115"/>
      <c r="L1237" s="169">
        <v>43831</v>
      </c>
      <c r="M1237" s="115">
        <v>929.85</v>
      </c>
      <c r="N1237" s="115">
        <v>948.07</v>
      </c>
      <c r="O1237" s="115">
        <v>924.32</v>
      </c>
      <c r="P1237" s="115">
        <v>927.61</v>
      </c>
      <c r="Q1237" s="115">
        <v>4649.25</v>
      </c>
      <c r="R1237">
        <v>1498</v>
      </c>
    </row>
    <row r="1238" spans="1:18" x14ac:dyDescent="0.25">
      <c r="A1238" s="169">
        <v>43831</v>
      </c>
      <c r="B1238" s="115">
        <v>946.6</v>
      </c>
      <c r="C1238" s="115">
        <v>931.29</v>
      </c>
      <c r="D1238" s="115">
        <v>925.01</v>
      </c>
      <c r="E1238" s="115">
        <v>943.5</v>
      </c>
      <c r="F1238" s="115">
        <v>4656.45</v>
      </c>
      <c r="G1238">
        <v>449</v>
      </c>
      <c r="H1238" s="115"/>
      <c r="I1238" s="115"/>
      <c r="L1238" s="169">
        <v>43832</v>
      </c>
      <c r="M1238" s="115">
        <v>924.37</v>
      </c>
      <c r="N1238" s="115">
        <v>933.11</v>
      </c>
      <c r="O1238" s="115">
        <v>916</v>
      </c>
      <c r="P1238" s="115">
        <v>920.31</v>
      </c>
      <c r="Q1238" s="115">
        <v>4621.8500000000004</v>
      </c>
      <c r="R1238">
        <v>947</v>
      </c>
    </row>
    <row r="1239" spans="1:18" x14ac:dyDescent="0.25">
      <c r="A1239" s="169">
        <v>43832</v>
      </c>
      <c r="B1239" s="115">
        <v>926.67</v>
      </c>
      <c r="C1239" s="115">
        <v>923.94</v>
      </c>
      <c r="D1239" s="115">
        <v>922.2</v>
      </c>
      <c r="E1239" s="115">
        <v>924.31</v>
      </c>
      <c r="F1239" s="115">
        <v>4619.7</v>
      </c>
      <c r="G1239">
        <v>234</v>
      </c>
      <c r="H1239" s="115"/>
      <c r="I1239" s="115"/>
      <c r="L1239" s="169">
        <v>43833</v>
      </c>
      <c r="M1239" s="115">
        <v>927.14</v>
      </c>
      <c r="N1239" s="115">
        <v>932</v>
      </c>
      <c r="O1239" s="115">
        <v>904.2</v>
      </c>
      <c r="P1239" s="115">
        <v>922.81</v>
      </c>
      <c r="Q1239" s="115">
        <v>4635.7</v>
      </c>
      <c r="R1239">
        <v>2319</v>
      </c>
    </row>
    <row r="1240" spans="1:18" x14ac:dyDescent="0.25">
      <c r="A1240" s="169">
        <v>43833</v>
      </c>
      <c r="B1240" s="115">
        <v>933.2</v>
      </c>
      <c r="C1240" s="115">
        <v>925.04</v>
      </c>
      <c r="D1240" s="115">
        <v>900</v>
      </c>
      <c r="E1240" s="115">
        <v>922.9</v>
      </c>
      <c r="F1240" s="115">
        <v>4625.2</v>
      </c>
      <c r="G1240">
        <v>500</v>
      </c>
      <c r="H1240" s="115"/>
      <c r="I1240" s="115"/>
      <c r="L1240" s="169">
        <v>43836</v>
      </c>
      <c r="M1240" s="115">
        <v>922.55</v>
      </c>
      <c r="N1240" s="115">
        <v>929.99</v>
      </c>
      <c r="O1240" s="115">
        <v>906</v>
      </c>
      <c r="P1240" s="115">
        <v>915.6</v>
      </c>
      <c r="Q1240" s="115">
        <v>4612.75</v>
      </c>
      <c r="R1240">
        <v>2928</v>
      </c>
    </row>
    <row r="1241" spans="1:18" x14ac:dyDescent="0.25">
      <c r="A1241" s="169">
        <v>43836</v>
      </c>
      <c r="B1241" s="115">
        <v>924.42</v>
      </c>
      <c r="C1241" s="115">
        <v>922.17</v>
      </c>
      <c r="D1241" s="115">
        <v>908</v>
      </c>
      <c r="E1241" s="115">
        <v>919</v>
      </c>
      <c r="F1241" s="115">
        <v>4610.8500000000004</v>
      </c>
      <c r="G1241">
        <v>79</v>
      </c>
      <c r="H1241" s="115"/>
      <c r="I1241" s="115"/>
      <c r="L1241" s="169">
        <v>43837</v>
      </c>
      <c r="M1241" s="115">
        <v>925.04</v>
      </c>
      <c r="N1241" s="115">
        <v>937.79</v>
      </c>
      <c r="O1241" s="115">
        <v>913.4</v>
      </c>
      <c r="P1241" s="115">
        <v>931.6</v>
      </c>
      <c r="Q1241" s="115">
        <v>4625.2</v>
      </c>
      <c r="R1241">
        <v>19798</v>
      </c>
    </row>
    <row r="1242" spans="1:18" x14ac:dyDescent="0.25">
      <c r="A1242" s="169">
        <v>43837</v>
      </c>
      <c r="B1242" s="115">
        <v>937.95</v>
      </c>
      <c r="C1242" s="115">
        <v>935.61</v>
      </c>
      <c r="D1242" s="115">
        <v>915.23</v>
      </c>
      <c r="E1242" s="115">
        <v>918.42</v>
      </c>
      <c r="F1242" s="115">
        <v>4678.05</v>
      </c>
      <c r="G1242">
        <v>28</v>
      </c>
      <c r="H1242" s="115"/>
      <c r="I1242" s="115"/>
      <c r="L1242" s="169">
        <v>43838</v>
      </c>
      <c r="M1242" s="115">
        <v>926.96</v>
      </c>
      <c r="N1242" s="115">
        <v>942</v>
      </c>
      <c r="O1242" s="115">
        <v>915.8</v>
      </c>
      <c r="P1242" s="115">
        <v>942</v>
      </c>
      <c r="Q1242" s="115">
        <v>4634.8</v>
      </c>
      <c r="R1242">
        <v>1059</v>
      </c>
    </row>
    <row r="1243" spans="1:18" x14ac:dyDescent="0.25">
      <c r="A1243" s="169">
        <v>43838</v>
      </c>
      <c r="B1243" s="115">
        <v>949.4</v>
      </c>
      <c r="C1243" s="115">
        <v>928.6</v>
      </c>
      <c r="D1243" s="115">
        <v>917.24</v>
      </c>
      <c r="E1243" s="115">
        <v>949.4</v>
      </c>
      <c r="F1243" s="115">
        <v>4643</v>
      </c>
      <c r="G1243">
        <v>106</v>
      </c>
      <c r="H1243" s="115"/>
      <c r="I1243" s="115"/>
      <c r="L1243" s="169">
        <v>43839</v>
      </c>
      <c r="M1243" s="115">
        <v>939.16</v>
      </c>
      <c r="N1243" s="115">
        <v>949.8</v>
      </c>
      <c r="O1243" s="115">
        <v>926.2</v>
      </c>
      <c r="P1243" s="115">
        <v>926.2</v>
      </c>
      <c r="Q1243" s="115">
        <v>4695.8</v>
      </c>
      <c r="R1243">
        <v>3323</v>
      </c>
    </row>
    <row r="1244" spans="1:18" x14ac:dyDescent="0.25">
      <c r="A1244" s="169">
        <v>43839</v>
      </c>
      <c r="B1244" s="115">
        <v>948.8</v>
      </c>
      <c r="C1244" s="115">
        <v>940.01</v>
      </c>
      <c r="D1244" s="115">
        <v>920.23</v>
      </c>
      <c r="E1244" s="115">
        <v>945</v>
      </c>
      <c r="F1244" s="115">
        <v>4700.05</v>
      </c>
      <c r="G1244">
        <v>260</v>
      </c>
      <c r="H1244" s="115"/>
      <c r="I1244" s="115"/>
      <c r="L1244" s="169">
        <v>43840</v>
      </c>
      <c r="M1244" s="115">
        <v>943.75</v>
      </c>
      <c r="N1244" s="115">
        <v>952.98</v>
      </c>
      <c r="O1244" s="115">
        <v>939.16</v>
      </c>
      <c r="P1244" s="115">
        <v>939.16</v>
      </c>
      <c r="Q1244" s="115">
        <v>4718.75</v>
      </c>
      <c r="R1244">
        <v>25564</v>
      </c>
    </row>
    <row r="1245" spans="1:18" x14ac:dyDescent="0.25">
      <c r="A1245" s="169">
        <v>43840</v>
      </c>
      <c r="B1245" s="115">
        <v>950.32</v>
      </c>
      <c r="C1245" s="115">
        <v>947.5</v>
      </c>
      <c r="D1245" s="115">
        <v>941.28</v>
      </c>
      <c r="E1245" s="115">
        <v>948.95</v>
      </c>
      <c r="F1245" s="115">
        <v>4737.5</v>
      </c>
      <c r="G1245">
        <v>50</v>
      </c>
      <c r="H1245" s="115"/>
      <c r="I1245" s="115"/>
      <c r="L1245" s="169">
        <v>43843</v>
      </c>
      <c r="M1245" s="115">
        <v>928.54</v>
      </c>
      <c r="N1245" s="115">
        <v>955.8</v>
      </c>
      <c r="O1245" s="115">
        <v>926</v>
      </c>
      <c r="P1245" s="115">
        <v>955.8</v>
      </c>
      <c r="Q1245" s="115">
        <v>4642.7</v>
      </c>
      <c r="R1245">
        <v>1328</v>
      </c>
    </row>
    <row r="1246" spans="1:18" x14ac:dyDescent="0.25">
      <c r="A1246" s="169">
        <v>43843</v>
      </c>
      <c r="B1246" s="115">
        <v>943.2</v>
      </c>
      <c r="C1246" s="115">
        <v>927.35</v>
      </c>
      <c r="D1246" s="115">
        <v>925.31</v>
      </c>
      <c r="E1246" s="115">
        <v>940.19</v>
      </c>
      <c r="F1246" s="115">
        <v>4636.75</v>
      </c>
      <c r="G1246">
        <v>163</v>
      </c>
      <c r="H1246" s="115"/>
      <c r="I1246" s="115"/>
      <c r="L1246" s="169">
        <v>43844</v>
      </c>
      <c r="M1246" s="115">
        <v>927.47</v>
      </c>
      <c r="N1246" s="115">
        <v>937.8</v>
      </c>
      <c r="O1246" s="115">
        <v>925.2</v>
      </c>
      <c r="P1246" s="115">
        <v>937.8</v>
      </c>
      <c r="Q1246" s="115">
        <v>4637.3500000000004</v>
      </c>
      <c r="R1246">
        <v>816</v>
      </c>
    </row>
    <row r="1247" spans="1:18" x14ac:dyDescent="0.25">
      <c r="A1247" s="169">
        <v>43844</v>
      </c>
      <c r="B1247" s="115">
        <v>939.89</v>
      </c>
      <c r="C1247" s="115">
        <v>927.6</v>
      </c>
      <c r="D1247" s="115">
        <v>925.83</v>
      </c>
      <c r="E1247" s="115">
        <v>939.89</v>
      </c>
      <c r="F1247" s="115">
        <v>4638</v>
      </c>
      <c r="G1247">
        <v>13</v>
      </c>
      <c r="H1247" s="115"/>
      <c r="I1247" s="115"/>
      <c r="L1247" s="169">
        <v>43845</v>
      </c>
      <c r="M1247" s="115">
        <v>911.4</v>
      </c>
      <c r="N1247" s="115">
        <v>937.4</v>
      </c>
      <c r="O1247" s="115">
        <v>906</v>
      </c>
      <c r="P1247" s="115">
        <v>937.4</v>
      </c>
      <c r="Q1247" s="115">
        <v>4557</v>
      </c>
      <c r="R1247">
        <v>3712</v>
      </c>
    </row>
    <row r="1248" spans="1:18" x14ac:dyDescent="0.25">
      <c r="A1248" s="169">
        <v>43845</v>
      </c>
      <c r="B1248" s="115">
        <v>927.8</v>
      </c>
      <c r="C1248" s="115">
        <v>910.62</v>
      </c>
      <c r="D1248" s="115">
        <v>907.2</v>
      </c>
      <c r="E1248" s="115">
        <v>927.8</v>
      </c>
      <c r="F1248" s="115">
        <v>4553.1000000000004</v>
      </c>
      <c r="G1248">
        <v>61</v>
      </c>
      <c r="H1248" s="115"/>
      <c r="I1248" s="115"/>
      <c r="L1248" s="169">
        <v>43846</v>
      </c>
      <c r="M1248" s="115">
        <v>913.29</v>
      </c>
      <c r="N1248" s="115">
        <v>921.54</v>
      </c>
      <c r="O1248" s="115">
        <v>904.01</v>
      </c>
      <c r="P1248" s="115">
        <v>916.79</v>
      </c>
      <c r="Q1248" s="115">
        <v>4566.45</v>
      </c>
      <c r="R1248">
        <v>12861</v>
      </c>
    </row>
    <row r="1249" spans="1:18" x14ac:dyDescent="0.25">
      <c r="A1249" s="169">
        <v>43846</v>
      </c>
      <c r="B1249" s="115">
        <v>921</v>
      </c>
      <c r="C1249" s="115">
        <v>912</v>
      </c>
      <c r="D1249" s="115">
        <v>909.6</v>
      </c>
      <c r="E1249" s="115">
        <v>921</v>
      </c>
      <c r="F1249" s="115">
        <v>4560</v>
      </c>
      <c r="G1249">
        <v>19</v>
      </c>
      <c r="H1249" s="115"/>
      <c r="I1249" s="115"/>
      <c r="L1249" s="169">
        <v>43847</v>
      </c>
      <c r="M1249" s="115">
        <v>914.16</v>
      </c>
      <c r="N1249" s="115">
        <v>925.59</v>
      </c>
      <c r="O1249" s="115">
        <v>904.44</v>
      </c>
      <c r="P1249" s="115">
        <v>920</v>
      </c>
      <c r="Q1249" s="115">
        <v>4570.8</v>
      </c>
      <c r="R1249">
        <v>25073</v>
      </c>
    </row>
    <row r="1250" spans="1:18" x14ac:dyDescent="0.25">
      <c r="A1250" s="169">
        <v>43847</v>
      </c>
      <c r="B1250" s="115">
        <v>916.62</v>
      </c>
      <c r="C1250" s="115">
        <v>912.98</v>
      </c>
      <c r="D1250" s="115">
        <v>902.69</v>
      </c>
      <c r="E1250" s="115">
        <v>915.56</v>
      </c>
      <c r="F1250" s="115">
        <v>4564.8999999999996</v>
      </c>
      <c r="G1250">
        <v>92</v>
      </c>
      <c r="H1250" s="115"/>
      <c r="I1250" s="115"/>
      <c r="L1250" s="169">
        <v>43850</v>
      </c>
      <c r="M1250" s="115">
        <v>902.2</v>
      </c>
      <c r="N1250" s="115">
        <v>919.01</v>
      </c>
      <c r="O1250" s="115">
        <v>892.44</v>
      </c>
      <c r="P1250" s="115">
        <v>914.72</v>
      </c>
      <c r="Q1250" s="115">
        <v>4511</v>
      </c>
      <c r="R1250">
        <v>3338</v>
      </c>
    </row>
    <row r="1251" spans="1:18" x14ac:dyDescent="0.25">
      <c r="A1251" s="169">
        <v>43850</v>
      </c>
      <c r="B1251" s="115">
        <v>904.45</v>
      </c>
      <c r="C1251" s="115">
        <v>899.24</v>
      </c>
      <c r="D1251" s="115">
        <v>894.49</v>
      </c>
      <c r="E1251" s="115">
        <v>904.45</v>
      </c>
      <c r="F1251" s="115">
        <v>4496.2</v>
      </c>
      <c r="G1251">
        <v>57</v>
      </c>
      <c r="H1251" s="115"/>
      <c r="I1251" s="115"/>
      <c r="L1251" s="169">
        <v>43851</v>
      </c>
      <c r="M1251" s="115">
        <v>926.91</v>
      </c>
      <c r="N1251" s="115">
        <v>928.79</v>
      </c>
      <c r="O1251" s="115">
        <v>890.81</v>
      </c>
      <c r="P1251" s="115">
        <v>896</v>
      </c>
      <c r="Q1251" s="115">
        <v>4634.55</v>
      </c>
      <c r="R1251">
        <v>2178</v>
      </c>
    </row>
    <row r="1252" spans="1:18" x14ac:dyDescent="0.25">
      <c r="A1252" s="169">
        <v>43851</v>
      </c>
      <c r="B1252" s="115">
        <v>927.87</v>
      </c>
      <c r="C1252" s="115">
        <v>924.84</v>
      </c>
      <c r="D1252" s="115">
        <v>893</v>
      </c>
      <c r="E1252" s="115">
        <v>896</v>
      </c>
      <c r="F1252" s="115">
        <v>4624.2</v>
      </c>
      <c r="G1252">
        <v>79</v>
      </c>
      <c r="H1252" s="115"/>
      <c r="I1252" s="115"/>
      <c r="L1252" s="169">
        <v>43852</v>
      </c>
      <c r="M1252" s="115">
        <v>920.25</v>
      </c>
      <c r="N1252" s="115">
        <v>930</v>
      </c>
      <c r="O1252" s="115">
        <v>909.86</v>
      </c>
      <c r="P1252" s="115">
        <v>928.11</v>
      </c>
      <c r="Q1252" s="115">
        <v>4601.25</v>
      </c>
      <c r="R1252">
        <v>3244</v>
      </c>
    </row>
    <row r="1253" spans="1:18" x14ac:dyDescent="0.25">
      <c r="A1253" s="169">
        <v>43852</v>
      </c>
      <c r="B1253" s="115">
        <v>922.09</v>
      </c>
      <c r="C1253" s="115">
        <v>919.55</v>
      </c>
      <c r="D1253" s="115">
        <v>911.68</v>
      </c>
      <c r="E1253" s="115">
        <v>914.66</v>
      </c>
      <c r="F1253" s="115">
        <v>4597.75</v>
      </c>
      <c r="G1253">
        <v>5</v>
      </c>
      <c r="H1253" s="115"/>
      <c r="I1253" s="115"/>
      <c r="L1253" s="169">
        <v>43853</v>
      </c>
      <c r="M1253" s="115">
        <v>926</v>
      </c>
      <c r="N1253" s="115">
        <v>931.99</v>
      </c>
      <c r="O1253" s="115">
        <v>920.22</v>
      </c>
      <c r="P1253" s="115">
        <v>924.2</v>
      </c>
      <c r="Q1253" s="115">
        <v>4630</v>
      </c>
      <c r="R1253">
        <v>6971</v>
      </c>
    </row>
    <row r="1254" spans="1:18" x14ac:dyDescent="0.25">
      <c r="A1254" s="169">
        <v>43853</v>
      </c>
      <c r="B1254" s="115">
        <v>937.34</v>
      </c>
      <c r="C1254" s="115">
        <v>925.73</v>
      </c>
      <c r="D1254" s="115">
        <v>901.06</v>
      </c>
      <c r="E1254" s="115">
        <v>927.16</v>
      </c>
      <c r="F1254" s="115">
        <v>4628.6499999999996</v>
      </c>
      <c r="G1254">
        <v>69</v>
      </c>
      <c r="H1254" s="115"/>
      <c r="I1254" s="115"/>
      <c r="L1254" s="169">
        <v>43854</v>
      </c>
      <c r="M1254" s="115">
        <v>926.22</v>
      </c>
      <c r="N1254" s="115">
        <v>931.76</v>
      </c>
      <c r="O1254" s="115">
        <v>916.02</v>
      </c>
      <c r="P1254" s="115">
        <v>922.99</v>
      </c>
      <c r="Q1254" s="115">
        <v>4631.1000000000004</v>
      </c>
      <c r="R1254">
        <v>4050</v>
      </c>
    </row>
    <row r="1255" spans="1:18" x14ac:dyDescent="0.25">
      <c r="A1255" s="169">
        <v>43854</v>
      </c>
      <c r="B1255" s="115">
        <v>931.47</v>
      </c>
      <c r="C1255" s="115">
        <v>925.31</v>
      </c>
      <c r="D1255" s="115">
        <v>916.42</v>
      </c>
      <c r="E1255" s="115">
        <v>930</v>
      </c>
      <c r="F1255" s="115">
        <v>4626.55</v>
      </c>
      <c r="G1255">
        <v>150</v>
      </c>
      <c r="H1255" s="115"/>
      <c r="I1255" s="115"/>
      <c r="L1255" s="169">
        <v>43857</v>
      </c>
      <c r="M1255" s="115">
        <v>916.68</v>
      </c>
      <c r="N1255" s="115">
        <v>928.41</v>
      </c>
      <c r="O1255" s="115">
        <v>910.52</v>
      </c>
      <c r="P1255" s="115">
        <v>920</v>
      </c>
      <c r="Q1255" s="115">
        <v>4583.3999999999996</v>
      </c>
      <c r="R1255">
        <v>1052</v>
      </c>
    </row>
    <row r="1256" spans="1:18" x14ac:dyDescent="0.25">
      <c r="A1256" s="169">
        <v>43857</v>
      </c>
      <c r="B1256" s="115">
        <v>920.34</v>
      </c>
      <c r="C1256" s="115">
        <v>915.25</v>
      </c>
      <c r="D1256" s="115">
        <v>908</v>
      </c>
      <c r="E1256" s="115">
        <v>920.34</v>
      </c>
      <c r="F1256" s="115">
        <v>4576.25</v>
      </c>
      <c r="G1256">
        <v>35</v>
      </c>
      <c r="H1256" s="115"/>
      <c r="I1256" s="115"/>
      <c r="L1256" s="169">
        <v>43858</v>
      </c>
      <c r="M1256" s="115">
        <v>914.07</v>
      </c>
      <c r="N1256" s="115">
        <v>922.72</v>
      </c>
      <c r="O1256" s="115">
        <v>910.89</v>
      </c>
      <c r="P1256" s="115">
        <v>918.27</v>
      </c>
      <c r="Q1256" s="115">
        <v>4570.3500000000004</v>
      </c>
      <c r="R1256">
        <v>5429</v>
      </c>
    </row>
    <row r="1257" spans="1:18" x14ac:dyDescent="0.25">
      <c r="A1257" s="169">
        <v>43858</v>
      </c>
      <c r="B1257" s="115">
        <v>913</v>
      </c>
      <c r="C1257" s="115">
        <v>913</v>
      </c>
      <c r="D1257" s="115">
        <v>913</v>
      </c>
      <c r="E1257" s="115">
        <v>913</v>
      </c>
      <c r="F1257" s="115">
        <v>4565</v>
      </c>
      <c r="G1257">
        <v>14</v>
      </c>
      <c r="H1257" s="115"/>
      <c r="I1257" s="115"/>
      <c r="L1257" s="169">
        <v>43859</v>
      </c>
      <c r="M1257" s="115">
        <v>934.63</v>
      </c>
      <c r="N1257" s="115">
        <v>944.8</v>
      </c>
      <c r="O1257" s="115">
        <v>916.81</v>
      </c>
      <c r="P1257" s="115">
        <v>922.77</v>
      </c>
      <c r="Q1257" s="115">
        <v>4673.1499999999996</v>
      </c>
      <c r="R1257">
        <v>4943</v>
      </c>
    </row>
    <row r="1258" spans="1:18" x14ac:dyDescent="0.25">
      <c r="A1258" s="169">
        <v>43859</v>
      </c>
      <c r="B1258" s="115">
        <v>944.4</v>
      </c>
      <c r="C1258" s="115">
        <v>939.03</v>
      </c>
      <c r="D1258" s="115">
        <v>915.77</v>
      </c>
      <c r="E1258" s="115">
        <v>921.22</v>
      </c>
      <c r="F1258" s="115">
        <v>4695.1499999999996</v>
      </c>
      <c r="G1258">
        <v>56</v>
      </c>
      <c r="H1258" s="115"/>
      <c r="I1258" s="115"/>
      <c r="L1258" s="169">
        <v>43860</v>
      </c>
      <c r="M1258" s="115">
        <v>928.04</v>
      </c>
      <c r="N1258" s="115">
        <v>938</v>
      </c>
      <c r="O1258" s="115">
        <v>920.27</v>
      </c>
      <c r="P1258" s="115">
        <v>938</v>
      </c>
      <c r="Q1258" s="115">
        <v>4640.2</v>
      </c>
      <c r="R1258">
        <v>7494</v>
      </c>
    </row>
    <row r="1259" spans="1:18" x14ac:dyDescent="0.25">
      <c r="A1259" s="169">
        <v>43860</v>
      </c>
      <c r="B1259" s="115">
        <v>939</v>
      </c>
      <c r="C1259" s="115">
        <v>929.03</v>
      </c>
      <c r="D1259" s="115">
        <v>918.66</v>
      </c>
      <c r="E1259" s="115">
        <v>939</v>
      </c>
      <c r="F1259" s="115">
        <v>4645.1499999999996</v>
      </c>
      <c r="G1259">
        <v>63</v>
      </c>
      <c r="H1259" s="115"/>
      <c r="I1259" s="115"/>
      <c r="L1259" s="169">
        <v>43861</v>
      </c>
      <c r="M1259" s="115">
        <v>914.85</v>
      </c>
      <c r="N1259" s="115">
        <v>936.5</v>
      </c>
      <c r="O1259" s="115">
        <v>910.06</v>
      </c>
      <c r="P1259" s="115">
        <v>932.2</v>
      </c>
      <c r="Q1259" s="115">
        <v>4574.25</v>
      </c>
      <c r="R1259">
        <v>16561</v>
      </c>
    </row>
    <row r="1260" spans="1:18" x14ac:dyDescent="0.25">
      <c r="A1260" s="169">
        <v>43861</v>
      </c>
      <c r="B1260" s="115">
        <v>930</v>
      </c>
      <c r="C1260" s="115">
        <v>914.07</v>
      </c>
      <c r="D1260" s="115">
        <v>914.07</v>
      </c>
      <c r="E1260" s="115">
        <v>930</v>
      </c>
      <c r="F1260" s="115">
        <v>4570.3500000000004</v>
      </c>
      <c r="G1260">
        <v>51</v>
      </c>
      <c r="H1260" s="115"/>
      <c r="I1260" s="115"/>
      <c r="L1260" s="169">
        <v>43862</v>
      </c>
      <c r="M1260" s="115">
        <v>920.21</v>
      </c>
      <c r="N1260" s="115">
        <v>937.64</v>
      </c>
      <c r="O1260" s="115">
        <v>906.76</v>
      </c>
      <c r="P1260" s="115">
        <v>909.2</v>
      </c>
      <c r="Q1260" s="115">
        <v>4601.05</v>
      </c>
      <c r="R1260">
        <v>3268</v>
      </c>
    </row>
    <row r="1261" spans="1:18" x14ac:dyDescent="0.25">
      <c r="A1261" s="169">
        <v>43862</v>
      </c>
      <c r="B1261" s="115">
        <v>929.2</v>
      </c>
      <c r="C1261" s="115">
        <v>919.44</v>
      </c>
      <c r="D1261" s="115">
        <v>917.4</v>
      </c>
      <c r="E1261" s="115">
        <v>929.2</v>
      </c>
      <c r="F1261" s="115">
        <v>4597.2</v>
      </c>
      <c r="G1261">
        <v>63</v>
      </c>
      <c r="H1261" s="115"/>
      <c r="I1261" s="115"/>
      <c r="L1261" s="169">
        <v>43864</v>
      </c>
      <c r="M1261" s="115">
        <v>920.27</v>
      </c>
      <c r="N1261" s="115">
        <v>929.01</v>
      </c>
      <c r="O1261" s="115">
        <v>906.02</v>
      </c>
      <c r="P1261" s="115">
        <v>920</v>
      </c>
      <c r="Q1261" s="115">
        <v>4601.3500000000004</v>
      </c>
      <c r="R1261">
        <v>1549</v>
      </c>
    </row>
    <row r="1262" spans="1:18" x14ac:dyDescent="0.25">
      <c r="A1262" s="169">
        <v>43864</v>
      </c>
      <c r="B1262" s="115">
        <v>919.61</v>
      </c>
      <c r="C1262" s="115">
        <v>916.5</v>
      </c>
      <c r="D1262" s="115">
        <v>909</v>
      </c>
      <c r="E1262" s="115">
        <v>910.2</v>
      </c>
      <c r="F1262" s="115">
        <v>4582.5</v>
      </c>
      <c r="G1262">
        <v>27</v>
      </c>
      <c r="H1262" s="115"/>
      <c r="I1262" s="115"/>
      <c r="L1262" s="169">
        <v>43865</v>
      </c>
      <c r="M1262" s="115">
        <v>927.36</v>
      </c>
      <c r="N1262" s="115">
        <v>930.01</v>
      </c>
      <c r="O1262" s="115">
        <v>910.8</v>
      </c>
      <c r="P1262" s="115">
        <v>911.34</v>
      </c>
      <c r="Q1262" s="115">
        <v>4636.8</v>
      </c>
      <c r="R1262">
        <v>18030</v>
      </c>
    </row>
    <row r="1263" spans="1:18" x14ac:dyDescent="0.25">
      <c r="A1263" s="169">
        <v>43865</v>
      </c>
      <c r="B1263" s="115">
        <v>929.2</v>
      </c>
      <c r="C1263" s="115">
        <v>928.9</v>
      </c>
      <c r="D1263" s="115">
        <v>913</v>
      </c>
      <c r="E1263" s="115">
        <v>922</v>
      </c>
      <c r="F1263" s="115">
        <v>4644.5</v>
      </c>
      <c r="G1263">
        <v>67</v>
      </c>
      <c r="H1263" s="115"/>
      <c r="I1263" s="115"/>
      <c r="L1263" s="169">
        <v>43866</v>
      </c>
      <c r="M1263" s="115">
        <v>958.57</v>
      </c>
      <c r="N1263" s="115">
        <v>991.97</v>
      </c>
      <c r="O1263" s="115">
        <v>922.21</v>
      </c>
      <c r="P1263" s="115">
        <v>923.04</v>
      </c>
      <c r="Q1263" s="115">
        <v>4792.8500000000004</v>
      </c>
      <c r="R1263">
        <v>12464</v>
      </c>
    </row>
    <row r="1264" spans="1:18" x14ac:dyDescent="0.25">
      <c r="A1264" s="169">
        <v>43866</v>
      </c>
      <c r="B1264" s="115">
        <v>990</v>
      </c>
      <c r="C1264" s="115">
        <v>958.11</v>
      </c>
      <c r="D1264" s="115">
        <v>929</v>
      </c>
      <c r="E1264" s="115">
        <v>929</v>
      </c>
      <c r="F1264" s="115">
        <v>4790.55</v>
      </c>
      <c r="G1264">
        <v>613</v>
      </c>
      <c r="H1264" s="115"/>
      <c r="I1264" s="115"/>
      <c r="L1264" s="169">
        <v>43867</v>
      </c>
      <c r="M1264" s="115">
        <v>949.26</v>
      </c>
      <c r="N1264" s="115">
        <v>960</v>
      </c>
      <c r="O1264" s="115">
        <v>943.81</v>
      </c>
      <c r="P1264" s="115">
        <v>944.2</v>
      </c>
      <c r="Q1264" s="115">
        <v>4746.3</v>
      </c>
      <c r="R1264">
        <v>17903</v>
      </c>
    </row>
    <row r="1265" spans="1:18" x14ac:dyDescent="0.25">
      <c r="A1265" s="169">
        <v>43867</v>
      </c>
      <c r="B1265" s="115">
        <v>959.6</v>
      </c>
      <c r="C1265" s="115">
        <v>948.84</v>
      </c>
      <c r="D1265" s="115">
        <v>948.74</v>
      </c>
      <c r="E1265" s="115">
        <v>951.11</v>
      </c>
      <c r="F1265" s="115">
        <v>4744.2</v>
      </c>
      <c r="G1265">
        <v>14</v>
      </c>
      <c r="H1265" s="115"/>
      <c r="I1265" s="115"/>
      <c r="L1265" s="169">
        <v>43868</v>
      </c>
      <c r="M1265" s="115">
        <v>940.24</v>
      </c>
      <c r="N1265" s="115">
        <v>948</v>
      </c>
      <c r="O1265" s="115">
        <v>927.6</v>
      </c>
      <c r="P1265" s="115">
        <v>948</v>
      </c>
      <c r="Q1265" s="115">
        <v>4701.2</v>
      </c>
      <c r="R1265">
        <v>21107</v>
      </c>
    </row>
    <row r="1266" spans="1:18" x14ac:dyDescent="0.25">
      <c r="A1266" s="169">
        <v>43868</v>
      </c>
      <c r="B1266" s="115">
        <v>949</v>
      </c>
      <c r="C1266" s="115">
        <v>941.17</v>
      </c>
      <c r="D1266" s="115">
        <v>931.5</v>
      </c>
      <c r="E1266" s="115">
        <v>949</v>
      </c>
      <c r="F1266" s="115">
        <v>4705.8500000000004</v>
      </c>
      <c r="G1266">
        <v>235</v>
      </c>
      <c r="H1266" s="115"/>
      <c r="I1266" s="115"/>
      <c r="L1266" s="169">
        <v>43871</v>
      </c>
      <c r="M1266" s="115">
        <v>937.89</v>
      </c>
      <c r="N1266" s="115">
        <v>948</v>
      </c>
      <c r="O1266" s="115">
        <v>924.22</v>
      </c>
      <c r="P1266" s="115">
        <v>938</v>
      </c>
      <c r="Q1266" s="115">
        <v>4689.45</v>
      </c>
      <c r="R1266">
        <v>1651</v>
      </c>
    </row>
    <row r="1267" spans="1:18" x14ac:dyDescent="0.25">
      <c r="A1267" s="169">
        <v>43871</v>
      </c>
      <c r="B1267" s="115">
        <v>940</v>
      </c>
      <c r="C1267" s="115">
        <v>930.85</v>
      </c>
      <c r="D1267" s="115">
        <v>927.53</v>
      </c>
      <c r="E1267" s="115">
        <v>938.55</v>
      </c>
      <c r="F1267" s="115">
        <v>4654.25</v>
      </c>
      <c r="G1267">
        <v>10</v>
      </c>
      <c r="H1267" s="115"/>
      <c r="I1267" s="115"/>
      <c r="L1267" s="169">
        <v>43872</v>
      </c>
      <c r="M1267" s="115">
        <v>930.52</v>
      </c>
      <c r="N1267" s="115">
        <v>944.54</v>
      </c>
      <c r="O1267" s="115">
        <v>916.02</v>
      </c>
      <c r="P1267" s="115">
        <v>942</v>
      </c>
      <c r="Q1267" s="115">
        <v>4652.6000000000004</v>
      </c>
      <c r="R1267">
        <v>8076</v>
      </c>
    </row>
    <row r="1268" spans="1:18" x14ac:dyDescent="0.25">
      <c r="A1268" s="169">
        <v>43872</v>
      </c>
      <c r="B1268" s="115">
        <v>943.2</v>
      </c>
      <c r="C1268" s="115">
        <v>927.62</v>
      </c>
      <c r="D1268" s="115">
        <v>920</v>
      </c>
      <c r="E1268" s="115">
        <v>940.44</v>
      </c>
      <c r="F1268" s="115">
        <v>4638.1000000000004</v>
      </c>
      <c r="G1268">
        <v>63</v>
      </c>
      <c r="H1268" s="115"/>
      <c r="I1268" s="115"/>
      <c r="L1268" s="169">
        <v>43873</v>
      </c>
      <c r="M1268" s="115">
        <v>927.89</v>
      </c>
      <c r="N1268" s="115">
        <v>937.8</v>
      </c>
      <c r="O1268" s="115">
        <v>918.26</v>
      </c>
      <c r="P1268" s="115">
        <v>930.56</v>
      </c>
      <c r="Q1268" s="115">
        <v>4639.45</v>
      </c>
      <c r="R1268">
        <v>1310</v>
      </c>
    </row>
    <row r="1269" spans="1:18" x14ac:dyDescent="0.25">
      <c r="A1269" s="169">
        <v>43873</v>
      </c>
      <c r="B1269" s="115">
        <v>937.06</v>
      </c>
      <c r="C1269" s="115">
        <v>921.1</v>
      </c>
      <c r="D1269" s="115">
        <v>918.12</v>
      </c>
      <c r="E1269" s="115">
        <v>927</v>
      </c>
      <c r="F1269" s="115">
        <v>4605.5</v>
      </c>
      <c r="G1269">
        <v>102</v>
      </c>
      <c r="H1269" s="115"/>
      <c r="I1269" s="115"/>
      <c r="L1269" s="169">
        <v>43874</v>
      </c>
      <c r="M1269" s="115">
        <v>920.75</v>
      </c>
      <c r="N1269" s="115">
        <v>928.55</v>
      </c>
      <c r="O1269" s="115">
        <v>906.53</v>
      </c>
      <c r="P1269" s="115">
        <v>915.2</v>
      </c>
      <c r="Q1269" s="115">
        <v>4603.75</v>
      </c>
      <c r="R1269">
        <v>4400</v>
      </c>
    </row>
    <row r="1270" spans="1:18" x14ac:dyDescent="0.25">
      <c r="A1270" s="169">
        <v>43874</v>
      </c>
      <c r="B1270" s="115">
        <v>926</v>
      </c>
      <c r="C1270" s="115">
        <v>921.4</v>
      </c>
      <c r="D1270" s="115">
        <v>908.63</v>
      </c>
      <c r="E1270" s="115">
        <v>908.63</v>
      </c>
      <c r="F1270" s="115">
        <v>4607</v>
      </c>
      <c r="G1270">
        <v>66</v>
      </c>
      <c r="H1270" s="115"/>
      <c r="I1270" s="115"/>
      <c r="L1270" s="169">
        <v>43875</v>
      </c>
      <c r="M1270" s="115">
        <v>900.15</v>
      </c>
      <c r="N1270" s="115">
        <v>922.08</v>
      </c>
      <c r="O1270" s="115">
        <v>899.99</v>
      </c>
      <c r="P1270" s="115">
        <v>910.29</v>
      </c>
      <c r="Q1270" s="115">
        <v>4500.75</v>
      </c>
      <c r="R1270">
        <v>13605</v>
      </c>
    </row>
    <row r="1271" spans="1:18" x14ac:dyDescent="0.25">
      <c r="A1271" s="169">
        <v>43875</v>
      </c>
      <c r="B1271" s="115">
        <v>920</v>
      </c>
      <c r="C1271" s="115">
        <v>901.14</v>
      </c>
      <c r="D1271" s="115">
        <v>900</v>
      </c>
      <c r="E1271" s="115">
        <v>918.47</v>
      </c>
      <c r="F1271" s="115">
        <v>4505.7</v>
      </c>
      <c r="G1271">
        <v>371</v>
      </c>
      <c r="H1271" s="115"/>
      <c r="I1271" s="115"/>
      <c r="L1271" s="169">
        <v>43878</v>
      </c>
      <c r="M1271" s="115">
        <v>891.64</v>
      </c>
      <c r="N1271" s="115">
        <v>899.97</v>
      </c>
      <c r="O1271" s="115">
        <v>881.99</v>
      </c>
      <c r="P1271" s="115">
        <v>896</v>
      </c>
      <c r="Q1271" s="115">
        <v>4458.2</v>
      </c>
      <c r="R1271">
        <v>1082</v>
      </c>
    </row>
    <row r="1272" spans="1:18" x14ac:dyDescent="0.25">
      <c r="A1272" s="169">
        <v>43878</v>
      </c>
      <c r="B1272" s="115">
        <v>896.87</v>
      </c>
      <c r="C1272" s="115">
        <v>890.36</v>
      </c>
      <c r="D1272" s="115">
        <v>888.2</v>
      </c>
      <c r="E1272" s="115">
        <v>895</v>
      </c>
      <c r="F1272" s="115">
        <v>4451.8</v>
      </c>
      <c r="G1272">
        <v>140</v>
      </c>
      <c r="H1272" s="115"/>
      <c r="I1272" s="115"/>
      <c r="L1272" s="169">
        <v>43879</v>
      </c>
      <c r="M1272" s="115">
        <v>904.94</v>
      </c>
      <c r="N1272" s="115">
        <v>915.65</v>
      </c>
      <c r="O1272" s="115">
        <v>872.84</v>
      </c>
      <c r="P1272" s="115">
        <v>888</v>
      </c>
      <c r="Q1272" s="115">
        <v>4524.7</v>
      </c>
      <c r="R1272">
        <v>3931</v>
      </c>
    </row>
    <row r="1273" spans="1:18" x14ac:dyDescent="0.25">
      <c r="A1273" s="169">
        <v>43879</v>
      </c>
      <c r="B1273" s="115">
        <v>916.57</v>
      </c>
      <c r="C1273" s="115">
        <v>910.86</v>
      </c>
      <c r="D1273" s="115">
        <v>874</v>
      </c>
      <c r="E1273" s="115">
        <v>889.07</v>
      </c>
      <c r="F1273" s="115">
        <v>4554.3</v>
      </c>
      <c r="G1273">
        <v>73</v>
      </c>
      <c r="H1273" s="115"/>
      <c r="I1273" s="115"/>
      <c r="L1273" s="169">
        <v>43880</v>
      </c>
      <c r="M1273" s="115">
        <v>919.63</v>
      </c>
      <c r="N1273" s="115">
        <v>932.47</v>
      </c>
      <c r="O1273" s="115">
        <v>897.53</v>
      </c>
      <c r="P1273" s="115">
        <v>906.2</v>
      </c>
      <c r="Q1273" s="115">
        <v>4598.1499999999996</v>
      </c>
      <c r="R1273">
        <v>3628</v>
      </c>
    </row>
    <row r="1274" spans="1:18" x14ac:dyDescent="0.25">
      <c r="A1274" s="169">
        <v>43880</v>
      </c>
      <c r="B1274" s="115">
        <v>929.2</v>
      </c>
      <c r="C1274" s="115">
        <v>918.73</v>
      </c>
      <c r="D1274" s="115">
        <v>899.52</v>
      </c>
      <c r="E1274" s="115">
        <v>902.93</v>
      </c>
      <c r="F1274" s="115">
        <v>4593.6499999999996</v>
      </c>
      <c r="G1274">
        <v>1723</v>
      </c>
      <c r="H1274" s="115"/>
      <c r="I1274" s="115"/>
      <c r="L1274" s="169">
        <v>43881</v>
      </c>
      <c r="M1274" s="115">
        <v>929.39</v>
      </c>
      <c r="N1274" s="115">
        <v>932</v>
      </c>
      <c r="O1274" s="115">
        <v>906.14</v>
      </c>
      <c r="P1274" s="115">
        <v>906.15</v>
      </c>
      <c r="Q1274" s="115">
        <v>4646.95</v>
      </c>
      <c r="R1274">
        <v>2154</v>
      </c>
    </row>
    <row r="1275" spans="1:18" x14ac:dyDescent="0.25">
      <c r="A1275" s="169">
        <v>43881</v>
      </c>
      <c r="B1275" s="115">
        <v>932.89</v>
      </c>
      <c r="C1275" s="115">
        <v>928.2</v>
      </c>
      <c r="D1275" s="115">
        <v>910</v>
      </c>
      <c r="E1275" s="115">
        <v>913.42</v>
      </c>
      <c r="F1275" s="115">
        <v>4641</v>
      </c>
      <c r="G1275">
        <v>642</v>
      </c>
      <c r="H1275" s="115"/>
      <c r="I1275" s="115"/>
      <c r="L1275" s="169">
        <v>43885</v>
      </c>
      <c r="M1275" s="115">
        <v>920.04</v>
      </c>
      <c r="N1275" s="115">
        <v>937.43</v>
      </c>
      <c r="O1275" s="115">
        <v>911.54</v>
      </c>
      <c r="P1275" s="115">
        <v>920.23</v>
      </c>
      <c r="Q1275" s="115">
        <v>4600.2</v>
      </c>
      <c r="R1275">
        <v>5701</v>
      </c>
    </row>
    <row r="1276" spans="1:18" x14ac:dyDescent="0.25">
      <c r="A1276" s="169">
        <v>43885</v>
      </c>
      <c r="B1276" s="115">
        <v>928.7</v>
      </c>
      <c r="C1276" s="115">
        <v>919.84</v>
      </c>
      <c r="D1276" s="115">
        <v>916</v>
      </c>
      <c r="E1276" s="115">
        <v>928.7</v>
      </c>
      <c r="F1276" s="115">
        <v>4599.2</v>
      </c>
      <c r="G1276">
        <v>101</v>
      </c>
      <c r="H1276" s="115"/>
      <c r="I1276" s="115"/>
      <c r="L1276" s="169">
        <v>43886</v>
      </c>
      <c r="M1276" s="115">
        <v>909.17</v>
      </c>
      <c r="N1276" s="115">
        <v>926.43</v>
      </c>
      <c r="O1276" s="115">
        <v>904.01</v>
      </c>
      <c r="P1276" s="115">
        <v>924.33</v>
      </c>
      <c r="Q1276" s="115">
        <v>4545.8500000000004</v>
      </c>
      <c r="R1276">
        <v>4950</v>
      </c>
    </row>
    <row r="1277" spans="1:18" x14ac:dyDescent="0.25">
      <c r="A1277" s="169">
        <v>43886</v>
      </c>
      <c r="B1277" s="115">
        <v>928.17</v>
      </c>
      <c r="C1277" s="115">
        <v>908.64</v>
      </c>
      <c r="D1277" s="115">
        <v>904.8</v>
      </c>
      <c r="E1277" s="115">
        <v>920.19</v>
      </c>
      <c r="F1277" s="115">
        <v>4543.2</v>
      </c>
      <c r="G1277">
        <v>30</v>
      </c>
      <c r="H1277" s="115"/>
      <c r="I1277" s="115"/>
      <c r="L1277" s="169">
        <v>43887</v>
      </c>
      <c r="M1277" s="115">
        <v>899.83</v>
      </c>
      <c r="N1277" s="115">
        <v>920.04</v>
      </c>
      <c r="O1277" s="115">
        <v>889.61</v>
      </c>
      <c r="P1277" s="115">
        <v>919.99</v>
      </c>
      <c r="Q1277" s="115">
        <v>4499.1499999999996</v>
      </c>
      <c r="R1277">
        <v>5828</v>
      </c>
    </row>
    <row r="1278" spans="1:18" x14ac:dyDescent="0.25">
      <c r="A1278" s="169">
        <v>43887</v>
      </c>
      <c r="B1278" s="115">
        <v>903.55</v>
      </c>
      <c r="C1278" s="115">
        <v>897.63</v>
      </c>
      <c r="D1278" s="115">
        <v>891.2</v>
      </c>
      <c r="E1278" s="115">
        <v>895.28</v>
      </c>
      <c r="F1278" s="115">
        <v>4488.1499999999996</v>
      </c>
      <c r="G1278">
        <v>47</v>
      </c>
      <c r="H1278" s="115"/>
      <c r="I1278" s="115"/>
      <c r="L1278" s="169">
        <v>43888</v>
      </c>
      <c r="M1278" s="115">
        <v>903.29</v>
      </c>
      <c r="N1278" s="115">
        <v>914.99</v>
      </c>
      <c r="O1278" s="115">
        <v>890.68</v>
      </c>
      <c r="P1278" s="115">
        <v>901.87</v>
      </c>
      <c r="Q1278" s="115">
        <v>4516.45</v>
      </c>
      <c r="R1278">
        <v>8074</v>
      </c>
    </row>
    <row r="1279" spans="1:18" x14ac:dyDescent="0.25">
      <c r="A1279" s="169">
        <v>43888</v>
      </c>
      <c r="B1279" s="115">
        <v>911.7</v>
      </c>
      <c r="C1279" s="115">
        <v>905.95</v>
      </c>
      <c r="D1279" s="115">
        <v>894.6</v>
      </c>
      <c r="E1279" s="115">
        <v>894.6</v>
      </c>
      <c r="F1279" s="115">
        <v>4529.75</v>
      </c>
      <c r="G1279">
        <v>901</v>
      </c>
      <c r="H1279" s="115"/>
      <c r="I1279" s="115"/>
      <c r="L1279" s="169">
        <v>43889</v>
      </c>
      <c r="M1279" s="115">
        <v>873.15</v>
      </c>
      <c r="N1279" s="115">
        <v>894</v>
      </c>
      <c r="O1279" s="115">
        <v>854</v>
      </c>
      <c r="P1279" s="115">
        <v>884.24</v>
      </c>
      <c r="Q1279" s="115">
        <v>4365.75</v>
      </c>
      <c r="R1279">
        <v>7256</v>
      </c>
    </row>
    <row r="1280" spans="1:18" x14ac:dyDescent="0.25">
      <c r="A1280" s="169">
        <v>43889</v>
      </c>
      <c r="B1280" s="115">
        <v>884.48</v>
      </c>
      <c r="C1280" s="115">
        <v>871.37</v>
      </c>
      <c r="D1280" s="115">
        <v>860</v>
      </c>
      <c r="E1280" s="115">
        <v>884</v>
      </c>
      <c r="F1280" s="115">
        <v>4356.8500000000004</v>
      </c>
      <c r="G1280">
        <v>410</v>
      </c>
      <c r="H1280" s="115"/>
      <c r="I1280" s="115"/>
      <c r="L1280" s="169">
        <v>43892</v>
      </c>
      <c r="M1280" s="115">
        <v>876.55</v>
      </c>
      <c r="N1280" s="115">
        <v>899.79</v>
      </c>
      <c r="O1280" s="115">
        <v>868.2</v>
      </c>
      <c r="P1280" s="115">
        <v>870.2</v>
      </c>
      <c r="Q1280" s="115">
        <v>4382.75</v>
      </c>
      <c r="R1280">
        <v>10654</v>
      </c>
    </row>
    <row r="1281" spans="1:18" x14ac:dyDescent="0.25">
      <c r="A1281" s="169">
        <v>43892</v>
      </c>
      <c r="B1281" s="115">
        <v>883.8</v>
      </c>
      <c r="C1281" s="115">
        <v>880.38</v>
      </c>
      <c r="D1281" s="115">
        <v>855.41</v>
      </c>
      <c r="E1281" s="115">
        <v>870.8</v>
      </c>
      <c r="F1281" s="115">
        <v>4401.8999999999996</v>
      </c>
      <c r="G1281">
        <v>78</v>
      </c>
      <c r="H1281" s="115"/>
      <c r="I1281" s="115"/>
      <c r="L1281" s="169">
        <v>43893</v>
      </c>
      <c r="M1281" s="115">
        <v>875.63</v>
      </c>
      <c r="N1281" s="115">
        <v>884.11</v>
      </c>
      <c r="O1281" s="115">
        <v>862.2</v>
      </c>
      <c r="P1281" s="115">
        <v>862.2</v>
      </c>
      <c r="Q1281" s="115">
        <v>4378.1499999999996</v>
      </c>
      <c r="R1281">
        <v>5291</v>
      </c>
    </row>
    <row r="1282" spans="1:18" x14ac:dyDescent="0.25">
      <c r="A1282" s="169">
        <v>43893</v>
      </c>
      <c r="B1282" s="115">
        <v>879.63</v>
      </c>
      <c r="C1282" s="115">
        <v>877.17</v>
      </c>
      <c r="D1282" s="115">
        <v>871.84</v>
      </c>
      <c r="E1282" s="115">
        <v>874.43</v>
      </c>
      <c r="F1282" s="115">
        <v>4385.8500000000004</v>
      </c>
      <c r="G1282">
        <v>24</v>
      </c>
      <c r="H1282" s="115"/>
      <c r="I1282" s="115"/>
      <c r="L1282" s="169">
        <v>43894</v>
      </c>
      <c r="M1282" s="115">
        <v>878.48</v>
      </c>
      <c r="N1282" s="115">
        <v>886</v>
      </c>
      <c r="O1282" s="115">
        <v>862.01</v>
      </c>
      <c r="P1282" s="115">
        <v>886</v>
      </c>
      <c r="Q1282" s="115">
        <v>4392.3999999999996</v>
      </c>
      <c r="R1282">
        <v>11274</v>
      </c>
    </row>
    <row r="1283" spans="1:18" x14ac:dyDescent="0.25">
      <c r="A1283" s="169">
        <v>43894</v>
      </c>
      <c r="B1283" s="115">
        <v>878.85</v>
      </c>
      <c r="C1283" s="115">
        <v>872.03</v>
      </c>
      <c r="D1283" s="115">
        <v>869.38</v>
      </c>
      <c r="E1283" s="115">
        <v>869.38</v>
      </c>
      <c r="F1283" s="115">
        <v>4360.1499999999996</v>
      </c>
      <c r="G1283">
        <v>264</v>
      </c>
      <c r="H1283" s="115"/>
      <c r="I1283" s="115"/>
      <c r="L1283" s="169">
        <v>43895</v>
      </c>
      <c r="M1283" s="115">
        <v>895.05</v>
      </c>
      <c r="N1283" s="115">
        <v>899.9</v>
      </c>
      <c r="O1283" s="115">
        <v>870.41</v>
      </c>
      <c r="P1283" s="115">
        <v>880.27</v>
      </c>
      <c r="Q1283" s="115">
        <v>4475.25</v>
      </c>
      <c r="R1283">
        <v>3673</v>
      </c>
    </row>
    <row r="1284" spans="1:18" x14ac:dyDescent="0.25">
      <c r="A1284" s="169">
        <v>43895</v>
      </c>
      <c r="B1284" s="115">
        <v>917.6</v>
      </c>
      <c r="C1284" s="115">
        <v>894.54</v>
      </c>
      <c r="D1284" s="115">
        <v>888.31</v>
      </c>
      <c r="E1284" s="115">
        <v>888.31</v>
      </c>
      <c r="F1284" s="115">
        <v>4472.7</v>
      </c>
      <c r="G1284">
        <v>24</v>
      </c>
      <c r="H1284" s="115"/>
      <c r="I1284" s="115"/>
      <c r="L1284" s="169">
        <v>43896</v>
      </c>
      <c r="M1284" s="115">
        <v>875.28</v>
      </c>
      <c r="N1284" s="115">
        <v>895.6</v>
      </c>
      <c r="O1284" s="115">
        <v>865.06</v>
      </c>
      <c r="P1284" s="115">
        <v>889.6</v>
      </c>
      <c r="Q1284" s="115">
        <v>4376.3999999999996</v>
      </c>
      <c r="R1284">
        <v>3077</v>
      </c>
    </row>
    <row r="1285" spans="1:18" x14ac:dyDescent="0.25">
      <c r="A1285" s="169">
        <v>43896</v>
      </c>
      <c r="B1285" s="115">
        <v>891.1</v>
      </c>
      <c r="C1285" s="115">
        <v>876.3</v>
      </c>
      <c r="D1285" s="115">
        <v>861.75</v>
      </c>
      <c r="E1285" s="115">
        <v>881</v>
      </c>
      <c r="F1285" s="115">
        <v>4381.5</v>
      </c>
      <c r="G1285">
        <v>74</v>
      </c>
      <c r="H1285" s="115"/>
      <c r="I1285" s="115"/>
      <c r="L1285" s="169">
        <v>43899</v>
      </c>
      <c r="M1285" s="115">
        <v>869.68</v>
      </c>
      <c r="N1285" s="115">
        <v>895.55</v>
      </c>
      <c r="O1285" s="115">
        <v>844</v>
      </c>
      <c r="P1285" s="115">
        <v>895.55</v>
      </c>
      <c r="Q1285" s="115">
        <v>4348.3999999999996</v>
      </c>
      <c r="R1285">
        <v>4913</v>
      </c>
    </row>
    <row r="1286" spans="1:18" x14ac:dyDescent="0.25">
      <c r="A1286" s="169">
        <v>43899</v>
      </c>
      <c r="B1286" s="115">
        <v>870.32</v>
      </c>
      <c r="C1286" s="115">
        <v>866.79</v>
      </c>
      <c r="D1286" s="115">
        <v>828.2</v>
      </c>
      <c r="E1286" s="115">
        <v>828.2</v>
      </c>
      <c r="F1286" s="115">
        <v>4333.95</v>
      </c>
      <c r="G1286">
        <v>117</v>
      </c>
      <c r="H1286" s="115"/>
      <c r="I1286" s="115"/>
      <c r="L1286" s="169">
        <v>43901</v>
      </c>
      <c r="M1286" s="115">
        <v>857.85</v>
      </c>
      <c r="N1286" s="115">
        <v>893</v>
      </c>
      <c r="O1286" s="115">
        <v>844.22</v>
      </c>
      <c r="P1286" s="115">
        <v>893</v>
      </c>
      <c r="Q1286" s="115">
        <v>4289.25</v>
      </c>
      <c r="R1286">
        <v>3284</v>
      </c>
    </row>
    <row r="1287" spans="1:18" x14ac:dyDescent="0.25">
      <c r="A1287" s="169">
        <v>43901</v>
      </c>
      <c r="B1287" s="115">
        <v>874.88</v>
      </c>
      <c r="C1287" s="115">
        <v>849.48</v>
      </c>
      <c r="D1287" s="115">
        <v>843.39</v>
      </c>
      <c r="E1287" s="115">
        <v>872</v>
      </c>
      <c r="F1287" s="115">
        <v>4247.3999999999996</v>
      </c>
      <c r="G1287">
        <v>69</v>
      </c>
      <c r="H1287" s="115"/>
      <c r="I1287" s="115"/>
      <c r="L1287" s="169">
        <v>43902</v>
      </c>
      <c r="M1287" s="115">
        <v>829.05</v>
      </c>
      <c r="N1287" s="115">
        <v>844.01</v>
      </c>
      <c r="O1287" s="115">
        <v>780.27</v>
      </c>
      <c r="P1287" s="115">
        <v>828</v>
      </c>
      <c r="Q1287" s="115">
        <v>4145.25</v>
      </c>
      <c r="R1287">
        <v>13952</v>
      </c>
    </row>
    <row r="1288" spans="1:18" x14ac:dyDescent="0.25">
      <c r="A1288" s="169">
        <v>43902</v>
      </c>
      <c r="B1288" s="115">
        <v>838</v>
      </c>
      <c r="C1288" s="115">
        <v>822.36</v>
      </c>
      <c r="D1288" s="115">
        <v>800</v>
      </c>
      <c r="E1288" s="115">
        <v>832.14</v>
      </c>
      <c r="F1288" s="115">
        <v>4111.8</v>
      </c>
      <c r="G1288">
        <v>300</v>
      </c>
      <c r="H1288" s="115"/>
      <c r="I1288" s="115"/>
      <c r="L1288" s="169">
        <v>43903</v>
      </c>
      <c r="M1288" s="115">
        <v>859.55</v>
      </c>
      <c r="N1288" s="115">
        <v>864.95</v>
      </c>
      <c r="O1288" s="115">
        <v>681.2</v>
      </c>
      <c r="P1288" s="115">
        <v>734</v>
      </c>
      <c r="Q1288" s="115">
        <v>4297.75</v>
      </c>
      <c r="R1288">
        <v>24362</v>
      </c>
    </row>
    <row r="1289" spans="1:18" x14ac:dyDescent="0.25">
      <c r="A1289" s="169">
        <v>43903</v>
      </c>
      <c r="B1289" s="115">
        <v>861.29</v>
      </c>
      <c r="C1289" s="115">
        <v>853.01</v>
      </c>
      <c r="D1289" s="115">
        <v>660</v>
      </c>
      <c r="E1289" s="115">
        <v>800</v>
      </c>
      <c r="F1289" s="115">
        <v>4265.05</v>
      </c>
      <c r="G1289">
        <v>399</v>
      </c>
      <c r="H1289" s="115"/>
      <c r="I1289" s="115"/>
      <c r="L1289" s="169">
        <v>43906</v>
      </c>
      <c r="M1289" s="115">
        <v>828.98</v>
      </c>
      <c r="N1289" s="115">
        <v>865</v>
      </c>
      <c r="O1289" s="115">
        <v>812.22</v>
      </c>
      <c r="P1289" s="115">
        <v>860</v>
      </c>
      <c r="Q1289" s="115">
        <v>4144.8999999999996</v>
      </c>
      <c r="R1289">
        <v>10578</v>
      </c>
    </row>
    <row r="1290" spans="1:18" x14ac:dyDescent="0.25">
      <c r="A1290" s="169">
        <v>43906</v>
      </c>
      <c r="B1290" s="115">
        <v>846.8</v>
      </c>
      <c r="C1290" s="115">
        <v>816.07</v>
      </c>
      <c r="D1290" s="115">
        <v>800.01</v>
      </c>
      <c r="E1290" s="115">
        <v>838.2</v>
      </c>
      <c r="F1290" s="115">
        <v>4080.35</v>
      </c>
      <c r="G1290">
        <v>204</v>
      </c>
      <c r="H1290" s="115"/>
      <c r="I1290" s="115"/>
      <c r="L1290" s="169">
        <v>43907</v>
      </c>
      <c r="M1290" s="115">
        <v>828.98</v>
      </c>
      <c r="N1290" s="115">
        <v>850</v>
      </c>
      <c r="O1290" s="115">
        <v>800.31</v>
      </c>
      <c r="P1290" s="115">
        <v>812.48</v>
      </c>
      <c r="Q1290" s="115">
        <v>4144.8999999999996</v>
      </c>
      <c r="R1290">
        <v>5783</v>
      </c>
    </row>
    <row r="1291" spans="1:18" x14ac:dyDescent="0.25">
      <c r="A1291" s="169">
        <v>43907</v>
      </c>
      <c r="B1291" s="115">
        <v>979.2</v>
      </c>
      <c r="C1291" s="115">
        <v>823.26</v>
      </c>
      <c r="D1291" s="115">
        <v>798.71</v>
      </c>
      <c r="E1291" s="115">
        <v>900</v>
      </c>
      <c r="F1291" s="115">
        <v>4116.3</v>
      </c>
      <c r="G1291">
        <v>168</v>
      </c>
      <c r="H1291" s="115"/>
      <c r="I1291" s="115"/>
      <c r="L1291" s="169">
        <v>43908</v>
      </c>
      <c r="M1291" s="115">
        <v>801.91</v>
      </c>
      <c r="N1291" s="115">
        <v>849.17</v>
      </c>
      <c r="O1291" s="115">
        <v>744.2</v>
      </c>
      <c r="P1291" s="115">
        <v>830.95</v>
      </c>
      <c r="Q1291" s="115">
        <v>4009.55</v>
      </c>
      <c r="R1291">
        <v>6372</v>
      </c>
    </row>
    <row r="1292" spans="1:18" x14ac:dyDescent="0.25">
      <c r="A1292" s="169">
        <v>43908</v>
      </c>
      <c r="B1292" s="115">
        <v>844.4</v>
      </c>
      <c r="C1292" s="115">
        <v>774.55</v>
      </c>
      <c r="D1292" s="115">
        <v>748</v>
      </c>
      <c r="E1292" s="115">
        <v>823.2</v>
      </c>
      <c r="F1292" s="115">
        <v>3872.75</v>
      </c>
      <c r="G1292">
        <v>193</v>
      </c>
      <c r="H1292" s="115"/>
      <c r="I1292" s="115"/>
      <c r="L1292" s="169">
        <v>43909</v>
      </c>
      <c r="M1292" s="115">
        <v>802.01</v>
      </c>
      <c r="N1292" s="115">
        <v>809.99</v>
      </c>
      <c r="O1292" s="115">
        <v>710.61</v>
      </c>
      <c r="P1292" s="115">
        <v>787.49</v>
      </c>
      <c r="Q1292" s="115">
        <v>4010.05</v>
      </c>
      <c r="R1292">
        <v>8894</v>
      </c>
    </row>
    <row r="1293" spans="1:18" x14ac:dyDescent="0.25">
      <c r="A1293" s="169">
        <v>43909</v>
      </c>
      <c r="B1293" s="115">
        <v>809.64</v>
      </c>
      <c r="C1293" s="115">
        <v>799.11</v>
      </c>
      <c r="D1293" s="115">
        <v>711.56</v>
      </c>
      <c r="E1293" s="115">
        <v>750.89</v>
      </c>
      <c r="F1293" s="115">
        <v>3995.55</v>
      </c>
      <c r="G1293">
        <v>235</v>
      </c>
      <c r="H1293" s="115"/>
      <c r="I1293" s="115"/>
      <c r="L1293" s="169">
        <v>43910</v>
      </c>
      <c r="M1293" s="115">
        <v>783.44</v>
      </c>
      <c r="N1293" s="115">
        <v>796.05</v>
      </c>
      <c r="O1293" s="115">
        <v>761.38</v>
      </c>
      <c r="P1293" s="115">
        <v>782.29</v>
      </c>
      <c r="Q1293" s="115">
        <v>3917.2</v>
      </c>
      <c r="R1293">
        <v>13475</v>
      </c>
    </row>
    <row r="1294" spans="1:18" x14ac:dyDescent="0.25">
      <c r="A1294" s="169">
        <v>43910</v>
      </c>
      <c r="B1294" s="115">
        <v>790</v>
      </c>
      <c r="C1294" s="115">
        <v>780.19</v>
      </c>
      <c r="D1294" s="115">
        <v>768.97</v>
      </c>
      <c r="E1294" s="115">
        <v>780</v>
      </c>
      <c r="F1294" s="115">
        <v>3900.95</v>
      </c>
      <c r="G1294">
        <v>40</v>
      </c>
      <c r="H1294" s="115"/>
      <c r="I1294" s="115"/>
      <c r="L1294" s="169">
        <v>43913</v>
      </c>
      <c r="M1294" s="115">
        <v>717.89</v>
      </c>
      <c r="N1294" s="115">
        <v>759.99</v>
      </c>
      <c r="O1294" s="115">
        <v>662.3</v>
      </c>
      <c r="P1294" s="115">
        <v>759.99</v>
      </c>
      <c r="Q1294" s="115">
        <v>3589.45</v>
      </c>
      <c r="R1294">
        <v>6839</v>
      </c>
    </row>
    <row r="1295" spans="1:18" x14ac:dyDescent="0.25">
      <c r="A1295" s="169">
        <v>43913</v>
      </c>
      <c r="B1295" s="115">
        <v>728.46</v>
      </c>
      <c r="C1295" s="115">
        <v>723.83</v>
      </c>
      <c r="D1295" s="115">
        <v>641.20000000000005</v>
      </c>
      <c r="E1295" s="115">
        <v>693.05</v>
      </c>
      <c r="F1295" s="115">
        <v>3619.15</v>
      </c>
      <c r="G1295">
        <v>652</v>
      </c>
      <c r="H1295" s="115"/>
      <c r="I1295" s="115"/>
      <c r="L1295" s="169">
        <v>43914</v>
      </c>
      <c r="M1295" s="115">
        <v>710.06</v>
      </c>
      <c r="N1295" s="115">
        <v>759.78</v>
      </c>
      <c r="O1295" s="115">
        <v>706.05</v>
      </c>
      <c r="P1295" s="115">
        <v>721.01</v>
      </c>
      <c r="Q1295" s="115">
        <v>3550.3</v>
      </c>
      <c r="R1295">
        <v>5116</v>
      </c>
    </row>
    <row r="1296" spans="1:18" x14ac:dyDescent="0.25">
      <c r="A1296" s="169">
        <v>43914</v>
      </c>
      <c r="B1296" s="115">
        <v>759.42</v>
      </c>
      <c r="C1296" s="115">
        <v>710.38</v>
      </c>
      <c r="D1296" s="115">
        <v>708.98</v>
      </c>
      <c r="E1296" s="115">
        <v>714</v>
      </c>
      <c r="F1296" s="115">
        <v>3551.9</v>
      </c>
      <c r="G1296">
        <v>90</v>
      </c>
      <c r="H1296" s="115"/>
      <c r="I1296" s="115"/>
      <c r="L1296" s="169">
        <v>43915</v>
      </c>
      <c r="M1296" s="115">
        <v>756.04</v>
      </c>
      <c r="N1296" s="115">
        <v>770.09</v>
      </c>
      <c r="O1296" s="115">
        <v>708.06</v>
      </c>
      <c r="P1296" s="115">
        <v>737.99</v>
      </c>
      <c r="Q1296" s="115">
        <v>3780.2</v>
      </c>
      <c r="R1296">
        <v>2314</v>
      </c>
    </row>
    <row r="1297" spans="1:18" x14ac:dyDescent="0.25">
      <c r="A1297" s="169">
        <v>43915</v>
      </c>
      <c r="B1297" s="115">
        <v>772.58</v>
      </c>
      <c r="C1297" s="115">
        <v>753.79</v>
      </c>
      <c r="D1297" s="115">
        <v>700</v>
      </c>
      <c r="E1297" s="115">
        <v>700</v>
      </c>
      <c r="F1297" s="115">
        <v>3768.95</v>
      </c>
      <c r="G1297">
        <v>214</v>
      </c>
      <c r="H1297" s="115"/>
      <c r="I1297" s="115"/>
      <c r="L1297" s="169">
        <v>43916</v>
      </c>
      <c r="M1297" s="115">
        <v>760.73</v>
      </c>
      <c r="N1297" s="115">
        <v>777.59</v>
      </c>
      <c r="O1297" s="115">
        <v>751.75</v>
      </c>
      <c r="P1297" s="115">
        <v>777.59</v>
      </c>
      <c r="Q1297" s="115">
        <v>3803.65</v>
      </c>
      <c r="R1297">
        <v>2386</v>
      </c>
    </row>
    <row r="1298" spans="1:18" x14ac:dyDescent="0.25">
      <c r="A1298" s="169">
        <v>43916</v>
      </c>
      <c r="B1298" s="115">
        <v>778.52</v>
      </c>
      <c r="C1298" s="115">
        <v>764.3</v>
      </c>
      <c r="D1298" s="115">
        <v>752.94</v>
      </c>
      <c r="E1298" s="115">
        <v>778.52</v>
      </c>
      <c r="F1298" s="115">
        <v>3821.5</v>
      </c>
      <c r="G1298">
        <v>125</v>
      </c>
      <c r="H1298" s="115"/>
      <c r="I1298" s="115"/>
      <c r="L1298" s="169">
        <v>43917</v>
      </c>
      <c r="M1298" s="115">
        <v>748.78</v>
      </c>
      <c r="N1298" s="115">
        <v>782.79</v>
      </c>
      <c r="O1298" s="115">
        <v>744.01</v>
      </c>
      <c r="P1298" s="115">
        <v>764.84</v>
      </c>
      <c r="Q1298" s="115">
        <v>3743.9</v>
      </c>
      <c r="R1298">
        <v>3539</v>
      </c>
    </row>
    <row r="1299" spans="1:18" x14ac:dyDescent="0.25">
      <c r="A1299" s="169">
        <v>43917</v>
      </c>
      <c r="B1299" s="115">
        <v>778</v>
      </c>
      <c r="C1299" s="115">
        <v>754.72</v>
      </c>
      <c r="D1299" s="115">
        <v>750.06</v>
      </c>
      <c r="E1299" s="115">
        <v>760</v>
      </c>
      <c r="F1299" s="115">
        <v>3773.6</v>
      </c>
      <c r="G1299">
        <v>177</v>
      </c>
      <c r="H1299" s="115"/>
      <c r="I1299" s="115"/>
      <c r="L1299" s="169">
        <v>43920</v>
      </c>
      <c r="M1299" s="115">
        <v>735.05</v>
      </c>
      <c r="N1299" s="115">
        <v>751.6</v>
      </c>
      <c r="O1299" s="115">
        <v>727</v>
      </c>
      <c r="P1299" s="115">
        <v>738</v>
      </c>
      <c r="Q1299" s="115">
        <v>3675.25</v>
      </c>
      <c r="R1299">
        <v>3106</v>
      </c>
    </row>
    <row r="1300" spans="1:18" x14ac:dyDescent="0.25">
      <c r="A1300" s="169">
        <v>43920</v>
      </c>
      <c r="B1300" s="115">
        <v>807.34</v>
      </c>
      <c r="C1300" s="115">
        <v>731</v>
      </c>
      <c r="D1300" s="115">
        <v>723.56</v>
      </c>
      <c r="E1300" s="115">
        <v>740.55</v>
      </c>
      <c r="F1300" s="115">
        <v>3655</v>
      </c>
      <c r="G1300">
        <v>49</v>
      </c>
      <c r="H1300" s="115"/>
      <c r="I1300" s="115"/>
      <c r="L1300" s="169">
        <v>43921</v>
      </c>
      <c r="M1300" s="115">
        <v>743.33</v>
      </c>
      <c r="N1300" s="115">
        <v>760.45</v>
      </c>
      <c r="O1300" s="115">
        <v>735.01</v>
      </c>
      <c r="P1300" s="115">
        <v>736.73</v>
      </c>
      <c r="Q1300" s="115">
        <v>3716.65</v>
      </c>
      <c r="R1300">
        <v>3347</v>
      </c>
    </row>
    <row r="1301" spans="1:18" x14ac:dyDescent="0.25">
      <c r="A1301" s="169">
        <v>43921</v>
      </c>
      <c r="B1301" s="115">
        <v>761.21</v>
      </c>
      <c r="C1301" s="115">
        <v>739.82</v>
      </c>
      <c r="D1301" s="115">
        <v>734.22</v>
      </c>
      <c r="E1301" s="115">
        <v>734.22</v>
      </c>
      <c r="F1301" s="115">
        <v>3699.1</v>
      </c>
      <c r="G1301">
        <v>180</v>
      </c>
      <c r="H1301" s="115"/>
      <c r="I1301" s="115"/>
      <c r="L1301" s="169">
        <v>43922</v>
      </c>
      <c r="M1301" s="115">
        <v>713.76</v>
      </c>
      <c r="N1301" s="115">
        <v>755</v>
      </c>
      <c r="O1301" s="115">
        <v>707.6</v>
      </c>
      <c r="P1301" s="115">
        <v>755</v>
      </c>
      <c r="Q1301" s="115">
        <v>3568.8</v>
      </c>
      <c r="R1301">
        <v>2933</v>
      </c>
    </row>
    <row r="1302" spans="1:18" x14ac:dyDescent="0.25">
      <c r="A1302" s="169">
        <v>43922</v>
      </c>
      <c r="B1302" s="115">
        <v>741</v>
      </c>
      <c r="C1302" s="115">
        <v>716.95</v>
      </c>
      <c r="D1302" s="115">
        <v>711.6</v>
      </c>
      <c r="E1302" s="115">
        <v>726.24</v>
      </c>
      <c r="F1302" s="115">
        <v>3584.75</v>
      </c>
      <c r="G1302">
        <v>109</v>
      </c>
      <c r="H1302" s="115"/>
      <c r="I1302" s="115"/>
      <c r="L1302" s="169">
        <v>43924</v>
      </c>
      <c r="M1302" s="115">
        <v>711.89</v>
      </c>
      <c r="N1302" s="115">
        <v>719.8</v>
      </c>
      <c r="O1302" s="115">
        <v>682.04</v>
      </c>
      <c r="P1302" s="115">
        <v>713.84</v>
      </c>
      <c r="Q1302" s="115">
        <v>3559.45</v>
      </c>
      <c r="R1302">
        <v>4960</v>
      </c>
    </row>
    <row r="1303" spans="1:18" x14ac:dyDescent="0.25">
      <c r="A1303" s="169">
        <v>43924</v>
      </c>
      <c r="B1303" s="115">
        <v>712.95</v>
      </c>
      <c r="C1303" s="115">
        <v>710.24</v>
      </c>
      <c r="D1303" s="115">
        <v>687.53</v>
      </c>
      <c r="E1303" s="115">
        <v>709.2</v>
      </c>
      <c r="F1303" s="115">
        <v>3551.2</v>
      </c>
      <c r="G1303">
        <v>91</v>
      </c>
      <c r="H1303" s="115"/>
      <c r="I1303" s="115"/>
      <c r="L1303" s="169">
        <v>43928</v>
      </c>
      <c r="M1303" s="115">
        <v>704.94</v>
      </c>
      <c r="N1303" s="115">
        <v>723.07</v>
      </c>
      <c r="O1303" s="115">
        <v>690.02</v>
      </c>
      <c r="P1303" s="115">
        <v>723</v>
      </c>
      <c r="Q1303" s="115">
        <v>3524.7</v>
      </c>
      <c r="R1303">
        <v>14197</v>
      </c>
    </row>
    <row r="1304" spans="1:18" x14ac:dyDescent="0.25">
      <c r="A1304" s="169">
        <v>43928</v>
      </c>
      <c r="B1304" s="115">
        <v>710</v>
      </c>
      <c r="C1304" s="115">
        <v>706.07</v>
      </c>
      <c r="D1304" s="115">
        <v>694.08</v>
      </c>
      <c r="E1304" s="115">
        <v>710</v>
      </c>
      <c r="F1304" s="115">
        <v>3530.35</v>
      </c>
      <c r="G1304">
        <v>144</v>
      </c>
      <c r="H1304" s="115"/>
      <c r="I1304" s="115"/>
      <c r="L1304" s="169">
        <v>43929</v>
      </c>
      <c r="M1304" s="115">
        <v>687.56</v>
      </c>
      <c r="N1304" s="115">
        <v>720</v>
      </c>
      <c r="O1304" s="115">
        <v>674</v>
      </c>
      <c r="P1304" s="115">
        <v>720</v>
      </c>
      <c r="Q1304" s="115">
        <v>3437.8</v>
      </c>
      <c r="R1304">
        <v>3050</v>
      </c>
    </row>
    <row r="1305" spans="1:18" x14ac:dyDescent="0.25">
      <c r="A1305" s="169">
        <v>43929</v>
      </c>
      <c r="B1305" s="115">
        <v>705.53</v>
      </c>
      <c r="C1305" s="115">
        <v>690.33</v>
      </c>
      <c r="D1305" s="115">
        <v>680.2</v>
      </c>
      <c r="E1305" s="115">
        <v>705.5</v>
      </c>
      <c r="F1305" s="115">
        <v>3451.65</v>
      </c>
      <c r="G1305">
        <v>41</v>
      </c>
      <c r="H1305" s="115"/>
      <c r="I1305" s="115"/>
      <c r="L1305" s="169">
        <v>43930</v>
      </c>
      <c r="M1305" s="115">
        <v>694.31</v>
      </c>
      <c r="N1305" s="115">
        <v>700</v>
      </c>
      <c r="O1305" s="115">
        <v>676</v>
      </c>
      <c r="P1305" s="115">
        <v>689.86</v>
      </c>
      <c r="Q1305" s="115">
        <v>3471.55</v>
      </c>
      <c r="R1305">
        <v>13489</v>
      </c>
    </row>
    <row r="1306" spans="1:18" x14ac:dyDescent="0.25">
      <c r="A1306" s="169">
        <v>43930</v>
      </c>
      <c r="B1306" s="115">
        <v>699.68</v>
      </c>
      <c r="C1306" s="115">
        <v>698.8</v>
      </c>
      <c r="D1306" s="115">
        <v>680</v>
      </c>
      <c r="E1306" s="115">
        <v>694.97</v>
      </c>
      <c r="F1306" s="115">
        <v>3494</v>
      </c>
      <c r="G1306">
        <v>55</v>
      </c>
      <c r="H1306" s="115"/>
      <c r="I1306" s="115"/>
      <c r="L1306" s="169">
        <v>43934</v>
      </c>
      <c r="M1306" s="115">
        <v>686.05</v>
      </c>
      <c r="N1306" s="115">
        <v>701.91</v>
      </c>
      <c r="O1306" s="115">
        <v>672</v>
      </c>
      <c r="P1306" s="115">
        <v>682.2</v>
      </c>
      <c r="Q1306" s="115">
        <v>3430.25</v>
      </c>
      <c r="R1306">
        <v>5556</v>
      </c>
    </row>
    <row r="1307" spans="1:18" x14ac:dyDescent="0.25">
      <c r="A1307" s="169">
        <v>43934</v>
      </c>
      <c r="B1307" s="115">
        <v>698.6</v>
      </c>
      <c r="C1307" s="115">
        <v>685.52</v>
      </c>
      <c r="D1307" s="115">
        <v>672.97</v>
      </c>
      <c r="E1307" s="115">
        <v>693.87</v>
      </c>
      <c r="F1307" s="115">
        <v>3427.6</v>
      </c>
      <c r="G1307">
        <v>79</v>
      </c>
      <c r="H1307" s="115"/>
      <c r="I1307" s="115"/>
      <c r="L1307" s="169">
        <v>43936</v>
      </c>
      <c r="M1307" s="115">
        <v>693.23</v>
      </c>
      <c r="N1307" s="115">
        <v>711.81</v>
      </c>
      <c r="O1307" s="115">
        <v>684.57</v>
      </c>
      <c r="P1307" s="115">
        <v>687.61</v>
      </c>
      <c r="Q1307" s="115">
        <v>3466.15</v>
      </c>
      <c r="R1307">
        <v>4581</v>
      </c>
    </row>
    <row r="1308" spans="1:18" x14ac:dyDescent="0.25">
      <c r="A1308" s="169">
        <v>43936</v>
      </c>
      <c r="B1308" s="115">
        <v>705.59</v>
      </c>
      <c r="C1308" s="115">
        <v>693.92</v>
      </c>
      <c r="D1308" s="115">
        <v>690</v>
      </c>
      <c r="E1308" s="115">
        <v>693.73</v>
      </c>
      <c r="F1308" s="115">
        <v>3469.6</v>
      </c>
      <c r="G1308">
        <v>71</v>
      </c>
      <c r="H1308" s="115"/>
      <c r="I1308" s="115"/>
      <c r="L1308" s="169">
        <v>43937</v>
      </c>
      <c r="M1308" s="115">
        <v>697.04</v>
      </c>
      <c r="N1308" s="115">
        <v>700</v>
      </c>
      <c r="O1308" s="115">
        <v>666</v>
      </c>
      <c r="P1308" s="115">
        <v>690</v>
      </c>
      <c r="Q1308" s="115">
        <v>3485.2</v>
      </c>
      <c r="R1308">
        <v>8327</v>
      </c>
    </row>
    <row r="1309" spans="1:18" x14ac:dyDescent="0.25">
      <c r="A1309" s="169">
        <v>43937</v>
      </c>
      <c r="B1309" s="115">
        <v>699.44</v>
      </c>
      <c r="C1309" s="115">
        <v>697.57</v>
      </c>
      <c r="D1309" s="115">
        <v>666.4</v>
      </c>
      <c r="E1309" s="115">
        <v>695</v>
      </c>
      <c r="F1309" s="115">
        <v>3487.85</v>
      </c>
      <c r="G1309">
        <v>188</v>
      </c>
      <c r="H1309" s="115"/>
      <c r="I1309" s="115"/>
      <c r="L1309" s="169">
        <v>43938</v>
      </c>
      <c r="M1309" s="115">
        <v>708.36</v>
      </c>
      <c r="N1309" s="115">
        <v>713.09</v>
      </c>
      <c r="O1309" s="115">
        <v>693.76</v>
      </c>
      <c r="P1309" s="115">
        <v>709.43</v>
      </c>
      <c r="Q1309" s="115">
        <v>3541.8</v>
      </c>
      <c r="R1309">
        <v>15468</v>
      </c>
    </row>
    <row r="1310" spans="1:18" x14ac:dyDescent="0.25">
      <c r="A1310" s="169">
        <v>43938</v>
      </c>
      <c r="B1310" s="115">
        <v>710</v>
      </c>
      <c r="C1310" s="115">
        <v>708.24</v>
      </c>
      <c r="D1310" s="115">
        <v>696</v>
      </c>
      <c r="E1310" s="115">
        <v>699.19</v>
      </c>
      <c r="F1310" s="115">
        <v>3541.2</v>
      </c>
      <c r="G1310">
        <v>82</v>
      </c>
      <c r="H1310" s="115"/>
      <c r="I1310" s="115"/>
      <c r="L1310" s="169">
        <v>43941</v>
      </c>
      <c r="M1310" s="115">
        <v>689.78</v>
      </c>
      <c r="N1310" s="115">
        <v>720</v>
      </c>
      <c r="O1310" s="115">
        <v>687.1</v>
      </c>
      <c r="P1310" s="115">
        <v>717.6</v>
      </c>
      <c r="Q1310" s="115">
        <v>3448.9</v>
      </c>
      <c r="R1310">
        <v>4871</v>
      </c>
    </row>
    <row r="1311" spans="1:18" x14ac:dyDescent="0.25">
      <c r="A1311" s="169">
        <v>43941</v>
      </c>
      <c r="B1311" s="115">
        <v>711.68</v>
      </c>
      <c r="C1311" s="115">
        <v>690.62</v>
      </c>
      <c r="D1311" s="115">
        <v>686.95</v>
      </c>
      <c r="E1311" s="115">
        <v>711.68</v>
      </c>
      <c r="F1311" s="115">
        <v>3453.1</v>
      </c>
      <c r="G1311">
        <v>173</v>
      </c>
      <c r="H1311" s="115"/>
      <c r="I1311" s="115"/>
      <c r="L1311" s="169">
        <v>43942</v>
      </c>
      <c r="M1311" s="115">
        <v>679.62</v>
      </c>
      <c r="N1311" s="115">
        <v>691.74</v>
      </c>
      <c r="O1311" s="115">
        <v>664.21</v>
      </c>
      <c r="P1311" s="115">
        <v>688.4</v>
      </c>
      <c r="Q1311" s="115">
        <v>3398.1</v>
      </c>
      <c r="R1311">
        <v>5258</v>
      </c>
    </row>
    <row r="1312" spans="1:18" x14ac:dyDescent="0.25">
      <c r="A1312" s="169">
        <v>43942</v>
      </c>
      <c r="B1312" s="115">
        <v>691.79</v>
      </c>
      <c r="C1312" s="115">
        <v>679.82</v>
      </c>
      <c r="D1312" s="115">
        <v>654.16</v>
      </c>
      <c r="E1312" s="115">
        <v>654.16</v>
      </c>
      <c r="F1312" s="115">
        <v>3399.1</v>
      </c>
      <c r="G1312">
        <v>186</v>
      </c>
      <c r="H1312" s="115"/>
      <c r="I1312" s="115"/>
      <c r="L1312" s="169">
        <v>43943</v>
      </c>
      <c r="M1312" s="115">
        <v>698.27</v>
      </c>
      <c r="N1312" s="115">
        <v>703.59</v>
      </c>
      <c r="O1312" s="115">
        <v>670.8</v>
      </c>
      <c r="P1312" s="115">
        <v>680.21</v>
      </c>
      <c r="Q1312" s="115">
        <v>3491.35</v>
      </c>
      <c r="R1312">
        <v>6842</v>
      </c>
    </row>
    <row r="1313" spans="1:18" x14ac:dyDescent="0.25">
      <c r="A1313" s="169">
        <v>43943</v>
      </c>
      <c r="B1313" s="115">
        <v>700.6</v>
      </c>
      <c r="C1313" s="115">
        <v>696.73</v>
      </c>
      <c r="D1313" s="115">
        <v>662.58</v>
      </c>
      <c r="E1313" s="115">
        <v>676.2</v>
      </c>
      <c r="F1313" s="115">
        <v>3483.65</v>
      </c>
      <c r="G1313">
        <v>235</v>
      </c>
      <c r="H1313" s="115"/>
      <c r="I1313" s="115"/>
      <c r="L1313" s="169">
        <v>43944</v>
      </c>
      <c r="M1313" s="115">
        <v>681.36</v>
      </c>
      <c r="N1313" s="115">
        <v>699</v>
      </c>
      <c r="O1313" s="115">
        <v>673.8</v>
      </c>
      <c r="P1313" s="115">
        <v>698.81</v>
      </c>
      <c r="Q1313" s="115">
        <v>3406.8</v>
      </c>
      <c r="R1313">
        <v>40156</v>
      </c>
    </row>
    <row r="1314" spans="1:18" x14ac:dyDescent="0.25">
      <c r="A1314" s="169">
        <v>43944</v>
      </c>
      <c r="B1314" s="115">
        <v>692.91</v>
      </c>
      <c r="C1314" s="115">
        <v>678.69</v>
      </c>
      <c r="D1314" s="115">
        <v>675</v>
      </c>
      <c r="E1314" s="115">
        <v>692.91</v>
      </c>
      <c r="F1314" s="115">
        <v>3393.45</v>
      </c>
      <c r="G1314">
        <v>265</v>
      </c>
      <c r="H1314" s="115"/>
      <c r="I1314" s="115"/>
      <c r="L1314" s="169">
        <v>43945</v>
      </c>
      <c r="M1314" s="115">
        <v>666.1</v>
      </c>
      <c r="N1314" s="115">
        <v>700</v>
      </c>
      <c r="O1314" s="115">
        <v>660</v>
      </c>
      <c r="P1314" s="115">
        <v>685.74</v>
      </c>
      <c r="Q1314" s="115">
        <v>3330.5</v>
      </c>
      <c r="R1314">
        <v>8750</v>
      </c>
    </row>
    <row r="1315" spans="1:18" x14ac:dyDescent="0.25">
      <c r="A1315" s="169">
        <v>43945</v>
      </c>
      <c r="B1315" s="115">
        <v>700</v>
      </c>
      <c r="C1315" s="115">
        <v>665.95</v>
      </c>
      <c r="D1315" s="115">
        <v>661.64</v>
      </c>
      <c r="E1315" s="115">
        <v>699.99</v>
      </c>
      <c r="F1315" s="115">
        <v>3329.75</v>
      </c>
      <c r="G1315">
        <v>1121</v>
      </c>
      <c r="H1315" s="115"/>
      <c r="I1315" s="115"/>
      <c r="L1315" s="169">
        <v>43948</v>
      </c>
      <c r="M1315" s="115">
        <v>669.93</v>
      </c>
      <c r="N1315" s="115">
        <v>684</v>
      </c>
      <c r="O1315" s="115">
        <v>666.2</v>
      </c>
      <c r="P1315" s="115">
        <v>684</v>
      </c>
      <c r="Q1315" s="115">
        <v>3349.65</v>
      </c>
      <c r="R1315">
        <v>9072</v>
      </c>
    </row>
    <row r="1316" spans="1:18" x14ac:dyDescent="0.25">
      <c r="A1316" s="169">
        <v>43948</v>
      </c>
      <c r="B1316" s="115">
        <v>682.54</v>
      </c>
      <c r="C1316" s="115">
        <v>668.48</v>
      </c>
      <c r="D1316" s="115">
        <v>668</v>
      </c>
      <c r="E1316" s="115">
        <v>680.17</v>
      </c>
      <c r="F1316" s="115">
        <v>3342.4</v>
      </c>
      <c r="G1316">
        <v>68</v>
      </c>
      <c r="H1316" s="115"/>
      <c r="I1316" s="115"/>
      <c r="L1316" s="169">
        <v>43949</v>
      </c>
      <c r="M1316" s="115">
        <v>665.03</v>
      </c>
      <c r="N1316" s="115">
        <v>675.14</v>
      </c>
      <c r="O1316" s="115">
        <v>658</v>
      </c>
      <c r="P1316" s="115">
        <v>671.01</v>
      </c>
      <c r="Q1316" s="115">
        <v>3325.15</v>
      </c>
      <c r="R1316">
        <v>16765</v>
      </c>
    </row>
    <row r="1317" spans="1:18" x14ac:dyDescent="0.25">
      <c r="A1317" s="169">
        <v>43949</v>
      </c>
      <c r="B1317" s="115">
        <v>676.14</v>
      </c>
      <c r="C1317" s="115">
        <v>669.08</v>
      </c>
      <c r="D1317" s="115">
        <v>659</v>
      </c>
      <c r="E1317" s="115">
        <v>676.14</v>
      </c>
      <c r="F1317" s="115">
        <v>3345.4</v>
      </c>
      <c r="G1317">
        <v>660</v>
      </c>
      <c r="H1317" s="115"/>
      <c r="I1317" s="115"/>
      <c r="L1317" s="169">
        <v>43950</v>
      </c>
      <c r="M1317" s="115">
        <v>660.49</v>
      </c>
      <c r="N1317" s="115">
        <v>679</v>
      </c>
      <c r="O1317" s="115">
        <v>656.05</v>
      </c>
      <c r="P1317" s="115">
        <v>679</v>
      </c>
      <c r="Q1317" s="115">
        <v>3302.45</v>
      </c>
      <c r="R1317">
        <v>13145</v>
      </c>
    </row>
    <row r="1318" spans="1:18" x14ac:dyDescent="0.25">
      <c r="A1318" s="169">
        <v>43950</v>
      </c>
      <c r="B1318" s="115">
        <v>671.29</v>
      </c>
      <c r="C1318" s="115">
        <v>661.74</v>
      </c>
      <c r="D1318" s="115">
        <v>657</v>
      </c>
      <c r="E1318" s="115">
        <v>670</v>
      </c>
      <c r="F1318" s="115">
        <v>3308.7</v>
      </c>
      <c r="G1318">
        <v>658</v>
      </c>
      <c r="H1318" s="115"/>
      <c r="I1318" s="115"/>
      <c r="L1318" s="169">
        <v>43951</v>
      </c>
      <c r="M1318" s="115">
        <v>688.86</v>
      </c>
      <c r="N1318" s="115">
        <v>700</v>
      </c>
      <c r="O1318" s="115">
        <v>666.46</v>
      </c>
      <c r="P1318" s="115">
        <v>677</v>
      </c>
      <c r="Q1318" s="115">
        <v>3444.3</v>
      </c>
      <c r="R1318">
        <v>7501</v>
      </c>
    </row>
    <row r="1319" spans="1:18" x14ac:dyDescent="0.25">
      <c r="A1319" s="169">
        <v>43951</v>
      </c>
      <c r="B1319" s="115">
        <v>700</v>
      </c>
      <c r="C1319" s="115">
        <v>687.21</v>
      </c>
      <c r="D1319" s="115">
        <v>670</v>
      </c>
      <c r="E1319" s="115">
        <v>671.93</v>
      </c>
      <c r="F1319" s="115">
        <v>3436.05</v>
      </c>
      <c r="G1319">
        <v>503</v>
      </c>
      <c r="H1319" s="115"/>
      <c r="I1319" s="115"/>
      <c r="L1319" s="169">
        <v>43955</v>
      </c>
      <c r="M1319" s="115">
        <v>674.26</v>
      </c>
      <c r="N1319" s="115">
        <v>689.01</v>
      </c>
      <c r="O1319" s="115">
        <v>664</v>
      </c>
      <c r="P1319" s="115">
        <v>689</v>
      </c>
      <c r="Q1319" s="115">
        <v>3371.3</v>
      </c>
      <c r="R1319">
        <v>3036</v>
      </c>
    </row>
    <row r="1320" spans="1:18" x14ac:dyDescent="0.25">
      <c r="A1320" s="169">
        <v>43955</v>
      </c>
      <c r="B1320" s="115">
        <v>689.15</v>
      </c>
      <c r="C1320" s="115">
        <v>673.85</v>
      </c>
      <c r="D1320" s="115">
        <v>666.2</v>
      </c>
      <c r="E1320" s="115">
        <v>689.15</v>
      </c>
      <c r="F1320" s="115">
        <v>3369.25</v>
      </c>
      <c r="G1320">
        <v>204</v>
      </c>
      <c r="H1320" s="115"/>
      <c r="I1320" s="115"/>
      <c r="L1320" s="169">
        <v>43956</v>
      </c>
      <c r="M1320" s="115">
        <v>671.22</v>
      </c>
      <c r="N1320" s="115">
        <v>686</v>
      </c>
      <c r="O1320" s="115">
        <v>665.2</v>
      </c>
      <c r="P1320" s="115">
        <v>686</v>
      </c>
      <c r="Q1320" s="115">
        <v>3356.1</v>
      </c>
      <c r="R1320">
        <v>3843</v>
      </c>
    </row>
    <row r="1321" spans="1:18" x14ac:dyDescent="0.25">
      <c r="A1321" s="169">
        <v>43956</v>
      </c>
      <c r="B1321" s="115">
        <v>674.27</v>
      </c>
      <c r="C1321" s="115">
        <v>667.65</v>
      </c>
      <c r="D1321" s="115">
        <v>666</v>
      </c>
      <c r="E1321" s="115">
        <v>666</v>
      </c>
      <c r="F1321" s="115">
        <v>3338.25</v>
      </c>
      <c r="G1321">
        <v>161</v>
      </c>
      <c r="H1321" s="115"/>
      <c r="I1321" s="115"/>
      <c r="L1321" s="169">
        <v>43957</v>
      </c>
      <c r="M1321" s="115">
        <v>667.27</v>
      </c>
      <c r="N1321" s="115">
        <v>676</v>
      </c>
      <c r="O1321" s="115">
        <v>660.67</v>
      </c>
      <c r="P1321" s="115">
        <v>676</v>
      </c>
      <c r="Q1321" s="115">
        <v>3336.35</v>
      </c>
      <c r="R1321">
        <v>4889</v>
      </c>
    </row>
    <row r="1322" spans="1:18" x14ac:dyDescent="0.25">
      <c r="A1322" s="169">
        <v>43957</v>
      </c>
      <c r="B1322" s="115">
        <v>670.84</v>
      </c>
      <c r="C1322" s="115">
        <v>668.37</v>
      </c>
      <c r="D1322" s="115">
        <v>663</v>
      </c>
      <c r="E1322" s="115">
        <v>663.31</v>
      </c>
      <c r="F1322" s="115">
        <v>3341.85</v>
      </c>
      <c r="G1322">
        <v>15</v>
      </c>
      <c r="H1322" s="115"/>
      <c r="I1322" s="115"/>
      <c r="L1322" s="169">
        <v>43958</v>
      </c>
      <c r="M1322" s="115">
        <v>658.43</v>
      </c>
      <c r="N1322" s="115">
        <v>670.45</v>
      </c>
      <c r="O1322" s="115">
        <v>654</v>
      </c>
      <c r="P1322" s="115">
        <v>668.2</v>
      </c>
      <c r="Q1322" s="115">
        <v>3292.15</v>
      </c>
      <c r="R1322">
        <v>2481</v>
      </c>
    </row>
    <row r="1323" spans="1:18" x14ac:dyDescent="0.25">
      <c r="A1323" s="169">
        <v>43958</v>
      </c>
      <c r="B1323" s="115">
        <v>661.06</v>
      </c>
      <c r="C1323" s="115">
        <v>660.39</v>
      </c>
      <c r="D1323" s="115">
        <v>657.6</v>
      </c>
      <c r="E1323" s="115">
        <v>661.06</v>
      </c>
      <c r="F1323" s="115">
        <v>3301.95</v>
      </c>
      <c r="G1323">
        <v>48</v>
      </c>
      <c r="H1323" s="115"/>
      <c r="I1323" s="115"/>
      <c r="L1323" s="169">
        <v>43959</v>
      </c>
      <c r="M1323" s="115">
        <v>659.89</v>
      </c>
      <c r="N1323" s="115">
        <v>664.46</v>
      </c>
      <c r="O1323" s="115">
        <v>656.05</v>
      </c>
      <c r="P1323" s="115">
        <v>664.46</v>
      </c>
      <c r="Q1323" s="115">
        <v>3299.45</v>
      </c>
      <c r="R1323">
        <v>5557</v>
      </c>
    </row>
    <row r="1324" spans="1:18" x14ac:dyDescent="0.25">
      <c r="A1324" s="169">
        <v>43959</v>
      </c>
      <c r="B1324" s="115">
        <v>663.11</v>
      </c>
      <c r="C1324" s="115">
        <v>659.76</v>
      </c>
      <c r="D1324" s="115">
        <v>658</v>
      </c>
      <c r="E1324" s="115">
        <v>660</v>
      </c>
      <c r="F1324" s="115">
        <v>3298.8</v>
      </c>
      <c r="G1324">
        <v>233</v>
      </c>
      <c r="H1324" s="115"/>
      <c r="I1324" s="115"/>
      <c r="L1324" s="169">
        <v>43962</v>
      </c>
      <c r="M1324" s="115">
        <v>662.27</v>
      </c>
      <c r="N1324" s="115">
        <v>671.92</v>
      </c>
      <c r="O1324" s="115">
        <v>657.4</v>
      </c>
      <c r="P1324" s="115">
        <v>671.4</v>
      </c>
      <c r="Q1324" s="115">
        <v>3311.35</v>
      </c>
      <c r="R1324">
        <v>7733</v>
      </c>
    </row>
    <row r="1325" spans="1:18" x14ac:dyDescent="0.25">
      <c r="A1325" s="169">
        <v>43962</v>
      </c>
      <c r="B1325" s="115">
        <v>666.76</v>
      </c>
      <c r="C1325" s="115">
        <v>661.99</v>
      </c>
      <c r="D1325" s="115">
        <v>656.65</v>
      </c>
      <c r="E1325" s="115">
        <v>666.76</v>
      </c>
      <c r="F1325" s="115">
        <v>3309.95</v>
      </c>
      <c r="G1325">
        <v>143</v>
      </c>
      <c r="H1325" s="115"/>
      <c r="I1325" s="115"/>
      <c r="L1325" s="169">
        <v>43963</v>
      </c>
      <c r="M1325" s="115">
        <v>660.07</v>
      </c>
      <c r="N1325" s="115">
        <v>660.99</v>
      </c>
      <c r="O1325" s="115">
        <v>650.29</v>
      </c>
      <c r="P1325" s="115">
        <v>660</v>
      </c>
      <c r="Q1325" s="115">
        <v>3300.35</v>
      </c>
      <c r="R1325">
        <v>3684</v>
      </c>
    </row>
    <row r="1326" spans="1:18" x14ac:dyDescent="0.25">
      <c r="A1326" s="169">
        <v>43963</v>
      </c>
      <c r="B1326" s="115">
        <v>658.71</v>
      </c>
      <c r="C1326" s="115">
        <v>658.71</v>
      </c>
      <c r="D1326" s="115">
        <v>650</v>
      </c>
      <c r="E1326" s="115">
        <v>650.6</v>
      </c>
      <c r="F1326" s="115">
        <v>3293.55</v>
      </c>
      <c r="G1326">
        <v>353</v>
      </c>
      <c r="H1326" s="115"/>
      <c r="I1326" s="115"/>
      <c r="L1326" s="169">
        <v>43964</v>
      </c>
      <c r="M1326" s="115">
        <v>660.18</v>
      </c>
      <c r="N1326" s="115">
        <v>689.2</v>
      </c>
      <c r="O1326" s="115">
        <v>657.43</v>
      </c>
      <c r="P1326" s="115">
        <v>689.2</v>
      </c>
      <c r="Q1326" s="115">
        <v>3300.9</v>
      </c>
      <c r="R1326">
        <v>4901</v>
      </c>
    </row>
    <row r="1327" spans="1:18" x14ac:dyDescent="0.25">
      <c r="A1327" s="169">
        <v>43964</v>
      </c>
      <c r="B1327" s="115">
        <v>680</v>
      </c>
      <c r="C1327" s="115">
        <v>660.83</v>
      </c>
      <c r="D1327" s="115">
        <v>659</v>
      </c>
      <c r="E1327" s="115">
        <v>680</v>
      </c>
      <c r="F1327" s="115">
        <v>3304.15</v>
      </c>
      <c r="G1327">
        <v>162</v>
      </c>
      <c r="H1327" s="115"/>
      <c r="I1327" s="115"/>
      <c r="L1327" s="169">
        <v>43965</v>
      </c>
      <c r="M1327" s="115">
        <v>660.11</v>
      </c>
      <c r="N1327" s="115">
        <v>663</v>
      </c>
      <c r="O1327" s="115">
        <v>652.5</v>
      </c>
      <c r="P1327" s="115">
        <v>663</v>
      </c>
      <c r="Q1327" s="115">
        <v>3300.55</v>
      </c>
      <c r="R1327">
        <v>7869</v>
      </c>
    </row>
    <row r="1328" spans="1:18" x14ac:dyDescent="0.25">
      <c r="A1328" s="169">
        <v>43965</v>
      </c>
      <c r="B1328" s="115">
        <v>662</v>
      </c>
      <c r="C1328" s="115">
        <v>660.19</v>
      </c>
      <c r="D1328" s="115">
        <v>653.57000000000005</v>
      </c>
      <c r="E1328" s="115">
        <v>659.22</v>
      </c>
      <c r="F1328" s="115">
        <v>3300.95</v>
      </c>
      <c r="G1328">
        <v>126</v>
      </c>
      <c r="H1328" s="115"/>
      <c r="I1328" s="115"/>
      <c r="L1328" s="169">
        <v>43966</v>
      </c>
      <c r="M1328" s="115">
        <v>658.03</v>
      </c>
      <c r="N1328" s="115">
        <v>660.35</v>
      </c>
      <c r="O1328" s="115">
        <v>655.20000000000005</v>
      </c>
      <c r="P1328" s="115">
        <v>660.21</v>
      </c>
      <c r="Q1328" s="115">
        <v>3290.15</v>
      </c>
      <c r="R1328">
        <v>1287</v>
      </c>
    </row>
    <row r="1329" spans="1:18" x14ac:dyDescent="0.25">
      <c r="A1329" s="169">
        <v>43966</v>
      </c>
      <c r="B1329" s="115">
        <v>665.77</v>
      </c>
      <c r="C1329" s="115">
        <v>659.83</v>
      </c>
      <c r="D1329" s="115">
        <v>657.4</v>
      </c>
      <c r="E1329" s="115">
        <v>658.92</v>
      </c>
      <c r="F1329" s="115">
        <v>3299.15</v>
      </c>
      <c r="G1329">
        <v>83</v>
      </c>
      <c r="H1329" s="115"/>
      <c r="I1329" s="115"/>
      <c r="L1329" s="169">
        <v>43969</v>
      </c>
      <c r="M1329" s="115">
        <v>639.27</v>
      </c>
      <c r="N1329" s="115">
        <v>662.01</v>
      </c>
      <c r="O1329" s="115">
        <v>638</v>
      </c>
      <c r="P1329" s="115">
        <v>661.39</v>
      </c>
      <c r="Q1329" s="115">
        <v>3196.35</v>
      </c>
      <c r="R1329">
        <v>25212</v>
      </c>
    </row>
    <row r="1330" spans="1:18" x14ac:dyDescent="0.25">
      <c r="A1330" s="169">
        <v>43969</v>
      </c>
      <c r="B1330" s="115">
        <v>653.42999999999995</v>
      </c>
      <c r="C1330" s="115">
        <v>639.5</v>
      </c>
      <c r="D1330" s="115">
        <v>637.61</v>
      </c>
      <c r="E1330" s="115">
        <v>650.54999999999995</v>
      </c>
      <c r="F1330" s="115">
        <v>3197.5</v>
      </c>
      <c r="G1330">
        <v>173</v>
      </c>
      <c r="H1330" s="115"/>
      <c r="I1330" s="115"/>
      <c r="L1330" s="169">
        <v>43970</v>
      </c>
      <c r="M1330" s="115">
        <v>634.32000000000005</v>
      </c>
      <c r="N1330" s="115">
        <v>646.74</v>
      </c>
      <c r="O1330" s="115">
        <v>632.4</v>
      </c>
      <c r="P1330" s="115">
        <v>642.47</v>
      </c>
      <c r="Q1330" s="115">
        <v>3171.6</v>
      </c>
      <c r="R1330">
        <v>5376</v>
      </c>
    </row>
    <row r="1331" spans="1:18" x14ac:dyDescent="0.25">
      <c r="A1331" s="169">
        <v>43970</v>
      </c>
      <c r="B1331" s="115">
        <v>650</v>
      </c>
      <c r="C1331" s="115">
        <v>633.77</v>
      </c>
      <c r="D1331" s="115">
        <v>632.29999999999995</v>
      </c>
      <c r="E1331" s="115">
        <v>650</v>
      </c>
      <c r="F1331" s="115">
        <v>3168.85</v>
      </c>
      <c r="G1331">
        <v>275</v>
      </c>
      <c r="H1331" s="115"/>
      <c r="I1331" s="115"/>
      <c r="L1331" s="169">
        <v>43971</v>
      </c>
      <c r="M1331" s="115">
        <v>639.84</v>
      </c>
      <c r="N1331" s="115">
        <v>642.30999999999995</v>
      </c>
      <c r="O1331" s="115">
        <v>632.71</v>
      </c>
      <c r="P1331" s="115">
        <v>636.01</v>
      </c>
      <c r="Q1331" s="115">
        <v>3199.2</v>
      </c>
      <c r="R1331">
        <v>3357</v>
      </c>
    </row>
    <row r="1332" spans="1:18" x14ac:dyDescent="0.25">
      <c r="A1332" s="169">
        <v>43971</v>
      </c>
      <c r="B1332" s="115">
        <v>639.6</v>
      </c>
      <c r="C1332" s="115">
        <v>639.42999999999995</v>
      </c>
      <c r="D1332" s="115">
        <v>636.92999999999995</v>
      </c>
      <c r="E1332" s="115">
        <v>638.6</v>
      </c>
      <c r="F1332" s="115">
        <v>3197.15</v>
      </c>
      <c r="G1332">
        <v>31</v>
      </c>
      <c r="H1332" s="115"/>
      <c r="I1332" s="115"/>
      <c r="L1332" s="169">
        <v>43972</v>
      </c>
      <c r="M1332" s="115">
        <v>635.97</v>
      </c>
      <c r="N1332" s="115">
        <v>640.07000000000005</v>
      </c>
      <c r="O1332" s="115">
        <v>633.20000000000005</v>
      </c>
      <c r="P1332" s="115">
        <v>633.20000000000005</v>
      </c>
      <c r="Q1332" s="115">
        <v>3179.85</v>
      </c>
      <c r="R1332">
        <v>17351</v>
      </c>
    </row>
    <row r="1333" spans="1:18" x14ac:dyDescent="0.25">
      <c r="A1333" s="169">
        <v>43972</v>
      </c>
      <c r="B1333" s="115">
        <v>636.6</v>
      </c>
      <c r="C1333" s="115">
        <v>636.36</v>
      </c>
      <c r="D1333" s="115">
        <v>635</v>
      </c>
      <c r="E1333" s="115">
        <v>635</v>
      </c>
      <c r="F1333" s="115">
        <v>3181.8</v>
      </c>
      <c r="G1333">
        <v>17</v>
      </c>
      <c r="H1333" s="115"/>
      <c r="I1333" s="115"/>
      <c r="L1333" s="169">
        <v>43973</v>
      </c>
      <c r="M1333" s="115">
        <v>633.13</v>
      </c>
      <c r="N1333" s="115">
        <v>637.86</v>
      </c>
      <c r="O1333" s="115">
        <v>629.74</v>
      </c>
      <c r="P1333" s="115">
        <v>633.4</v>
      </c>
      <c r="Q1333" s="115">
        <v>3165.65</v>
      </c>
      <c r="R1333">
        <v>1478</v>
      </c>
    </row>
    <row r="1334" spans="1:18" x14ac:dyDescent="0.25">
      <c r="A1334" s="169">
        <v>43973</v>
      </c>
      <c r="B1334" s="115">
        <v>644.99</v>
      </c>
      <c r="C1334" s="115">
        <v>634.37</v>
      </c>
      <c r="D1334" s="115">
        <v>630.02</v>
      </c>
      <c r="E1334" s="115">
        <v>644.99</v>
      </c>
      <c r="F1334" s="115">
        <v>3171.85</v>
      </c>
      <c r="G1334">
        <v>40</v>
      </c>
      <c r="H1334" s="115"/>
      <c r="I1334" s="115"/>
      <c r="L1334" s="169">
        <v>43977</v>
      </c>
      <c r="M1334" s="115">
        <v>626.94000000000005</v>
      </c>
      <c r="N1334" s="115">
        <v>635.99</v>
      </c>
      <c r="O1334" s="115">
        <v>623.59</v>
      </c>
      <c r="P1334" s="115">
        <v>626.01</v>
      </c>
      <c r="Q1334" s="115">
        <v>3134.7</v>
      </c>
      <c r="R1334">
        <v>29625</v>
      </c>
    </row>
    <row r="1335" spans="1:18" x14ac:dyDescent="0.25">
      <c r="A1335" s="169">
        <v>43977</v>
      </c>
      <c r="B1335" s="115">
        <v>636</v>
      </c>
      <c r="C1335" s="115">
        <v>626.63</v>
      </c>
      <c r="D1335" s="115">
        <v>624</v>
      </c>
      <c r="E1335" s="115">
        <v>630</v>
      </c>
      <c r="F1335" s="115">
        <v>3133.15</v>
      </c>
      <c r="G1335">
        <v>174</v>
      </c>
      <c r="H1335" s="115"/>
      <c r="I1335" s="115"/>
      <c r="L1335" s="169">
        <v>43978</v>
      </c>
      <c r="M1335" s="115">
        <v>617.36</v>
      </c>
      <c r="N1335" s="115">
        <v>629.99</v>
      </c>
      <c r="O1335" s="115">
        <v>605.04999999999995</v>
      </c>
      <c r="P1335" s="115">
        <v>625.02</v>
      </c>
      <c r="Q1335" s="115">
        <v>3086.8</v>
      </c>
      <c r="R1335">
        <v>102490</v>
      </c>
    </row>
    <row r="1336" spans="1:18" x14ac:dyDescent="0.25">
      <c r="A1336" s="169">
        <v>43978</v>
      </c>
      <c r="B1336" s="115">
        <v>631.49</v>
      </c>
      <c r="C1336" s="115">
        <v>618.27</v>
      </c>
      <c r="D1336" s="115">
        <v>608.82000000000005</v>
      </c>
      <c r="E1336" s="115">
        <v>626.4</v>
      </c>
      <c r="F1336" s="115">
        <v>3091.35</v>
      </c>
      <c r="G1336">
        <v>315</v>
      </c>
      <c r="H1336" s="115"/>
      <c r="I1336" s="115"/>
      <c r="L1336" s="169">
        <v>43979</v>
      </c>
      <c r="M1336" s="115">
        <v>621.66999999999996</v>
      </c>
      <c r="N1336" s="115">
        <v>628.47</v>
      </c>
      <c r="O1336" s="115">
        <v>617.34</v>
      </c>
      <c r="P1336" s="115">
        <v>617.34</v>
      </c>
      <c r="Q1336" s="115">
        <v>3108.35</v>
      </c>
      <c r="R1336">
        <v>2976</v>
      </c>
    </row>
    <row r="1337" spans="1:18" x14ac:dyDescent="0.25">
      <c r="A1337" s="169">
        <v>43979</v>
      </c>
      <c r="B1337" s="115">
        <v>627.70000000000005</v>
      </c>
      <c r="C1337" s="115">
        <v>624.5</v>
      </c>
      <c r="D1337" s="115">
        <v>616.4</v>
      </c>
      <c r="E1337" s="115">
        <v>625.59</v>
      </c>
      <c r="F1337" s="115">
        <v>3122.5</v>
      </c>
      <c r="G1337">
        <v>303</v>
      </c>
      <c r="H1337" s="115"/>
      <c r="I1337" s="115"/>
      <c r="L1337" s="169">
        <v>43980</v>
      </c>
      <c r="M1337" s="115">
        <v>639.39</v>
      </c>
      <c r="N1337" s="115">
        <v>652.12</v>
      </c>
      <c r="O1337" s="115">
        <v>623.01</v>
      </c>
      <c r="P1337" s="115">
        <v>624.78</v>
      </c>
      <c r="Q1337" s="115">
        <v>3196.95</v>
      </c>
      <c r="R1337">
        <v>20785</v>
      </c>
    </row>
    <row r="1338" spans="1:18" x14ac:dyDescent="0.25">
      <c r="A1338" s="169">
        <v>43980</v>
      </c>
      <c r="B1338" s="115">
        <v>650</v>
      </c>
      <c r="C1338" s="115">
        <v>636.08000000000004</v>
      </c>
      <c r="D1338" s="115">
        <v>623.01</v>
      </c>
      <c r="E1338" s="115">
        <v>629.5</v>
      </c>
      <c r="F1338" s="115">
        <v>3180.4</v>
      </c>
      <c r="G1338">
        <v>1536</v>
      </c>
      <c r="H1338" s="115"/>
      <c r="I1338" s="115"/>
      <c r="L1338" s="169">
        <v>43983</v>
      </c>
      <c r="M1338" s="115">
        <v>642.76</v>
      </c>
      <c r="N1338" s="115">
        <v>658.87</v>
      </c>
      <c r="O1338" s="115">
        <v>637.6</v>
      </c>
      <c r="P1338" s="115">
        <v>642.59</v>
      </c>
      <c r="Q1338" s="115">
        <v>3213.8</v>
      </c>
      <c r="R1338">
        <v>9197</v>
      </c>
    </row>
    <row r="1339" spans="1:18" x14ac:dyDescent="0.25">
      <c r="A1339" s="169">
        <v>43983</v>
      </c>
      <c r="B1339" s="115">
        <v>655</v>
      </c>
      <c r="C1339" s="115">
        <v>641.38</v>
      </c>
      <c r="D1339" s="115">
        <v>635.15</v>
      </c>
      <c r="E1339" s="115">
        <v>652.55999999999995</v>
      </c>
      <c r="F1339" s="115">
        <v>3206.9</v>
      </c>
      <c r="G1339">
        <v>139</v>
      </c>
      <c r="H1339" s="115"/>
      <c r="I1339" s="115"/>
      <c r="L1339" s="169">
        <v>43984</v>
      </c>
      <c r="M1339" s="115">
        <v>649.86</v>
      </c>
      <c r="N1339" s="115">
        <v>659.8</v>
      </c>
      <c r="O1339" s="115">
        <v>636.33000000000004</v>
      </c>
      <c r="P1339" s="115">
        <v>645.98</v>
      </c>
      <c r="Q1339" s="115">
        <v>3249.3</v>
      </c>
      <c r="R1339">
        <v>4791</v>
      </c>
    </row>
    <row r="1340" spans="1:18" x14ac:dyDescent="0.25">
      <c r="A1340" s="169">
        <v>43984</v>
      </c>
      <c r="B1340" s="115">
        <v>657.6</v>
      </c>
      <c r="C1340" s="115">
        <v>650.15</v>
      </c>
      <c r="D1340" s="115">
        <v>642.54999999999995</v>
      </c>
      <c r="E1340" s="115">
        <v>642.54999999999995</v>
      </c>
      <c r="F1340" s="115">
        <v>3250.75</v>
      </c>
      <c r="G1340">
        <v>173</v>
      </c>
      <c r="H1340" s="115"/>
      <c r="I1340" s="115"/>
      <c r="L1340" s="169">
        <v>43985</v>
      </c>
      <c r="M1340" s="115">
        <v>662.53</v>
      </c>
      <c r="N1340" s="115">
        <v>687.7</v>
      </c>
      <c r="O1340" s="115">
        <v>653.11</v>
      </c>
      <c r="P1340" s="115">
        <v>653.11</v>
      </c>
      <c r="Q1340" s="115">
        <v>3312.65</v>
      </c>
      <c r="R1340">
        <v>26583</v>
      </c>
    </row>
    <row r="1341" spans="1:18" x14ac:dyDescent="0.25">
      <c r="A1341" s="169">
        <v>43985</v>
      </c>
      <c r="B1341" s="115">
        <v>685.34</v>
      </c>
      <c r="C1341" s="115">
        <v>666.07</v>
      </c>
      <c r="D1341" s="115">
        <v>654</v>
      </c>
      <c r="E1341" s="115">
        <v>660</v>
      </c>
      <c r="F1341" s="115">
        <v>3330.35</v>
      </c>
      <c r="G1341">
        <v>503</v>
      </c>
      <c r="H1341" s="115"/>
      <c r="I1341" s="115"/>
      <c r="L1341" s="169">
        <v>43986</v>
      </c>
      <c r="M1341" s="115">
        <v>676.75</v>
      </c>
      <c r="N1341" s="115">
        <v>680</v>
      </c>
      <c r="O1341" s="115">
        <v>663.75</v>
      </c>
      <c r="P1341" s="115">
        <v>677.4</v>
      </c>
      <c r="Q1341" s="115">
        <v>3383.75</v>
      </c>
      <c r="R1341">
        <v>4392</v>
      </c>
    </row>
    <row r="1342" spans="1:18" x14ac:dyDescent="0.25">
      <c r="A1342" s="169">
        <v>43986</v>
      </c>
      <c r="B1342" s="115">
        <v>685.34</v>
      </c>
      <c r="C1342" s="115">
        <v>676.59</v>
      </c>
      <c r="D1342" s="115">
        <v>666.82</v>
      </c>
      <c r="E1342" s="115">
        <v>674.59</v>
      </c>
      <c r="F1342" s="115">
        <v>3382.95</v>
      </c>
      <c r="G1342">
        <v>40</v>
      </c>
      <c r="H1342" s="115"/>
      <c r="I1342" s="115"/>
      <c r="L1342" s="169">
        <v>43987</v>
      </c>
      <c r="M1342" s="115">
        <v>713.59</v>
      </c>
      <c r="N1342" s="115">
        <v>730</v>
      </c>
      <c r="O1342" s="115">
        <v>675</v>
      </c>
      <c r="P1342" s="115">
        <v>676</v>
      </c>
      <c r="Q1342" s="115">
        <v>3567.95</v>
      </c>
      <c r="R1342">
        <v>8407</v>
      </c>
    </row>
    <row r="1343" spans="1:18" x14ac:dyDescent="0.25">
      <c r="A1343" s="169">
        <v>43987</v>
      </c>
      <c r="B1343" s="115">
        <v>730</v>
      </c>
      <c r="C1343" s="115">
        <v>710.79</v>
      </c>
      <c r="D1343" s="115">
        <v>677</v>
      </c>
      <c r="E1343" s="115">
        <v>699.99</v>
      </c>
      <c r="F1343" s="115">
        <v>3553.95</v>
      </c>
      <c r="G1343">
        <v>430</v>
      </c>
      <c r="H1343" s="115"/>
      <c r="I1343" s="115"/>
      <c r="L1343" s="169">
        <v>43990</v>
      </c>
      <c r="M1343" s="115">
        <v>749.77</v>
      </c>
      <c r="N1343" s="115">
        <v>760</v>
      </c>
      <c r="O1343" s="115">
        <v>716</v>
      </c>
      <c r="P1343" s="115">
        <v>716</v>
      </c>
      <c r="Q1343" s="115">
        <v>3748.85</v>
      </c>
      <c r="R1343">
        <v>6698</v>
      </c>
    </row>
    <row r="1344" spans="1:18" x14ac:dyDescent="0.25">
      <c r="A1344" s="169">
        <v>43990</v>
      </c>
      <c r="B1344" s="115">
        <v>752</v>
      </c>
      <c r="C1344" s="115">
        <v>748.71</v>
      </c>
      <c r="D1344" s="115">
        <v>730</v>
      </c>
      <c r="E1344" s="115">
        <v>730</v>
      </c>
      <c r="F1344" s="115">
        <v>3743.55</v>
      </c>
      <c r="G1344">
        <v>281</v>
      </c>
      <c r="H1344" s="115"/>
      <c r="I1344" s="115"/>
      <c r="L1344" s="169">
        <v>43991</v>
      </c>
      <c r="M1344" s="115">
        <v>732.69</v>
      </c>
      <c r="N1344" s="115">
        <v>753.52</v>
      </c>
      <c r="O1344" s="115">
        <v>724.86</v>
      </c>
      <c r="P1344" s="115">
        <v>753.52</v>
      </c>
      <c r="Q1344" s="115">
        <v>3663.45</v>
      </c>
      <c r="R1344">
        <v>10432</v>
      </c>
    </row>
    <row r="1345" spans="1:18" x14ac:dyDescent="0.25">
      <c r="A1345" s="169">
        <v>43991</v>
      </c>
      <c r="B1345" s="115">
        <v>740</v>
      </c>
      <c r="C1345" s="115">
        <v>730.68</v>
      </c>
      <c r="D1345" s="115">
        <v>720.53</v>
      </c>
      <c r="E1345" s="115">
        <v>736</v>
      </c>
      <c r="F1345" s="115">
        <v>3653.4</v>
      </c>
      <c r="G1345">
        <v>139</v>
      </c>
      <c r="H1345" s="115"/>
      <c r="I1345" s="115"/>
      <c r="L1345" s="169">
        <v>43992</v>
      </c>
      <c r="M1345" s="115">
        <v>710.01</v>
      </c>
      <c r="N1345" s="115">
        <v>733.2</v>
      </c>
      <c r="O1345" s="115">
        <v>702.01</v>
      </c>
      <c r="P1345" s="115">
        <v>733.2</v>
      </c>
      <c r="Q1345" s="115">
        <v>3550.05</v>
      </c>
      <c r="R1345">
        <v>19028</v>
      </c>
    </row>
    <row r="1346" spans="1:18" x14ac:dyDescent="0.25">
      <c r="A1346" s="169">
        <v>43992</v>
      </c>
      <c r="B1346" s="115">
        <v>716</v>
      </c>
      <c r="C1346" s="115">
        <v>707.37</v>
      </c>
      <c r="D1346" s="115">
        <v>704.45</v>
      </c>
      <c r="E1346" s="115">
        <v>715.13</v>
      </c>
      <c r="F1346" s="115">
        <v>3536.85</v>
      </c>
      <c r="G1346">
        <v>268</v>
      </c>
      <c r="H1346" s="115"/>
      <c r="I1346" s="115"/>
      <c r="L1346" s="169">
        <v>43993</v>
      </c>
      <c r="M1346" s="115">
        <v>709.85</v>
      </c>
      <c r="N1346" s="115">
        <v>712.99</v>
      </c>
      <c r="O1346" s="115">
        <v>697.42</v>
      </c>
      <c r="P1346" s="115">
        <v>710</v>
      </c>
      <c r="Q1346" s="115">
        <v>3549.25</v>
      </c>
      <c r="R1346">
        <v>13361</v>
      </c>
    </row>
    <row r="1347" spans="1:18" x14ac:dyDescent="0.25">
      <c r="A1347" s="169">
        <v>43993</v>
      </c>
      <c r="B1347" s="115">
        <v>729.8</v>
      </c>
      <c r="C1347" s="115">
        <v>708.23</v>
      </c>
      <c r="D1347" s="115">
        <v>699.41</v>
      </c>
      <c r="E1347" s="115">
        <v>699.41</v>
      </c>
      <c r="F1347" s="115">
        <v>3541.15</v>
      </c>
      <c r="G1347">
        <v>272</v>
      </c>
      <c r="H1347" s="115"/>
      <c r="I1347" s="115"/>
      <c r="L1347" s="169">
        <v>43994</v>
      </c>
      <c r="M1347" s="115">
        <v>708.53</v>
      </c>
      <c r="N1347" s="115">
        <v>736.35</v>
      </c>
      <c r="O1347" s="115">
        <v>680</v>
      </c>
      <c r="P1347" s="115">
        <v>685.01</v>
      </c>
      <c r="Q1347" s="115">
        <v>3542.65</v>
      </c>
      <c r="R1347">
        <v>11760</v>
      </c>
    </row>
    <row r="1348" spans="1:18" x14ac:dyDescent="0.25">
      <c r="A1348" s="169">
        <v>43994</v>
      </c>
      <c r="B1348" s="115">
        <v>711.78</v>
      </c>
      <c r="C1348" s="115">
        <v>706.68</v>
      </c>
      <c r="D1348" s="115">
        <v>678.6</v>
      </c>
      <c r="E1348" s="115">
        <v>690</v>
      </c>
      <c r="F1348" s="115">
        <v>3533.4</v>
      </c>
      <c r="G1348">
        <v>272</v>
      </c>
      <c r="H1348" s="115"/>
      <c r="I1348" s="115"/>
      <c r="L1348" s="169">
        <v>43997</v>
      </c>
      <c r="M1348" s="115">
        <v>706.68</v>
      </c>
      <c r="N1348" s="115">
        <v>720.01</v>
      </c>
      <c r="O1348" s="115">
        <v>704</v>
      </c>
      <c r="P1348" s="115">
        <v>720</v>
      </c>
      <c r="Q1348" s="115">
        <v>3533.4</v>
      </c>
      <c r="R1348">
        <v>3285</v>
      </c>
    </row>
    <row r="1349" spans="1:18" x14ac:dyDescent="0.25">
      <c r="A1349" s="169">
        <v>43997</v>
      </c>
      <c r="B1349" s="115">
        <v>716.16</v>
      </c>
      <c r="C1349" s="115">
        <v>704.4</v>
      </c>
      <c r="D1349" s="115">
        <v>704.4</v>
      </c>
      <c r="E1349" s="115">
        <v>716.09</v>
      </c>
      <c r="F1349" s="115">
        <v>3522</v>
      </c>
      <c r="G1349">
        <v>22</v>
      </c>
      <c r="H1349" s="115"/>
      <c r="I1349" s="115"/>
      <c r="L1349" s="169">
        <v>43998</v>
      </c>
      <c r="M1349" s="115">
        <v>713.19</v>
      </c>
      <c r="N1349" s="115">
        <v>715.8</v>
      </c>
      <c r="O1349" s="115">
        <v>706.26</v>
      </c>
      <c r="P1349" s="115">
        <v>710.95</v>
      </c>
      <c r="Q1349" s="115">
        <v>3565.95</v>
      </c>
      <c r="R1349">
        <v>1233</v>
      </c>
    </row>
    <row r="1350" spans="1:18" x14ac:dyDescent="0.25">
      <c r="A1350" s="169">
        <v>43998</v>
      </c>
      <c r="B1350" s="115">
        <v>716.05</v>
      </c>
      <c r="C1350" s="115">
        <v>712.61</v>
      </c>
      <c r="D1350" s="115">
        <v>710</v>
      </c>
      <c r="E1350" s="115">
        <v>713.14</v>
      </c>
      <c r="F1350" s="115">
        <v>3563.05</v>
      </c>
      <c r="G1350">
        <v>65</v>
      </c>
      <c r="H1350" s="115"/>
      <c r="I1350" s="115"/>
      <c r="L1350" s="169">
        <v>43999</v>
      </c>
      <c r="M1350" s="115">
        <v>718.43</v>
      </c>
      <c r="N1350" s="115">
        <v>720</v>
      </c>
      <c r="O1350" s="115">
        <v>701.06</v>
      </c>
      <c r="P1350" s="115">
        <v>701.07</v>
      </c>
      <c r="Q1350" s="115">
        <v>3592.15</v>
      </c>
      <c r="R1350">
        <v>7055</v>
      </c>
    </row>
    <row r="1351" spans="1:18" x14ac:dyDescent="0.25">
      <c r="A1351" s="169">
        <v>43999</v>
      </c>
      <c r="B1351" s="115">
        <v>713.16</v>
      </c>
      <c r="C1351" s="115">
        <v>710.4</v>
      </c>
      <c r="D1351" s="115">
        <v>702.77</v>
      </c>
      <c r="E1351" s="115">
        <v>710.19</v>
      </c>
      <c r="F1351" s="115">
        <v>3552</v>
      </c>
      <c r="G1351">
        <v>5226</v>
      </c>
      <c r="H1351" s="115"/>
      <c r="I1351" s="115"/>
      <c r="L1351" s="169">
        <v>44000</v>
      </c>
      <c r="M1351" s="115">
        <v>720.4</v>
      </c>
      <c r="N1351" s="115">
        <v>722.8</v>
      </c>
      <c r="O1351" s="115">
        <v>705</v>
      </c>
      <c r="P1351" s="115">
        <v>715.03</v>
      </c>
      <c r="Q1351" s="115">
        <v>3602</v>
      </c>
      <c r="R1351">
        <v>3038</v>
      </c>
    </row>
    <row r="1352" spans="1:18" x14ac:dyDescent="0.25">
      <c r="A1352" s="169">
        <v>44000</v>
      </c>
      <c r="B1352" s="115">
        <v>722</v>
      </c>
      <c r="C1352" s="115">
        <v>719.6</v>
      </c>
      <c r="D1352" s="115">
        <v>711.49</v>
      </c>
      <c r="E1352" s="115">
        <v>714</v>
      </c>
      <c r="F1352" s="115">
        <v>3598</v>
      </c>
      <c r="G1352">
        <v>177</v>
      </c>
      <c r="H1352" s="115"/>
      <c r="I1352" s="115"/>
      <c r="L1352" s="169">
        <v>44001</v>
      </c>
      <c r="M1352" s="115">
        <v>719.2</v>
      </c>
      <c r="N1352" s="115">
        <v>729.8</v>
      </c>
      <c r="O1352" s="115">
        <v>710</v>
      </c>
      <c r="P1352" s="115">
        <v>711.26</v>
      </c>
      <c r="Q1352" s="115">
        <v>3596</v>
      </c>
      <c r="R1352">
        <v>9920</v>
      </c>
    </row>
    <row r="1353" spans="1:18" x14ac:dyDescent="0.25">
      <c r="A1353" s="169">
        <v>44001</v>
      </c>
      <c r="B1353" s="115">
        <v>730.45</v>
      </c>
      <c r="C1353" s="115">
        <v>712.5</v>
      </c>
      <c r="D1353" s="115">
        <v>710</v>
      </c>
      <c r="E1353" s="115">
        <v>713.25</v>
      </c>
      <c r="F1353" s="115">
        <v>3562.5</v>
      </c>
      <c r="G1353">
        <v>197</v>
      </c>
      <c r="H1353" s="115"/>
      <c r="I1353" s="115"/>
      <c r="L1353" s="169">
        <v>44004</v>
      </c>
      <c r="M1353" s="115">
        <v>724.54</v>
      </c>
      <c r="N1353" s="115">
        <v>729.59</v>
      </c>
      <c r="O1353" s="115">
        <v>719.99</v>
      </c>
      <c r="P1353" s="115">
        <v>720</v>
      </c>
      <c r="Q1353" s="115">
        <v>3622.7</v>
      </c>
      <c r="R1353">
        <v>1112</v>
      </c>
    </row>
    <row r="1354" spans="1:18" x14ac:dyDescent="0.25">
      <c r="A1354" s="169">
        <v>44004</v>
      </c>
      <c r="B1354" s="115">
        <v>732.03</v>
      </c>
      <c r="C1354" s="115">
        <v>725.04</v>
      </c>
      <c r="D1354" s="115">
        <v>722.79</v>
      </c>
      <c r="E1354" s="115">
        <v>726.4</v>
      </c>
      <c r="F1354" s="115">
        <v>3625.2</v>
      </c>
      <c r="G1354">
        <v>161</v>
      </c>
      <c r="H1354" s="115"/>
      <c r="I1354" s="115"/>
      <c r="L1354" s="169">
        <v>44005</v>
      </c>
      <c r="M1354" s="115">
        <v>721.43</v>
      </c>
      <c r="N1354" s="115">
        <v>732</v>
      </c>
      <c r="O1354" s="115">
        <v>719.95</v>
      </c>
      <c r="P1354" s="115">
        <v>726</v>
      </c>
      <c r="Q1354" s="115">
        <v>3607.15</v>
      </c>
      <c r="R1354">
        <v>1353</v>
      </c>
    </row>
    <row r="1355" spans="1:18" x14ac:dyDescent="0.25">
      <c r="A1355" s="169">
        <v>44005</v>
      </c>
      <c r="B1355" s="115">
        <v>732.15</v>
      </c>
      <c r="C1355" s="115">
        <v>722.71</v>
      </c>
      <c r="D1355" s="115">
        <v>721.34</v>
      </c>
      <c r="E1355" s="115">
        <v>728.01</v>
      </c>
      <c r="F1355" s="115">
        <v>3613.55</v>
      </c>
      <c r="G1355">
        <v>128</v>
      </c>
      <c r="H1355" s="115"/>
      <c r="I1355" s="115"/>
      <c r="L1355" s="169">
        <v>44006</v>
      </c>
      <c r="M1355" s="115">
        <v>721.97</v>
      </c>
      <c r="N1355" s="115">
        <v>728.41</v>
      </c>
      <c r="O1355" s="115">
        <v>715</v>
      </c>
      <c r="P1355" s="115">
        <v>724.79</v>
      </c>
      <c r="Q1355" s="115">
        <v>3609.85</v>
      </c>
      <c r="R1355">
        <v>2190</v>
      </c>
    </row>
    <row r="1356" spans="1:18" x14ac:dyDescent="0.25">
      <c r="A1356" s="169">
        <v>44006</v>
      </c>
      <c r="B1356" s="115">
        <v>725.48</v>
      </c>
      <c r="C1356" s="115">
        <v>721.43</v>
      </c>
      <c r="D1356" s="115">
        <v>700.01</v>
      </c>
      <c r="E1356" s="115">
        <v>700.01</v>
      </c>
      <c r="F1356" s="115">
        <v>3607.15</v>
      </c>
      <c r="G1356">
        <v>162</v>
      </c>
      <c r="H1356" s="115"/>
      <c r="I1356" s="115"/>
      <c r="L1356" s="169">
        <v>44007</v>
      </c>
      <c r="M1356" s="115">
        <v>721.48</v>
      </c>
      <c r="N1356" s="115">
        <v>723.99</v>
      </c>
      <c r="O1356" s="115">
        <v>703.03</v>
      </c>
      <c r="P1356" s="115">
        <v>705.28</v>
      </c>
      <c r="Q1356" s="115">
        <v>3607.4</v>
      </c>
      <c r="R1356">
        <v>8068</v>
      </c>
    </row>
    <row r="1357" spans="1:18" x14ac:dyDescent="0.25">
      <c r="A1357" s="169">
        <v>44007</v>
      </c>
      <c r="B1357" s="115">
        <v>721.41</v>
      </c>
      <c r="C1357" s="115">
        <v>721.41</v>
      </c>
      <c r="D1357" s="115">
        <v>704.41</v>
      </c>
      <c r="E1357" s="115">
        <v>709.62</v>
      </c>
      <c r="F1357" s="115">
        <v>3607.05</v>
      </c>
      <c r="G1357">
        <v>85</v>
      </c>
      <c r="H1357" s="115"/>
      <c r="I1357" s="115"/>
      <c r="L1357" s="169">
        <v>44008</v>
      </c>
      <c r="M1357" s="115">
        <v>720.1</v>
      </c>
      <c r="N1357" s="115">
        <v>724</v>
      </c>
      <c r="O1357" s="115">
        <v>710</v>
      </c>
      <c r="P1357" s="115">
        <v>723.99</v>
      </c>
      <c r="Q1357" s="115">
        <v>3600.5</v>
      </c>
      <c r="R1357">
        <v>6445</v>
      </c>
    </row>
    <row r="1358" spans="1:18" x14ac:dyDescent="0.25">
      <c r="A1358" s="169">
        <v>44008</v>
      </c>
      <c r="B1358" s="115">
        <v>722.16</v>
      </c>
      <c r="C1358" s="115">
        <v>719.02</v>
      </c>
      <c r="D1358" s="115">
        <v>711.41</v>
      </c>
      <c r="E1358" s="115">
        <v>714</v>
      </c>
      <c r="F1358" s="115">
        <v>3595.1</v>
      </c>
      <c r="G1358">
        <v>54</v>
      </c>
      <c r="H1358" s="115"/>
      <c r="I1358" s="115"/>
      <c r="L1358" s="169">
        <v>44011</v>
      </c>
      <c r="M1358" s="115">
        <v>710.32</v>
      </c>
      <c r="N1358" s="115">
        <v>721</v>
      </c>
      <c r="O1358" s="115">
        <v>706</v>
      </c>
      <c r="P1358" s="115">
        <v>720.1</v>
      </c>
      <c r="Q1358" s="115">
        <v>3551.6</v>
      </c>
      <c r="R1358">
        <v>5300</v>
      </c>
    </row>
    <row r="1359" spans="1:18" x14ac:dyDescent="0.25">
      <c r="A1359" s="169">
        <v>44011</v>
      </c>
      <c r="B1359" s="115">
        <v>720</v>
      </c>
      <c r="C1359" s="115">
        <v>711.63</v>
      </c>
      <c r="D1359" s="115">
        <v>709.19</v>
      </c>
      <c r="E1359" s="115">
        <v>720</v>
      </c>
      <c r="F1359" s="115">
        <v>3558.15</v>
      </c>
      <c r="G1359">
        <v>76</v>
      </c>
      <c r="H1359" s="115"/>
      <c r="I1359" s="115"/>
      <c r="L1359" s="169">
        <v>44012</v>
      </c>
      <c r="M1359" s="115">
        <v>713.44</v>
      </c>
      <c r="N1359" s="115">
        <v>720</v>
      </c>
      <c r="O1359" s="115">
        <v>699.78</v>
      </c>
      <c r="P1359" s="115">
        <v>710.32</v>
      </c>
      <c r="Q1359" s="115">
        <v>3567.2</v>
      </c>
      <c r="R1359">
        <v>7583</v>
      </c>
    </row>
    <row r="1360" spans="1:18" x14ac:dyDescent="0.25">
      <c r="A1360" s="169">
        <v>44012</v>
      </c>
      <c r="B1360" s="115">
        <v>716.08</v>
      </c>
      <c r="C1360" s="115">
        <v>715.26</v>
      </c>
      <c r="D1360" s="115">
        <v>700</v>
      </c>
      <c r="E1360" s="115">
        <v>709</v>
      </c>
      <c r="F1360" s="115">
        <v>3576.3</v>
      </c>
      <c r="G1360">
        <v>48</v>
      </c>
      <c r="H1360" s="115"/>
      <c r="I1360" s="115"/>
      <c r="L1360" s="169">
        <v>44013</v>
      </c>
      <c r="M1360" s="115">
        <v>708.17</v>
      </c>
      <c r="N1360" s="115">
        <v>723.79</v>
      </c>
      <c r="O1360" s="115">
        <v>694.2</v>
      </c>
      <c r="P1360" s="115">
        <v>716.8</v>
      </c>
      <c r="Q1360" s="115">
        <v>3540.85</v>
      </c>
      <c r="R1360">
        <v>9303</v>
      </c>
    </row>
    <row r="1361" spans="1:18" x14ac:dyDescent="0.25">
      <c r="A1361" s="169">
        <v>44013</v>
      </c>
      <c r="B1361" s="115">
        <v>719.06</v>
      </c>
      <c r="C1361" s="115">
        <v>709.43</v>
      </c>
      <c r="D1361" s="115">
        <v>699.57</v>
      </c>
      <c r="E1361" s="115">
        <v>717.41</v>
      </c>
      <c r="F1361" s="115">
        <v>3547.15</v>
      </c>
      <c r="G1361">
        <v>189</v>
      </c>
      <c r="H1361" s="115"/>
      <c r="I1361" s="115"/>
      <c r="L1361" s="169">
        <v>44014</v>
      </c>
      <c r="M1361" s="115">
        <v>707.33</v>
      </c>
      <c r="N1361" s="115">
        <v>719.6</v>
      </c>
      <c r="O1361" s="115">
        <v>702.02</v>
      </c>
      <c r="P1361" s="115">
        <v>708.17</v>
      </c>
      <c r="Q1361" s="115">
        <v>3536.65</v>
      </c>
      <c r="R1361">
        <v>5713</v>
      </c>
    </row>
    <row r="1362" spans="1:18" x14ac:dyDescent="0.25">
      <c r="A1362" s="169">
        <v>44014</v>
      </c>
      <c r="B1362" s="115">
        <v>719.05</v>
      </c>
      <c r="C1362" s="115">
        <v>705.68</v>
      </c>
      <c r="D1362" s="115">
        <v>703.22</v>
      </c>
      <c r="E1362" s="115">
        <v>713.83</v>
      </c>
      <c r="F1362" s="115">
        <v>3528.4</v>
      </c>
      <c r="G1362">
        <v>93</v>
      </c>
      <c r="H1362" s="115"/>
      <c r="I1362" s="115"/>
      <c r="L1362" s="169">
        <v>44015</v>
      </c>
      <c r="M1362" s="115">
        <v>731.99</v>
      </c>
      <c r="N1362" s="115">
        <v>736.62</v>
      </c>
      <c r="O1362" s="115">
        <v>706.2</v>
      </c>
      <c r="P1362" s="115">
        <v>706.2</v>
      </c>
      <c r="Q1362" s="115">
        <v>3659.95</v>
      </c>
      <c r="R1362">
        <v>10210</v>
      </c>
    </row>
    <row r="1363" spans="1:18" x14ac:dyDescent="0.25">
      <c r="A1363" s="169">
        <v>44015</v>
      </c>
      <c r="B1363" s="115">
        <v>736</v>
      </c>
      <c r="C1363" s="115">
        <v>731.65</v>
      </c>
      <c r="D1363" s="115">
        <v>703.22</v>
      </c>
      <c r="E1363" s="115">
        <v>703.22</v>
      </c>
      <c r="F1363" s="115">
        <v>3658.25</v>
      </c>
      <c r="G1363">
        <v>93</v>
      </c>
      <c r="H1363" s="115"/>
      <c r="I1363" s="115"/>
      <c r="L1363" s="169">
        <v>44018</v>
      </c>
      <c r="M1363" s="115">
        <v>746.43</v>
      </c>
      <c r="N1363" s="115">
        <v>752.07</v>
      </c>
      <c r="O1363" s="115">
        <v>736.31</v>
      </c>
      <c r="P1363" s="115">
        <v>742.98</v>
      </c>
      <c r="Q1363" s="115">
        <v>3732.15</v>
      </c>
      <c r="R1363">
        <v>4367</v>
      </c>
    </row>
    <row r="1364" spans="1:18" x14ac:dyDescent="0.25">
      <c r="A1364" s="169">
        <v>44018</v>
      </c>
      <c r="B1364" s="115">
        <v>750</v>
      </c>
      <c r="C1364" s="115">
        <v>746.1</v>
      </c>
      <c r="D1364" s="115">
        <v>738.1</v>
      </c>
      <c r="E1364" s="115">
        <v>740.97</v>
      </c>
      <c r="F1364" s="115">
        <v>3730.5</v>
      </c>
      <c r="G1364">
        <v>148</v>
      </c>
      <c r="H1364" s="115"/>
      <c r="I1364" s="115"/>
      <c r="L1364" s="169">
        <v>44019</v>
      </c>
      <c r="M1364" s="115">
        <v>743.2</v>
      </c>
      <c r="N1364" s="115">
        <v>756.54</v>
      </c>
      <c r="O1364" s="115">
        <v>738</v>
      </c>
      <c r="P1364" s="115">
        <v>750.17</v>
      </c>
      <c r="Q1364" s="115">
        <v>3716</v>
      </c>
      <c r="R1364">
        <v>2321</v>
      </c>
    </row>
    <row r="1365" spans="1:18" x14ac:dyDescent="0.25">
      <c r="A1365" s="169">
        <v>44019</v>
      </c>
      <c r="B1365" s="115">
        <v>754.21</v>
      </c>
      <c r="C1365" s="115">
        <v>742.61</v>
      </c>
      <c r="D1365" s="115">
        <v>741.41</v>
      </c>
      <c r="E1365" s="115">
        <v>752.73</v>
      </c>
      <c r="F1365" s="115">
        <v>3713.05</v>
      </c>
      <c r="G1365">
        <v>138</v>
      </c>
      <c r="H1365" s="115"/>
      <c r="I1365" s="115"/>
      <c r="L1365" s="169">
        <v>44020</v>
      </c>
      <c r="M1365" s="115">
        <v>729.23</v>
      </c>
      <c r="N1365" s="115">
        <v>740.19</v>
      </c>
      <c r="O1365" s="115">
        <v>725</v>
      </c>
      <c r="P1365" s="115">
        <v>740.19</v>
      </c>
      <c r="Q1365" s="115">
        <v>3646.15</v>
      </c>
      <c r="R1365">
        <v>3391</v>
      </c>
    </row>
    <row r="1366" spans="1:18" x14ac:dyDescent="0.25">
      <c r="A1366" s="169">
        <v>44020</v>
      </c>
      <c r="B1366" s="115">
        <v>737.4</v>
      </c>
      <c r="C1366" s="115">
        <v>727.34</v>
      </c>
      <c r="D1366" s="115">
        <v>726</v>
      </c>
      <c r="E1366" s="115">
        <v>733.94</v>
      </c>
      <c r="F1366" s="115">
        <v>3636.7</v>
      </c>
      <c r="G1366">
        <v>175</v>
      </c>
      <c r="H1366" s="115"/>
      <c r="I1366" s="115"/>
      <c r="L1366" s="169">
        <v>44021</v>
      </c>
      <c r="M1366" s="115">
        <v>718.97</v>
      </c>
      <c r="N1366" s="115">
        <v>733.13</v>
      </c>
      <c r="O1366" s="115">
        <v>710</v>
      </c>
      <c r="P1366" s="115">
        <v>731.42</v>
      </c>
      <c r="Q1366" s="115">
        <v>3594.85</v>
      </c>
      <c r="R1366">
        <v>1238</v>
      </c>
    </row>
    <row r="1367" spans="1:18" x14ac:dyDescent="0.25">
      <c r="A1367" s="169">
        <v>44021</v>
      </c>
      <c r="B1367" s="115">
        <v>729.87</v>
      </c>
      <c r="C1367" s="115">
        <v>720.21</v>
      </c>
      <c r="D1367" s="115">
        <v>715.8</v>
      </c>
      <c r="E1367" s="115">
        <v>729.67</v>
      </c>
      <c r="F1367" s="115">
        <v>3601.05</v>
      </c>
      <c r="G1367">
        <v>73</v>
      </c>
      <c r="H1367" s="115"/>
      <c r="I1367" s="115"/>
      <c r="L1367" s="169">
        <v>44022</v>
      </c>
      <c r="M1367" s="115">
        <v>720.11</v>
      </c>
      <c r="N1367" s="115">
        <v>731.8</v>
      </c>
      <c r="O1367" s="115">
        <v>710</v>
      </c>
      <c r="P1367" s="115">
        <v>731.8</v>
      </c>
      <c r="Q1367" s="115">
        <v>3600.55</v>
      </c>
      <c r="R1367">
        <v>7733</v>
      </c>
    </row>
    <row r="1368" spans="1:18" x14ac:dyDescent="0.25">
      <c r="A1368" s="169">
        <v>44022</v>
      </c>
      <c r="B1368" s="115">
        <v>723.79</v>
      </c>
      <c r="C1368" s="115">
        <v>721.13</v>
      </c>
      <c r="D1368" s="115">
        <v>714.08</v>
      </c>
      <c r="E1368" s="115">
        <v>723.79</v>
      </c>
      <c r="F1368" s="115">
        <v>3605.65</v>
      </c>
      <c r="G1368">
        <v>161</v>
      </c>
      <c r="H1368" s="115"/>
      <c r="I1368" s="115"/>
      <c r="L1368" s="169">
        <v>44025</v>
      </c>
      <c r="M1368" s="115">
        <v>719.71</v>
      </c>
      <c r="N1368" s="115">
        <v>730.9</v>
      </c>
      <c r="O1368" s="115">
        <v>712.49</v>
      </c>
      <c r="P1368" s="115">
        <v>730.9</v>
      </c>
      <c r="Q1368" s="115">
        <v>3598.55</v>
      </c>
      <c r="R1368">
        <v>8056</v>
      </c>
    </row>
    <row r="1369" spans="1:18" x14ac:dyDescent="0.25">
      <c r="A1369" s="169">
        <v>44025</v>
      </c>
      <c r="B1369" s="115">
        <v>724.34</v>
      </c>
      <c r="C1369" s="115">
        <v>715.68</v>
      </c>
      <c r="D1369" s="115">
        <v>712.41</v>
      </c>
      <c r="E1369" s="115">
        <v>724.34</v>
      </c>
      <c r="F1369" s="115">
        <v>3578.4</v>
      </c>
      <c r="G1369">
        <v>110</v>
      </c>
      <c r="H1369" s="115"/>
      <c r="I1369" s="115"/>
      <c r="L1369" s="169">
        <v>44026</v>
      </c>
      <c r="M1369" s="115">
        <v>715.62</v>
      </c>
      <c r="N1369" s="115">
        <v>723</v>
      </c>
      <c r="O1369" s="115">
        <v>712.26</v>
      </c>
      <c r="P1369" s="115">
        <v>722.09</v>
      </c>
      <c r="Q1369" s="115">
        <v>3578.1</v>
      </c>
      <c r="R1369">
        <v>2004</v>
      </c>
    </row>
    <row r="1370" spans="1:18" x14ac:dyDescent="0.25">
      <c r="A1370" s="169">
        <v>44026</v>
      </c>
      <c r="B1370" s="115">
        <v>722.8</v>
      </c>
      <c r="C1370" s="115">
        <v>716.91</v>
      </c>
      <c r="D1370" s="115">
        <v>713.69</v>
      </c>
      <c r="E1370" s="115">
        <v>716.6</v>
      </c>
      <c r="F1370" s="115">
        <v>3584.55</v>
      </c>
      <c r="G1370">
        <v>97</v>
      </c>
      <c r="H1370" s="115"/>
      <c r="I1370" s="115"/>
      <c r="L1370" s="169">
        <v>44027</v>
      </c>
      <c r="M1370" s="115">
        <v>705.89</v>
      </c>
      <c r="N1370" s="115">
        <v>719.99</v>
      </c>
      <c r="O1370" s="115">
        <v>700.4</v>
      </c>
      <c r="P1370" s="115">
        <v>719.19</v>
      </c>
      <c r="Q1370" s="115">
        <v>3529.45</v>
      </c>
      <c r="R1370">
        <v>18412</v>
      </c>
    </row>
    <row r="1371" spans="1:18" x14ac:dyDescent="0.25">
      <c r="A1371" s="169">
        <v>44027</v>
      </c>
      <c r="B1371" s="115">
        <v>717.68</v>
      </c>
      <c r="C1371" s="115">
        <v>705.05</v>
      </c>
      <c r="D1371" s="115">
        <v>700.8</v>
      </c>
      <c r="E1371" s="115">
        <v>717.68</v>
      </c>
      <c r="F1371" s="115">
        <v>3525.25</v>
      </c>
      <c r="G1371">
        <v>120</v>
      </c>
      <c r="H1371" s="115"/>
      <c r="I1371" s="115"/>
      <c r="L1371" s="169">
        <v>44028</v>
      </c>
      <c r="M1371" s="115">
        <v>717.83</v>
      </c>
      <c r="N1371" s="115">
        <v>725.99</v>
      </c>
      <c r="O1371" s="115">
        <v>699.47</v>
      </c>
      <c r="P1371" s="115">
        <v>706</v>
      </c>
      <c r="Q1371" s="115">
        <v>3589.15</v>
      </c>
      <c r="R1371">
        <v>20959</v>
      </c>
    </row>
    <row r="1372" spans="1:18" x14ac:dyDescent="0.25">
      <c r="A1372" s="169">
        <v>44028</v>
      </c>
      <c r="B1372" s="115">
        <v>724.41</v>
      </c>
      <c r="C1372" s="115">
        <v>715.87</v>
      </c>
      <c r="D1372" s="115">
        <v>701</v>
      </c>
      <c r="E1372" s="115">
        <v>704.2</v>
      </c>
      <c r="F1372" s="115">
        <v>3579.35</v>
      </c>
      <c r="G1372">
        <v>70</v>
      </c>
      <c r="H1372" s="115"/>
      <c r="I1372" s="115"/>
      <c r="L1372" s="169">
        <v>44029</v>
      </c>
      <c r="M1372" s="115">
        <v>729.15</v>
      </c>
      <c r="N1372" s="115">
        <v>733.62</v>
      </c>
      <c r="O1372" s="115">
        <v>712.41</v>
      </c>
      <c r="P1372" s="115">
        <v>721.42</v>
      </c>
      <c r="Q1372" s="115">
        <v>3645.75</v>
      </c>
      <c r="R1372">
        <v>5034</v>
      </c>
    </row>
    <row r="1373" spans="1:18" x14ac:dyDescent="0.25">
      <c r="A1373" s="169">
        <v>44029</v>
      </c>
      <c r="B1373" s="115">
        <v>729.48</v>
      </c>
      <c r="C1373" s="115">
        <v>727.72</v>
      </c>
      <c r="D1373" s="115">
        <v>714.5</v>
      </c>
      <c r="E1373" s="115">
        <v>726</v>
      </c>
      <c r="F1373" s="115">
        <v>3638.6</v>
      </c>
      <c r="G1373">
        <v>213</v>
      </c>
      <c r="H1373" s="115"/>
      <c r="I1373" s="115"/>
      <c r="L1373" s="169">
        <v>44032</v>
      </c>
      <c r="M1373" s="115">
        <v>734.88</v>
      </c>
      <c r="N1373" s="115">
        <v>740</v>
      </c>
      <c r="O1373" s="115">
        <v>727</v>
      </c>
      <c r="P1373" s="115">
        <v>729.8</v>
      </c>
      <c r="Q1373" s="115">
        <v>3674.4</v>
      </c>
      <c r="R1373">
        <v>44130</v>
      </c>
    </row>
    <row r="1374" spans="1:18" x14ac:dyDescent="0.25">
      <c r="A1374" s="169">
        <v>44032</v>
      </c>
      <c r="B1374" s="115">
        <v>740</v>
      </c>
      <c r="C1374" s="115">
        <v>731.41</v>
      </c>
      <c r="D1374" s="115">
        <v>729.24</v>
      </c>
      <c r="E1374" s="115">
        <v>739.59</v>
      </c>
      <c r="F1374" s="115">
        <v>3657.05</v>
      </c>
      <c r="G1374">
        <v>387</v>
      </c>
      <c r="H1374" s="115"/>
      <c r="I1374" s="115"/>
      <c r="L1374" s="169">
        <v>44033</v>
      </c>
      <c r="M1374" s="115">
        <v>738.08</v>
      </c>
      <c r="N1374" s="115">
        <v>753</v>
      </c>
      <c r="O1374" s="115">
        <v>727.4</v>
      </c>
      <c r="P1374" s="115">
        <v>738.56</v>
      </c>
      <c r="Q1374" s="115">
        <v>3690.4</v>
      </c>
      <c r="R1374">
        <v>27917</v>
      </c>
    </row>
    <row r="1375" spans="1:18" x14ac:dyDescent="0.25">
      <c r="A1375" s="169">
        <v>44033</v>
      </c>
      <c r="B1375" s="115">
        <v>745.22</v>
      </c>
      <c r="C1375" s="115">
        <v>737.8</v>
      </c>
      <c r="D1375" s="115">
        <v>730.47</v>
      </c>
      <c r="E1375" s="115">
        <v>744</v>
      </c>
      <c r="F1375" s="115">
        <v>3689</v>
      </c>
      <c r="G1375">
        <v>75</v>
      </c>
      <c r="H1375" s="115"/>
      <c r="I1375" s="115"/>
      <c r="L1375" s="169">
        <v>44034</v>
      </c>
      <c r="M1375" s="115">
        <v>734.26</v>
      </c>
      <c r="N1375" s="115">
        <v>747.2</v>
      </c>
      <c r="O1375" s="115">
        <v>722.01</v>
      </c>
      <c r="P1375" s="115">
        <v>730.01</v>
      </c>
      <c r="Q1375" s="115">
        <v>3671.3</v>
      </c>
      <c r="R1375">
        <v>12342</v>
      </c>
    </row>
    <row r="1376" spans="1:18" x14ac:dyDescent="0.25">
      <c r="A1376" s="169">
        <v>44034</v>
      </c>
      <c r="B1376" s="115">
        <v>742.46</v>
      </c>
      <c r="C1376" s="115">
        <v>735.67</v>
      </c>
      <c r="D1376" s="115">
        <v>732.12</v>
      </c>
      <c r="E1376" s="115">
        <v>734.98</v>
      </c>
      <c r="F1376" s="115">
        <v>3678.35</v>
      </c>
      <c r="G1376">
        <v>63</v>
      </c>
      <c r="H1376" s="115"/>
      <c r="I1376" s="115"/>
      <c r="L1376" s="169">
        <v>44035</v>
      </c>
      <c r="M1376" s="115">
        <v>741.46</v>
      </c>
      <c r="N1376" s="115">
        <v>745</v>
      </c>
      <c r="O1376" s="115">
        <v>727.99</v>
      </c>
      <c r="P1376" s="115">
        <v>730.93</v>
      </c>
      <c r="Q1376" s="115">
        <v>3707.3</v>
      </c>
      <c r="R1376">
        <v>3490</v>
      </c>
    </row>
    <row r="1377" spans="1:18" x14ac:dyDescent="0.25">
      <c r="A1377" s="169">
        <v>44035</v>
      </c>
      <c r="B1377" s="115">
        <v>746.33</v>
      </c>
      <c r="C1377" s="115">
        <v>742.09</v>
      </c>
      <c r="D1377" s="115">
        <v>727.46</v>
      </c>
      <c r="E1377" s="115">
        <v>729.82</v>
      </c>
      <c r="F1377" s="115">
        <v>3710.45</v>
      </c>
      <c r="G1377">
        <v>202</v>
      </c>
      <c r="H1377" s="115"/>
      <c r="I1377" s="115"/>
      <c r="L1377" s="169">
        <v>44036</v>
      </c>
      <c r="M1377" s="115">
        <v>724.27</v>
      </c>
      <c r="N1377" s="115">
        <v>739.58</v>
      </c>
      <c r="O1377" s="115">
        <v>712</v>
      </c>
      <c r="P1377" s="115">
        <v>730.01</v>
      </c>
      <c r="Q1377" s="115">
        <v>3621.35</v>
      </c>
      <c r="R1377">
        <v>10035</v>
      </c>
    </row>
    <row r="1378" spans="1:18" x14ac:dyDescent="0.25">
      <c r="A1378" s="169">
        <v>44036</v>
      </c>
      <c r="B1378" s="115">
        <v>734.84</v>
      </c>
      <c r="C1378" s="115">
        <v>722.62</v>
      </c>
      <c r="D1378" s="115">
        <v>715.65</v>
      </c>
      <c r="E1378" s="115">
        <v>734</v>
      </c>
      <c r="F1378" s="115">
        <v>3613.1</v>
      </c>
      <c r="G1378">
        <v>386</v>
      </c>
      <c r="H1378" s="115"/>
      <c r="I1378" s="115"/>
      <c r="L1378" s="169">
        <v>44039</v>
      </c>
      <c r="M1378" s="115">
        <v>719.68</v>
      </c>
      <c r="N1378" s="115">
        <v>726</v>
      </c>
      <c r="O1378" s="115">
        <v>685.1</v>
      </c>
      <c r="P1378" s="115">
        <v>713</v>
      </c>
      <c r="Q1378" s="115">
        <v>3598.4</v>
      </c>
      <c r="R1378">
        <v>7918</v>
      </c>
    </row>
    <row r="1379" spans="1:18" x14ac:dyDescent="0.25">
      <c r="A1379" s="169">
        <v>44039</v>
      </c>
      <c r="B1379" s="115">
        <v>724.26</v>
      </c>
      <c r="C1379" s="115">
        <v>722.52</v>
      </c>
      <c r="D1379" s="115">
        <v>687.4</v>
      </c>
      <c r="E1379" s="115">
        <v>711.5</v>
      </c>
      <c r="F1379" s="115">
        <v>3612.6</v>
      </c>
      <c r="G1379">
        <v>262</v>
      </c>
      <c r="H1379" s="115"/>
      <c r="I1379" s="115"/>
      <c r="L1379" s="169">
        <v>44040</v>
      </c>
      <c r="M1379" s="115">
        <v>736.11</v>
      </c>
      <c r="N1379" s="115">
        <v>745</v>
      </c>
      <c r="O1379" s="115">
        <v>700.31</v>
      </c>
      <c r="P1379" s="115">
        <v>723.01</v>
      </c>
      <c r="Q1379" s="115">
        <v>3680.55</v>
      </c>
      <c r="R1379">
        <v>2369</v>
      </c>
    </row>
    <row r="1380" spans="1:18" x14ac:dyDescent="0.25">
      <c r="A1380" s="169">
        <v>44040</v>
      </c>
      <c r="B1380" s="115">
        <v>743.92</v>
      </c>
      <c r="C1380" s="115">
        <v>735.53</v>
      </c>
      <c r="D1380" s="115">
        <v>709.19</v>
      </c>
      <c r="E1380" s="115">
        <v>710.02</v>
      </c>
      <c r="F1380" s="115">
        <v>3677.65</v>
      </c>
      <c r="G1380">
        <v>356</v>
      </c>
      <c r="H1380" s="115"/>
      <c r="I1380" s="115"/>
      <c r="L1380" s="169">
        <v>44041</v>
      </c>
      <c r="M1380" s="115">
        <v>731.86</v>
      </c>
      <c r="N1380" s="115">
        <v>744.4</v>
      </c>
      <c r="O1380" s="115">
        <v>726.81</v>
      </c>
      <c r="P1380" s="115">
        <v>736.2</v>
      </c>
      <c r="Q1380" s="115">
        <v>3659.3</v>
      </c>
      <c r="R1380">
        <v>2940</v>
      </c>
    </row>
    <row r="1381" spans="1:18" x14ac:dyDescent="0.25">
      <c r="A1381" s="169">
        <v>44041</v>
      </c>
      <c r="B1381" s="115">
        <v>741.15</v>
      </c>
      <c r="C1381" s="115">
        <v>730.95</v>
      </c>
      <c r="D1381" s="115">
        <v>728.43</v>
      </c>
      <c r="E1381" s="115">
        <v>735</v>
      </c>
      <c r="F1381" s="115">
        <v>3654.75</v>
      </c>
      <c r="G1381">
        <v>111</v>
      </c>
      <c r="H1381" s="115"/>
      <c r="I1381" s="115"/>
      <c r="L1381" s="169">
        <v>44042</v>
      </c>
      <c r="M1381" s="115">
        <v>712.22</v>
      </c>
      <c r="N1381" s="115">
        <v>739</v>
      </c>
      <c r="O1381" s="115">
        <v>705.01</v>
      </c>
      <c r="P1381" s="115">
        <v>735.52</v>
      </c>
      <c r="Q1381" s="115">
        <v>3561.1</v>
      </c>
      <c r="R1381">
        <v>2386</v>
      </c>
    </row>
    <row r="1382" spans="1:18" x14ac:dyDescent="0.25">
      <c r="A1382" s="169">
        <v>44042</v>
      </c>
      <c r="B1382" s="115">
        <v>728.41</v>
      </c>
      <c r="C1382" s="115">
        <v>710.54</v>
      </c>
      <c r="D1382" s="115">
        <v>704.46</v>
      </c>
      <c r="E1382" s="115">
        <v>728.41</v>
      </c>
      <c r="F1382" s="115">
        <v>3552.7</v>
      </c>
      <c r="G1382">
        <v>316</v>
      </c>
      <c r="H1382" s="115"/>
      <c r="I1382" s="115"/>
      <c r="L1382" s="169">
        <v>44043</v>
      </c>
      <c r="M1382" s="115">
        <v>721.48</v>
      </c>
      <c r="N1382" s="115">
        <v>726.99</v>
      </c>
      <c r="O1382" s="115">
        <v>707.05</v>
      </c>
      <c r="P1382" s="115">
        <v>712.53</v>
      </c>
      <c r="Q1382" s="115">
        <v>3607.4</v>
      </c>
      <c r="R1382">
        <v>1376</v>
      </c>
    </row>
    <row r="1383" spans="1:18" x14ac:dyDescent="0.25">
      <c r="A1383" s="169">
        <v>44043</v>
      </c>
      <c r="B1383" s="115">
        <v>723.32</v>
      </c>
      <c r="C1383" s="115">
        <v>719</v>
      </c>
      <c r="D1383" s="115">
        <v>710</v>
      </c>
      <c r="E1383" s="115">
        <v>715.41</v>
      </c>
      <c r="F1383" s="115">
        <v>3595</v>
      </c>
      <c r="G1383">
        <v>140</v>
      </c>
      <c r="H1383" s="115"/>
      <c r="I1383" s="115"/>
      <c r="L1383" s="169">
        <v>44046</v>
      </c>
      <c r="M1383" s="115">
        <v>712.51</v>
      </c>
      <c r="N1383" s="115">
        <v>726.55</v>
      </c>
      <c r="O1383" s="115">
        <v>708.4</v>
      </c>
      <c r="P1383" s="115">
        <v>721.4</v>
      </c>
      <c r="Q1383" s="115">
        <v>3562.55</v>
      </c>
      <c r="R1383">
        <v>7236</v>
      </c>
    </row>
    <row r="1384" spans="1:18" x14ac:dyDescent="0.25">
      <c r="A1384" s="169">
        <v>44046</v>
      </c>
      <c r="B1384" s="115">
        <v>725.5</v>
      </c>
      <c r="C1384" s="115">
        <v>711.73</v>
      </c>
      <c r="D1384" s="115">
        <v>709.25</v>
      </c>
      <c r="E1384" s="115">
        <v>725.5</v>
      </c>
      <c r="F1384" s="115">
        <v>3558.65</v>
      </c>
      <c r="G1384">
        <v>71</v>
      </c>
      <c r="H1384" s="115"/>
      <c r="I1384" s="115"/>
      <c r="L1384" s="169">
        <v>44047</v>
      </c>
      <c r="M1384" s="115">
        <v>725.02</v>
      </c>
      <c r="N1384" s="115">
        <v>728.01</v>
      </c>
      <c r="O1384" s="115">
        <v>710.66</v>
      </c>
      <c r="P1384" s="115">
        <v>716.08</v>
      </c>
      <c r="Q1384" s="115">
        <v>3625.1</v>
      </c>
      <c r="R1384">
        <v>6858</v>
      </c>
    </row>
    <row r="1385" spans="1:18" x14ac:dyDescent="0.25">
      <c r="A1385" s="169">
        <v>44047</v>
      </c>
      <c r="B1385" s="115">
        <v>726.7</v>
      </c>
      <c r="C1385" s="115">
        <v>724.93</v>
      </c>
      <c r="D1385" s="115">
        <v>714.59</v>
      </c>
      <c r="E1385" s="115">
        <v>716.53</v>
      </c>
      <c r="F1385" s="115">
        <v>3624.65</v>
      </c>
      <c r="G1385">
        <v>89</v>
      </c>
      <c r="H1385" s="115"/>
      <c r="I1385" s="115"/>
      <c r="L1385" s="169">
        <v>44048</v>
      </c>
      <c r="M1385" s="115">
        <v>718.78</v>
      </c>
      <c r="N1385" s="115">
        <v>731.35</v>
      </c>
      <c r="O1385" s="115">
        <v>715.47</v>
      </c>
      <c r="P1385" s="115">
        <v>725.02</v>
      </c>
      <c r="Q1385" s="115">
        <v>3593.9</v>
      </c>
      <c r="R1385">
        <v>2108</v>
      </c>
    </row>
    <row r="1386" spans="1:18" x14ac:dyDescent="0.25">
      <c r="A1386" s="169">
        <v>44048</v>
      </c>
      <c r="B1386" s="115">
        <v>725.7</v>
      </c>
      <c r="C1386" s="115">
        <v>719.49</v>
      </c>
      <c r="D1386" s="115">
        <v>716.7</v>
      </c>
      <c r="E1386" s="115">
        <v>725.7</v>
      </c>
      <c r="F1386" s="115">
        <v>3597.45</v>
      </c>
      <c r="G1386">
        <v>149</v>
      </c>
      <c r="H1386" s="115"/>
      <c r="I1386" s="115"/>
      <c r="L1386" s="169">
        <v>44049</v>
      </c>
      <c r="M1386" s="115">
        <v>714.62</v>
      </c>
      <c r="N1386" s="115">
        <v>723.67</v>
      </c>
      <c r="O1386" s="115">
        <v>708.5</v>
      </c>
      <c r="P1386" s="115">
        <v>722.37</v>
      </c>
      <c r="Q1386" s="115">
        <v>3573.1</v>
      </c>
      <c r="R1386">
        <v>12851</v>
      </c>
    </row>
    <row r="1387" spans="1:18" x14ac:dyDescent="0.25">
      <c r="A1387" s="169">
        <v>44049</v>
      </c>
      <c r="B1387" s="115">
        <v>724.65</v>
      </c>
      <c r="C1387" s="115">
        <v>714.08</v>
      </c>
      <c r="D1387" s="115">
        <v>709.24</v>
      </c>
      <c r="E1387" s="115">
        <v>724.65</v>
      </c>
      <c r="F1387" s="115">
        <v>3570.4</v>
      </c>
      <c r="G1387">
        <v>208</v>
      </c>
      <c r="H1387" s="115"/>
      <c r="I1387" s="115"/>
      <c r="L1387" s="169">
        <v>44050</v>
      </c>
      <c r="M1387" s="115">
        <v>708.77</v>
      </c>
      <c r="N1387" s="115">
        <v>718.2</v>
      </c>
      <c r="O1387" s="115">
        <v>704</v>
      </c>
      <c r="P1387" s="115">
        <v>718.2</v>
      </c>
      <c r="Q1387" s="115">
        <v>3543.85</v>
      </c>
      <c r="R1387">
        <v>2406</v>
      </c>
    </row>
    <row r="1388" spans="1:18" x14ac:dyDescent="0.25">
      <c r="A1388" s="169">
        <v>44050</v>
      </c>
      <c r="B1388" s="115">
        <v>717.95</v>
      </c>
      <c r="C1388" s="115">
        <v>708.41</v>
      </c>
      <c r="D1388" s="115">
        <v>707.6</v>
      </c>
      <c r="E1388" s="115">
        <v>717.95</v>
      </c>
      <c r="F1388" s="115">
        <v>3542.05</v>
      </c>
      <c r="G1388">
        <v>113</v>
      </c>
      <c r="H1388" s="115"/>
      <c r="I1388" s="115"/>
      <c r="L1388" s="169">
        <v>44053</v>
      </c>
      <c r="M1388" s="115">
        <v>720.06</v>
      </c>
      <c r="N1388" s="115">
        <v>723.01</v>
      </c>
      <c r="O1388" s="115">
        <v>704.2</v>
      </c>
      <c r="P1388" s="115">
        <v>708.4</v>
      </c>
      <c r="Q1388" s="115">
        <v>3600.3</v>
      </c>
      <c r="R1388">
        <v>11303</v>
      </c>
    </row>
    <row r="1389" spans="1:18" x14ac:dyDescent="0.25">
      <c r="A1389" s="169">
        <v>44053</v>
      </c>
      <c r="B1389" s="115">
        <v>722.48</v>
      </c>
      <c r="C1389" s="115">
        <v>721.65</v>
      </c>
      <c r="D1389" s="115">
        <v>704.6</v>
      </c>
      <c r="E1389" s="115">
        <v>710.61</v>
      </c>
      <c r="F1389" s="115">
        <v>3608.25</v>
      </c>
      <c r="G1389">
        <v>198</v>
      </c>
      <c r="H1389" s="115"/>
      <c r="I1389" s="115"/>
      <c r="L1389" s="169">
        <v>44054</v>
      </c>
      <c r="M1389" s="115">
        <v>711.32</v>
      </c>
      <c r="N1389" s="115">
        <v>723.52</v>
      </c>
      <c r="O1389" s="115">
        <v>708</v>
      </c>
      <c r="P1389" s="115">
        <v>723.21</v>
      </c>
      <c r="Q1389" s="115">
        <v>3556.6</v>
      </c>
      <c r="R1389">
        <v>2180</v>
      </c>
    </row>
    <row r="1390" spans="1:18" x14ac:dyDescent="0.25">
      <c r="A1390" s="169">
        <v>44054</v>
      </c>
      <c r="B1390" s="115">
        <v>721.98</v>
      </c>
      <c r="C1390" s="115">
        <v>709.28</v>
      </c>
      <c r="D1390" s="115">
        <v>707</v>
      </c>
      <c r="E1390" s="115">
        <v>721.98</v>
      </c>
      <c r="F1390" s="115">
        <v>3546.4</v>
      </c>
      <c r="G1390">
        <v>342</v>
      </c>
      <c r="H1390" s="115"/>
      <c r="I1390" s="115"/>
      <c r="L1390" s="169">
        <v>44055</v>
      </c>
      <c r="M1390" s="115">
        <v>703.74</v>
      </c>
      <c r="N1390" s="115">
        <v>713.1</v>
      </c>
      <c r="O1390" s="115">
        <v>701.2</v>
      </c>
      <c r="P1390" s="115">
        <v>705</v>
      </c>
      <c r="Q1390" s="115">
        <v>3518.7</v>
      </c>
      <c r="R1390">
        <v>2677</v>
      </c>
    </row>
    <row r="1391" spans="1:18" x14ac:dyDescent="0.25">
      <c r="A1391" s="169">
        <v>44055</v>
      </c>
      <c r="B1391" s="115">
        <v>710.96</v>
      </c>
      <c r="C1391" s="115">
        <v>703.42</v>
      </c>
      <c r="D1391" s="115">
        <v>690.55</v>
      </c>
      <c r="E1391" s="115">
        <v>706.65</v>
      </c>
      <c r="F1391" s="115">
        <v>3517.1</v>
      </c>
      <c r="G1391">
        <v>297</v>
      </c>
      <c r="H1391" s="115"/>
      <c r="I1391" s="115"/>
      <c r="L1391" s="169">
        <v>44056</v>
      </c>
      <c r="M1391" s="115">
        <v>701.2</v>
      </c>
      <c r="N1391" s="115">
        <v>709.32</v>
      </c>
      <c r="O1391" s="115">
        <v>699.2</v>
      </c>
      <c r="P1391" s="115">
        <v>707.26</v>
      </c>
      <c r="Q1391" s="115">
        <v>3506</v>
      </c>
      <c r="R1391">
        <v>1515</v>
      </c>
    </row>
    <row r="1392" spans="1:18" x14ac:dyDescent="0.25">
      <c r="A1392" s="169">
        <v>44056</v>
      </c>
      <c r="B1392" s="115">
        <v>705.27</v>
      </c>
      <c r="C1392" s="115">
        <v>701.35</v>
      </c>
      <c r="D1392" s="115">
        <v>698.67</v>
      </c>
      <c r="E1392" s="115">
        <v>705.27</v>
      </c>
      <c r="F1392" s="115">
        <v>3506.75</v>
      </c>
      <c r="G1392">
        <v>30</v>
      </c>
      <c r="H1392" s="115"/>
      <c r="I1392" s="115"/>
      <c r="L1392" s="169">
        <v>44057</v>
      </c>
      <c r="M1392" s="115">
        <v>699.58</v>
      </c>
      <c r="N1392" s="115">
        <v>710.2</v>
      </c>
      <c r="O1392" s="115">
        <v>696</v>
      </c>
      <c r="P1392" s="115">
        <v>700.67</v>
      </c>
      <c r="Q1392" s="115">
        <v>3497.9</v>
      </c>
      <c r="R1392">
        <v>7899</v>
      </c>
    </row>
    <row r="1393" spans="1:18" x14ac:dyDescent="0.25">
      <c r="A1393" s="169">
        <v>44057</v>
      </c>
      <c r="B1393" s="115">
        <v>707.46</v>
      </c>
      <c r="C1393" s="115">
        <v>699.36</v>
      </c>
      <c r="D1393" s="115">
        <v>696.85</v>
      </c>
      <c r="E1393" s="115">
        <v>704.37</v>
      </c>
      <c r="F1393" s="115">
        <v>3496.8</v>
      </c>
      <c r="G1393">
        <v>87</v>
      </c>
      <c r="H1393" s="115"/>
      <c r="I1393" s="115"/>
      <c r="L1393" s="169">
        <v>44060</v>
      </c>
      <c r="M1393" s="115">
        <v>700.23</v>
      </c>
      <c r="N1393" s="115">
        <v>707.17</v>
      </c>
      <c r="O1393" s="115">
        <v>699.07</v>
      </c>
      <c r="P1393" s="115">
        <v>700.08</v>
      </c>
      <c r="Q1393" s="115">
        <v>3501.15</v>
      </c>
      <c r="R1393">
        <v>1550</v>
      </c>
    </row>
    <row r="1394" spans="1:18" x14ac:dyDescent="0.25">
      <c r="A1394" s="169">
        <v>44060</v>
      </c>
      <c r="B1394" s="115">
        <v>705</v>
      </c>
      <c r="C1394" s="115">
        <v>700.26</v>
      </c>
      <c r="D1394" s="115">
        <v>700</v>
      </c>
      <c r="E1394" s="115">
        <v>702.62</v>
      </c>
      <c r="F1394" s="115">
        <v>3501.3</v>
      </c>
      <c r="G1394">
        <v>123</v>
      </c>
      <c r="H1394" s="115"/>
      <c r="I1394" s="115"/>
      <c r="L1394" s="169">
        <v>44061</v>
      </c>
      <c r="M1394" s="115">
        <v>699.86</v>
      </c>
      <c r="N1394" s="115">
        <v>705.47</v>
      </c>
      <c r="O1394" s="115">
        <v>699</v>
      </c>
      <c r="P1394" s="115">
        <v>702.99</v>
      </c>
      <c r="Q1394" s="115">
        <v>3499.3</v>
      </c>
      <c r="R1394">
        <v>2245</v>
      </c>
    </row>
    <row r="1395" spans="1:18" x14ac:dyDescent="0.25">
      <c r="A1395" s="169">
        <v>44061</v>
      </c>
      <c r="B1395" s="115">
        <v>705.87</v>
      </c>
      <c r="C1395" s="115">
        <v>700.91</v>
      </c>
      <c r="D1395" s="115">
        <v>699.2</v>
      </c>
      <c r="E1395" s="115">
        <v>703.26</v>
      </c>
      <c r="F1395" s="115">
        <v>3504.55</v>
      </c>
      <c r="G1395">
        <v>94</v>
      </c>
      <c r="H1395" s="115"/>
      <c r="I1395" s="115"/>
      <c r="L1395" s="169">
        <v>44062</v>
      </c>
      <c r="M1395" s="115">
        <v>699.97</v>
      </c>
      <c r="N1395" s="115">
        <v>719.78</v>
      </c>
      <c r="O1395" s="115">
        <v>697</v>
      </c>
      <c r="P1395" s="115">
        <v>700.03</v>
      </c>
      <c r="Q1395" s="115">
        <v>3499.85</v>
      </c>
      <c r="R1395">
        <v>11756</v>
      </c>
    </row>
    <row r="1396" spans="1:18" x14ac:dyDescent="0.25">
      <c r="A1396" s="169">
        <v>44062</v>
      </c>
      <c r="B1396" s="115">
        <v>715</v>
      </c>
      <c r="C1396" s="115">
        <v>701.09</v>
      </c>
      <c r="D1396" s="115">
        <v>698</v>
      </c>
      <c r="E1396" s="115">
        <v>706.98</v>
      </c>
      <c r="F1396" s="115">
        <v>3505.45</v>
      </c>
      <c r="G1396">
        <v>231</v>
      </c>
      <c r="H1396" s="115"/>
      <c r="I1396" s="115"/>
      <c r="L1396" s="169">
        <v>44063</v>
      </c>
      <c r="M1396" s="115">
        <v>698.98</v>
      </c>
      <c r="N1396" s="115">
        <v>707.19</v>
      </c>
      <c r="O1396" s="115">
        <v>692.81</v>
      </c>
      <c r="P1396" s="115">
        <v>700.01</v>
      </c>
      <c r="Q1396" s="115">
        <v>3494.9</v>
      </c>
      <c r="R1396">
        <v>4851</v>
      </c>
    </row>
    <row r="1397" spans="1:18" x14ac:dyDescent="0.25">
      <c r="A1397" s="169">
        <v>44063</v>
      </c>
      <c r="B1397" s="115">
        <v>702.5</v>
      </c>
      <c r="C1397" s="115">
        <v>699.2</v>
      </c>
      <c r="D1397" s="115">
        <v>698.4</v>
      </c>
      <c r="E1397" s="115">
        <v>700</v>
      </c>
      <c r="F1397" s="115">
        <v>3496</v>
      </c>
      <c r="G1397">
        <v>114</v>
      </c>
      <c r="H1397" s="115"/>
      <c r="I1397" s="115"/>
      <c r="L1397" s="169">
        <v>44064</v>
      </c>
      <c r="M1397" s="115">
        <v>698.51</v>
      </c>
      <c r="N1397" s="115">
        <v>705.78</v>
      </c>
      <c r="O1397" s="115">
        <v>696.81</v>
      </c>
      <c r="P1397" s="115">
        <v>702.48</v>
      </c>
      <c r="Q1397" s="115">
        <v>3492.55</v>
      </c>
      <c r="R1397">
        <v>7012</v>
      </c>
    </row>
    <row r="1398" spans="1:18" x14ac:dyDescent="0.25">
      <c r="A1398" s="169">
        <v>44064</v>
      </c>
      <c r="B1398" s="115">
        <v>703.95</v>
      </c>
      <c r="C1398" s="115">
        <v>699.27</v>
      </c>
      <c r="D1398" s="115">
        <v>697.48</v>
      </c>
      <c r="E1398" s="115">
        <v>701.45</v>
      </c>
      <c r="F1398" s="115">
        <v>3496.35</v>
      </c>
      <c r="G1398">
        <v>361</v>
      </c>
      <c r="H1398" s="115"/>
      <c r="I1398" s="115"/>
      <c r="L1398" s="169">
        <v>44067</v>
      </c>
      <c r="M1398" s="115">
        <v>732.2</v>
      </c>
      <c r="N1398" s="115">
        <v>749.6</v>
      </c>
      <c r="O1398" s="115">
        <v>701.8</v>
      </c>
      <c r="P1398" s="115">
        <v>702</v>
      </c>
      <c r="Q1398" s="115">
        <v>3661</v>
      </c>
      <c r="R1398">
        <v>46205</v>
      </c>
    </row>
    <row r="1399" spans="1:18" x14ac:dyDescent="0.25">
      <c r="A1399" s="169">
        <v>44067</v>
      </c>
      <c r="B1399" s="115">
        <v>749.61</v>
      </c>
      <c r="C1399" s="115">
        <v>732.17</v>
      </c>
      <c r="D1399" s="115">
        <v>702.23</v>
      </c>
      <c r="E1399" s="115">
        <v>702.23</v>
      </c>
      <c r="F1399" s="115">
        <v>3660.85</v>
      </c>
      <c r="G1399">
        <v>12339</v>
      </c>
      <c r="H1399" s="115"/>
      <c r="I1399" s="115"/>
      <c r="L1399" s="169">
        <v>44068</v>
      </c>
      <c r="M1399" s="115">
        <v>749.92</v>
      </c>
      <c r="N1399" s="115">
        <v>776.79</v>
      </c>
      <c r="O1399" s="115">
        <v>731.99</v>
      </c>
      <c r="P1399" s="115">
        <v>740</v>
      </c>
      <c r="Q1399" s="115">
        <v>3749.6</v>
      </c>
      <c r="R1399">
        <v>35864</v>
      </c>
    </row>
    <row r="1400" spans="1:18" x14ac:dyDescent="0.25">
      <c r="A1400" s="169">
        <v>44068</v>
      </c>
      <c r="B1400" s="115">
        <v>775.99</v>
      </c>
      <c r="C1400" s="115">
        <v>749.93</v>
      </c>
      <c r="D1400" s="115">
        <v>732.61</v>
      </c>
      <c r="E1400" s="115">
        <v>743.98</v>
      </c>
      <c r="F1400" s="115">
        <v>3749.65</v>
      </c>
      <c r="G1400">
        <v>1691</v>
      </c>
      <c r="H1400" s="115"/>
      <c r="I1400" s="115"/>
      <c r="L1400" s="169">
        <v>44069</v>
      </c>
      <c r="M1400" s="115">
        <v>779.5</v>
      </c>
      <c r="N1400" s="115">
        <v>788.79</v>
      </c>
      <c r="O1400" s="115">
        <v>761.21</v>
      </c>
      <c r="P1400" s="115">
        <v>770</v>
      </c>
      <c r="Q1400" s="115">
        <v>3897.5</v>
      </c>
      <c r="R1400">
        <v>29553</v>
      </c>
    </row>
    <row r="1401" spans="1:18" x14ac:dyDescent="0.25">
      <c r="A1401" s="169">
        <v>44069</v>
      </c>
      <c r="B1401" s="115">
        <v>788.17</v>
      </c>
      <c r="C1401" s="115">
        <v>778.94</v>
      </c>
      <c r="D1401" s="115">
        <v>750.6</v>
      </c>
      <c r="E1401" s="115">
        <v>776</v>
      </c>
      <c r="F1401" s="115">
        <v>3894.7</v>
      </c>
      <c r="G1401">
        <v>1348</v>
      </c>
      <c r="H1401" s="115"/>
      <c r="I1401" s="115"/>
      <c r="L1401" s="169">
        <v>44070</v>
      </c>
      <c r="M1401" s="115">
        <v>802.34</v>
      </c>
      <c r="N1401" s="115">
        <v>804.4</v>
      </c>
      <c r="O1401" s="115">
        <v>784</v>
      </c>
      <c r="P1401" s="115">
        <v>784</v>
      </c>
      <c r="Q1401" s="115">
        <v>4011.7</v>
      </c>
      <c r="R1401">
        <v>27512</v>
      </c>
    </row>
    <row r="1402" spans="1:18" x14ac:dyDescent="0.25">
      <c r="A1402" s="169">
        <v>44070</v>
      </c>
      <c r="B1402" s="115">
        <v>808</v>
      </c>
      <c r="C1402" s="115">
        <v>801.99</v>
      </c>
      <c r="D1402" s="115">
        <v>789.39</v>
      </c>
      <c r="E1402" s="115">
        <v>790</v>
      </c>
      <c r="F1402" s="115">
        <v>4009.95</v>
      </c>
      <c r="G1402">
        <v>1245</v>
      </c>
      <c r="H1402" s="115"/>
      <c r="I1402" s="115"/>
      <c r="L1402" s="169">
        <v>44071</v>
      </c>
      <c r="M1402" s="115">
        <v>791.07</v>
      </c>
      <c r="N1402" s="115">
        <v>832</v>
      </c>
      <c r="O1402" s="115">
        <v>781</v>
      </c>
      <c r="P1402" s="115">
        <v>808</v>
      </c>
      <c r="Q1402" s="115">
        <v>3955.35</v>
      </c>
      <c r="R1402">
        <v>37564</v>
      </c>
    </row>
    <row r="1403" spans="1:18" x14ac:dyDescent="0.25">
      <c r="A1403" s="169">
        <v>44071</v>
      </c>
      <c r="B1403" s="115">
        <v>830.85</v>
      </c>
      <c r="C1403" s="115">
        <v>789.34</v>
      </c>
      <c r="D1403" s="115">
        <v>775.63</v>
      </c>
      <c r="E1403" s="115">
        <v>808</v>
      </c>
      <c r="F1403" s="115">
        <v>3946.7</v>
      </c>
      <c r="G1403">
        <v>2558</v>
      </c>
      <c r="H1403" s="115"/>
      <c r="I1403" s="115"/>
      <c r="L1403" s="169">
        <v>44074</v>
      </c>
      <c r="M1403" s="115">
        <v>793.32</v>
      </c>
      <c r="N1403" s="115">
        <v>804</v>
      </c>
      <c r="O1403" s="115">
        <v>762.81</v>
      </c>
      <c r="P1403" s="115">
        <v>799.8</v>
      </c>
      <c r="Q1403" s="115">
        <v>3966.6</v>
      </c>
      <c r="R1403">
        <v>15321</v>
      </c>
    </row>
    <row r="1404" spans="1:18" x14ac:dyDescent="0.25">
      <c r="A1404" s="169">
        <v>44074</v>
      </c>
      <c r="B1404" s="115">
        <v>851</v>
      </c>
      <c r="C1404" s="115">
        <v>792.31</v>
      </c>
      <c r="D1404" s="115">
        <v>768</v>
      </c>
      <c r="E1404" s="115">
        <v>794</v>
      </c>
      <c r="F1404" s="115">
        <v>3961.55</v>
      </c>
      <c r="G1404">
        <v>1331</v>
      </c>
      <c r="H1404" s="115"/>
      <c r="I1404" s="115"/>
      <c r="L1404" s="169">
        <v>44075</v>
      </c>
      <c r="M1404" s="115">
        <v>787.29</v>
      </c>
      <c r="N1404" s="115">
        <v>804</v>
      </c>
      <c r="O1404" s="115">
        <v>782.72</v>
      </c>
      <c r="P1404" s="115">
        <v>796</v>
      </c>
      <c r="Q1404" s="115">
        <v>3936.45</v>
      </c>
      <c r="R1404">
        <v>7960</v>
      </c>
    </row>
    <row r="1405" spans="1:18" x14ac:dyDescent="0.25">
      <c r="A1405" s="169">
        <v>44075</v>
      </c>
      <c r="B1405" s="115">
        <v>815.99</v>
      </c>
      <c r="C1405" s="115">
        <v>786</v>
      </c>
      <c r="D1405" s="115">
        <v>763.73</v>
      </c>
      <c r="E1405" s="115">
        <v>799.19</v>
      </c>
      <c r="F1405" s="115">
        <v>3930</v>
      </c>
      <c r="G1405">
        <v>166</v>
      </c>
      <c r="H1405" s="115"/>
      <c r="I1405" s="115"/>
      <c r="L1405" s="169">
        <v>44076</v>
      </c>
      <c r="M1405" s="115">
        <v>794.29</v>
      </c>
      <c r="N1405" s="115">
        <v>799</v>
      </c>
      <c r="O1405" s="115">
        <v>783.47</v>
      </c>
      <c r="P1405" s="115">
        <v>794.01</v>
      </c>
      <c r="Q1405" s="115">
        <v>3971.45</v>
      </c>
      <c r="R1405">
        <v>4188</v>
      </c>
    </row>
    <row r="1406" spans="1:18" x14ac:dyDescent="0.25">
      <c r="A1406" s="169">
        <v>44076</v>
      </c>
      <c r="B1406" s="115">
        <v>796.06</v>
      </c>
      <c r="C1406" s="115">
        <v>793.85</v>
      </c>
      <c r="D1406" s="115">
        <v>783.32</v>
      </c>
      <c r="E1406" s="115">
        <v>783.32</v>
      </c>
      <c r="F1406" s="115">
        <v>3969.25</v>
      </c>
      <c r="G1406">
        <v>46</v>
      </c>
      <c r="H1406" s="115"/>
      <c r="I1406" s="115"/>
      <c r="L1406" s="169">
        <v>44077</v>
      </c>
      <c r="M1406" s="115">
        <v>795.98</v>
      </c>
      <c r="N1406" s="115">
        <v>805.61</v>
      </c>
      <c r="O1406" s="115">
        <v>787.36</v>
      </c>
      <c r="P1406" s="115">
        <v>795.03</v>
      </c>
      <c r="Q1406" s="115">
        <v>3979.9</v>
      </c>
      <c r="R1406">
        <v>12295</v>
      </c>
    </row>
    <row r="1407" spans="1:18" x14ac:dyDescent="0.25">
      <c r="A1407" s="169">
        <v>44077</v>
      </c>
      <c r="B1407" s="115">
        <v>799.1</v>
      </c>
      <c r="C1407" s="115">
        <v>796.89</v>
      </c>
      <c r="D1407" s="115">
        <v>794.17</v>
      </c>
      <c r="E1407" s="115">
        <v>796.24</v>
      </c>
      <c r="F1407" s="115">
        <v>3984.45</v>
      </c>
      <c r="G1407">
        <v>122</v>
      </c>
      <c r="H1407" s="115"/>
      <c r="I1407" s="115"/>
      <c r="L1407" s="169">
        <v>44078</v>
      </c>
      <c r="M1407" s="115">
        <v>792.23</v>
      </c>
      <c r="N1407" s="115">
        <v>800</v>
      </c>
      <c r="O1407" s="115">
        <v>775.21</v>
      </c>
      <c r="P1407" s="115">
        <v>784.61</v>
      </c>
      <c r="Q1407" s="115">
        <v>3961.15</v>
      </c>
      <c r="R1407">
        <v>6641</v>
      </c>
    </row>
    <row r="1408" spans="1:18" x14ac:dyDescent="0.25">
      <c r="A1408" s="169">
        <v>44078</v>
      </c>
      <c r="B1408" s="115">
        <v>802.03</v>
      </c>
      <c r="C1408" s="115">
        <v>793.89</v>
      </c>
      <c r="D1408" s="115">
        <v>765.68</v>
      </c>
      <c r="E1408" s="115">
        <v>765.68</v>
      </c>
      <c r="F1408" s="115">
        <v>3969.45</v>
      </c>
      <c r="G1408">
        <v>237</v>
      </c>
      <c r="H1408" s="115"/>
      <c r="I1408" s="115"/>
      <c r="L1408" s="169">
        <v>44081</v>
      </c>
      <c r="M1408" s="115">
        <v>787.92</v>
      </c>
      <c r="N1408" s="115">
        <v>799.8</v>
      </c>
      <c r="O1408" s="115">
        <v>777.04</v>
      </c>
      <c r="P1408" s="115">
        <v>790.23</v>
      </c>
      <c r="Q1408" s="115">
        <v>3939.6</v>
      </c>
      <c r="R1408">
        <v>6603</v>
      </c>
    </row>
    <row r="1409" spans="1:18" x14ac:dyDescent="0.25">
      <c r="A1409" s="169">
        <v>44081</v>
      </c>
      <c r="B1409" s="115">
        <v>795.23</v>
      </c>
      <c r="C1409" s="115">
        <v>782.83</v>
      </c>
      <c r="D1409" s="115">
        <v>777.65</v>
      </c>
      <c r="E1409" s="115">
        <v>794</v>
      </c>
      <c r="F1409" s="115">
        <v>3914.15</v>
      </c>
      <c r="G1409">
        <v>198</v>
      </c>
      <c r="H1409" s="115"/>
      <c r="I1409" s="115"/>
      <c r="L1409" s="169">
        <v>44082</v>
      </c>
      <c r="M1409" s="115">
        <v>780.54</v>
      </c>
      <c r="N1409" s="115">
        <v>795</v>
      </c>
      <c r="O1409" s="115">
        <v>772.4</v>
      </c>
      <c r="P1409" s="115">
        <v>795</v>
      </c>
      <c r="Q1409" s="115">
        <v>3902.7</v>
      </c>
      <c r="R1409">
        <v>17115</v>
      </c>
    </row>
    <row r="1410" spans="1:18" x14ac:dyDescent="0.25">
      <c r="A1410" s="169">
        <v>44082</v>
      </c>
      <c r="B1410" s="115">
        <v>783.27</v>
      </c>
      <c r="C1410" s="115">
        <v>779.42</v>
      </c>
      <c r="D1410" s="115">
        <v>774.93</v>
      </c>
      <c r="E1410" s="115">
        <v>776.56</v>
      </c>
      <c r="F1410" s="115">
        <v>3897.1</v>
      </c>
      <c r="G1410">
        <v>37</v>
      </c>
      <c r="H1410" s="115"/>
      <c r="I1410" s="115"/>
      <c r="L1410" s="169">
        <v>44083</v>
      </c>
      <c r="M1410" s="115">
        <v>774.96</v>
      </c>
      <c r="N1410" s="115">
        <v>800.71</v>
      </c>
      <c r="O1410" s="115">
        <v>756.39</v>
      </c>
      <c r="P1410" s="115">
        <v>780.54</v>
      </c>
      <c r="Q1410" s="115">
        <v>3874.8</v>
      </c>
      <c r="R1410">
        <v>14113</v>
      </c>
    </row>
    <row r="1411" spans="1:18" x14ac:dyDescent="0.25">
      <c r="A1411" s="169">
        <v>44083</v>
      </c>
      <c r="B1411" s="115">
        <v>800</v>
      </c>
      <c r="C1411" s="115">
        <v>797.94</v>
      </c>
      <c r="D1411" s="115">
        <v>757.22</v>
      </c>
      <c r="E1411" s="115">
        <v>771.47</v>
      </c>
      <c r="F1411" s="115">
        <v>3989.7</v>
      </c>
      <c r="G1411">
        <v>72</v>
      </c>
      <c r="H1411" s="115"/>
      <c r="I1411" s="115"/>
      <c r="L1411" s="169">
        <v>44084</v>
      </c>
      <c r="M1411" s="115">
        <v>809.09</v>
      </c>
      <c r="N1411" s="115">
        <v>841.15</v>
      </c>
      <c r="O1411" s="115">
        <v>776</v>
      </c>
      <c r="P1411" s="115">
        <v>776</v>
      </c>
      <c r="Q1411" s="115">
        <v>4045.45</v>
      </c>
      <c r="R1411">
        <v>43532</v>
      </c>
    </row>
    <row r="1412" spans="1:18" x14ac:dyDescent="0.25">
      <c r="A1412" s="169">
        <v>44084</v>
      </c>
      <c r="B1412" s="115">
        <v>840.79</v>
      </c>
      <c r="C1412" s="115">
        <v>808.3</v>
      </c>
      <c r="D1412" s="115">
        <v>777.19</v>
      </c>
      <c r="E1412" s="115">
        <v>792</v>
      </c>
      <c r="F1412" s="115">
        <v>4041.5</v>
      </c>
      <c r="G1412">
        <v>597</v>
      </c>
      <c r="H1412" s="115"/>
      <c r="I1412" s="115"/>
      <c r="L1412" s="169">
        <v>44085</v>
      </c>
      <c r="M1412" s="115">
        <v>796.14</v>
      </c>
      <c r="N1412" s="115">
        <v>820</v>
      </c>
      <c r="O1412" s="115">
        <v>790.01</v>
      </c>
      <c r="P1412" s="115">
        <v>820</v>
      </c>
      <c r="Q1412" s="115">
        <v>3980.7</v>
      </c>
      <c r="R1412">
        <v>18365</v>
      </c>
    </row>
    <row r="1413" spans="1:18" x14ac:dyDescent="0.25">
      <c r="A1413" s="169">
        <v>44085</v>
      </c>
      <c r="B1413" s="115">
        <v>820.11</v>
      </c>
      <c r="C1413" s="115">
        <v>795.83</v>
      </c>
      <c r="D1413" s="115">
        <v>791.46</v>
      </c>
      <c r="E1413" s="115">
        <v>820.11</v>
      </c>
      <c r="F1413" s="115">
        <v>3979.15</v>
      </c>
      <c r="G1413">
        <v>397</v>
      </c>
      <c r="H1413" s="115"/>
      <c r="I1413" s="115"/>
      <c r="L1413" s="169">
        <v>44088</v>
      </c>
      <c r="M1413" s="115">
        <v>823.34</v>
      </c>
      <c r="N1413" s="115">
        <v>847.8</v>
      </c>
      <c r="O1413" s="115">
        <v>803.23</v>
      </c>
      <c r="P1413" s="115">
        <v>814</v>
      </c>
      <c r="Q1413" s="115">
        <v>4116.7</v>
      </c>
      <c r="R1413">
        <v>70030</v>
      </c>
    </row>
    <row r="1414" spans="1:18" x14ac:dyDescent="0.25">
      <c r="A1414" s="169">
        <v>44088</v>
      </c>
      <c r="B1414" s="115">
        <v>846</v>
      </c>
      <c r="C1414" s="115">
        <v>823.34</v>
      </c>
      <c r="D1414" s="115">
        <v>809.89</v>
      </c>
      <c r="E1414" s="115">
        <v>809.89</v>
      </c>
      <c r="F1414" s="115">
        <v>4116.7</v>
      </c>
      <c r="G1414">
        <v>901</v>
      </c>
      <c r="H1414" s="115"/>
      <c r="I1414" s="115"/>
      <c r="L1414" s="169">
        <v>44089</v>
      </c>
      <c r="M1414" s="115">
        <v>839.85</v>
      </c>
      <c r="N1414" s="115">
        <v>844</v>
      </c>
      <c r="O1414" s="115">
        <v>825.09</v>
      </c>
      <c r="P1414" s="115">
        <v>831.9</v>
      </c>
      <c r="Q1414" s="115">
        <v>4199.25</v>
      </c>
      <c r="R1414">
        <v>23306</v>
      </c>
    </row>
    <row r="1415" spans="1:18" x14ac:dyDescent="0.25">
      <c r="A1415" s="169">
        <v>44089</v>
      </c>
      <c r="B1415" s="115">
        <v>842.01</v>
      </c>
      <c r="C1415" s="115">
        <v>838.18</v>
      </c>
      <c r="D1415" s="115">
        <v>832.91</v>
      </c>
      <c r="E1415" s="115">
        <v>838.28</v>
      </c>
      <c r="F1415" s="115">
        <v>4190.8999999999996</v>
      </c>
      <c r="G1415">
        <v>266</v>
      </c>
      <c r="H1415" s="115"/>
      <c r="I1415" s="115"/>
      <c r="L1415" s="169">
        <v>44090</v>
      </c>
      <c r="M1415" s="115">
        <v>806.35</v>
      </c>
      <c r="N1415" s="115">
        <v>837.37</v>
      </c>
      <c r="O1415" s="115">
        <v>794.2</v>
      </c>
      <c r="P1415" s="115">
        <v>831.62</v>
      </c>
      <c r="Q1415" s="115">
        <v>4031.75</v>
      </c>
      <c r="R1415">
        <v>12386</v>
      </c>
    </row>
    <row r="1416" spans="1:18" x14ac:dyDescent="0.25">
      <c r="A1416" s="169">
        <v>44090</v>
      </c>
      <c r="B1416" s="115">
        <v>838</v>
      </c>
      <c r="C1416" s="115">
        <v>804.67</v>
      </c>
      <c r="D1416" s="115">
        <v>796.96</v>
      </c>
      <c r="E1416" s="115">
        <v>832.8</v>
      </c>
      <c r="F1416" s="115">
        <v>4023.35</v>
      </c>
      <c r="G1416">
        <v>84855</v>
      </c>
      <c r="H1416" s="115"/>
      <c r="I1416" s="115"/>
      <c r="L1416" s="169">
        <v>44091</v>
      </c>
      <c r="M1416" s="115">
        <v>798.59</v>
      </c>
      <c r="N1416" s="115">
        <v>817.6</v>
      </c>
      <c r="O1416" s="115">
        <v>787</v>
      </c>
      <c r="P1416" s="115">
        <v>809.79</v>
      </c>
      <c r="Q1416" s="115">
        <v>3992.95</v>
      </c>
      <c r="R1416">
        <v>8291</v>
      </c>
    </row>
    <row r="1417" spans="1:18" x14ac:dyDescent="0.25">
      <c r="A1417" s="169">
        <v>44091</v>
      </c>
      <c r="B1417" s="115">
        <v>814.07</v>
      </c>
      <c r="C1417" s="115">
        <v>797.48</v>
      </c>
      <c r="D1417" s="115">
        <v>789.36</v>
      </c>
      <c r="E1417" s="115">
        <v>813.2</v>
      </c>
      <c r="F1417" s="115">
        <v>3987.4</v>
      </c>
      <c r="G1417">
        <v>122</v>
      </c>
      <c r="H1417" s="115"/>
      <c r="I1417" s="115"/>
      <c r="L1417" s="169">
        <v>44092</v>
      </c>
      <c r="M1417" s="115">
        <v>773.55</v>
      </c>
      <c r="N1417" s="115">
        <v>814.8</v>
      </c>
      <c r="O1417" s="115">
        <v>765</v>
      </c>
      <c r="P1417" s="115">
        <v>794</v>
      </c>
      <c r="Q1417" s="115">
        <v>3867.75</v>
      </c>
      <c r="R1417">
        <v>125722</v>
      </c>
    </row>
    <row r="1418" spans="1:18" x14ac:dyDescent="0.25">
      <c r="A1418" s="169">
        <v>44092</v>
      </c>
      <c r="B1418" s="115">
        <v>807.8</v>
      </c>
      <c r="C1418" s="115">
        <v>768.69</v>
      </c>
      <c r="D1418" s="115">
        <v>764.45</v>
      </c>
      <c r="E1418" s="115">
        <v>805.87</v>
      </c>
      <c r="F1418" s="115">
        <v>3843.45</v>
      </c>
      <c r="G1418">
        <v>191</v>
      </c>
      <c r="H1418" s="115"/>
      <c r="I1418" s="115"/>
      <c r="L1418" s="169">
        <v>44095</v>
      </c>
      <c r="M1418" s="115">
        <v>759.31</v>
      </c>
      <c r="N1418" s="115">
        <v>790</v>
      </c>
      <c r="O1418" s="115">
        <v>745.01</v>
      </c>
      <c r="P1418" s="115">
        <v>774</v>
      </c>
      <c r="Q1418" s="115">
        <v>3796.55</v>
      </c>
      <c r="R1418">
        <v>31993</v>
      </c>
    </row>
    <row r="1419" spans="1:18" x14ac:dyDescent="0.25">
      <c r="A1419" s="169">
        <v>44095</v>
      </c>
      <c r="B1419" s="115">
        <v>785.91</v>
      </c>
      <c r="C1419" s="115">
        <v>758.03</v>
      </c>
      <c r="D1419" s="115">
        <v>750</v>
      </c>
      <c r="E1419" s="115">
        <v>782.6</v>
      </c>
      <c r="F1419" s="115">
        <v>3790.15</v>
      </c>
      <c r="G1419">
        <v>137</v>
      </c>
      <c r="H1419" s="115"/>
      <c r="I1419" s="115"/>
      <c r="L1419" s="169">
        <v>44096</v>
      </c>
      <c r="M1419" s="115">
        <v>739.64</v>
      </c>
      <c r="N1419" s="115">
        <v>769.8</v>
      </c>
      <c r="O1419" s="115">
        <v>725.01</v>
      </c>
      <c r="P1419" s="115">
        <v>769.8</v>
      </c>
      <c r="Q1419" s="115">
        <v>3698.2</v>
      </c>
      <c r="R1419">
        <v>8626</v>
      </c>
    </row>
    <row r="1420" spans="1:18" x14ac:dyDescent="0.25">
      <c r="A1420" s="169">
        <v>44096</v>
      </c>
      <c r="B1420" s="115">
        <v>745.11</v>
      </c>
      <c r="C1420" s="115">
        <v>740.55</v>
      </c>
      <c r="D1420" s="115">
        <v>728.74</v>
      </c>
      <c r="E1420" s="115">
        <v>745.11</v>
      </c>
      <c r="F1420" s="115">
        <v>3702.75</v>
      </c>
      <c r="G1420">
        <v>94</v>
      </c>
      <c r="H1420" s="115"/>
      <c r="I1420" s="115"/>
      <c r="L1420" s="169">
        <v>44097</v>
      </c>
      <c r="M1420" s="115">
        <v>728.86</v>
      </c>
      <c r="N1420" s="115">
        <v>795.74</v>
      </c>
      <c r="O1420" s="115">
        <v>720</v>
      </c>
      <c r="P1420" s="115">
        <v>759.99</v>
      </c>
      <c r="Q1420" s="115">
        <v>3644.3</v>
      </c>
      <c r="R1420">
        <v>7820</v>
      </c>
    </row>
    <row r="1421" spans="1:18" x14ac:dyDescent="0.25">
      <c r="A1421" s="169">
        <v>44097</v>
      </c>
      <c r="B1421" s="115">
        <v>769</v>
      </c>
      <c r="C1421" s="115">
        <v>732.21</v>
      </c>
      <c r="D1421" s="115">
        <v>728.4</v>
      </c>
      <c r="E1421" s="115">
        <v>762.5</v>
      </c>
      <c r="F1421" s="115">
        <v>3661.05</v>
      </c>
      <c r="G1421">
        <v>489</v>
      </c>
      <c r="H1421" s="115"/>
      <c r="I1421" s="115"/>
      <c r="L1421" s="169">
        <v>44098</v>
      </c>
      <c r="M1421" s="115">
        <v>709.74</v>
      </c>
      <c r="N1421" s="115">
        <v>726.14</v>
      </c>
      <c r="O1421" s="115">
        <v>708.46</v>
      </c>
      <c r="P1421" s="115">
        <v>722.45</v>
      </c>
      <c r="Q1421" s="115">
        <v>3548.7</v>
      </c>
      <c r="R1421">
        <v>7690</v>
      </c>
    </row>
    <row r="1422" spans="1:18" x14ac:dyDescent="0.25">
      <c r="A1422" s="169">
        <v>44098</v>
      </c>
      <c r="B1422" s="115">
        <v>721.61</v>
      </c>
      <c r="C1422" s="115">
        <v>709.86</v>
      </c>
      <c r="D1422" s="115">
        <v>708.38</v>
      </c>
      <c r="E1422" s="115">
        <v>715.46</v>
      </c>
      <c r="F1422" s="115">
        <v>3549.3</v>
      </c>
      <c r="G1422">
        <v>255</v>
      </c>
      <c r="H1422" s="115"/>
      <c r="I1422" s="115"/>
      <c r="L1422" s="169">
        <v>44099</v>
      </c>
      <c r="M1422" s="115">
        <v>719.23</v>
      </c>
      <c r="N1422" s="115">
        <v>725.03</v>
      </c>
      <c r="O1422" s="115">
        <v>707.02</v>
      </c>
      <c r="P1422" s="115">
        <v>719.26</v>
      </c>
      <c r="Q1422" s="115">
        <v>3596.15</v>
      </c>
      <c r="R1422">
        <v>11252</v>
      </c>
    </row>
    <row r="1423" spans="1:18" x14ac:dyDescent="0.25">
      <c r="A1423" s="169">
        <v>44099</v>
      </c>
      <c r="B1423" s="115">
        <v>743.34</v>
      </c>
      <c r="C1423" s="115">
        <v>721.36</v>
      </c>
      <c r="D1423" s="115">
        <v>690</v>
      </c>
      <c r="E1423" s="115">
        <v>725.95</v>
      </c>
      <c r="F1423" s="115">
        <v>3606.8</v>
      </c>
      <c r="G1423">
        <v>827</v>
      </c>
      <c r="H1423" s="115"/>
      <c r="I1423" s="115"/>
      <c r="L1423" s="169">
        <v>44102</v>
      </c>
      <c r="M1423" s="115">
        <v>721.94</v>
      </c>
      <c r="N1423" s="115">
        <v>724.03</v>
      </c>
      <c r="O1423" s="115">
        <v>720.02</v>
      </c>
      <c r="P1423" s="115">
        <v>723.97</v>
      </c>
      <c r="Q1423" s="115">
        <v>3609.7</v>
      </c>
      <c r="R1423">
        <v>3584</v>
      </c>
    </row>
    <row r="1424" spans="1:18" x14ac:dyDescent="0.25">
      <c r="A1424" s="169">
        <v>44102</v>
      </c>
      <c r="B1424" s="115">
        <v>727.67</v>
      </c>
      <c r="C1424" s="115">
        <v>722.43</v>
      </c>
      <c r="D1424" s="115">
        <v>700</v>
      </c>
      <c r="E1424" s="115">
        <v>716.17</v>
      </c>
      <c r="F1424" s="115">
        <v>3612.15</v>
      </c>
      <c r="G1424">
        <v>291</v>
      </c>
      <c r="H1424" s="115"/>
      <c r="I1424" s="115"/>
      <c r="L1424" s="169">
        <v>44103</v>
      </c>
      <c r="M1424" s="115">
        <v>722.1</v>
      </c>
      <c r="N1424" s="115">
        <v>734.97</v>
      </c>
      <c r="O1424" s="115">
        <v>715.02</v>
      </c>
      <c r="P1424" s="115">
        <v>724</v>
      </c>
      <c r="Q1424" s="115">
        <v>3610.5</v>
      </c>
      <c r="R1424">
        <v>10612</v>
      </c>
    </row>
    <row r="1425" spans="1:18" x14ac:dyDescent="0.25">
      <c r="A1425" s="169">
        <v>44103</v>
      </c>
      <c r="B1425" s="115">
        <v>728.63</v>
      </c>
      <c r="C1425" s="115">
        <v>723.98</v>
      </c>
      <c r="D1425" s="115">
        <v>716</v>
      </c>
      <c r="E1425" s="115">
        <v>725.14</v>
      </c>
      <c r="F1425" s="115">
        <v>3619.9</v>
      </c>
      <c r="G1425">
        <v>325</v>
      </c>
      <c r="H1425" s="115"/>
      <c r="I1425" s="115"/>
      <c r="L1425" s="169">
        <v>44104</v>
      </c>
      <c r="M1425" s="115">
        <v>708.26</v>
      </c>
      <c r="N1425" s="115">
        <v>729.6</v>
      </c>
      <c r="O1425" s="115">
        <v>702.8</v>
      </c>
      <c r="P1425" s="115">
        <v>722.11</v>
      </c>
      <c r="Q1425" s="115">
        <v>3541.3</v>
      </c>
      <c r="R1425">
        <v>7773</v>
      </c>
    </row>
    <row r="1426" spans="1:18" x14ac:dyDescent="0.25">
      <c r="A1426" s="169">
        <v>44104</v>
      </c>
      <c r="B1426" s="115">
        <v>732.89</v>
      </c>
      <c r="C1426" s="115">
        <v>710.68</v>
      </c>
      <c r="D1426" s="115">
        <v>702.6</v>
      </c>
      <c r="E1426" s="115">
        <v>725.94</v>
      </c>
      <c r="F1426" s="115">
        <v>3553.4</v>
      </c>
      <c r="G1426">
        <v>129</v>
      </c>
      <c r="H1426" s="115"/>
      <c r="I1426" s="115"/>
      <c r="L1426" s="169">
        <v>44105</v>
      </c>
      <c r="M1426" s="115">
        <v>721.74</v>
      </c>
      <c r="N1426" s="115">
        <v>729.69</v>
      </c>
      <c r="O1426" s="115">
        <v>715.36</v>
      </c>
      <c r="P1426" s="115">
        <v>727.99</v>
      </c>
      <c r="Q1426" s="115">
        <v>3608.7</v>
      </c>
      <c r="R1426">
        <v>1451</v>
      </c>
    </row>
    <row r="1427" spans="1:18" x14ac:dyDescent="0.25">
      <c r="A1427" s="169">
        <v>44105</v>
      </c>
      <c r="B1427" s="115">
        <v>721.81</v>
      </c>
      <c r="C1427" s="115">
        <v>719.2</v>
      </c>
      <c r="D1427" s="115">
        <v>715.53</v>
      </c>
      <c r="E1427" s="115">
        <v>719.99</v>
      </c>
      <c r="F1427" s="115">
        <v>3596</v>
      </c>
      <c r="G1427">
        <v>109</v>
      </c>
      <c r="H1427" s="115"/>
      <c r="I1427" s="115"/>
      <c r="L1427" s="169">
        <v>44109</v>
      </c>
      <c r="M1427" s="115">
        <v>728.41</v>
      </c>
      <c r="N1427" s="115">
        <v>733.99</v>
      </c>
      <c r="O1427" s="115">
        <v>720.2</v>
      </c>
      <c r="P1427" s="115">
        <v>720.2</v>
      </c>
      <c r="Q1427" s="115">
        <v>3642.05</v>
      </c>
      <c r="R1427">
        <v>6232</v>
      </c>
    </row>
    <row r="1428" spans="1:18" x14ac:dyDescent="0.25">
      <c r="A1428" s="169">
        <v>44109</v>
      </c>
      <c r="B1428" s="115">
        <v>736.09</v>
      </c>
      <c r="C1428" s="115">
        <v>726.5</v>
      </c>
      <c r="D1428" s="115">
        <v>722.21</v>
      </c>
      <c r="E1428" s="115">
        <v>731.51</v>
      </c>
      <c r="F1428" s="115">
        <v>3632.5</v>
      </c>
      <c r="G1428">
        <v>32</v>
      </c>
      <c r="H1428" s="115"/>
      <c r="I1428" s="115"/>
      <c r="L1428" s="169">
        <v>44110</v>
      </c>
      <c r="M1428" s="115">
        <v>726.2</v>
      </c>
      <c r="N1428" s="115">
        <v>733.8</v>
      </c>
      <c r="O1428" s="115">
        <v>718</v>
      </c>
      <c r="P1428" s="115">
        <v>733.8</v>
      </c>
      <c r="Q1428" s="115">
        <v>3631</v>
      </c>
      <c r="R1428">
        <v>7392</v>
      </c>
    </row>
    <row r="1429" spans="1:18" x14ac:dyDescent="0.25">
      <c r="A1429" s="169">
        <v>44110</v>
      </c>
      <c r="B1429" s="115">
        <v>730</v>
      </c>
      <c r="C1429" s="115">
        <v>727.91</v>
      </c>
      <c r="D1429" s="115">
        <v>717.13</v>
      </c>
      <c r="E1429" s="115">
        <v>730</v>
      </c>
      <c r="F1429" s="115">
        <v>3639.55</v>
      </c>
      <c r="G1429">
        <v>70</v>
      </c>
      <c r="H1429" s="115"/>
      <c r="I1429" s="115"/>
      <c r="L1429" s="169">
        <v>44111</v>
      </c>
      <c r="M1429" s="115">
        <v>726.26</v>
      </c>
      <c r="N1429" s="115">
        <v>731.83</v>
      </c>
      <c r="O1429" s="115">
        <v>725</v>
      </c>
      <c r="P1429" s="115">
        <v>726.19</v>
      </c>
      <c r="Q1429" s="115">
        <v>3631.3</v>
      </c>
      <c r="R1429">
        <v>7284</v>
      </c>
    </row>
    <row r="1430" spans="1:18" x14ac:dyDescent="0.25">
      <c r="A1430" s="169">
        <v>44111</v>
      </c>
      <c r="B1430" s="115">
        <v>732.28</v>
      </c>
      <c r="C1430" s="115">
        <v>726.11</v>
      </c>
      <c r="D1430" s="115">
        <v>708.55</v>
      </c>
      <c r="E1430" s="115">
        <v>729</v>
      </c>
      <c r="F1430" s="115">
        <v>3630.55</v>
      </c>
      <c r="G1430">
        <v>167</v>
      </c>
      <c r="H1430" s="115"/>
      <c r="I1430" s="115"/>
      <c r="L1430" s="169">
        <v>44112</v>
      </c>
      <c r="M1430" s="115">
        <v>722.79</v>
      </c>
      <c r="N1430" s="115">
        <v>729.39</v>
      </c>
      <c r="O1430" s="115">
        <v>717.22</v>
      </c>
      <c r="P1430" s="115">
        <v>725.99</v>
      </c>
      <c r="Q1430" s="115">
        <v>3613.95</v>
      </c>
      <c r="R1430">
        <v>79936</v>
      </c>
    </row>
    <row r="1431" spans="1:18" x14ac:dyDescent="0.25">
      <c r="A1431" s="169">
        <v>44112</v>
      </c>
      <c r="B1431" s="115">
        <v>724.3</v>
      </c>
      <c r="C1431" s="115">
        <v>724</v>
      </c>
      <c r="D1431" s="115">
        <v>718.4</v>
      </c>
      <c r="E1431" s="115">
        <v>720</v>
      </c>
      <c r="F1431" s="115">
        <v>3620</v>
      </c>
      <c r="G1431">
        <v>27</v>
      </c>
      <c r="H1431" s="115"/>
      <c r="I1431" s="115"/>
      <c r="L1431" s="169">
        <v>44113</v>
      </c>
      <c r="M1431" s="115">
        <v>729.73</v>
      </c>
      <c r="N1431" s="115">
        <v>734</v>
      </c>
      <c r="O1431" s="115">
        <v>718</v>
      </c>
      <c r="P1431" s="115">
        <v>729.19</v>
      </c>
      <c r="Q1431" s="115">
        <v>3648.65</v>
      </c>
      <c r="R1431">
        <v>11577</v>
      </c>
    </row>
    <row r="1432" spans="1:18" x14ac:dyDescent="0.25">
      <c r="A1432" s="169">
        <v>44113</v>
      </c>
      <c r="B1432" s="115">
        <v>745.03</v>
      </c>
      <c r="C1432" s="115">
        <v>722.25</v>
      </c>
      <c r="D1432" s="115">
        <v>721.39</v>
      </c>
      <c r="E1432" s="115">
        <v>728.04</v>
      </c>
      <c r="F1432" s="115">
        <v>3611.25</v>
      </c>
      <c r="G1432">
        <v>88</v>
      </c>
      <c r="H1432" s="115"/>
      <c r="I1432" s="115"/>
      <c r="L1432" s="169">
        <v>44116</v>
      </c>
      <c r="M1432" s="115">
        <v>722.68</v>
      </c>
      <c r="N1432" s="115">
        <v>730</v>
      </c>
      <c r="O1432" s="115">
        <v>720</v>
      </c>
      <c r="P1432" s="115">
        <v>724.2</v>
      </c>
      <c r="Q1432" s="115">
        <v>3613.4</v>
      </c>
      <c r="R1432">
        <v>2237</v>
      </c>
    </row>
    <row r="1433" spans="1:18" x14ac:dyDescent="0.25">
      <c r="A1433" s="169">
        <v>44116</v>
      </c>
      <c r="B1433" s="115">
        <v>730.79</v>
      </c>
      <c r="C1433" s="115">
        <v>722.29</v>
      </c>
      <c r="D1433" s="115">
        <v>722.25</v>
      </c>
      <c r="E1433" s="115">
        <v>730.79</v>
      </c>
      <c r="F1433" s="115">
        <v>3611.45</v>
      </c>
      <c r="G1433">
        <v>28</v>
      </c>
      <c r="H1433" s="115"/>
      <c r="I1433" s="115"/>
      <c r="L1433" s="169">
        <v>44117</v>
      </c>
      <c r="M1433" s="115">
        <v>710.99</v>
      </c>
      <c r="N1433" s="115">
        <v>724.74</v>
      </c>
      <c r="O1433" s="115">
        <v>708.8</v>
      </c>
      <c r="P1433" s="115">
        <v>724.74</v>
      </c>
      <c r="Q1433" s="115">
        <v>3554.95</v>
      </c>
      <c r="R1433">
        <v>32473</v>
      </c>
    </row>
    <row r="1434" spans="1:18" x14ac:dyDescent="0.25">
      <c r="A1434" s="169">
        <v>44117</v>
      </c>
      <c r="B1434" s="115">
        <v>720.42</v>
      </c>
      <c r="C1434" s="115">
        <v>711.07</v>
      </c>
      <c r="D1434" s="115">
        <v>708.13</v>
      </c>
      <c r="E1434" s="115">
        <v>716.86</v>
      </c>
      <c r="F1434" s="115">
        <v>3555.35</v>
      </c>
      <c r="G1434">
        <v>131</v>
      </c>
      <c r="H1434" s="115"/>
      <c r="I1434" s="115"/>
      <c r="L1434" s="169">
        <v>44118</v>
      </c>
      <c r="M1434" s="115">
        <v>703.99</v>
      </c>
      <c r="N1434" s="115">
        <v>711.49</v>
      </c>
      <c r="O1434" s="115">
        <v>700.77</v>
      </c>
      <c r="P1434" s="115">
        <v>709.87</v>
      </c>
      <c r="Q1434" s="115">
        <v>3519.95</v>
      </c>
      <c r="R1434">
        <v>7952</v>
      </c>
    </row>
    <row r="1435" spans="1:18" x14ac:dyDescent="0.25">
      <c r="A1435" s="169">
        <v>44118</v>
      </c>
      <c r="B1435" s="115">
        <v>715.56</v>
      </c>
      <c r="C1435" s="115">
        <v>705.19</v>
      </c>
      <c r="D1435" s="115">
        <v>691.05</v>
      </c>
      <c r="E1435" s="115">
        <v>715.56</v>
      </c>
      <c r="F1435" s="115">
        <v>3525.95</v>
      </c>
      <c r="G1435">
        <v>155</v>
      </c>
      <c r="H1435" s="115"/>
      <c r="I1435" s="115"/>
      <c r="L1435" s="169">
        <v>44119</v>
      </c>
      <c r="M1435" s="115">
        <v>700.42</v>
      </c>
      <c r="N1435" s="115">
        <v>711.8</v>
      </c>
      <c r="O1435" s="115">
        <v>697</v>
      </c>
      <c r="P1435" s="115">
        <v>705.32</v>
      </c>
      <c r="Q1435" s="115">
        <v>3502.1</v>
      </c>
      <c r="R1435">
        <v>1412</v>
      </c>
    </row>
    <row r="1436" spans="1:18" x14ac:dyDescent="0.25">
      <c r="A1436" s="169">
        <v>44119</v>
      </c>
      <c r="B1436" s="115">
        <v>710.48</v>
      </c>
      <c r="C1436" s="115">
        <v>701.08</v>
      </c>
      <c r="D1436" s="115">
        <v>695.2</v>
      </c>
      <c r="E1436" s="115">
        <v>710.48</v>
      </c>
      <c r="F1436" s="115">
        <v>3505.4</v>
      </c>
      <c r="G1436">
        <v>142</v>
      </c>
      <c r="H1436" s="115"/>
      <c r="I1436" s="115"/>
      <c r="L1436" s="169">
        <v>44120</v>
      </c>
      <c r="M1436" s="115">
        <v>702.08</v>
      </c>
      <c r="N1436" s="115">
        <v>705.95</v>
      </c>
      <c r="O1436" s="115">
        <v>696</v>
      </c>
      <c r="P1436" s="115">
        <v>703.82</v>
      </c>
      <c r="Q1436" s="115">
        <v>3510.4</v>
      </c>
      <c r="R1436">
        <v>1787</v>
      </c>
    </row>
    <row r="1437" spans="1:18" x14ac:dyDescent="0.25">
      <c r="A1437" s="169">
        <v>44120</v>
      </c>
      <c r="B1437" s="115">
        <v>706.46</v>
      </c>
      <c r="C1437" s="115">
        <v>699.37</v>
      </c>
      <c r="D1437" s="115">
        <v>698</v>
      </c>
      <c r="E1437" s="115">
        <v>705.21</v>
      </c>
      <c r="F1437" s="115">
        <v>3496.85</v>
      </c>
      <c r="G1437">
        <v>101</v>
      </c>
      <c r="H1437" s="115"/>
      <c r="I1437" s="115"/>
      <c r="L1437" s="169">
        <v>44123</v>
      </c>
      <c r="M1437" s="115">
        <v>694.63</v>
      </c>
      <c r="N1437" s="115">
        <v>706.04</v>
      </c>
      <c r="O1437" s="115">
        <v>688.66</v>
      </c>
      <c r="P1437" s="115">
        <v>699.46</v>
      </c>
      <c r="Q1437" s="115">
        <v>3473.15</v>
      </c>
      <c r="R1437">
        <v>3569</v>
      </c>
    </row>
    <row r="1438" spans="1:18" x14ac:dyDescent="0.25">
      <c r="A1438" s="169">
        <v>44123</v>
      </c>
      <c r="B1438" s="115">
        <v>702.82</v>
      </c>
      <c r="C1438" s="115">
        <v>692.3</v>
      </c>
      <c r="D1438" s="115">
        <v>690</v>
      </c>
      <c r="E1438" s="115">
        <v>699.77</v>
      </c>
      <c r="F1438" s="115">
        <v>3461.5</v>
      </c>
      <c r="G1438">
        <v>104</v>
      </c>
      <c r="H1438" s="115"/>
      <c r="I1438" s="115"/>
      <c r="L1438" s="169">
        <v>44124</v>
      </c>
      <c r="M1438" s="115">
        <v>700.63</v>
      </c>
      <c r="N1438" s="115">
        <v>702.26</v>
      </c>
      <c r="O1438" s="115">
        <v>693.44</v>
      </c>
      <c r="P1438" s="115">
        <v>695.12</v>
      </c>
      <c r="Q1438" s="115">
        <v>3503.15</v>
      </c>
      <c r="R1438">
        <v>1349</v>
      </c>
    </row>
    <row r="1439" spans="1:18" x14ac:dyDescent="0.25">
      <c r="A1439" s="169">
        <v>44124</v>
      </c>
      <c r="B1439" s="115">
        <v>699.47</v>
      </c>
      <c r="C1439" s="115">
        <v>699.47</v>
      </c>
      <c r="D1439" s="115">
        <v>699.47</v>
      </c>
      <c r="E1439" s="115">
        <v>699.47</v>
      </c>
      <c r="F1439" s="115">
        <v>3497.35</v>
      </c>
      <c r="G1439">
        <v>1</v>
      </c>
      <c r="H1439" s="115"/>
      <c r="I1439" s="115"/>
      <c r="L1439" s="169">
        <v>44125</v>
      </c>
      <c r="M1439" s="115">
        <v>721.19</v>
      </c>
      <c r="N1439" s="115">
        <v>725</v>
      </c>
      <c r="O1439" s="115">
        <v>694.2</v>
      </c>
      <c r="P1439" s="115">
        <v>694.2</v>
      </c>
      <c r="Q1439" s="115">
        <v>3605.95</v>
      </c>
      <c r="R1439">
        <v>2014</v>
      </c>
    </row>
    <row r="1440" spans="1:18" x14ac:dyDescent="0.25">
      <c r="A1440" s="169">
        <v>44125</v>
      </c>
      <c r="B1440" s="115">
        <v>725.43</v>
      </c>
      <c r="C1440" s="115">
        <v>720.97</v>
      </c>
      <c r="D1440" s="115">
        <v>712</v>
      </c>
      <c r="E1440" s="115">
        <v>713.74</v>
      </c>
      <c r="F1440" s="115">
        <v>3604.85</v>
      </c>
      <c r="G1440">
        <v>479</v>
      </c>
      <c r="H1440" s="115"/>
      <c r="I1440" s="115"/>
      <c r="L1440" s="169">
        <v>44126</v>
      </c>
      <c r="M1440" s="115">
        <v>728.72</v>
      </c>
      <c r="N1440" s="115">
        <v>730</v>
      </c>
      <c r="O1440" s="115">
        <v>713</v>
      </c>
      <c r="P1440" s="115">
        <v>726.13</v>
      </c>
      <c r="Q1440" s="115">
        <v>3643.6</v>
      </c>
      <c r="R1440">
        <v>1973</v>
      </c>
    </row>
    <row r="1441" spans="1:18" x14ac:dyDescent="0.25">
      <c r="A1441" s="169">
        <v>44126</v>
      </c>
      <c r="B1441" s="115">
        <v>730.35</v>
      </c>
      <c r="C1441" s="115">
        <v>729.99</v>
      </c>
      <c r="D1441" s="115">
        <v>715</v>
      </c>
      <c r="E1441" s="115">
        <v>715.19</v>
      </c>
      <c r="F1441" s="115">
        <v>3649.95</v>
      </c>
      <c r="G1441">
        <v>113</v>
      </c>
      <c r="H1441" s="115"/>
      <c r="I1441" s="115"/>
      <c r="L1441" s="169">
        <v>44127</v>
      </c>
      <c r="M1441" s="115">
        <v>753.13</v>
      </c>
      <c r="N1441" s="115">
        <v>760.47</v>
      </c>
      <c r="O1441" s="115">
        <v>729.11</v>
      </c>
      <c r="P1441" s="115">
        <v>729.11</v>
      </c>
      <c r="Q1441" s="115">
        <v>3765.65</v>
      </c>
      <c r="R1441">
        <v>5729</v>
      </c>
    </row>
    <row r="1442" spans="1:18" x14ac:dyDescent="0.25">
      <c r="A1442" s="169">
        <v>44127</v>
      </c>
      <c r="B1442" s="115">
        <v>760</v>
      </c>
      <c r="C1442" s="115">
        <v>752.46</v>
      </c>
      <c r="D1442" s="115">
        <v>731</v>
      </c>
      <c r="E1442" s="115">
        <v>740</v>
      </c>
      <c r="F1442" s="115">
        <v>3762.3</v>
      </c>
      <c r="G1442">
        <v>906</v>
      </c>
      <c r="H1442" s="115"/>
      <c r="I1442" s="115"/>
      <c r="L1442" s="169">
        <v>44130</v>
      </c>
      <c r="M1442" s="115">
        <v>741.69</v>
      </c>
      <c r="N1442" s="115">
        <v>764.24</v>
      </c>
      <c r="O1442" s="115">
        <v>735.09</v>
      </c>
      <c r="P1442" s="115">
        <v>755.81</v>
      </c>
      <c r="Q1442" s="115">
        <v>3708.45</v>
      </c>
      <c r="R1442">
        <v>2096</v>
      </c>
    </row>
    <row r="1443" spans="1:18" x14ac:dyDescent="0.25">
      <c r="A1443" s="169">
        <v>44130</v>
      </c>
      <c r="B1443" s="115">
        <v>762</v>
      </c>
      <c r="C1443" s="115">
        <v>740.9</v>
      </c>
      <c r="D1443" s="115">
        <v>733.85</v>
      </c>
      <c r="E1443" s="115">
        <v>762</v>
      </c>
      <c r="F1443" s="115">
        <v>3704.5</v>
      </c>
      <c r="G1443">
        <v>90</v>
      </c>
      <c r="H1443" s="115"/>
      <c r="I1443" s="115"/>
      <c r="L1443" s="169">
        <v>44131</v>
      </c>
      <c r="M1443" s="115">
        <v>742.05</v>
      </c>
      <c r="N1443" s="115">
        <v>820</v>
      </c>
      <c r="O1443" s="115">
        <v>730</v>
      </c>
      <c r="P1443" s="115">
        <v>750</v>
      </c>
      <c r="Q1443" s="115">
        <v>3710.25</v>
      </c>
      <c r="R1443">
        <v>8385</v>
      </c>
    </row>
    <row r="1444" spans="1:18" x14ac:dyDescent="0.25">
      <c r="A1444" s="169">
        <v>44131</v>
      </c>
      <c r="B1444" s="115">
        <v>760</v>
      </c>
      <c r="C1444" s="115">
        <v>740.69</v>
      </c>
      <c r="D1444" s="115">
        <v>729.49</v>
      </c>
      <c r="E1444" s="115">
        <v>749.8</v>
      </c>
      <c r="F1444" s="115">
        <v>3703.45</v>
      </c>
      <c r="G1444">
        <v>149</v>
      </c>
      <c r="H1444" s="115"/>
      <c r="I1444" s="115"/>
      <c r="L1444" s="169">
        <v>44132</v>
      </c>
      <c r="M1444" s="115">
        <v>739.33</v>
      </c>
      <c r="N1444" s="115">
        <v>778</v>
      </c>
      <c r="O1444" s="115">
        <v>724.21</v>
      </c>
      <c r="P1444" s="115">
        <v>750.21</v>
      </c>
      <c r="Q1444" s="115">
        <v>3696.65</v>
      </c>
      <c r="R1444">
        <v>6022</v>
      </c>
    </row>
    <row r="1445" spans="1:18" x14ac:dyDescent="0.25">
      <c r="A1445" s="169">
        <v>44132</v>
      </c>
      <c r="B1445" s="115">
        <v>749.61</v>
      </c>
      <c r="C1445" s="115">
        <v>737.49</v>
      </c>
      <c r="D1445" s="115">
        <v>724.2</v>
      </c>
      <c r="E1445" s="115">
        <v>745.28</v>
      </c>
      <c r="F1445" s="115">
        <v>3687.45</v>
      </c>
      <c r="G1445">
        <v>100</v>
      </c>
      <c r="H1445" s="115"/>
      <c r="I1445" s="115"/>
      <c r="L1445" s="169">
        <v>44133</v>
      </c>
      <c r="M1445" s="115">
        <v>762.52</v>
      </c>
      <c r="N1445" s="115">
        <v>789.8</v>
      </c>
      <c r="O1445" s="115">
        <v>725.23</v>
      </c>
      <c r="P1445" s="115">
        <v>748.8</v>
      </c>
      <c r="Q1445" s="115">
        <v>3812.6</v>
      </c>
      <c r="R1445">
        <v>19322</v>
      </c>
    </row>
    <row r="1446" spans="1:18" x14ac:dyDescent="0.25">
      <c r="A1446" s="169">
        <v>44133</v>
      </c>
      <c r="B1446" s="115">
        <v>781</v>
      </c>
      <c r="C1446" s="115">
        <v>769.43</v>
      </c>
      <c r="D1446" s="115">
        <v>727.31</v>
      </c>
      <c r="E1446" s="115">
        <v>759.99</v>
      </c>
      <c r="F1446" s="115">
        <v>3847.15</v>
      </c>
      <c r="G1446">
        <v>563</v>
      </c>
      <c r="H1446" s="115"/>
      <c r="I1446" s="115"/>
      <c r="L1446" s="169">
        <v>44134</v>
      </c>
      <c r="M1446" s="115">
        <v>752.94</v>
      </c>
      <c r="N1446" s="115">
        <v>766</v>
      </c>
      <c r="O1446" s="115">
        <v>749.61</v>
      </c>
      <c r="P1446" s="115">
        <v>766</v>
      </c>
      <c r="Q1446" s="115">
        <v>3764.7</v>
      </c>
      <c r="R1446">
        <v>3649</v>
      </c>
    </row>
    <row r="1447" spans="1:18" x14ac:dyDescent="0.25">
      <c r="A1447" s="169">
        <v>44134</v>
      </c>
      <c r="B1447" s="115">
        <v>767.32</v>
      </c>
      <c r="C1447" s="115">
        <v>752.7</v>
      </c>
      <c r="D1447" s="115">
        <v>740.2</v>
      </c>
      <c r="E1447" s="115">
        <v>760.12</v>
      </c>
      <c r="F1447" s="115">
        <v>3763.5</v>
      </c>
      <c r="G1447">
        <v>179</v>
      </c>
      <c r="H1447" s="115"/>
      <c r="I1447" s="115"/>
      <c r="L1447" s="169">
        <v>44137</v>
      </c>
      <c r="M1447" s="115">
        <v>735.43</v>
      </c>
      <c r="N1447" s="115">
        <v>768.84</v>
      </c>
      <c r="O1447" s="115">
        <v>726.6</v>
      </c>
      <c r="P1447" s="115">
        <v>746</v>
      </c>
      <c r="Q1447" s="115">
        <v>3677.15</v>
      </c>
      <c r="R1447">
        <v>3608</v>
      </c>
    </row>
    <row r="1448" spans="1:18" x14ac:dyDescent="0.25">
      <c r="A1448" s="169">
        <v>44137</v>
      </c>
      <c r="B1448" s="115">
        <v>762.44</v>
      </c>
      <c r="C1448" s="115">
        <v>732.7</v>
      </c>
      <c r="D1448" s="115">
        <v>724.88</v>
      </c>
      <c r="E1448" s="115">
        <v>762.44</v>
      </c>
      <c r="F1448" s="115">
        <v>3663.5</v>
      </c>
      <c r="G1448">
        <v>168</v>
      </c>
      <c r="H1448" s="115"/>
      <c r="I1448" s="115"/>
      <c r="L1448" s="169">
        <v>44138</v>
      </c>
      <c r="M1448" s="115">
        <v>729.61</v>
      </c>
      <c r="N1448" s="115">
        <v>750</v>
      </c>
      <c r="O1448" s="115">
        <v>725.05</v>
      </c>
      <c r="P1448" s="115">
        <v>737.66</v>
      </c>
      <c r="Q1448" s="115">
        <v>3648.05</v>
      </c>
      <c r="R1448">
        <v>2606</v>
      </c>
    </row>
    <row r="1449" spans="1:18" x14ac:dyDescent="0.25">
      <c r="A1449" s="169">
        <v>44138</v>
      </c>
      <c r="B1449" s="115">
        <v>749.8</v>
      </c>
      <c r="C1449" s="115">
        <v>729.63</v>
      </c>
      <c r="D1449" s="115">
        <v>725.7</v>
      </c>
      <c r="E1449" s="115">
        <v>745.16</v>
      </c>
      <c r="F1449" s="115">
        <v>3648.15</v>
      </c>
      <c r="G1449">
        <v>203</v>
      </c>
      <c r="H1449" s="115"/>
      <c r="I1449" s="115"/>
      <c r="L1449" s="169">
        <v>44139</v>
      </c>
      <c r="M1449" s="115">
        <v>740.71</v>
      </c>
      <c r="N1449" s="115">
        <v>746</v>
      </c>
      <c r="O1449" s="115">
        <v>722.31</v>
      </c>
      <c r="P1449" s="115">
        <v>739.6</v>
      </c>
      <c r="Q1449" s="115">
        <v>3703.55</v>
      </c>
      <c r="R1449">
        <v>6654</v>
      </c>
    </row>
    <row r="1450" spans="1:18" x14ac:dyDescent="0.25">
      <c r="A1450" s="169">
        <v>44139</v>
      </c>
      <c r="B1450" s="115">
        <v>747.73</v>
      </c>
      <c r="C1450" s="115">
        <v>740.73</v>
      </c>
      <c r="D1450" s="115">
        <v>720</v>
      </c>
      <c r="E1450" s="115">
        <v>735.8</v>
      </c>
      <c r="F1450" s="115">
        <v>3703.65</v>
      </c>
      <c r="G1450">
        <v>282</v>
      </c>
      <c r="H1450" s="115"/>
      <c r="I1450" s="115"/>
      <c r="L1450" s="169">
        <v>44140</v>
      </c>
      <c r="M1450" s="115">
        <v>759.68</v>
      </c>
      <c r="N1450" s="115">
        <v>766.59</v>
      </c>
      <c r="O1450" s="115">
        <v>733.4</v>
      </c>
      <c r="P1450" s="115">
        <v>737.81</v>
      </c>
      <c r="Q1450" s="115">
        <v>3798.4</v>
      </c>
      <c r="R1450">
        <v>30803</v>
      </c>
    </row>
    <row r="1451" spans="1:18" x14ac:dyDescent="0.25">
      <c r="A1451" s="169">
        <v>44140</v>
      </c>
      <c r="B1451" s="115">
        <v>768</v>
      </c>
      <c r="C1451" s="115">
        <v>759.57</v>
      </c>
      <c r="D1451" s="115">
        <v>734.6</v>
      </c>
      <c r="E1451" s="115">
        <v>734.6</v>
      </c>
      <c r="F1451" s="115">
        <v>3797.85</v>
      </c>
      <c r="G1451">
        <v>290</v>
      </c>
      <c r="H1451" s="115"/>
      <c r="I1451" s="115"/>
      <c r="L1451" s="169">
        <v>44141</v>
      </c>
      <c r="M1451" s="115">
        <v>754.4</v>
      </c>
      <c r="N1451" s="115">
        <v>763.76</v>
      </c>
      <c r="O1451" s="115">
        <v>746</v>
      </c>
      <c r="P1451" s="115">
        <v>759.6</v>
      </c>
      <c r="Q1451" s="115">
        <v>3772</v>
      </c>
      <c r="R1451">
        <v>21790</v>
      </c>
    </row>
    <row r="1452" spans="1:18" x14ac:dyDescent="0.25">
      <c r="A1452" s="169">
        <v>44141</v>
      </c>
      <c r="B1452" s="115">
        <v>760.88</v>
      </c>
      <c r="C1452" s="115">
        <v>752.6</v>
      </c>
      <c r="D1452" s="115">
        <v>748</v>
      </c>
      <c r="E1452" s="115">
        <v>760.88</v>
      </c>
      <c r="F1452" s="115">
        <v>3763</v>
      </c>
      <c r="G1452">
        <v>65</v>
      </c>
      <c r="H1452" s="115"/>
      <c r="I1452" s="115"/>
      <c r="L1452" s="169">
        <v>44144</v>
      </c>
      <c r="M1452" s="115">
        <v>754.05</v>
      </c>
      <c r="N1452" s="115">
        <v>774.89</v>
      </c>
      <c r="O1452" s="115">
        <v>752</v>
      </c>
      <c r="P1452" s="115">
        <v>756.97</v>
      </c>
      <c r="Q1452" s="115">
        <v>3770.25</v>
      </c>
      <c r="R1452">
        <v>17168</v>
      </c>
    </row>
    <row r="1453" spans="1:18" x14ac:dyDescent="0.25">
      <c r="A1453" s="169">
        <v>44144</v>
      </c>
      <c r="B1453" s="115">
        <v>768.9</v>
      </c>
      <c r="C1453" s="115">
        <v>757.02</v>
      </c>
      <c r="D1453" s="115">
        <v>755</v>
      </c>
      <c r="E1453" s="115">
        <v>768</v>
      </c>
      <c r="F1453" s="115">
        <v>3785.1</v>
      </c>
      <c r="G1453">
        <v>66</v>
      </c>
      <c r="H1453" s="115"/>
      <c r="I1453" s="115"/>
      <c r="L1453" s="169">
        <v>44145</v>
      </c>
      <c r="M1453" s="115">
        <v>740.99</v>
      </c>
      <c r="N1453" s="115">
        <v>763.35</v>
      </c>
      <c r="O1453" s="115">
        <v>736</v>
      </c>
      <c r="P1453" s="115">
        <v>759.82</v>
      </c>
      <c r="Q1453" s="115">
        <v>3704.95</v>
      </c>
      <c r="R1453">
        <v>1663</v>
      </c>
    </row>
    <row r="1454" spans="1:18" x14ac:dyDescent="0.25">
      <c r="A1454" s="169">
        <v>44145</v>
      </c>
      <c r="B1454" s="115">
        <v>764</v>
      </c>
      <c r="C1454" s="115">
        <v>741.62</v>
      </c>
      <c r="D1454" s="115">
        <v>735.54</v>
      </c>
      <c r="E1454" s="115">
        <v>750.61</v>
      </c>
      <c r="F1454" s="115">
        <v>3708.1</v>
      </c>
      <c r="G1454">
        <v>239</v>
      </c>
      <c r="H1454" s="115"/>
      <c r="I1454" s="115"/>
      <c r="L1454" s="169">
        <v>44146</v>
      </c>
      <c r="M1454" s="115">
        <v>751.47</v>
      </c>
      <c r="N1454" s="115">
        <v>765</v>
      </c>
      <c r="O1454" s="115">
        <v>739.41</v>
      </c>
      <c r="P1454" s="115">
        <v>739.41</v>
      </c>
      <c r="Q1454" s="115">
        <v>3757.35</v>
      </c>
      <c r="R1454">
        <v>17598</v>
      </c>
    </row>
    <row r="1455" spans="1:18" x14ac:dyDescent="0.25">
      <c r="A1455" s="169">
        <v>44146</v>
      </c>
      <c r="B1455" s="115">
        <v>757</v>
      </c>
      <c r="C1455" s="115">
        <v>754.56</v>
      </c>
      <c r="D1455" s="115">
        <v>720</v>
      </c>
      <c r="E1455" s="115">
        <v>720</v>
      </c>
      <c r="F1455" s="115">
        <v>3772.8</v>
      </c>
      <c r="G1455">
        <v>286</v>
      </c>
      <c r="H1455" s="115"/>
      <c r="I1455" s="115"/>
      <c r="L1455" s="169">
        <v>44147</v>
      </c>
      <c r="M1455" s="115">
        <v>770.07</v>
      </c>
      <c r="N1455" s="115">
        <v>777.21</v>
      </c>
      <c r="O1455" s="115">
        <v>749.08</v>
      </c>
      <c r="P1455" s="115">
        <v>754</v>
      </c>
      <c r="Q1455" s="115">
        <v>3850.35</v>
      </c>
      <c r="R1455">
        <v>14477</v>
      </c>
    </row>
    <row r="1456" spans="1:18" x14ac:dyDescent="0.25">
      <c r="A1456" s="169">
        <v>44147</v>
      </c>
      <c r="B1456" s="115">
        <v>777.36</v>
      </c>
      <c r="C1456" s="115">
        <v>771.07</v>
      </c>
      <c r="D1456" s="115">
        <v>720.01</v>
      </c>
      <c r="E1456" s="115">
        <v>720.01</v>
      </c>
      <c r="F1456" s="115">
        <v>3855.35</v>
      </c>
      <c r="G1456">
        <v>275</v>
      </c>
      <c r="H1456" s="115"/>
      <c r="I1456" s="115"/>
      <c r="L1456" s="169">
        <v>44148</v>
      </c>
      <c r="M1456" s="115">
        <v>756.36</v>
      </c>
      <c r="N1456" s="115">
        <v>777.29</v>
      </c>
      <c r="O1456" s="115">
        <v>746.73</v>
      </c>
      <c r="P1456" s="115">
        <v>769.6</v>
      </c>
      <c r="Q1456" s="115">
        <v>3781.8</v>
      </c>
      <c r="R1456">
        <v>35456</v>
      </c>
    </row>
    <row r="1457" spans="1:18" x14ac:dyDescent="0.25">
      <c r="A1457" s="169">
        <v>44148</v>
      </c>
      <c r="B1457" s="115">
        <v>774.33</v>
      </c>
      <c r="C1457" s="115">
        <v>755.53</v>
      </c>
      <c r="D1457" s="115">
        <v>753.4</v>
      </c>
      <c r="E1457" s="115">
        <v>774</v>
      </c>
      <c r="F1457" s="115">
        <v>3777.65</v>
      </c>
      <c r="G1457">
        <v>221</v>
      </c>
      <c r="H1457" s="115"/>
      <c r="I1457" s="115"/>
      <c r="L1457" s="169">
        <v>44149</v>
      </c>
      <c r="M1457" s="115">
        <v>771.56</v>
      </c>
      <c r="N1457" s="115">
        <v>779.6</v>
      </c>
      <c r="O1457" s="115">
        <v>762.51</v>
      </c>
      <c r="P1457" s="115">
        <v>767.99</v>
      </c>
      <c r="Q1457" s="115">
        <v>3857.8</v>
      </c>
      <c r="R1457">
        <v>1954</v>
      </c>
    </row>
    <row r="1458" spans="1:18" x14ac:dyDescent="0.25">
      <c r="A1458" s="169">
        <v>44149</v>
      </c>
      <c r="B1458" s="115">
        <v>794</v>
      </c>
      <c r="C1458" s="115">
        <v>774.09</v>
      </c>
      <c r="D1458" s="115">
        <v>765.11</v>
      </c>
      <c r="E1458" s="115">
        <v>794</v>
      </c>
      <c r="F1458" s="115">
        <v>3870.45</v>
      </c>
      <c r="G1458">
        <v>125</v>
      </c>
      <c r="H1458" s="115"/>
      <c r="I1458" s="115"/>
      <c r="L1458" s="169">
        <v>44152</v>
      </c>
      <c r="M1458" s="115">
        <v>759.14</v>
      </c>
      <c r="N1458" s="115">
        <v>775.6</v>
      </c>
      <c r="O1458" s="115">
        <v>756.2</v>
      </c>
      <c r="P1458" s="115">
        <v>771.55</v>
      </c>
      <c r="Q1458" s="115">
        <v>3795.7</v>
      </c>
      <c r="R1458">
        <v>16550</v>
      </c>
    </row>
    <row r="1459" spans="1:18" x14ac:dyDescent="0.25">
      <c r="A1459" s="169">
        <v>44152</v>
      </c>
      <c r="B1459" s="115">
        <v>775.75</v>
      </c>
      <c r="C1459" s="115">
        <v>756.12</v>
      </c>
      <c r="D1459" s="115">
        <v>754.04</v>
      </c>
      <c r="E1459" s="115">
        <v>772.02</v>
      </c>
      <c r="F1459" s="115">
        <v>3780.6</v>
      </c>
      <c r="G1459">
        <v>702</v>
      </c>
      <c r="H1459" s="115"/>
      <c r="I1459" s="115"/>
      <c r="L1459" s="169">
        <v>44153</v>
      </c>
      <c r="M1459" s="115">
        <v>759.96</v>
      </c>
      <c r="N1459" s="115">
        <v>762</v>
      </c>
      <c r="O1459" s="115">
        <v>750</v>
      </c>
      <c r="P1459" s="115">
        <v>761.49</v>
      </c>
      <c r="Q1459" s="115">
        <v>3799.8</v>
      </c>
      <c r="R1459">
        <v>30829</v>
      </c>
    </row>
    <row r="1460" spans="1:18" x14ac:dyDescent="0.25">
      <c r="A1460" s="169">
        <v>44153</v>
      </c>
      <c r="B1460" s="115">
        <v>762.09</v>
      </c>
      <c r="C1460" s="115">
        <v>760.59</v>
      </c>
      <c r="D1460" s="115">
        <v>750.46</v>
      </c>
      <c r="E1460" s="115">
        <v>751.77</v>
      </c>
      <c r="F1460" s="115">
        <v>3802.95</v>
      </c>
      <c r="G1460">
        <v>123</v>
      </c>
      <c r="H1460" s="115"/>
      <c r="I1460" s="115"/>
      <c r="L1460" s="169">
        <v>44154</v>
      </c>
      <c r="M1460" s="115">
        <v>781.66</v>
      </c>
      <c r="N1460" s="115">
        <v>787.49</v>
      </c>
      <c r="O1460" s="115">
        <v>762</v>
      </c>
      <c r="P1460" s="115">
        <v>762</v>
      </c>
      <c r="Q1460" s="115">
        <v>3908.3</v>
      </c>
      <c r="R1460">
        <v>6784</v>
      </c>
    </row>
    <row r="1461" spans="1:18" x14ac:dyDescent="0.25">
      <c r="A1461" s="169">
        <v>44154</v>
      </c>
      <c r="B1461" s="115">
        <v>787.8</v>
      </c>
      <c r="C1461" s="115">
        <v>778.53</v>
      </c>
      <c r="D1461" s="115">
        <v>767.6</v>
      </c>
      <c r="E1461" s="115">
        <v>774.59</v>
      </c>
      <c r="F1461" s="115">
        <v>3892.65</v>
      </c>
      <c r="G1461">
        <v>419</v>
      </c>
      <c r="H1461" s="115"/>
      <c r="I1461" s="115"/>
      <c r="L1461" s="169">
        <v>44155</v>
      </c>
      <c r="M1461" s="115">
        <v>781.31</v>
      </c>
      <c r="N1461" s="115">
        <v>790.05</v>
      </c>
      <c r="O1461" s="115">
        <v>773.99</v>
      </c>
      <c r="P1461" s="115">
        <v>784.57</v>
      </c>
      <c r="Q1461" s="115">
        <v>3906.55</v>
      </c>
      <c r="R1461">
        <v>1663</v>
      </c>
    </row>
    <row r="1462" spans="1:18" x14ac:dyDescent="0.25">
      <c r="A1462" s="169">
        <v>44155</v>
      </c>
      <c r="B1462" s="115">
        <v>783</v>
      </c>
      <c r="C1462" s="115">
        <v>777.4</v>
      </c>
      <c r="D1462" s="115">
        <v>771.85</v>
      </c>
      <c r="E1462" s="115">
        <v>782</v>
      </c>
      <c r="F1462" s="115">
        <v>3887</v>
      </c>
      <c r="G1462">
        <v>181</v>
      </c>
      <c r="H1462" s="115"/>
      <c r="I1462" s="115"/>
      <c r="L1462" s="169">
        <v>44158</v>
      </c>
      <c r="M1462" s="115">
        <v>794.89</v>
      </c>
      <c r="N1462" s="115">
        <v>798</v>
      </c>
      <c r="O1462" s="115">
        <v>775.57</v>
      </c>
      <c r="P1462" s="115">
        <v>781.4</v>
      </c>
      <c r="Q1462" s="115">
        <v>3974.45</v>
      </c>
      <c r="R1462">
        <v>2946</v>
      </c>
    </row>
    <row r="1463" spans="1:18" x14ac:dyDescent="0.25">
      <c r="A1463" s="169">
        <v>44158</v>
      </c>
      <c r="B1463" s="115">
        <v>797.19</v>
      </c>
      <c r="C1463" s="115">
        <v>795.07</v>
      </c>
      <c r="D1463" s="115">
        <v>777</v>
      </c>
      <c r="E1463" s="115">
        <v>777</v>
      </c>
      <c r="F1463" s="115">
        <v>3975.35</v>
      </c>
      <c r="G1463">
        <v>127</v>
      </c>
      <c r="H1463" s="115"/>
      <c r="I1463" s="115"/>
      <c r="L1463" s="169">
        <v>44159</v>
      </c>
      <c r="M1463" s="115">
        <v>788.84</v>
      </c>
      <c r="N1463" s="115">
        <v>803.31</v>
      </c>
      <c r="O1463" s="115">
        <v>785.26</v>
      </c>
      <c r="P1463" s="115">
        <v>798.87</v>
      </c>
      <c r="Q1463" s="115">
        <v>3944.2</v>
      </c>
      <c r="R1463">
        <v>16351</v>
      </c>
    </row>
    <row r="1464" spans="1:18" x14ac:dyDescent="0.25">
      <c r="A1464" s="169">
        <v>44159</v>
      </c>
      <c r="B1464" s="115">
        <v>801.41</v>
      </c>
      <c r="C1464" s="115">
        <v>789.4</v>
      </c>
      <c r="D1464" s="115">
        <v>786.61</v>
      </c>
      <c r="E1464" s="115">
        <v>797.19</v>
      </c>
      <c r="F1464" s="115">
        <v>3947</v>
      </c>
      <c r="G1464">
        <v>436</v>
      </c>
      <c r="H1464" s="115"/>
      <c r="I1464" s="115"/>
      <c r="L1464" s="169">
        <v>44160</v>
      </c>
      <c r="M1464" s="115">
        <v>787.01</v>
      </c>
      <c r="N1464" s="115">
        <v>797.99</v>
      </c>
      <c r="O1464" s="115">
        <v>782.01</v>
      </c>
      <c r="P1464" s="115">
        <v>792.74</v>
      </c>
      <c r="Q1464" s="115">
        <v>3935.05</v>
      </c>
      <c r="R1464">
        <v>23928</v>
      </c>
    </row>
    <row r="1465" spans="1:18" x14ac:dyDescent="0.25">
      <c r="A1465" s="169">
        <v>44160</v>
      </c>
      <c r="B1465" s="115">
        <v>796.14</v>
      </c>
      <c r="C1465" s="115">
        <v>783.99</v>
      </c>
      <c r="D1465" s="115">
        <v>783.17</v>
      </c>
      <c r="E1465" s="115">
        <v>790.6</v>
      </c>
      <c r="F1465" s="115">
        <v>3919.95</v>
      </c>
      <c r="G1465">
        <v>387</v>
      </c>
      <c r="H1465" s="115"/>
      <c r="I1465" s="115"/>
      <c r="L1465" s="169">
        <v>44161</v>
      </c>
      <c r="M1465" s="115">
        <v>784.03</v>
      </c>
      <c r="N1465" s="115">
        <v>791.28</v>
      </c>
      <c r="O1465" s="115">
        <v>781.47</v>
      </c>
      <c r="P1465" s="115">
        <v>790.9</v>
      </c>
      <c r="Q1465" s="115">
        <v>3920.15</v>
      </c>
      <c r="R1465">
        <v>7364</v>
      </c>
    </row>
    <row r="1466" spans="1:18" x14ac:dyDescent="0.25">
      <c r="A1466" s="169">
        <v>44161</v>
      </c>
      <c r="B1466" s="115">
        <v>792.12</v>
      </c>
      <c r="C1466" s="115">
        <v>783.29</v>
      </c>
      <c r="D1466" s="115">
        <v>783.29</v>
      </c>
      <c r="E1466" s="115">
        <v>790.89</v>
      </c>
      <c r="F1466" s="115">
        <v>3916.45</v>
      </c>
      <c r="G1466">
        <v>18</v>
      </c>
      <c r="H1466" s="115"/>
      <c r="I1466" s="115"/>
      <c r="L1466" s="169">
        <v>44162</v>
      </c>
      <c r="M1466" s="115">
        <v>796.83</v>
      </c>
      <c r="N1466" s="115">
        <v>808</v>
      </c>
      <c r="O1466" s="115">
        <v>774.61</v>
      </c>
      <c r="P1466" s="115">
        <v>787.9</v>
      </c>
      <c r="Q1466" s="115">
        <v>3984.15</v>
      </c>
      <c r="R1466">
        <v>36687</v>
      </c>
    </row>
    <row r="1467" spans="1:18" x14ac:dyDescent="0.25">
      <c r="A1467" s="169">
        <v>44162</v>
      </c>
      <c r="B1467" s="115">
        <v>808.49</v>
      </c>
      <c r="C1467" s="115">
        <v>794.65</v>
      </c>
      <c r="D1467" s="115">
        <v>775.62</v>
      </c>
      <c r="E1467" s="115">
        <v>779.69</v>
      </c>
      <c r="F1467" s="115">
        <v>3973.25</v>
      </c>
      <c r="G1467">
        <v>307</v>
      </c>
      <c r="H1467" s="115"/>
      <c r="I1467" s="115"/>
      <c r="L1467" s="169">
        <v>44166</v>
      </c>
      <c r="M1467" s="115">
        <v>789.97</v>
      </c>
      <c r="N1467" s="115">
        <v>808</v>
      </c>
      <c r="O1467" s="115">
        <v>774</v>
      </c>
      <c r="P1467" s="115">
        <v>799.98</v>
      </c>
      <c r="Q1467" s="115">
        <v>3949.85</v>
      </c>
      <c r="R1467">
        <v>26754</v>
      </c>
    </row>
    <row r="1468" spans="1:18" x14ac:dyDescent="0.25">
      <c r="A1468" s="169">
        <v>44166</v>
      </c>
      <c r="B1468" s="115">
        <v>806.07</v>
      </c>
      <c r="C1468" s="115">
        <v>780.9</v>
      </c>
      <c r="D1468" s="115">
        <v>770.4</v>
      </c>
      <c r="E1468" s="115">
        <v>800.68</v>
      </c>
      <c r="F1468" s="115">
        <v>3904.5</v>
      </c>
      <c r="G1468">
        <v>109</v>
      </c>
      <c r="H1468" s="115"/>
      <c r="I1468" s="115"/>
      <c r="L1468" s="169">
        <v>44167</v>
      </c>
      <c r="M1468" s="115">
        <v>793.18</v>
      </c>
      <c r="N1468" s="115">
        <v>796.28</v>
      </c>
      <c r="O1468" s="115">
        <v>783.02</v>
      </c>
      <c r="P1468" s="115">
        <v>787.68</v>
      </c>
      <c r="Q1468" s="115">
        <v>3965.9</v>
      </c>
      <c r="R1468">
        <v>30238</v>
      </c>
    </row>
    <row r="1469" spans="1:18" x14ac:dyDescent="0.25">
      <c r="A1469" s="169">
        <v>44167</v>
      </c>
      <c r="B1469" s="115">
        <v>796.61</v>
      </c>
      <c r="C1469" s="115">
        <v>792.49</v>
      </c>
      <c r="D1469" s="115">
        <v>783.2</v>
      </c>
      <c r="E1469" s="115">
        <v>790.2</v>
      </c>
      <c r="F1469" s="115">
        <v>3962.45</v>
      </c>
      <c r="G1469">
        <v>285</v>
      </c>
      <c r="H1469" s="115"/>
      <c r="I1469" s="115"/>
      <c r="L1469" s="169">
        <v>44168</v>
      </c>
      <c r="M1469" s="115">
        <v>789.83</v>
      </c>
      <c r="N1469" s="115">
        <v>800</v>
      </c>
      <c r="O1469" s="115">
        <v>783.33</v>
      </c>
      <c r="P1469" s="115">
        <v>793.4</v>
      </c>
      <c r="Q1469" s="115">
        <v>3949.15</v>
      </c>
      <c r="R1469">
        <v>5881</v>
      </c>
    </row>
    <row r="1470" spans="1:18" x14ac:dyDescent="0.25">
      <c r="A1470" s="169">
        <v>44168</v>
      </c>
      <c r="B1470" s="115">
        <v>798</v>
      </c>
      <c r="C1470" s="115">
        <v>790.62</v>
      </c>
      <c r="D1470" s="115">
        <v>783.69</v>
      </c>
      <c r="E1470" s="115">
        <v>796.94</v>
      </c>
      <c r="F1470" s="115">
        <v>3953.1</v>
      </c>
      <c r="G1470">
        <v>232</v>
      </c>
      <c r="H1470" s="115"/>
      <c r="I1470" s="115"/>
      <c r="L1470" s="169">
        <v>44169</v>
      </c>
      <c r="M1470" s="115">
        <v>782.62</v>
      </c>
      <c r="N1470" s="115">
        <v>794.7</v>
      </c>
      <c r="O1470" s="115">
        <v>780.21</v>
      </c>
      <c r="P1470" s="115">
        <v>792</v>
      </c>
      <c r="Q1470" s="115">
        <v>3913.1</v>
      </c>
      <c r="R1470">
        <v>74623</v>
      </c>
    </row>
    <row r="1471" spans="1:18" x14ac:dyDescent="0.25">
      <c r="A1471" s="169">
        <v>44169</v>
      </c>
      <c r="B1471" s="115">
        <v>795.46</v>
      </c>
      <c r="C1471" s="115">
        <v>783.94</v>
      </c>
      <c r="D1471" s="115">
        <v>780</v>
      </c>
      <c r="E1471" s="115">
        <v>795.46</v>
      </c>
      <c r="F1471" s="115">
        <v>3919.7</v>
      </c>
      <c r="G1471">
        <v>196</v>
      </c>
      <c r="H1471" s="115"/>
      <c r="I1471" s="115"/>
      <c r="L1471" s="169">
        <v>44172</v>
      </c>
      <c r="M1471" s="115">
        <v>847.25</v>
      </c>
      <c r="N1471" s="115">
        <v>864</v>
      </c>
      <c r="O1471" s="115">
        <v>777</v>
      </c>
      <c r="P1471" s="115">
        <v>777</v>
      </c>
      <c r="Q1471" s="115">
        <v>4236.25</v>
      </c>
      <c r="R1471">
        <v>49450</v>
      </c>
    </row>
    <row r="1472" spans="1:18" x14ac:dyDescent="0.25">
      <c r="A1472" s="169">
        <v>44172</v>
      </c>
      <c r="B1472" s="115">
        <v>862.18</v>
      </c>
      <c r="C1472" s="115">
        <v>843.96</v>
      </c>
      <c r="D1472" s="115">
        <v>763.21</v>
      </c>
      <c r="E1472" s="115">
        <v>763.21</v>
      </c>
      <c r="F1472" s="115">
        <v>4219.8</v>
      </c>
      <c r="G1472">
        <v>1227</v>
      </c>
      <c r="H1472" s="115"/>
      <c r="I1472" s="115"/>
      <c r="L1472" s="169">
        <v>44173</v>
      </c>
      <c r="M1472" s="115">
        <v>868.69</v>
      </c>
      <c r="N1472" s="115">
        <v>880</v>
      </c>
      <c r="O1472" s="115">
        <v>821.85</v>
      </c>
      <c r="P1472" s="115">
        <v>856</v>
      </c>
      <c r="Q1472" s="115">
        <v>4343.45</v>
      </c>
      <c r="R1472">
        <v>24879</v>
      </c>
    </row>
    <row r="1473" spans="1:18" x14ac:dyDescent="0.25">
      <c r="A1473" s="169">
        <v>44173</v>
      </c>
      <c r="B1473" s="115">
        <v>880.08</v>
      </c>
      <c r="C1473" s="115">
        <v>866.61</v>
      </c>
      <c r="D1473" s="115">
        <v>850</v>
      </c>
      <c r="E1473" s="115">
        <v>852</v>
      </c>
      <c r="F1473" s="115">
        <v>4333.05</v>
      </c>
      <c r="G1473">
        <v>591</v>
      </c>
      <c r="H1473" s="115"/>
      <c r="I1473" s="115"/>
      <c r="L1473" s="169">
        <v>44174</v>
      </c>
      <c r="M1473" s="115">
        <v>867.82</v>
      </c>
      <c r="N1473" s="115">
        <v>879.64</v>
      </c>
      <c r="O1473" s="115">
        <v>816.56</v>
      </c>
      <c r="P1473" s="115">
        <v>868.6</v>
      </c>
      <c r="Q1473" s="115">
        <v>4339.1000000000004</v>
      </c>
      <c r="R1473">
        <v>19818</v>
      </c>
    </row>
    <row r="1474" spans="1:18" x14ac:dyDescent="0.25">
      <c r="A1474" s="169">
        <v>44174</v>
      </c>
      <c r="B1474" s="115">
        <v>876</v>
      </c>
      <c r="C1474" s="115">
        <v>871.45</v>
      </c>
      <c r="D1474" s="115">
        <v>840</v>
      </c>
      <c r="E1474" s="115">
        <v>852.78</v>
      </c>
      <c r="F1474" s="115">
        <v>4357.25</v>
      </c>
      <c r="G1474">
        <v>322</v>
      </c>
      <c r="H1474" s="115"/>
      <c r="I1474" s="115"/>
      <c r="L1474" s="169">
        <v>44175</v>
      </c>
      <c r="M1474" s="115">
        <v>870.63</v>
      </c>
      <c r="N1474" s="115">
        <v>883.8</v>
      </c>
      <c r="O1474" s="115">
        <v>833.27</v>
      </c>
      <c r="P1474" s="115">
        <v>883.8</v>
      </c>
      <c r="Q1474" s="115">
        <v>4353.1499999999996</v>
      </c>
      <c r="R1474">
        <v>14966</v>
      </c>
    </row>
    <row r="1475" spans="1:18" x14ac:dyDescent="0.25">
      <c r="A1475" s="169">
        <v>44175</v>
      </c>
      <c r="B1475" s="115">
        <v>871.96</v>
      </c>
      <c r="C1475" s="115">
        <v>870.38</v>
      </c>
      <c r="D1475" s="115">
        <v>851</v>
      </c>
      <c r="E1475" s="115">
        <v>851</v>
      </c>
      <c r="F1475" s="115">
        <v>4351.8999999999996</v>
      </c>
      <c r="G1475">
        <v>244</v>
      </c>
      <c r="H1475" s="115"/>
      <c r="I1475" s="115"/>
      <c r="L1475" s="169">
        <v>44176</v>
      </c>
      <c r="M1475" s="115">
        <v>868.77</v>
      </c>
      <c r="N1475" s="115">
        <v>879.05</v>
      </c>
      <c r="O1475" s="115">
        <v>846.06</v>
      </c>
      <c r="P1475" s="115">
        <v>863.06</v>
      </c>
      <c r="Q1475" s="115">
        <v>4343.8500000000004</v>
      </c>
      <c r="R1475">
        <v>21836</v>
      </c>
    </row>
    <row r="1476" spans="1:18" x14ac:dyDescent="0.25">
      <c r="A1476" s="169">
        <v>44176</v>
      </c>
      <c r="B1476" s="115">
        <v>878.69</v>
      </c>
      <c r="C1476" s="115">
        <v>870.69</v>
      </c>
      <c r="D1476" s="115">
        <v>854.57</v>
      </c>
      <c r="E1476" s="115">
        <v>863.71</v>
      </c>
      <c r="F1476" s="115">
        <v>4353.45</v>
      </c>
      <c r="G1476">
        <v>314</v>
      </c>
      <c r="H1476" s="115"/>
      <c r="I1476" s="115"/>
      <c r="L1476" s="169">
        <v>44179</v>
      </c>
      <c r="M1476" s="115">
        <v>857.46</v>
      </c>
      <c r="N1476" s="115">
        <v>873</v>
      </c>
      <c r="O1476" s="115">
        <v>851.2</v>
      </c>
      <c r="P1476" s="115">
        <v>873</v>
      </c>
      <c r="Q1476" s="115">
        <v>4287.3</v>
      </c>
      <c r="R1476">
        <v>5017</v>
      </c>
    </row>
    <row r="1477" spans="1:18" x14ac:dyDescent="0.25">
      <c r="A1477" s="169">
        <v>44179</v>
      </c>
      <c r="B1477" s="115">
        <v>867.91</v>
      </c>
      <c r="C1477" s="115">
        <v>860.24</v>
      </c>
      <c r="D1477" s="115">
        <v>856.69</v>
      </c>
      <c r="E1477" s="115">
        <v>867.69</v>
      </c>
      <c r="F1477" s="115">
        <v>4301.2</v>
      </c>
      <c r="G1477">
        <v>223</v>
      </c>
      <c r="H1477" s="115"/>
      <c r="I1477" s="115"/>
      <c r="L1477" s="169">
        <v>44180</v>
      </c>
      <c r="M1477" s="115">
        <v>847.59</v>
      </c>
      <c r="N1477" s="115">
        <v>864.35</v>
      </c>
      <c r="O1477" s="115">
        <v>832.46</v>
      </c>
      <c r="P1477" s="115">
        <v>858</v>
      </c>
      <c r="Q1477" s="115">
        <v>4237.95</v>
      </c>
      <c r="R1477">
        <v>25977</v>
      </c>
    </row>
    <row r="1478" spans="1:18" x14ac:dyDescent="0.25">
      <c r="A1478" s="169">
        <v>44180</v>
      </c>
      <c r="B1478" s="115">
        <v>864.64</v>
      </c>
      <c r="C1478" s="115">
        <v>845.4</v>
      </c>
      <c r="D1478" s="115">
        <v>836.79</v>
      </c>
      <c r="E1478" s="115">
        <v>864.47</v>
      </c>
      <c r="F1478" s="115">
        <v>4227</v>
      </c>
      <c r="G1478">
        <v>269</v>
      </c>
      <c r="H1478" s="115"/>
      <c r="I1478" s="115"/>
      <c r="L1478" s="169">
        <v>44181</v>
      </c>
      <c r="M1478" s="115">
        <v>858.61</v>
      </c>
      <c r="N1478" s="115">
        <v>867.4</v>
      </c>
      <c r="O1478" s="115">
        <v>843.81</v>
      </c>
      <c r="P1478" s="115">
        <v>847.4</v>
      </c>
      <c r="Q1478" s="115">
        <v>4293.05</v>
      </c>
      <c r="R1478">
        <v>4065</v>
      </c>
    </row>
    <row r="1479" spans="1:18" x14ac:dyDescent="0.25">
      <c r="A1479" s="169">
        <v>44181</v>
      </c>
      <c r="B1479" s="115">
        <v>866.6</v>
      </c>
      <c r="C1479" s="115">
        <v>860.64</v>
      </c>
      <c r="D1479" s="115">
        <v>832</v>
      </c>
      <c r="E1479" s="115">
        <v>832</v>
      </c>
      <c r="F1479" s="115">
        <v>4303.2</v>
      </c>
      <c r="G1479">
        <v>409</v>
      </c>
      <c r="H1479" s="115"/>
      <c r="I1479" s="115"/>
      <c r="L1479" s="169">
        <v>44182</v>
      </c>
      <c r="M1479" s="115">
        <v>855.15</v>
      </c>
      <c r="N1479" s="115">
        <v>863.39</v>
      </c>
      <c r="O1479" s="115">
        <v>847.82</v>
      </c>
      <c r="P1479" s="115">
        <v>862.91</v>
      </c>
      <c r="Q1479" s="115">
        <v>4275.75</v>
      </c>
      <c r="R1479">
        <v>2362</v>
      </c>
    </row>
    <row r="1480" spans="1:18" x14ac:dyDescent="0.25">
      <c r="A1480" s="169">
        <v>44182</v>
      </c>
      <c r="B1480" s="115">
        <v>862.79</v>
      </c>
      <c r="C1480" s="115">
        <v>854.92</v>
      </c>
      <c r="D1480" s="115">
        <v>850.2</v>
      </c>
      <c r="E1480" s="115">
        <v>862.79</v>
      </c>
      <c r="F1480" s="115">
        <v>4274.6000000000004</v>
      </c>
      <c r="G1480">
        <v>329</v>
      </c>
      <c r="H1480" s="115"/>
      <c r="I1480" s="115"/>
      <c r="L1480" s="169">
        <v>44183</v>
      </c>
      <c r="M1480" s="115">
        <v>851.81</v>
      </c>
      <c r="N1480" s="115">
        <v>859.2</v>
      </c>
      <c r="O1480" s="115">
        <v>843.99</v>
      </c>
      <c r="P1480" s="115">
        <v>859.2</v>
      </c>
      <c r="Q1480" s="115">
        <v>4259.05</v>
      </c>
      <c r="R1480">
        <v>2645</v>
      </c>
    </row>
    <row r="1481" spans="1:18" x14ac:dyDescent="0.25">
      <c r="A1481" s="169">
        <v>44183</v>
      </c>
      <c r="B1481" s="115">
        <v>859.8</v>
      </c>
      <c r="C1481" s="115">
        <v>852.98</v>
      </c>
      <c r="D1481" s="115">
        <v>846.47</v>
      </c>
      <c r="E1481" s="115">
        <v>859.8</v>
      </c>
      <c r="F1481" s="115">
        <v>4264.8999999999996</v>
      </c>
      <c r="G1481">
        <v>119</v>
      </c>
      <c r="H1481" s="115"/>
      <c r="I1481" s="115"/>
      <c r="L1481" s="169">
        <v>44186</v>
      </c>
      <c r="M1481" s="115">
        <v>840.06</v>
      </c>
      <c r="N1481" s="115">
        <v>860</v>
      </c>
      <c r="O1481" s="115">
        <v>827.33</v>
      </c>
      <c r="P1481" s="115">
        <v>842.4</v>
      </c>
      <c r="Q1481" s="115">
        <v>4200.3</v>
      </c>
      <c r="R1481">
        <v>4671</v>
      </c>
    </row>
    <row r="1482" spans="1:18" x14ac:dyDescent="0.25">
      <c r="A1482" s="169">
        <v>44186</v>
      </c>
      <c r="B1482" s="115">
        <v>861.88</v>
      </c>
      <c r="C1482" s="115">
        <v>837.84</v>
      </c>
      <c r="D1482" s="115">
        <v>810</v>
      </c>
      <c r="E1482" s="115">
        <v>810</v>
      </c>
      <c r="F1482" s="115">
        <v>4189.2</v>
      </c>
      <c r="G1482">
        <v>405</v>
      </c>
      <c r="H1482" s="115"/>
      <c r="I1482" s="115"/>
      <c r="L1482" s="169">
        <v>44187</v>
      </c>
      <c r="M1482" s="115">
        <v>837.04</v>
      </c>
      <c r="N1482" s="115">
        <v>843.6</v>
      </c>
      <c r="O1482" s="115">
        <v>811</v>
      </c>
      <c r="P1482" s="115">
        <v>829.2</v>
      </c>
      <c r="Q1482" s="115">
        <v>4185.2</v>
      </c>
      <c r="R1482">
        <v>2310</v>
      </c>
    </row>
    <row r="1483" spans="1:18" x14ac:dyDescent="0.25">
      <c r="A1483" s="169">
        <v>44187</v>
      </c>
      <c r="B1483" s="115">
        <v>839.8</v>
      </c>
      <c r="C1483" s="115">
        <v>839.8</v>
      </c>
      <c r="D1483" s="115">
        <v>812.42</v>
      </c>
      <c r="E1483" s="115">
        <v>834</v>
      </c>
      <c r="F1483" s="115">
        <v>4199</v>
      </c>
      <c r="G1483">
        <v>163</v>
      </c>
      <c r="H1483" s="115"/>
      <c r="I1483" s="115"/>
      <c r="L1483" s="169">
        <v>44188</v>
      </c>
      <c r="M1483" s="115">
        <v>848.03</v>
      </c>
      <c r="N1483" s="115">
        <v>856</v>
      </c>
      <c r="O1483" s="115">
        <v>834.01</v>
      </c>
      <c r="P1483" s="115">
        <v>834.01</v>
      </c>
      <c r="Q1483" s="115">
        <v>4240.1499999999996</v>
      </c>
      <c r="R1483">
        <v>7349</v>
      </c>
    </row>
    <row r="1484" spans="1:18" x14ac:dyDescent="0.25">
      <c r="A1484" s="169">
        <v>44188</v>
      </c>
      <c r="B1484" s="115">
        <v>857.93</v>
      </c>
      <c r="C1484" s="115">
        <v>847.83</v>
      </c>
      <c r="D1484" s="115">
        <v>838.83</v>
      </c>
      <c r="E1484" s="115">
        <v>839.6</v>
      </c>
      <c r="F1484" s="115">
        <v>4239.1499999999996</v>
      </c>
      <c r="G1484">
        <v>179</v>
      </c>
      <c r="H1484" s="115"/>
      <c r="I1484" s="115"/>
      <c r="L1484" s="169">
        <v>44189</v>
      </c>
      <c r="M1484" s="115">
        <v>848.85</v>
      </c>
      <c r="N1484" s="115">
        <v>864.17</v>
      </c>
      <c r="O1484" s="115">
        <v>835</v>
      </c>
      <c r="P1484" s="115">
        <v>852.28</v>
      </c>
      <c r="Q1484" s="115">
        <v>4244.25</v>
      </c>
      <c r="R1484">
        <v>1367</v>
      </c>
    </row>
    <row r="1485" spans="1:18" x14ac:dyDescent="0.25">
      <c r="A1485" s="169">
        <v>44189</v>
      </c>
      <c r="B1485" s="115">
        <v>863.46</v>
      </c>
      <c r="C1485" s="115">
        <v>850.64</v>
      </c>
      <c r="D1485" s="115">
        <v>847.2</v>
      </c>
      <c r="E1485" s="115">
        <v>861.84</v>
      </c>
      <c r="F1485" s="115">
        <v>4253.2</v>
      </c>
      <c r="G1485">
        <v>43</v>
      </c>
      <c r="H1485" s="115"/>
      <c r="I1485" s="115"/>
      <c r="L1485" s="169">
        <v>44193</v>
      </c>
      <c r="M1485" s="115">
        <v>883.8</v>
      </c>
      <c r="N1485" s="115">
        <v>909.14</v>
      </c>
      <c r="O1485" s="115">
        <v>852.78</v>
      </c>
      <c r="P1485" s="115">
        <v>852.78</v>
      </c>
      <c r="Q1485" s="115">
        <v>4419</v>
      </c>
      <c r="R1485">
        <v>17048</v>
      </c>
    </row>
    <row r="1486" spans="1:18" x14ac:dyDescent="0.25">
      <c r="A1486" s="169">
        <v>44193</v>
      </c>
      <c r="B1486" s="115">
        <v>905.59</v>
      </c>
      <c r="C1486" s="115">
        <v>887.18</v>
      </c>
      <c r="D1486" s="115">
        <v>861.78</v>
      </c>
      <c r="E1486" s="115">
        <v>863.19</v>
      </c>
      <c r="F1486" s="115">
        <v>4435.8999999999996</v>
      </c>
      <c r="G1486">
        <v>758</v>
      </c>
      <c r="H1486" s="115"/>
      <c r="I1486" s="115"/>
      <c r="L1486" s="169">
        <v>44194</v>
      </c>
      <c r="M1486" s="115">
        <v>922.71</v>
      </c>
      <c r="N1486" s="115">
        <v>934</v>
      </c>
      <c r="O1486" s="115">
        <v>890.06</v>
      </c>
      <c r="P1486" s="115">
        <v>900</v>
      </c>
      <c r="Q1486" s="115">
        <v>4613.55</v>
      </c>
      <c r="R1486">
        <v>27608</v>
      </c>
    </row>
    <row r="1487" spans="1:18" x14ac:dyDescent="0.25">
      <c r="A1487" s="169">
        <v>44194</v>
      </c>
      <c r="B1487" s="115">
        <v>935.85</v>
      </c>
      <c r="C1487" s="115">
        <v>922.91</v>
      </c>
      <c r="D1487" s="115">
        <v>894.04</v>
      </c>
      <c r="E1487" s="115">
        <v>900</v>
      </c>
      <c r="F1487" s="115">
        <v>4614.55</v>
      </c>
      <c r="G1487">
        <v>2105</v>
      </c>
      <c r="H1487" s="115"/>
      <c r="I1487" s="115"/>
      <c r="L1487" s="169">
        <v>44195</v>
      </c>
      <c r="M1487" s="115">
        <v>929.66</v>
      </c>
      <c r="N1487" s="115">
        <v>950</v>
      </c>
      <c r="O1487" s="115">
        <v>902.4</v>
      </c>
      <c r="P1487" s="115">
        <v>923.4</v>
      </c>
      <c r="Q1487" s="115">
        <v>4648.3</v>
      </c>
      <c r="R1487">
        <v>20323</v>
      </c>
    </row>
    <row r="1488" spans="1:18" x14ac:dyDescent="0.25">
      <c r="A1488" s="169">
        <v>44195</v>
      </c>
      <c r="B1488" s="115">
        <v>949.31</v>
      </c>
      <c r="C1488" s="115">
        <v>928.12</v>
      </c>
      <c r="D1488" s="115">
        <v>910</v>
      </c>
      <c r="E1488" s="115">
        <v>925</v>
      </c>
      <c r="F1488" s="115">
        <v>4640.6000000000004</v>
      </c>
      <c r="G1488">
        <v>1163</v>
      </c>
      <c r="H1488" s="115"/>
      <c r="I1488" s="115"/>
      <c r="L1488" s="169">
        <v>44196</v>
      </c>
      <c r="M1488" s="115">
        <v>907.25</v>
      </c>
      <c r="N1488" s="115">
        <v>929.6</v>
      </c>
      <c r="O1488" s="115">
        <v>902.17</v>
      </c>
      <c r="P1488" s="115">
        <v>929.6</v>
      </c>
      <c r="Q1488" s="115">
        <v>4536.25</v>
      </c>
      <c r="R1488">
        <v>6675</v>
      </c>
    </row>
    <row r="1489" spans="1:18" x14ac:dyDescent="0.25">
      <c r="A1489" s="169">
        <v>44196</v>
      </c>
      <c r="B1489" s="115">
        <v>920.33</v>
      </c>
      <c r="C1489" s="115">
        <v>907.71</v>
      </c>
      <c r="D1489" s="115">
        <v>905.2</v>
      </c>
      <c r="E1489" s="115">
        <v>920</v>
      </c>
      <c r="F1489" s="115">
        <v>4538.55</v>
      </c>
      <c r="G1489">
        <v>233</v>
      </c>
      <c r="H1489" s="115"/>
      <c r="I1489" s="115"/>
      <c r="L1489" s="169">
        <v>44197</v>
      </c>
      <c r="M1489" s="115">
        <v>920.56</v>
      </c>
      <c r="N1489" s="115">
        <v>940</v>
      </c>
      <c r="O1489" s="115">
        <v>905.98</v>
      </c>
      <c r="P1489" s="115">
        <v>917.6</v>
      </c>
      <c r="Q1489" s="115">
        <v>4602.8</v>
      </c>
      <c r="R1489">
        <v>11850</v>
      </c>
    </row>
    <row r="1490" spans="1:18" x14ac:dyDescent="0.25">
      <c r="A1490" s="169">
        <v>44197</v>
      </c>
      <c r="B1490" s="115">
        <v>940.23</v>
      </c>
      <c r="C1490" s="115">
        <v>922.42</v>
      </c>
      <c r="D1490" s="115">
        <v>918</v>
      </c>
      <c r="E1490" s="115">
        <v>924</v>
      </c>
      <c r="F1490" s="115">
        <v>4612.1000000000004</v>
      </c>
      <c r="G1490">
        <v>669</v>
      </c>
      <c r="H1490" s="115"/>
      <c r="I1490" s="115"/>
      <c r="L1490" s="169">
        <v>44200</v>
      </c>
      <c r="M1490" s="115">
        <v>927.58</v>
      </c>
      <c r="N1490" s="115">
        <v>940</v>
      </c>
      <c r="O1490" s="115">
        <v>908.03</v>
      </c>
      <c r="P1490" s="115">
        <v>925</v>
      </c>
      <c r="Q1490" s="115">
        <v>4637.8999999999996</v>
      </c>
      <c r="R1490">
        <v>15150</v>
      </c>
    </row>
    <row r="1491" spans="1:18" x14ac:dyDescent="0.25">
      <c r="A1491" s="169">
        <v>44200</v>
      </c>
      <c r="B1491" s="115">
        <v>950</v>
      </c>
      <c r="C1491" s="115">
        <v>930.17</v>
      </c>
      <c r="D1491" s="115">
        <v>905.82</v>
      </c>
      <c r="E1491" s="115">
        <v>905.82</v>
      </c>
      <c r="F1491" s="115">
        <v>4650.8500000000004</v>
      </c>
      <c r="G1491">
        <v>958</v>
      </c>
      <c r="H1491" s="115"/>
      <c r="I1491" s="115"/>
      <c r="L1491" s="169">
        <v>44201</v>
      </c>
      <c r="M1491" s="115">
        <v>922.27</v>
      </c>
      <c r="N1491" s="115">
        <v>929.78</v>
      </c>
      <c r="O1491" s="115">
        <v>917.94</v>
      </c>
      <c r="P1491" s="115">
        <v>925.05</v>
      </c>
      <c r="Q1491" s="115">
        <v>4611.3500000000004</v>
      </c>
      <c r="R1491">
        <v>11855</v>
      </c>
    </row>
    <row r="1492" spans="1:18" x14ac:dyDescent="0.25">
      <c r="A1492" s="169">
        <v>44201</v>
      </c>
      <c r="B1492" s="115">
        <v>932.18</v>
      </c>
      <c r="C1492" s="115">
        <v>920.97</v>
      </c>
      <c r="D1492" s="115">
        <v>917.62</v>
      </c>
      <c r="E1492" s="115">
        <v>920</v>
      </c>
      <c r="F1492" s="115">
        <v>4604.8500000000004</v>
      </c>
      <c r="G1492">
        <v>309</v>
      </c>
      <c r="H1492" s="115"/>
      <c r="I1492" s="115"/>
      <c r="L1492" s="169">
        <v>44202</v>
      </c>
      <c r="M1492" s="115">
        <v>920.19</v>
      </c>
      <c r="N1492" s="115">
        <v>927</v>
      </c>
      <c r="O1492" s="115">
        <v>907.27</v>
      </c>
      <c r="P1492" s="115">
        <v>926.57</v>
      </c>
      <c r="Q1492" s="115">
        <v>4600.95</v>
      </c>
      <c r="R1492">
        <v>10877</v>
      </c>
    </row>
    <row r="1493" spans="1:18" x14ac:dyDescent="0.25">
      <c r="A1493" s="169">
        <v>44202</v>
      </c>
      <c r="B1493" s="115">
        <v>925.59</v>
      </c>
      <c r="C1493" s="115">
        <v>918.71</v>
      </c>
      <c r="D1493" s="115">
        <v>910</v>
      </c>
      <c r="E1493" s="115">
        <v>920.4</v>
      </c>
      <c r="F1493" s="115">
        <v>4593.55</v>
      </c>
      <c r="G1493">
        <v>221</v>
      </c>
      <c r="H1493" s="115"/>
      <c r="I1493" s="115"/>
      <c r="L1493" s="169">
        <v>44203</v>
      </c>
      <c r="M1493" s="115">
        <v>914.6</v>
      </c>
      <c r="N1493" s="115">
        <v>924.8</v>
      </c>
      <c r="O1493" s="115">
        <v>906.2</v>
      </c>
      <c r="P1493" s="115">
        <v>924.8</v>
      </c>
      <c r="Q1493" s="115">
        <v>4573</v>
      </c>
      <c r="R1493">
        <v>13844</v>
      </c>
    </row>
    <row r="1494" spans="1:18" x14ac:dyDescent="0.25">
      <c r="A1494" s="169">
        <v>44203</v>
      </c>
      <c r="B1494" s="115">
        <v>917.22</v>
      </c>
      <c r="C1494" s="115">
        <v>915</v>
      </c>
      <c r="D1494" s="115">
        <v>907.46</v>
      </c>
      <c r="E1494" s="115">
        <v>916.09</v>
      </c>
      <c r="F1494" s="115">
        <v>4575</v>
      </c>
      <c r="G1494">
        <v>471</v>
      </c>
      <c r="H1494" s="115"/>
      <c r="I1494" s="115"/>
      <c r="L1494" s="169">
        <v>44204</v>
      </c>
      <c r="M1494" s="115">
        <v>914.35</v>
      </c>
      <c r="N1494" s="115">
        <v>935</v>
      </c>
      <c r="O1494" s="115">
        <v>907.63</v>
      </c>
      <c r="P1494" s="115">
        <v>920</v>
      </c>
      <c r="Q1494" s="115">
        <v>4571.75</v>
      </c>
      <c r="R1494">
        <v>13964</v>
      </c>
    </row>
    <row r="1495" spans="1:18" x14ac:dyDescent="0.25">
      <c r="A1495" s="169">
        <v>44204</v>
      </c>
      <c r="B1495" s="115">
        <v>953.32</v>
      </c>
      <c r="C1495" s="115">
        <v>917.31</v>
      </c>
      <c r="D1495" s="115">
        <v>900</v>
      </c>
      <c r="E1495" s="115">
        <v>919.99</v>
      </c>
      <c r="F1495" s="115">
        <v>4586.55</v>
      </c>
      <c r="G1495">
        <v>1577</v>
      </c>
      <c r="H1495" s="115"/>
      <c r="I1495" s="115"/>
      <c r="L1495" s="169">
        <v>44207</v>
      </c>
      <c r="M1495" s="115">
        <v>920.15</v>
      </c>
      <c r="N1495" s="115">
        <v>936.01</v>
      </c>
      <c r="O1495" s="115">
        <v>910.21</v>
      </c>
      <c r="P1495" s="115">
        <v>935</v>
      </c>
      <c r="Q1495" s="115">
        <v>4600.75</v>
      </c>
      <c r="R1495">
        <v>15691</v>
      </c>
    </row>
    <row r="1496" spans="1:18" x14ac:dyDescent="0.25">
      <c r="A1496" s="169">
        <v>44207</v>
      </c>
      <c r="B1496" s="115">
        <v>994</v>
      </c>
      <c r="C1496" s="115">
        <v>920.06</v>
      </c>
      <c r="D1496" s="115">
        <v>913.09</v>
      </c>
      <c r="E1496" s="115">
        <v>994</v>
      </c>
      <c r="F1496" s="115">
        <v>4600.3</v>
      </c>
      <c r="G1496">
        <v>868</v>
      </c>
      <c r="H1496" s="115"/>
      <c r="I1496" s="115"/>
      <c r="L1496" s="169">
        <v>44208</v>
      </c>
      <c r="M1496" s="115">
        <v>910.09</v>
      </c>
      <c r="N1496" s="115">
        <v>923.86</v>
      </c>
      <c r="O1496" s="115">
        <v>903.3</v>
      </c>
      <c r="P1496" s="115">
        <v>919.6</v>
      </c>
      <c r="Q1496" s="115">
        <v>4550.45</v>
      </c>
      <c r="R1496">
        <v>6867</v>
      </c>
    </row>
    <row r="1497" spans="1:18" x14ac:dyDescent="0.25">
      <c r="A1497" s="169">
        <v>44208</v>
      </c>
      <c r="B1497" s="115">
        <v>925</v>
      </c>
      <c r="C1497" s="115">
        <v>910.98</v>
      </c>
      <c r="D1497" s="115">
        <v>904.32</v>
      </c>
      <c r="E1497" s="115">
        <v>915.8</v>
      </c>
      <c r="F1497" s="115">
        <v>4554.8999999999996</v>
      </c>
      <c r="G1497">
        <v>404</v>
      </c>
      <c r="H1497" s="115"/>
      <c r="I1497" s="115"/>
      <c r="L1497" s="169">
        <v>44209</v>
      </c>
      <c r="M1497" s="115">
        <v>898.52</v>
      </c>
      <c r="N1497" s="115">
        <v>919.8</v>
      </c>
      <c r="O1497" s="115">
        <v>882.8</v>
      </c>
      <c r="P1497" s="115">
        <v>914.8</v>
      </c>
      <c r="Q1497" s="115">
        <v>4492.6000000000004</v>
      </c>
      <c r="R1497">
        <v>15457</v>
      </c>
    </row>
    <row r="1498" spans="1:18" x14ac:dyDescent="0.25">
      <c r="A1498" s="169">
        <v>44209</v>
      </c>
      <c r="B1498" s="115">
        <v>920</v>
      </c>
      <c r="C1498" s="115">
        <v>898.09</v>
      </c>
      <c r="D1498" s="115">
        <v>883.5</v>
      </c>
      <c r="E1498" s="115">
        <v>920</v>
      </c>
      <c r="F1498" s="115">
        <v>4490.45</v>
      </c>
      <c r="G1498">
        <v>965</v>
      </c>
      <c r="H1498" s="115"/>
      <c r="I1498" s="115"/>
      <c r="L1498" s="169">
        <v>44210</v>
      </c>
      <c r="M1498" s="115">
        <v>900.15</v>
      </c>
      <c r="N1498" s="115">
        <v>906.6</v>
      </c>
      <c r="O1498" s="115">
        <v>890.05</v>
      </c>
      <c r="P1498" s="115">
        <v>906.6</v>
      </c>
      <c r="Q1498" s="115">
        <v>4500.75</v>
      </c>
      <c r="R1498">
        <v>4116</v>
      </c>
    </row>
    <row r="1499" spans="1:18" x14ac:dyDescent="0.25">
      <c r="A1499" s="169">
        <v>44210</v>
      </c>
      <c r="B1499" s="115">
        <v>917.93</v>
      </c>
      <c r="C1499" s="115">
        <v>900.44</v>
      </c>
      <c r="D1499" s="115">
        <v>894.8</v>
      </c>
      <c r="E1499" s="115">
        <v>917.93</v>
      </c>
      <c r="F1499" s="115">
        <v>4502.2</v>
      </c>
      <c r="G1499">
        <v>275</v>
      </c>
      <c r="H1499" s="115"/>
      <c r="I1499" s="115"/>
      <c r="L1499" s="169">
        <v>44211</v>
      </c>
      <c r="M1499" s="115">
        <v>903.59</v>
      </c>
      <c r="N1499" s="115">
        <v>915.09</v>
      </c>
      <c r="O1499" s="115">
        <v>891.2</v>
      </c>
      <c r="P1499" s="115">
        <v>891.2</v>
      </c>
      <c r="Q1499" s="115">
        <v>4517.95</v>
      </c>
      <c r="R1499">
        <v>14357</v>
      </c>
    </row>
    <row r="1500" spans="1:18" x14ac:dyDescent="0.25">
      <c r="A1500" s="169">
        <v>44211</v>
      </c>
      <c r="B1500" s="115">
        <v>905.89</v>
      </c>
      <c r="C1500" s="115">
        <v>902.25</v>
      </c>
      <c r="D1500" s="115">
        <v>891.73</v>
      </c>
      <c r="E1500" s="115">
        <v>900</v>
      </c>
      <c r="F1500" s="115">
        <v>4511.25</v>
      </c>
      <c r="G1500">
        <v>438</v>
      </c>
      <c r="H1500" s="115"/>
      <c r="I1500" s="115"/>
      <c r="L1500" s="169">
        <v>44214</v>
      </c>
      <c r="M1500" s="115">
        <v>900.14</v>
      </c>
      <c r="N1500" s="115">
        <v>906</v>
      </c>
      <c r="O1500" s="115">
        <v>878.09</v>
      </c>
      <c r="P1500" s="115">
        <v>905.02</v>
      </c>
      <c r="Q1500" s="115">
        <v>4500.7</v>
      </c>
      <c r="R1500">
        <v>8542</v>
      </c>
    </row>
    <row r="1501" spans="1:18" x14ac:dyDescent="0.25">
      <c r="A1501" s="169">
        <v>44214</v>
      </c>
      <c r="B1501" s="115">
        <v>902.69</v>
      </c>
      <c r="C1501" s="115">
        <v>900.96</v>
      </c>
      <c r="D1501" s="115">
        <v>880</v>
      </c>
      <c r="E1501" s="115">
        <v>897</v>
      </c>
      <c r="F1501" s="115">
        <v>4504.8</v>
      </c>
      <c r="G1501">
        <v>705</v>
      </c>
      <c r="H1501" s="115"/>
      <c r="I1501" s="115"/>
      <c r="L1501" s="169">
        <v>44215</v>
      </c>
      <c r="M1501" s="115">
        <v>919.27</v>
      </c>
      <c r="N1501" s="115">
        <v>925</v>
      </c>
      <c r="O1501" s="115">
        <v>891.2</v>
      </c>
      <c r="P1501" s="115">
        <v>900.14</v>
      </c>
      <c r="Q1501" s="115">
        <v>4596.3500000000004</v>
      </c>
      <c r="R1501">
        <v>54155</v>
      </c>
    </row>
    <row r="1502" spans="1:18" x14ac:dyDescent="0.25">
      <c r="A1502" s="169">
        <v>44215</v>
      </c>
      <c r="B1502" s="115">
        <v>924</v>
      </c>
      <c r="C1502" s="115">
        <v>915.98</v>
      </c>
      <c r="D1502" s="115">
        <v>902</v>
      </c>
      <c r="E1502" s="115">
        <v>902</v>
      </c>
      <c r="F1502" s="115">
        <v>4579.8999999999996</v>
      </c>
      <c r="G1502">
        <v>481</v>
      </c>
      <c r="H1502" s="115"/>
      <c r="I1502" s="115"/>
      <c r="L1502" s="169">
        <v>44216</v>
      </c>
      <c r="M1502" s="115">
        <v>918.17</v>
      </c>
      <c r="N1502" s="115">
        <v>929.6</v>
      </c>
      <c r="O1502" s="115">
        <v>903.09</v>
      </c>
      <c r="P1502" s="115">
        <v>910.5</v>
      </c>
      <c r="Q1502" s="115">
        <v>4590.8500000000004</v>
      </c>
      <c r="R1502">
        <v>81195</v>
      </c>
    </row>
    <row r="1503" spans="1:18" x14ac:dyDescent="0.25">
      <c r="A1503" s="169">
        <v>44216</v>
      </c>
      <c r="B1503" s="115">
        <v>930</v>
      </c>
      <c r="C1503" s="115">
        <v>919.01</v>
      </c>
      <c r="D1503" s="115">
        <v>903.82</v>
      </c>
      <c r="E1503" s="115">
        <v>908.04</v>
      </c>
      <c r="F1503" s="115">
        <v>4595.05</v>
      </c>
      <c r="G1503">
        <v>370</v>
      </c>
      <c r="H1503" s="115"/>
      <c r="I1503" s="115"/>
      <c r="L1503" s="169">
        <v>44217</v>
      </c>
      <c r="M1503" s="115">
        <v>907.59</v>
      </c>
      <c r="N1503" s="115">
        <v>925</v>
      </c>
      <c r="O1503" s="115">
        <v>903.01</v>
      </c>
      <c r="P1503" s="115">
        <v>922.77</v>
      </c>
      <c r="Q1503" s="115">
        <v>4537.95</v>
      </c>
      <c r="R1503">
        <v>8106</v>
      </c>
    </row>
    <row r="1504" spans="1:18" x14ac:dyDescent="0.25">
      <c r="A1504" s="169">
        <v>44217</v>
      </c>
      <c r="B1504" s="115">
        <v>923.8</v>
      </c>
      <c r="C1504" s="115">
        <v>905.08</v>
      </c>
      <c r="D1504" s="115">
        <v>903.4</v>
      </c>
      <c r="E1504" s="115">
        <v>920</v>
      </c>
      <c r="F1504" s="115">
        <v>4525.3999999999996</v>
      </c>
      <c r="G1504">
        <v>489</v>
      </c>
      <c r="H1504" s="115"/>
      <c r="I1504" s="115"/>
      <c r="L1504" s="169">
        <v>44218</v>
      </c>
      <c r="M1504" s="115">
        <v>902.72</v>
      </c>
      <c r="N1504" s="115">
        <v>912.13</v>
      </c>
      <c r="O1504" s="115">
        <v>895.03</v>
      </c>
      <c r="P1504" s="115">
        <v>912.13</v>
      </c>
      <c r="Q1504" s="115">
        <v>4513.6000000000004</v>
      </c>
      <c r="R1504">
        <v>6836</v>
      </c>
    </row>
    <row r="1505" spans="1:18" x14ac:dyDescent="0.25">
      <c r="A1505" s="169">
        <v>44218</v>
      </c>
      <c r="B1505" s="115">
        <v>910</v>
      </c>
      <c r="C1505" s="115">
        <v>903.07</v>
      </c>
      <c r="D1505" s="115">
        <v>894.96</v>
      </c>
      <c r="E1505" s="115">
        <v>907.01</v>
      </c>
      <c r="F1505" s="115">
        <v>4515.3500000000004</v>
      </c>
      <c r="G1505">
        <v>425</v>
      </c>
      <c r="H1505" s="115"/>
      <c r="I1505" s="115"/>
      <c r="L1505" s="169">
        <v>44221</v>
      </c>
      <c r="M1505" s="115">
        <v>887.93</v>
      </c>
      <c r="N1505" s="115">
        <v>914.8</v>
      </c>
      <c r="O1505" s="115">
        <v>880.2</v>
      </c>
      <c r="P1505" s="115">
        <v>914.8</v>
      </c>
      <c r="Q1505" s="115">
        <v>4439.6499999999996</v>
      </c>
      <c r="R1505">
        <v>7051</v>
      </c>
    </row>
    <row r="1506" spans="1:18" x14ac:dyDescent="0.25">
      <c r="A1506" s="169">
        <v>44221</v>
      </c>
      <c r="B1506" s="115">
        <v>910</v>
      </c>
      <c r="C1506" s="115">
        <v>888.33</v>
      </c>
      <c r="D1506" s="115">
        <v>880.4</v>
      </c>
      <c r="E1506" s="115">
        <v>910</v>
      </c>
      <c r="F1506" s="115">
        <v>4441.6499999999996</v>
      </c>
      <c r="G1506">
        <v>422</v>
      </c>
      <c r="H1506" s="115"/>
      <c r="I1506" s="115"/>
      <c r="L1506" s="169">
        <v>44223</v>
      </c>
      <c r="M1506" s="115">
        <v>870.46</v>
      </c>
      <c r="N1506" s="115">
        <v>888</v>
      </c>
      <c r="O1506" s="115">
        <v>862</v>
      </c>
      <c r="P1506" s="115">
        <v>880.51</v>
      </c>
      <c r="Q1506" s="115">
        <v>4352.3</v>
      </c>
      <c r="R1506">
        <v>10867</v>
      </c>
    </row>
    <row r="1507" spans="1:18" x14ac:dyDescent="0.25">
      <c r="A1507" s="169">
        <v>44223</v>
      </c>
      <c r="B1507" s="115">
        <v>890</v>
      </c>
      <c r="C1507" s="115">
        <v>871.61</v>
      </c>
      <c r="D1507" s="115">
        <v>862.44</v>
      </c>
      <c r="E1507" s="115">
        <v>870</v>
      </c>
      <c r="F1507" s="115">
        <v>4358.05</v>
      </c>
      <c r="G1507">
        <v>379</v>
      </c>
      <c r="H1507" s="115"/>
      <c r="I1507" s="115"/>
      <c r="L1507" s="169">
        <v>44224</v>
      </c>
      <c r="M1507" s="115">
        <v>859.61</v>
      </c>
      <c r="N1507" s="115">
        <v>865.71</v>
      </c>
      <c r="O1507" s="115">
        <v>853.6</v>
      </c>
      <c r="P1507" s="115">
        <v>862.4</v>
      </c>
      <c r="Q1507" s="115">
        <v>4298.05</v>
      </c>
      <c r="R1507">
        <v>25880</v>
      </c>
    </row>
    <row r="1508" spans="1:18" x14ac:dyDescent="0.25">
      <c r="A1508" s="169">
        <v>44224</v>
      </c>
      <c r="B1508" s="115">
        <v>862.71</v>
      </c>
      <c r="C1508" s="115">
        <v>858.8</v>
      </c>
      <c r="D1508" s="115">
        <v>854.07</v>
      </c>
      <c r="E1508" s="115">
        <v>860</v>
      </c>
      <c r="F1508" s="115">
        <v>4294</v>
      </c>
      <c r="G1508">
        <v>320</v>
      </c>
      <c r="H1508" s="115"/>
      <c r="I1508" s="115"/>
      <c r="L1508" s="169">
        <v>44225</v>
      </c>
      <c r="M1508" s="115">
        <v>859.74</v>
      </c>
      <c r="N1508" s="115">
        <v>869.98</v>
      </c>
      <c r="O1508" s="115">
        <v>851.59</v>
      </c>
      <c r="P1508" s="115">
        <v>862.47</v>
      </c>
      <c r="Q1508" s="115">
        <v>4298.7</v>
      </c>
      <c r="R1508">
        <v>7931</v>
      </c>
    </row>
    <row r="1509" spans="1:18" x14ac:dyDescent="0.25">
      <c r="A1509" s="169">
        <v>44225</v>
      </c>
      <c r="B1509" s="115">
        <v>860.8</v>
      </c>
      <c r="C1509" s="115">
        <v>858.55</v>
      </c>
      <c r="D1509" s="115">
        <v>852</v>
      </c>
      <c r="E1509" s="115">
        <v>860.8</v>
      </c>
      <c r="F1509" s="115">
        <v>4292.75</v>
      </c>
      <c r="G1509">
        <v>62</v>
      </c>
      <c r="H1509" s="115"/>
      <c r="I1509" s="115"/>
      <c r="L1509" s="169">
        <v>44228</v>
      </c>
      <c r="M1509" s="115">
        <v>860.33</v>
      </c>
      <c r="N1509" s="115">
        <v>868</v>
      </c>
      <c r="O1509" s="115">
        <v>855.01</v>
      </c>
      <c r="P1509" s="115">
        <v>862.14</v>
      </c>
      <c r="Q1509" s="115">
        <v>4301.6499999999996</v>
      </c>
      <c r="R1509">
        <v>35895</v>
      </c>
    </row>
    <row r="1510" spans="1:18" x14ac:dyDescent="0.25">
      <c r="A1510" s="169">
        <v>44228</v>
      </c>
      <c r="B1510" s="115">
        <v>863.61</v>
      </c>
      <c r="C1510" s="115">
        <v>862.09</v>
      </c>
      <c r="D1510" s="115">
        <v>857.61</v>
      </c>
      <c r="E1510" s="115">
        <v>858.6</v>
      </c>
      <c r="F1510" s="115">
        <v>4310.45</v>
      </c>
      <c r="G1510">
        <v>480</v>
      </c>
      <c r="H1510" s="115"/>
      <c r="I1510" s="115"/>
      <c r="L1510" s="169">
        <v>44229</v>
      </c>
      <c r="M1510" s="115">
        <v>860.9</v>
      </c>
      <c r="N1510" s="115">
        <v>865.04</v>
      </c>
      <c r="O1510" s="115">
        <v>851.79</v>
      </c>
      <c r="P1510" s="115">
        <v>864.64</v>
      </c>
      <c r="Q1510" s="115">
        <v>4304.5</v>
      </c>
      <c r="R1510">
        <v>25999</v>
      </c>
    </row>
    <row r="1511" spans="1:18" x14ac:dyDescent="0.25">
      <c r="A1511" s="169">
        <v>44229</v>
      </c>
      <c r="B1511" s="115">
        <v>862.6</v>
      </c>
      <c r="C1511" s="115">
        <v>861.41</v>
      </c>
      <c r="D1511" s="115">
        <v>852</v>
      </c>
      <c r="E1511" s="115">
        <v>861</v>
      </c>
      <c r="F1511" s="115">
        <v>4307.05</v>
      </c>
      <c r="G1511">
        <v>236</v>
      </c>
      <c r="H1511" s="115"/>
      <c r="I1511" s="115"/>
      <c r="L1511" s="169">
        <v>44230</v>
      </c>
      <c r="M1511" s="115">
        <v>903.19</v>
      </c>
      <c r="N1511" s="115">
        <v>912.6</v>
      </c>
      <c r="O1511" s="115">
        <v>860.99</v>
      </c>
      <c r="P1511" s="115">
        <v>861</v>
      </c>
      <c r="Q1511" s="115">
        <v>4515.95</v>
      </c>
      <c r="R1511">
        <v>17740</v>
      </c>
    </row>
    <row r="1512" spans="1:18" x14ac:dyDescent="0.25">
      <c r="A1512" s="169">
        <v>44230</v>
      </c>
      <c r="B1512" s="115">
        <v>909.83</v>
      </c>
      <c r="C1512" s="115">
        <v>904.86</v>
      </c>
      <c r="D1512" s="115">
        <v>861.6</v>
      </c>
      <c r="E1512" s="115">
        <v>861.6</v>
      </c>
      <c r="F1512" s="115">
        <v>4524.3</v>
      </c>
      <c r="G1512">
        <v>649</v>
      </c>
      <c r="H1512" s="115"/>
      <c r="I1512" s="115"/>
      <c r="L1512" s="169">
        <v>44231</v>
      </c>
      <c r="M1512" s="115">
        <v>921.56</v>
      </c>
      <c r="N1512" s="115">
        <v>927.95</v>
      </c>
      <c r="O1512" s="115">
        <v>893.92</v>
      </c>
      <c r="P1512" s="115">
        <v>899.79</v>
      </c>
      <c r="Q1512" s="115">
        <v>4607.8</v>
      </c>
      <c r="R1512">
        <v>26154</v>
      </c>
    </row>
    <row r="1513" spans="1:18" x14ac:dyDescent="0.25">
      <c r="A1513" s="169">
        <v>44231</v>
      </c>
      <c r="B1513" s="115">
        <v>927.67</v>
      </c>
      <c r="C1513" s="115">
        <v>921.25</v>
      </c>
      <c r="D1513" s="115">
        <v>898.55</v>
      </c>
      <c r="E1513" s="115">
        <v>902</v>
      </c>
      <c r="F1513" s="115">
        <v>4606.25</v>
      </c>
      <c r="G1513">
        <v>944</v>
      </c>
      <c r="H1513" s="115"/>
      <c r="I1513" s="115"/>
      <c r="L1513" s="169">
        <v>44232</v>
      </c>
      <c r="M1513" s="115">
        <v>925.26</v>
      </c>
      <c r="N1513" s="115">
        <v>932</v>
      </c>
      <c r="O1513" s="115">
        <v>909</v>
      </c>
      <c r="P1513" s="115">
        <v>915.21</v>
      </c>
      <c r="Q1513" s="115">
        <v>4626.3</v>
      </c>
      <c r="R1513">
        <v>10213</v>
      </c>
    </row>
    <row r="1514" spans="1:18" x14ac:dyDescent="0.25">
      <c r="A1514" s="169">
        <v>44232</v>
      </c>
      <c r="B1514" s="115">
        <v>932</v>
      </c>
      <c r="C1514" s="115">
        <v>926.03</v>
      </c>
      <c r="D1514" s="115">
        <v>910.97</v>
      </c>
      <c r="E1514" s="115">
        <v>923.48</v>
      </c>
      <c r="F1514" s="115">
        <v>4630.1499999999996</v>
      </c>
      <c r="G1514">
        <v>612</v>
      </c>
      <c r="H1514" s="115"/>
      <c r="I1514" s="115"/>
      <c r="L1514" s="169">
        <v>44235</v>
      </c>
      <c r="M1514" s="115">
        <v>975.6</v>
      </c>
      <c r="N1514" s="115">
        <v>1007.19</v>
      </c>
      <c r="O1514" s="115">
        <v>939.32</v>
      </c>
      <c r="P1514" s="115">
        <v>940</v>
      </c>
      <c r="Q1514" s="115">
        <v>4878</v>
      </c>
      <c r="R1514">
        <v>74867</v>
      </c>
    </row>
    <row r="1515" spans="1:18" x14ac:dyDescent="0.25">
      <c r="A1515" s="169">
        <v>44235</v>
      </c>
      <c r="B1515" s="115">
        <v>1005</v>
      </c>
      <c r="C1515" s="115">
        <v>974.88</v>
      </c>
      <c r="D1515" s="115">
        <v>932.4</v>
      </c>
      <c r="E1515" s="115">
        <v>932.4</v>
      </c>
      <c r="F1515" s="115">
        <v>4874.3999999999996</v>
      </c>
      <c r="G1515">
        <v>3238</v>
      </c>
      <c r="H1515" s="115"/>
      <c r="I1515" s="115"/>
      <c r="L1515" s="169">
        <v>44236</v>
      </c>
      <c r="M1515" s="115">
        <v>990.47</v>
      </c>
      <c r="N1515" s="115">
        <v>1014</v>
      </c>
      <c r="O1515" s="115">
        <v>980.48</v>
      </c>
      <c r="P1515" s="115">
        <v>980.48</v>
      </c>
      <c r="Q1515" s="115">
        <v>4952.3500000000004</v>
      </c>
      <c r="R1515">
        <v>47991</v>
      </c>
    </row>
    <row r="1516" spans="1:18" x14ac:dyDescent="0.25">
      <c r="A1516" s="169">
        <v>44236</v>
      </c>
      <c r="B1516" s="115">
        <v>1006.19</v>
      </c>
      <c r="C1516" s="115">
        <v>991.46</v>
      </c>
      <c r="D1516" s="115">
        <v>982.08</v>
      </c>
      <c r="E1516" s="115">
        <v>999.85</v>
      </c>
      <c r="F1516" s="115">
        <v>4957.3</v>
      </c>
      <c r="G1516">
        <v>1460</v>
      </c>
      <c r="H1516" s="115"/>
      <c r="I1516" s="115"/>
      <c r="L1516" s="169">
        <v>44237</v>
      </c>
      <c r="M1516" s="115">
        <v>988.14</v>
      </c>
      <c r="N1516" s="115">
        <v>1000.03</v>
      </c>
      <c r="O1516" s="115">
        <v>976.54</v>
      </c>
      <c r="P1516" s="115">
        <v>1000</v>
      </c>
      <c r="Q1516" s="115">
        <v>4940.7</v>
      </c>
      <c r="R1516">
        <v>18059</v>
      </c>
    </row>
    <row r="1517" spans="1:18" x14ac:dyDescent="0.25">
      <c r="A1517" s="169">
        <v>44237</v>
      </c>
      <c r="B1517" s="115">
        <v>996.79</v>
      </c>
      <c r="C1517" s="115">
        <v>986.87</v>
      </c>
      <c r="D1517" s="115">
        <v>966.04</v>
      </c>
      <c r="E1517" s="115">
        <v>990</v>
      </c>
      <c r="F1517" s="115">
        <v>4934.3500000000004</v>
      </c>
      <c r="G1517">
        <v>1297</v>
      </c>
      <c r="H1517" s="115"/>
      <c r="I1517" s="115"/>
      <c r="L1517" s="169">
        <v>44238</v>
      </c>
      <c r="M1517" s="115">
        <v>987.68</v>
      </c>
      <c r="N1517" s="115">
        <v>995.05</v>
      </c>
      <c r="O1517" s="115">
        <v>971.01</v>
      </c>
      <c r="P1517" s="115">
        <v>995.05</v>
      </c>
      <c r="Q1517" s="115">
        <v>4938.3999999999996</v>
      </c>
      <c r="R1517">
        <v>11844</v>
      </c>
    </row>
    <row r="1518" spans="1:18" x14ac:dyDescent="0.25">
      <c r="A1518" s="169">
        <v>44238</v>
      </c>
      <c r="B1518" s="115">
        <v>1019.79</v>
      </c>
      <c r="C1518" s="115">
        <v>989.28</v>
      </c>
      <c r="D1518" s="115">
        <v>977.16</v>
      </c>
      <c r="E1518" s="115">
        <v>1019.79</v>
      </c>
      <c r="F1518" s="115">
        <v>4946.3999999999996</v>
      </c>
      <c r="G1518">
        <v>466</v>
      </c>
      <c r="H1518" s="115"/>
      <c r="I1518" s="115"/>
      <c r="L1518" s="169">
        <v>44239</v>
      </c>
      <c r="M1518" s="115">
        <v>988.56</v>
      </c>
      <c r="N1518" s="115">
        <v>1004</v>
      </c>
      <c r="O1518" s="115">
        <v>982</v>
      </c>
      <c r="P1518" s="115">
        <v>982</v>
      </c>
      <c r="Q1518" s="115">
        <v>4942.8</v>
      </c>
      <c r="R1518">
        <v>17220</v>
      </c>
    </row>
    <row r="1519" spans="1:18" x14ac:dyDescent="0.25">
      <c r="A1519" s="169">
        <v>44239</v>
      </c>
      <c r="B1519" s="115">
        <v>1005.37</v>
      </c>
      <c r="C1519" s="115">
        <v>987.88</v>
      </c>
      <c r="D1519" s="115">
        <v>983.93</v>
      </c>
      <c r="E1519" s="115">
        <v>1003.8</v>
      </c>
      <c r="F1519" s="115">
        <v>4939.3999999999996</v>
      </c>
      <c r="G1519">
        <v>1518</v>
      </c>
      <c r="H1519" s="115"/>
      <c r="I1519" s="115"/>
      <c r="L1519" s="169">
        <v>44242</v>
      </c>
      <c r="M1519" s="115">
        <v>1003.34</v>
      </c>
      <c r="N1519" s="115">
        <v>1028</v>
      </c>
      <c r="O1519" s="115">
        <v>990.81</v>
      </c>
      <c r="P1519" s="115">
        <v>999.4</v>
      </c>
      <c r="Q1519" s="115">
        <v>5016.7</v>
      </c>
      <c r="R1519">
        <v>40676</v>
      </c>
    </row>
    <row r="1520" spans="1:18" x14ac:dyDescent="0.25">
      <c r="A1520" s="169">
        <v>44242</v>
      </c>
      <c r="B1520" s="115">
        <v>1027.6400000000001</v>
      </c>
      <c r="C1520" s="115">
        <v>1004.18</v>
      </c>
      <c r="D1520" s="115">
        <v>992</v>
      </c>
      <c r="E1520" s="115">
        <v>992</v>
      </c>
      <c r="F1520" s="115">
        <v>5020.8999999999996</v>
      </c>
      <c r="G1520">
        <v>1630</v>
      </c>
      <c r="H1520" s="115"/>
      <c r="I1520" s="115"/>
      <c r="L1520" s="169">
        <v>44243</v>
      </c>
      <c r="M1520" s="115">
        <v>1006.43</v>
      </c>
      <c r="N1520" s="115">
        <v>1029.6500000000001</v>
      </c>
      <c r="O1520" s="115">
        <v>996</v>
      </c>
      <c r="P1520" s="115">
        <v>1010.1</v>
      </c>
      <c r="Q1520" s="115">
        <v>5032.1499999999996</v>
      </c>
      <c r="R1520">
        <v>24194</v>
      </c>
    </row>
    <row r="1521" spans="1:18" x14ac:dyDescent="0.25">
      <c r="A1521" s="169">
        <v>44243</v>
      </c>
      <c r="B1521" s="115">
        <v>1029.03</v>
      </c>
      <c r="C1521" s="115">
        <v>1004.92</v>
      </c>
      <c r="D1521" s="115">
        <v>994</v>
      </c>
      <c r="E1521" s="115">
        <v>1018</v>
      </c>
      <c r="F1521" s="115">
        <v>5024.6000000000004</v>
      </c>
      <c r="G1521">
        <v>1916</v>
      </c>
      <c r="H1521" s="115"/>
      <c r="I1521" s="115"/>
      <c r="L1521" s="169">
        <v>44244</v>
      </c>
      <c r="M1521" s="115">
        <v>1028.28</v>
      </c>
      <c r="N1521" s="115">
        <v>1050.2</v>
      </c>
      <c r="O1521" s="115">
        <v>996.02</v>
      </c>
      <c r="P1521" s="115">
        <v>1030</v>
      </c>
      <c r="Q1521" s="115">
        <v>5141.3999999999996</v>
      </c>
      <c r="R1521">
        <v>122393</v>
      </c>
    </row>
    <row r="1522" spans="1:18" x14ac:dyDescent="0.25">
      <c r="A1522" s="169">
        <v>44244</v>
      </c>
      <c r="B1522" s="115">
        <v>1048</v>
      </c>
      <c r="C1522" s="115">
        <v>1027.77</v>
      </c>
      <c r="D1522" s="115">
        <v>997.12</v>
      </c>
      <c r="E1522" s="115">
        <v>1019.8</v>
      </c>
      <c r="F1522" s="115">
        <v>5138.8500000000004</v>
      </c>
      <c r="G1522">
        <v>1627</v>
      </c>
      <c r="H1522" s="115"/>
      <c r="I1522" s="115"/>
      <c r="L1522" s="169">
        <v>44245</v>
      </c>
      <c r="M1522" s="115">
        <v>1034.6600000000001</v>
      </c>
      <c r="N1522" s="115">
        <v>1040</v>
      </c>
      <c r="O1522" s="115">
        <v>1014.2</v>
      </c>
      <c r="P1522" s="115">
        <v>1031.2</v>
      </c>
      <c r="Q1522" s="115">
        <v>5173.3</v>
      </c>
      <c r="R1522">
        <v>70057</v>
      </c>
    </row>
    <row r="1523" spans="1:18" x14ac:dyDescent="0.25">
      <c r="A1523" s="169">
        <v>44245</v>
      </c>
      <c r="B1523" s="115">
        <v>1040.8</v>
      </c>
      <c r="C1523" s="115">
        <v>1035.33</v>
      </c>
      <c r="D1523" s="115">
        <v>1014.32</v>
      </c>
      <c r="E1523" s="115">
        <v>1036.78</v>
      </c>
      <c r="F1523" s="115">
        <v>5176.6499999999996</v>
      </c>
      <c r="G1523">
        <v>415</v>
      </c>
      <c r="H1523" s="115"/>
      <c r="I1523" s="115"/>
      <c r="L1523" s="169">
        <v>44246</v>
      </c>
      <c r="M1523" s="115">
        <v>1041.25</v>
      </c>
      <c r="N1523" s="115">
        <v>1049.5899999999999</v>
      </c>
      <c r="O1523" s="115">
        <v>1025.99</v>
      </c>
      <c r="P1523" s="115">
        <v>1030</v>
      </c>
      <c r="Q1523" s="115">
        <v>5206.25</v>
      </c>
      <c r="R1523">
        <v>30362</v>
      </c>
    </row>
    <row r="1524" spans="1:18" x14ac:dyDescent="0.25">
      <c r="A1524" s="169">
        <v>44246</v>
      </c>
      <c r="B1524" s="115">
        <v>1048</v>
      </c>
      <c r="C1524" s="115">
        <v>1041.47</v>
      </c>
      <c r="D1524" s="115">
        <v>1025</v>
      </c>
      <c r="E1524" s="115">
        <v>1048</v>
      </c>
      <c r="F1524" s="115">
        <v>5207.3500000000004</v>
      </c>
      <c r="G1524">
        <v>1520</v>
      </c>
      <c r="H1524" s="115"/>
      <c r="I1524" s="115"/>
      <c r="L1524" s="169">
        <v>44249</v>
      </c>
      <c r="M1524" s="115">
        <v>1048.95</v>
      </c>
      <c r="N1524" s="115">
        <v>1054.58</v>
      </c>
      <c r="O1524" s="115">
        <v>1035.01</v>
      </c>
      <c r="P1524" s="115">
        <v>1049.18</v>
      </c>
      <c r="Q1524" s="115">
        <v>5244.75</v>
      </c>
      <c r="R1524">
        <v>35487</v>
      </c>
    </row>
    <row r="1525" spans="1:18" x14ac:dyDescent="0.25">
      <c r="A1525" s="169">
        <v>44249</v>
      </c>
      <c r="B1525" s="115">
        <v>1053.04</v>
      </c>
      <c r="C1525" s="115">
        <v>1046.04</v>
      </c>
      <c r="D1525" s="115">
        <v>1035</v>
      </c>
      <c r="E1525" s="115">
        <v>1041.4000000000001</v>
      </c>
      <c r="F1525" s="115">
        <v>5230.2</v>
      </c>
      <c r="G1525">
        <v>1169</v>
      </c>
      <c r="H1525" s="115"/>
      <c r="I1525" s="115"/>
      <c r="L1525" s="169">
        <v>44250</v>
      </c>
      <c r="M1525" s="115">
        <v>1040.79</v>
      </c>
      <c r="N1525" s="115">
        <v>1051.5999999999999</v>
      </c>
      <c r="O1525" s="115">
        <v>1033</v>
      </c>
      <c r="P1525" s="115">
        <v>1049.8</v>
      </c>
      <c r="Q1525" s="115">
        <v>5203.95</v>
      </c>
      <c r="R1525">
        <v>25453</v>
      </c>
    </row>
    <row r="1526" spans="1:18" x14ac:dyDescent="0.25">
      <c r="A1526" s="169">
        <v>44250</v>
      </c>
      <c r="B1526" s="115">
        <v>1047.5999999999999</v>
      </c>
      <c r="C1526" s="115">
        <v>1038.17</v>
      </c>
      <c r="D1526" s="115">
        <v>1033.56</v>
      </c>
      <c r="E1526" s="115">
        <v>1047.5999999999999</v>
      </c>
      <c r="F1526" s="115">
        <v>5190.8500000000004</v>
      </c>
      <c r="G1526">
        <v>574</v>
      </c>
      <c r="H1526" s="115"/>
      <c r="I1526" s="115"/>
      <c r="L1526" s="169">
        <v>44251</v>
      </c>
      <c r="M1526" s="115">
        <v>1034.3599999999999</v>
      </c>
      <c r="N1526" s="115">
        <v>1040</v>
      </c>
      <c r="O1526" s="115">
        <v>1021.01</v>
      </c>
      <c r="P1526" s="115">
        <v>1040</v>
      </c>
      <c r="Q1526" s="115">
        <v>5171.8</v>
      </c>
      <c r="R1526">
        <v>6419</v>
      </c>
    </row>
    <row r="1527" spans="1:18" x14ac:dyDescent="0.25">
      <c r="A1527" s="169">
        <v>44251</v>
      </c>
      <c r="B1527" s="115">
        <v>1036</v>
      </c>
      <c r="C1527" s="115">
        <v>1034.5</v>
      </c>
      <c r="D1527" s="115">
        <v>1027</v>
      </c>
      <c r="E1527" s="115">
        <v>1034.42</v>
      </c>
      <c r="F1527" s="115">
        <v>5172.5</v>
      </c>
      <c r="G1527">
        <v>1186</v>
      </c>
      <c r="H1527" s="115"/>
      <c r="I1527" s="115"/>
      <c r="L1527" s="169">
        <v>44252</v>
      </c>
      <c r="M1527" s="115">
        <v>1043.8800000000001</v>
      </c>
      <c r="N1527" s="115">
        <v>1050</v>
      </c>
      <c r="O1527" s="115">
        <v>1024</v>
      </c>
      <c r="P1527" s="115">
        <v>1030.02</v>
      </c>
      <c r="Q1527" s="115">
        <v>5219.3999999999996</v>
      </c>
      <c r="R1527">
        <v>34179</v>
      </c>
    </row>
    <row r="1528" spans="1:18" x14ac:dyDescent="0.25">
      <c r="A1528" s="169">
        <v>44252</v>
      </c>
      <c r="B1528" s="115">
        <v>1049.2</v>
      </c>
      <c r="C1528" s="115">
        <v>1044.92</v>
      </c>
      <c r="D1528" s="115">
        <v>1024.8399999999999</v>
      </c>
      <c r="E1528" s="115">
        <v>1032.2</v>
      </c>
      <c r="F1528" s="115">
        <v>5224.6000000000004</v>
      </c>
      <c r="G1528">
        <v>498</v>
      </c>
      <c r="H1528" s="115"/>
      <c r="I1528" s="115"/>
      <c r="L1528" s="169">
        <v>44253</v>
      </c>
      <c r="M1528" s="115">
        <v>1038.6099999999999</v>
      </c>
      <c r="N1528" s="115">
        <v>1048.6300000000001</v>
      </c>
      <c r="O1528" s="115">
        <v>1011.73</v>
      </c>
      <c r="P1528" s="115">
        <v>1030</v>
      </c>
      <c r="Q1528" s="115">
        <v>5193.05</v>
      </c>
      <c r="R1528">
        <v>17075</v>
      </c>
    </row>
    <row r="1529" spans="1:18" x14ac:dyDescent="0.25">
      <c r="A1529" s="169">
        <v>44253</v>
      </c>
      <c r="B1529" s="115">
        <v>1044.19</v>
      </c>
      <c r="C1529" s="115">
        <v>1037.45</v>
      </c>
      <c r="D1529" s="115">
        <v>1011.95</v>
      </c>
      <c r="E1529" s="115">
        <v>1024.82</v>
      </c>
      <c r="F1529" s="115">
        <v>5187.25</v>
      </c>
      <c r="G1529">
        <v>681</v>
      </c>
      <c r="H1529" s="115"/>
      <c r="I1529" s="115"/>
      <c r="L1529" s="169">
        <v>44256</v>
      </c>
      <c r="M1529" s="115">
        <v>1032.3900000000001</v>
      </c>
      <c r="N1529" s="115">
        <v>1053.8</v>
      </c>
      <c r="O1529" s="115">
        <v>1026.3699999999999</v>
      </c>
      <c r="P1529" s="115">
        <v>1040</v>
      </c>
      <c r="Q1529" s="115">
        <v>5161.95</v>
      </c>
      <c r="R1529">
        <v>6712</v>
      </c>
    </row>
    <row r="1530" spans="1:18" x14ac:dyDescent="0.25">
      <c r="A1530" s="169">
        <v>44256</v>
      </c>
      <c r="B1530" s="115">
        <v>1051.27</v>
      </c>
      <c r="C1530" s="115">
        <v>1033.46</v>
      </c>
      <c r="D1530" s="115">
        <v>1028</v>
      </c>
      <c r="E1530" s="115">
        <v>1036</v>
      </c>
      <c r="F1530" s="115">
        <v>5167.3</v>
      </c>
      <c r="G1530">
        <v>194</v>
      </c>
      <c r="H1530" s="115"/>
      <c r="I1530" s="115"/>
      <c r="L1530" s="169">
        <v>44257</v>
      </c>
      <c r="M1530" s="115">
        <v>1041.0999999999999</v>
      </c>
      <c r="N1530" s="115">
        <v>1045.69</v>
      </c>
      <c r="O1530" s="115">
        <v>1028.5899999999999</v>
      </c>
      <c r="P1530" s="115">
        <v>1030.21</v>
      </c>
      <c r="Q1530" s="115">
        <v>5205.5</v>
      </c>
      <c r="R1530">
        <v>21432</v>
      </c>
    </row>
    <row r="1531" spans="1:18" x14ac:dyDescent="0.25">
      <c r="A1531" s="169">
        <v>44257</v>
      </c>
      <c r="B1531" s="115">
        <v>1046.1300000000001</v>
      </c>
      <c r="C1531" s="115">
        <v>1041.43</v>
      </c>
      <c r="D1531" s="115">
        <v>1031.79</v>
      </c>
      <c r="E1531" s="115">
        <v>1036</v>
      </c>
      <c r="F1531" s="115">
        <v>5207.1499999999996</v>
      </c>
      <c r="G1531">
        <v>487</v>
      </c>
      <c r="H1531" s="115"/>
      <c r="I1531" s="115"/>
      <c r="L1531" s="169">
        <v>44258</v>
      </c>
      <c r="M1531" s="115">
        <v>1045.25</v>
      </c>
      <c r="N1531" s="115">
        <v>1048</v>
      </c>
      <c r="O1531" s="115">
        <v>1038.9100000000001</v>
      </c>
      <c r="P1531" s="115">
        <v>1043</v>
      </c>
      <c r="Q1531" s="115">
        <v>5226.25</v>
      </c>
      <c r="R1531">
        <v>19604</v>
      </c>
    </row>
    <row r="1532" spans="1:18" x14ac:dyDescent="0.25">
      <c r="A1532" s="169">
        <v>44258</v>
      </c>
      <c r="B1532" s="115">
        <v>1047.19</v>
      </c>
      <c r="C1532" s="115">
        <v>1045.31</v>
      </c>
      <c r="D1532" s="115">
        <v>1038.93</v>
      </c>
      <c r="E1532" s="115">
        <v>1040.79</v>
      </c>
      <c r="F1532" s="115">
        <v>5226.55</v>
      </c>
      <c r="G1532">
        <v>508</v>
      </c>
      <c r="H1532" s="115"/>
      <c r="I1532" s="115"/>
      <c r="L1532" s="169">
        <v>44259</v>
      </c>
      <c r="M1532" s="115">
        <v>1049.31</v>
      </c>
      <c r="N1532" s="115">
        <v>1052</v>
      </c>
      <c r="O1532" s="115">
        <v>1036.05</v>
      </c>
      <c r="P1532" s="115">
        <v>1036.05</v>
      </c>
      <c r="Q1532" s="115">
        <v>5246.55</v>
      </c>
      <c r="R1532">
        <v>39219</v>
      </c>
    </row>
    <row r="1533" spans="1:18" x14ac:dyDescent="0.25">
      <c r="A1533" s="169">
        <v>44259</v>
      </c>
      <c r="B1533" s="115">
        <v>1051</v>
      </c>
      <c r="C1533" s="115">
        <v>1049.1600000000001</v>
      </c>
      <c r="D1533" s="115">
        <v>1037.4100000000001</v>
      </c>
      <c r="E1533" s="115">
        <v>1043.99</v>
      </c>
      <c r="F1533" s="115">
        <v>5245.8</v>
      </c>
      <c r="G1533">
        <v>559</v>
      </c>
      <c r="H1533" s="115"/>
      <c r="I1533" s="115"/>
      <c r="L1533" s="169">
        <v>44260</v>
      </c>
      <c r="M1533" s="115">
        <v>1040.73</v>
      </c>
      <c r="N1533" s="115">
        <v>1047.8</v>
      </c>
      <c r="O1533" s="115">
        <v>1032.98</v>
      </c>
      <c r="P1533" s="115">
        <v>1044</v>
      </c>
      <c r="Q1533" s="115">
        <v>5203.6499999999996</v>
      </c>
      <c r="R1533">
        <v>21086</v>
      </c>
    </row>
    <row r="1534" spans="1:18" x14ac:dyDescent="0.25">
      <c r="A1534" s="169">
        <v>44260</v>
      </c>
      <c r="B1534" s="115">
        <v>1046.3599999999999</v>
      </c>
      <c r="C1534" s="115">
        <v>1040.24</v>
      </c>
      <c r="D1534" s="115">
        <v>1034.93</v>
      </c>
      <c r="E1534" s="115">
        <v>1044.4100000000001</v>
      </c>
      <c r="F1534" s="115">
        <v>5201.2</v>
      </c>
      <c r="G1534">
        <v>67</v>
      </c>
      <c r="H1534" s="115"/>
      <c r="I1534" s="115"/>
      <c r="L1534" s="169">
        <v>44263</v>
      </c>
      <c r="M1534" s="115">
        <v>1033.51</v>
      </c>
      <c r="N1534" s="115">
        <v>1051.96</v>
      </c>
      <c r="O1534" s="115">
        <v>1032</v>
      </c>
      <c r="P1534" s="115">
        <v>1051.96</v>
      </c>
      <c r="Q1534" s="115">
        <v>5167.55</v>
      </c>
      <c r="R1534">
        <v>16541</v>
      </c>
    </row>
    <row r="1535" spans="1:18" x14ac:dyDescent="0.25">
      <c r="A1535" s="169">
        <v>44263</v>
      </c>
      <c r="B1535" s="115">
        <v>1046</v>
      </c>
      <c r="C1535" s="115">
        <v>1033.76</v>
      </c>
      <c r="D1535" s="115">
        <v>1033.0999999999999</v>
      </c>
      <c r="E1535" s="115">
        <v>1045</v>
      </c>
      <c r="F1535" s="115">
        <v>5168.8</v>
      </c>
      <c r="G1535">
        <v>160</v>
      </c>
      <c r="H1535" s="115"/>
      <c r="I1535" s="115"/>
      <c r="L1535" s="169">
        <v>44264</v>
      </c>
      <c r="M1535" s="115">
        <v>1049.03</v>
      </c>
      <c r="N1535" s="115">
        <v>1050</v>
      </c>
      <c r="O1535" s="115">
        <v>1038</v>
      </c>
      <c r="P1535" s="115">
        <v>1045.99</v>
      </c>
      <c r="Q1535" s="115">
        <v>5245.15</v>
      </c>
      <c r="R1535">
        <v>7673</v>
      </c>
    </row>
    <row r="1536" spans="1:18" x14ac:dyDescent="0.25">
      <c r="A1536" s="169">
        <v>44264</v>
      </c>
      <c r="B1536" s="115">
        <v>1050</v>
      </c>
      <c r="C1536" s="115">
        <v>1047.8800000000001</v>
      </c>
      <c r="D1536" s="115">
        <v>1040</v>
      </c>
      <c r="E1536" s="115">
        <v>1040</v>
      </c>
      <c r="F1536" s="115">
        <v>5239.3999999999996</v>
      </c>
      <c r="G1536">
        <v>401</v>
      </c>
      <c r="H1536" s="115"/>
      <c r="I1536" s="115"/>
      <c r="L1536" s="169">
        <v>44265</v>
      </c>
      <c r="M1536" s="115">
        <v>1057.57</v>
      </c>
      <c r="N1536" s="115">
        <v>1058</v>
      </c>
      <c r="O1536" s="115">
        <v>1040.8</v>
      </c>
      <c r="P1536" s="115">
        <v>1047.8</v>
      </c>
      <c r="Q1536" s="115">
        <v>5287.85</v>
      </c>
      <c r="R1536">
        <v>28670</v>
      </c>
    </row>
    <row r="1537" spans="1:18" x14ac:dyDescent="0.25">
      <c r="A1537" s="169">
        <v>44265</v>
      </c>
      <c r="B1537" s="115">
        <v>1058</v>
      </c>
      <c r="C1537" s="115">
        <v>1057.92</v>
      </c>
      <c r="D1537" s="115">
        <v>1042.81</v>
      </c>
      <c r="E1537" s="115">
        <v>1045.98</v>
      </c>
      <c r="F1537" s="115">
        <v>5289.6</v>
      </c>
      <c r="G1537">
        <v>324</v>
      </c>
      <c r="H1537" s="115"/>
      <c r="I1537" s="115"/>
      <c r="L1537" s="169">
        <v>44267</v>
      </c>
      <c r="M1537" s="115">
        <v>1071.1500000000001</v>
      </c>
      <c r="N1537" s="115">
        <v>1082</v>
      </c>
      <c r="O1537" s="115">
        <v>1039.07</v>
      </c>
      <c r="P1537" s="115">
        <v>1056</v>
      </c>
      <c r="Q1537" s="115">
        <v>5355.75</v>
      </c>
      <c r="R1537">
        <v>18364</v>
      </c>
    </row>
    <row r="1538" spans="1:18" x14ac:dyDescent="0.25">
      <c r="A1538" s="169">
        <v>44267</v>
      </c>
      <c r="B1538" s="115">
        <v>1080</v>
      </c>
      <c r="C1538" s="115">
        <v>1069.24</v>
      </c>
      <c r="D1538" s="115">
        <v>1040</v>
      </c>
      <c r="E1538" s="115">
        <v>1058.31</v>
      </c>
      <c r="F1538" s="115">
        <v>5346.2</v>
      </c>
      <c r="G1538">
        <v>1010</v>
      </c>
      <c r="H1538" s="115"/>
      <c r="I1538" s="115"/>
      <c r="L1538" s="169">
        <v>44270</v>
      </c>
      <c r="M1538" s="115">
        <v>1051.8499999999999</v>
      </c>
      <c r="N1538" s="115">
        <v>1082</v>
      </c>
      <c r="O1538" s="115">
        <v>1044</v>
      </c>
      <c r="P1538" s="115">
        <v>1082</v>
      </c>
      <c r="Q1538" s="115">
        <v>5259.25</v>
      </c>
      <c r="R1538">
        <v>16369</v>
      </c>
    </row>
    <row r="1539" spans="1:18" x14ac:dyDescent="0.25">
      <c r="A1539" s="169">
        <v>44270</v>
      </c>
      <c r="B1539" s="115">
        <v>1099.99</v>
      </c>
      <c r="C1539" s="115">
        <v>1050.7</v>
      </c>
      <c r="D1539" s="115">
        <v>1046.74</v>
      </c>
      <c r="E1539" s="115">
        <v>1099.99</v>
      </c>
      <c r="F1539" s="115">
        <v>5253.5</v>
      </c>
      <c r="G1539">
        <v>428</v>
      </c>
      <c r="H1539" s="115"/>
      <c r="I1539" s="115"/>
      <c r="L1539" s="169">
        <v>44271</v>
      </c>
      <c r="M1539" s="115">
        <v>1062.07</v>
      </c>
      <c r="N1539" s="115">
        <v>1089.8</v>
      </c>
      <c r="O1539" s="115">
        <v>1045.05</v>
      </c>
      <c r="P1539" s="115">
        <v>1065.79</v>
      </c>
      <c r="Q1539" s="115">
        <v>5310.35</v>
      </c>
      <c r="R1539">
        <v>13896</v>
      </c>
    </row>
    <row r="1540" spans="1:18" x14ac:dyDescent="0.25">
      <c r="A1540" s="169">
        <v>44271</v>
      </c>
      <c r="B1540" s="115">
        <v>1086.57</v>
      </c>
      <c r="C1540" s="115">
        <v>1063.97</v>
      </c>
      <c r="D1540" s="115">
        <v>1053.21</v>
      </c>
      <c r="E1540" s="115">
        <v>1057.29</v>
      </c>
      <c r="F1540" s="115">
        <v>5319.85</v>
      </c>
      <c r="G1540">
        <v>392</v>
      </c>
      <c r="H1540" s="115"/>
      <c r="I1540" s="115"/>
      <c r="L1540" s="169">
        <v>44272</v>
      </c>
      <c r="M1540" s="115">
        <v>1046.98</v>
      </c>
      <c r="N1540" s="115">
        <v>1076.83</v>
      </c>
      <c r="O1540" s="115">
        <v>1035.3</v>
      </c>
      <c r="P1540" s="115">
        <v>1051.2</v>
      </c>
      <c r="Q1540" s="115">
        <v>5234.8999999999996</v>
      </c>
      <c r="R1540">
        <v>5383</v>
      </c>
    </row>
    <row r="1541" spans="1:18" x14ac:dyDescent="0.25">
      <c r="A1541" s="169">
        <v>44272</v>
      </c>
      <c r="B1541" s="115">
        <v>1079.8499999999999</v>
      </c>
      <c r="C1541" s="115">
        <v>1047.05</v>
      </c>
      <c r="D1541" s="115">
        <v>1038.71</v>
      </c>
      <c r="E1541" s="115">
        <v>1058.8499999999999</v>
      </c>
      <c r="F1541" s="115">
        <v>5235.25</v>
      </c>
      <c r="G1541">
        <v>1457</v>
      </c>
      <c r="H1541" s="115"/>
      <c r="I1541" s="115"/>
      <c r="L1541" s="169">
        <v>44273</v>
      </c>
      <c r="M1541" s="115">
        <v>1039.1300000000001</v>
      </c>
      <c r="N1541" s="115">
        <v>1075.3900000000001</v>
      </c>
      <c r="O1541" s="115">
        <v>1028.3</v>
      </c>
      <c r="P1541" s="115">
        <v>1056.31</v>
      </c>
      <c r="Q1541" s="115">
        <v>5195.6499999999996</v>
      </c>
      <c r="R1541">
        <v>12152</v>
      </c>
    </row>
    <row r="1542" spans="1:18" x14ac:dyDescent="0.25">
      <c r="A1542" s="169">
        <v>44273</v>
      </c>
      <c r="B1542" s="115">
        <v>1073.3800000000001</v>
      </c>
      <c r="C1542" s="115">
        <v>1037.76</v>
      </c>
      <c r="D1542" s="115">
        <v>1027.3599999999999</v>
      </c>
      <c r="E1542" s="115">
        <v>1028.21</v>
      </c>
      <c r="F1542" s="115">
        <v>5188.8</v>
      </c>
      <c r="G1542">
        <v>714</v>
      </c>
      <c r="H1542" s="115"/>
      <c r="I1542" s="115"/>
      <c r="L1542" s="169">
        <v>44274</v>
      </c>
      <c r="M1542" s="115">
        <v>1052.2</v>
      </c>
      <c r="N1542" s="115">
        <v>1057.2</v>
      </c>
      <c r="O1542" s="115">
        <v>1012.4</v>
      </c>
      <c r="P1542" s="115">
        <v>1045</v>
      </c>
      <c r="Q1542" s="115">
        <v>5261</v>
      </c>
      <c r="R1542">
        <v>16880</v>
      </c>
    </row>
    <row r="1543" spans="1:18" x14ac:dyDescent="0.25">
      <c r="A1543" s="169">
        <v>44274</v>
      </c>
      <c r="B1543" s="115">
        <v>1055.5899999999999</v>
      </c>
      <c r="C1543" s="115">
        <v>1052.8900000000001</v>
      </c>
      <c r="D1543" s="115">
        <v>1018.04</v>
      </c>
      <c r="E1543" s="115">
        <v>1031.2</v>
      </c>
      <c r="F1543" s="115">
        <v>5264.45</v>
      </c>
      <c r="G1543">
        <v>584</v>
      </c>
      <c r="H1543" s="115"/>
      <c r="I1543" s="115"/>
      <c r="L1543" s="169">
        <v>44277</v>
      </c>
      <c r="M1543" s="115">
        <v>1058.75</v>
      </c>
      <c r="N1543" s="115">
        <v>1071.42</v>
      </c>
      <c r="O1543" s="115">
        <v>1024.23</v>
      </c>
      <c r="P1543" s="115">
        <v>1059.8</v>
      </c>
      <c r="Q1543" s="115">
        <v>5293.75</v>
      </c>
      <c r="R1543">
        <v>7697</v>
      </c>
    </row>
    <row r="1544" spans="1:18" x14ac:dyDescent="0.25">
      <c r="A1544" s="169">
        <v>44277</v>
      </c>
      <c r="B1544" s="115">
        <v>1068.8</v>
      </c>
      <c r="C1544" s="115">
        <v>1060.79</v>
      </c>
      <c r="D1544" s="115">
        <v>1044</v>
      </c>
      <c r="E1544" s="115">
        <v>1059.24</v>
      </c>
      <c r="F1544" s="115">
        <v>5303.95</v>
      </c>
      <c r="G1544">
        <v>548</v>
      </c>
      <c r="H1544" s="115"/>
      <c r="I1544" s="115"/>
      <c r="L1544" s="169">
        <v>44278</v>
      </c>
      <c r="M1544" s="115">
        <v>1053.8800000000001</v>
      </c>
      <c r="N1544" s="115">
        <v>1066.04</v>
      </c>
      <c r="O1544" s="115">
        <v>1016.4</v>
      </c>
      <c r="P1544" s="115">
        <v>1055.2</v>
      </c>
      <c r="Q1544" s="115">
        <v>5269.4</v>
      </c>
      <c r="R1544">
        <v>35269</v>
      </c>
    </row>
    <row r="1545" spans="1:18" x14ac:dyDescent="0.25">
      <c r="A1545" s="169">
        <v>44278</v>
      </c>
      <c r="B1545" s="115">
        <v>1065.17</v>
      </c>
      <c r="C1545" s="115">
        <v>1055.3800000000001</v>
      </c>
      <c r="D1545" s="115">
        <v>1032.1500000000001</v>
      </c>
      <c r="E1545" s="115">
        <v>1054.45</v>
      </c>
      <c r="F1545" s="115">
        <v>5276.9</v>
      </c>
      <c r="G1545">
        <v>481</v>
      </c>
      <c r="H1545" s="115"/>
      <c r="I1545" s="115"/>
      <c r="L1545" s="169">
        <v>44279</v>
      </c>
      <c r="M1545" s="115">
        <v>1058.71</v>
      </c>
      <c r="N1545" s="115">
        <v>1065.18</v>
      </c>
      <c r="O1545" s="115">
        <v>1035.01</v>
      </c>
      <c r="P1545" s="115">
        <v>1053.8800000000001</v>
      </c>
      <c r="Q1545" s="115">
        <v>5293.55</v>
      </c>
      <c r="R1545">
        <v>14529</v>
      </c>
    </row>
    <row r="1546" spans="1:18" x14ac:dyDescent="0.25">
      <c r="A1546" s="169">
        <v>44279</v>
      </c>
      <c r="B1546" s="115">
        <v>1065.17</v>
      </c>
      <c r="C1546" s="115">
        <v>1055.96</v>
      </c>
      <c r="D1546" s="115">
        <v>1026.8800000000001</v>
      </c>
      <c r="E1546" s="115">
        <v>1030.4000000000001</v>
      </c>
      <c r="F1546" s="115">
        <v>5279.8</v>
      </c>
      <c r="G1546">
        <v>510</v>
      </c>
      <c r="H1546" s="115"/>
      <c r="I1546" s="115"/>
      <c r="L1546" s="169">
        <v>44280</v>
      </c>
      <c r="M1546" s="115">
        <v>1056.3399999999999</v>
      </c>
      <c r="N1546" s="115">
        <v>1070</v>
      </c>
      <c r="O1546" s="115">
        <v>1028.8599999999999</v>
      </c>
      <c r="P1546" s="115">
        <v>1062.06</v>
      </c>
      <c r="Q1546" s="115">
        <v>5281.7</v>
      </c>
      <c r="R1546">
        <v>15608</v>
      </c>
    </row>
    <row r="1547" spans="1:18" x14ac:dyDescent="0.25">
      <c r="A1547" s="169">
        <v>44280</v>
      </c>
      <c r="B1547" s="115">
        <v>1066.78</v>
      </c>
      <c r="C1547" s="115">
        <v>1056.68</v>
      </c>
      <c r="D1547" s="115">
        <v>1029.4000000000001</v>
      </c>
      <c r="E1547" s="115">
        <v>1058.76</v>
      </c>
      <c r="F1547" s="115">
        <v>5283.4</v>
      </c>
      <c r="G1547">
        <v>662</v>
      </c>
      <c r="H1547" s="115"/>
      <c r="I1547" s="115"/>
      <c r="L1547" s="169">
        <v>44281</v>
      </c>
      <c r="M1547" s="115">
        <v>1071.06</v>
      </c>
      <c r="N1547" s="115">
        <v>1075</v>
      </c>
      <c r="O1547" s="115">
        <v>1046.46</v>
      </c>
      <c r="P1547" s="115">
        <v>1060</v>
      </c>
      <c r="Q1547" s="115">
        <v>5355.3</v>
      </c>
      <c r="R1547">
        <v>5697</v>
      </c>
    </row>
    <row r="1548" spans="1:18" x14ac:dyDescent="0.25">
      <c r="A1548" s="169">
        <v>44281</v>
      </c>
      <c r="B1548" s="115">
        <v>1074</v>
      </c>
      <c r="C1548" s="115">
        <v>1070.6300000000001</v>
      </c>
      <c r="D1548" s="115">
        <v>1047.56</v>
      </c>
      <c r="E1548" s="115">
        <v>1051.94</v>
      </c>
      <c r="F1548" s="115">
        <v>5353.15</v>
      </c>
      <c r="G1548">
        <v>228</v>
      </c>
      <c r="H1548" s="115"/>
      <c r="I1548" s="115"/>
      <c r="L1548" s="169">
        <v>44285</v>
      </c>
      <c r="M1548" s="115">
        <v>1077.81</v>
      </c>
      <c r="N1548" s="115">
        <v>1093.5999999999999</v>
      </c>
      <c r="O1548" s="115">
        <v>1046.2</v>
      </c>
      <c r="P1548" s="115">
        <v>1069.33</v>
      </c>
      <c r="Q1548" s="115">
        <v>5389.05</v>
      </c>
      <c r="R1548">
        <v>13623</v>
      </c>
    </row>
    <row r="1549" spans="1:18" x14ac:dyDescent="0.25">
      <c r="A1549" s="169">
        <v>44285</v>
      </c>
      <c r="B1549" s="115">
        <v>1088.0999999999999</v>
      </c>
      <c r="C1549" s="115">
        <v>1077.5899999999999</v>
      </c>
      <c r="D1549" s="115">
        <v>1046.33</v>
      </c>
      <c r="E1549" s="115">
        <v>1066.2</v>
      </c>
      <c r="F1549" s="115">
        <v>5387.95</v>
      </c>
      <c r="G1549">
        <v>232</v>
      </c>
      <c r="H1549" s="115"/>
      <c r="I1549" s="115"/>
      <c r="L1549" s="169">
        <v>44286</v>
      </c>
      <c r="M1549" s="115">
        <v>1088.4100000000001</v>
      </c>
      <c r="N1549" s="115">
        <v>1097.53</v>
      </c>
      <c r="O1549" s="115">
        <v>1062.03</v>
      </c>
      <c r="P1549" s="115">
        <v>1074.99</v>
      </c>
      <c r="Q1549" s="115">
        <v>5442.05</v>
      </c>
      <c r="R1549">
        <v>22574</v>
      </c>
    </row>
    <row r="1550" spans="1:18" x14ac:dyDescent="0.25">
      <c r="A1550" s="169">
        <v>44286</v>
      </c>
      <c r="B1550" s="115">
        <v>1092.3900000000001</v>
      </c>
      <c r="C1550" s="115">
        <v>1082.1400000000001</v>
      </c>
      <c r="D1550" s="115">
        <v>1067.32</v>
      </c>
      <c r="E1550" s="115">
        <v>1067.32</v>
      </c>
      <c r="F1550" s="115">
        <v>5410.7</v>
      </c>
      <c r="G1550">
        <v>93</v>
      </c>
      <c r="H1550" s="115"/>
      <c r="I1550" s="115"/>
      <c r="L1550" s="169">
        <v>44287</v>
      </c>
      <c r="M1550" s="115">
        <v>1098.3699999999999</v>
      </c>
      <c r="N1550" s="115">
        <v>1110.01</v>
      </c>
      <c r="O1550" s="115">
        <v>1086</v>
      </c>
      <c r="P1550" s="115">
        <v>1086</v>
      </c>
      <c r="Q1550" s="115">
        <v>5491.85</v>
      </c>
      <c r="R1550">
        <v>6296</v>
      </c>
    </row>
    <row r="1551" spans="1:18" x14ac:dyDescent="0.25">
      <c r="A1551" s="169">
        <v>44287</v>
      </c>
      <c r="B1551" s="115">
        <v>1110</v>
      </c>
      <c r="C1551" s="115">
        <v>1096.23</v>
      </c>
      <c r="D1551" s="115">
        <v>1086</v>
      </c>
      <c r="E1551" s="115">
        <v>1086</v>
      </c>
      <c r="F1551" s="115">
        <v>5481.15</v>
      </c>
      <c r="G1551">
        <v>127</v>
      </c>
      <c r="H1551" s="115"/>
      <c r="I1551" s="115"/>
      <c r="L1551" s="169">
        <v>44291</v>
      </c>
      <c r="M1551" s="115">
        <v>1071</v>
      </c>
      <c r="N1551" s="115">
        <v>1098.2</v>
      </c>
      <c r="O1551" s="115">
        <v>1065.01</v>
      </c>
      <c r="P1551" s="115">
        <v>1098.2</v>
      </c>
      <c r="Q1551" s="115">
        <v>5355</v>
      </c>
      <c r="R1551">
        <v>3102</v>
      </c>
    </row>
    <row r="1552" spans="1:18" x14ac:dyDescent="0.25">
      <c r="A1552" s="169">
        <v>44291</v>
      </c>
      <c r="B1552" s="115">
        <v>1088</v>
      </c>
      <c r="C1552" s="115">
        <v>1069.26</v>
      </c>
      <c r="D1552" s="115">
        <v>1066</v>
      </c>
      <c r="E1552" s="115">
        <v>1088</v>
      </c>
      <c r="F1552" s="115">
        <v>5346.3</v>
      </c>
      <c r="G1552">
        <v>114</v>
      </c>
      <c r="H1552" s="115"/>
      <c r="I1552" s="115"/>
      <c r="L1552" s="169">
        <v>44292</v>
      </c>
      <c r="M1552" s="115">
        <v>1072.22</v>
      </c>
      <c r="N1552" s="115">
        <v>1084</v>
      </c>
      <c r="O1552" s="115">
        <v>1052.18</v>
      </c>
      <c r="P1552" s="115">
        <v>1065.21</v>
      </c>
      <c r="Q1552" s="115">
        <v>5361.1</v>
      </c>
      <c r="R1552">
        <v>5113</v>
      </c>
    </row>
    <row r="1553" spans="1:18" x14ac:dyDescent="0.25">
      <c r="A1553" s="169">
        <v>44292</v>
      </c>
      <c r="B1553" s="115">
        <v>1079</v>
      </c>
      <c r="C1553" s="115">
        <v>1072.69</v>
      </c>
      <c r="D1553" s="115">
        <v>1055</v>
      </c>
      <c r="E1553" s="115">
        <v>1064.6500000000001</v>
      </c>
      <c r="F1553" s="115">
        <v>5363.45</v>
      </c>
      <c r="G1553">
        <v>145</v>
      </c>
      <c r="H1553" s="115"/>
      <c r="I1553" s="115"/>
      <c r="L1553" s="169">
        <v>44293</v>
      </c>
      <c r="M1553" s="115">
        <v>1062.17</v>
      </c>
      <c r="N1553" s="115">
        <v>1072.22</v>
      </c>
      <c r="O1553" s="115">
        <v>1056.2</v>
      </c>
      <c r="P1553" s="115">
        <v>1072.22</v>
      </c>
      <c r="Q1553" s="115">
        <v>5310.85</v>
      </c>
      <c r="R1553">
        <v>1839</v>
      </c>
    </row>
    <row r="1554" spans="1:18" x14ac:dyDescent="0.25">
      <c r="A1554" s="169">
        <v>44293</v>
      </c>
      <c r="B1554" s="115">
        <v>1070.57</v>
      </c>
      <c r="C1554" s="115">
        <v>1062.1099999999999</v>
      </c>
      <c r="D1554" s="115">
        <v>1060</v>
      </c>
      <c r="E1554" s="115">
        <v>1067.21</v>
      </c>
      <c r="F1554" s="115">
        <v>5310.55</v>
      </c>
      <c r="G1554">
        <v>125</v>
      </c>
      <c r="H1554" s="115"/>
      <c r="I1554" s="115"/>
      <c r="L1554" s="169">
        <v>44294</v>
      </c>
      <c r="M1554" s="115">
        <v>1064.96</v>
      </c>
      <c r="N1554" s="115">
        <v>1080</v>
      </c>
      <c r="O1554" s="115">
        <v>1051.4100000000001</v>
      </c>
      <c r="P1554" s="115">
        <v>1078</v>
      </c>
      <c r="Q1554" s="115">
        <v>5324.8</v>
      </c>
      <c r="R1554">
        <v>5226</v>
      </c>
    </row>
    <row r="1555" spans="1:18" x14ac:dyDescent="0.25">
      <c r="A1555" s="169">
        <v>44294</v>
      </c>
      <c r="B1555" s="115">
        <v>1078</v>
      </c>
      <c r="C1555" s="115">
        <v>1063.27</v>
      </c>
      <c r="D1555" s="115">
        <v>1055</v>
      </c>
      <c r="E1555" s="115">
        <v>1071.83</v>
      </c>
      <c r="F1555" s="115">
        <v>5316.35</v>
      </c>
      <c r="G1555">
        <v>194</v>
      </c>
      <c r="H1555" s="115"/>
      <c r="I1555" s="115"/>
      <c r="L1555" s="169">
        <v>44295</v>
      </c>
      <c r="M1555" s="115">
        <v>1064.1099999999999</v>
      </c>
      <c r="N1555" s="115">
        <v>1070</v>
      </c>
      <c r="O1555" s="115">
        <v>1047.8800000000001</v>
      </c>
      <c r="P1555" s="115">
        <v>1062.2</v>
      </c>
      <c r="Q1555" s="115">
        <v>5320.55</v>
      </c>
      <c r="R1555">
        <v>6229</v>
      </c>
    </row>
    <row r="1556" spans="1:18" x14ac:dyDescent="0.25">
      <c r="A1556" s="169">
        <v>44295</v>
      </c>
      <c r="B1556" s="115">
        <v>1090</v>
      </c>
      <c r="C1556" s="115">
        <v>1064.8499999999999</v>
      </c>
      <c r="D1556" s="115">
        <v>1051.42</v>
      </c>
      <c r="E1556" s="115">
        <v>1066.8499999999999</v>
      </c>
      <c r="F1556" s="115">
        <v>5324.25</v>
      </c>
      <c r="G1556">
        <v>378</v>
      </c>
      <c r="H1556" s="115"/>
      <c r="I1556" s="115"/>
      <c r="L1556" s="169">
        <v>44298</v>
      </c>
      <c r="M1556" s="115">
        <v>1025.3900000000001</v>
      </c>
      <c r="N1556" s="115">
        <v>1061</v>
      </c>
      <c r="O1556" s="115">
        <v>1013.44</v>
      </c>
      <c r="P1556" s="115">
        <v>1059.44</v>
      </c>
      <c r="Q1556" s="115">
        <v>5126.95</v>
      </c>
      <c r="R1556">
        <v>15601</v>
      </c>
    </row>
    <row r="1557" spans="1:18" x14ac:dyDescent="0.25">
      <c r="A1557" s="169">
        <v>44298</v>
      </c>
      <c r="B1557" s="115">
        <v>1060</v>
      </c>
      <c r="C1557" s="115">
        <v>1025.79</v>
      </c>
      <c r="D1557" s="115">
        <v>1013</v>
      </c>
      <c r="E1557" s="115">
        <v>1059.26</v>
      </c>
      <c r="F1557" s="115">
        <v>5128.95</v>
      </c>
      <c r="G1557">
        <v>516</v>
      </c>
      <c r="H1557" s="115"/>
      <c r="I1557" s="115"/>
      <c r="L1557" s="169">
        <v>44299</v>
      </c>
      <c r="M1557" s="115">
        <v>1060.29</v>
      </c>
      <c r="N1557" s="115">
        <v>1069</v>
      </c>
      <c r="O1557" s="115">
        <v>1012.41</v>
      </c>
      <c r="P1557" s="115">
        <v>1026</v>
      </c>
      <c r="Q1557" s="115">
        <v>5301.45</v>
      </c>
      <c r="R1557">
        <v>35867</v>
      </c>
    </row>
    <row r="1558" spans="1:18" x14ac:dyDescent="0.25">
      <c r="A1558" s="169">
        <v>44299</v>
      </c>
      <c r="B1558" s="115">
        <v>1066.4000000000001</v>
      </c>
      <c r="C1558" s="115">
        <v>1060.93</v>
      </c>
      <c r="D1558" s="115">
        <v>1013</v>
      </c>
      <c r="E1558" s="115">
        <v>1030.2</v>
      </c>
      <c r="F1558" s="115">
        <v>5304.65</v>
      </c>
      <c r="G1558">
        <v>226</v>
      </c>
      <c r="H1558" s="115"/>
      <c r="I1558" s="115"/>
      <c r="L1558" s="169">
        <v>44301</v>
      </c>
      <c r="M1558" s="115">
        <v>1041.49</v>
      </c>
      <c r="N1558" s="115">
        <v>1064</v>
      </c>
      <c r="O1558" s="115">
        <v>1033.23</v>
      </c>
      <c r="P1558" s="115">
        <v>1048.2</v>
      </c>
      <c r="Q1558" s="115">
        <v>5207.45</v>
      </c>
      <c r="R1558">
        <v>23492</v>
      </c>
    </row>
    <row r="1559" spans="1:18" x14ac:dyDescent="0.25">
      <c r="A1559" s="169">
        <v>44301</v>
      </c>
      <c r="B1559" s="115">
        <v>1061.82</v>
      </c>
      <c r="C1559" s="115">
        <v>1042.04</v>
      </c>
      <c r="D1559" s="115">
        <v>1034.48</v>
      </c>
      <c r="E1559" s="115">
        <v>1061.82</v>
      </c>
      <c r="F1559" s="115">
        <v>5210.2</v>
      </c>
      <c r="G1559">
        <v>142</v>
      </c>
      <c r="H1559" s="115"/>
      <c r="I1559" s="115"/>
      <c r="L1559" s="169">
        <v>44302</v>
      </c>
      <c r="M1559" s="115">
        <v>1033.44</v>
      </c>
      <c r="N1559" s="115">
        <v>1059.75</v>
      </c>
      <c r="O1559" s="115">
        <v>1025</v>
      </c>
      <c r="P1559" s="115">
        <v>1050</v>
      </c>
      <c r="Q1559" s="115">
        <v>5167.2</v>
      </c>
      <c r="R1559">
        <v>12907</v>
      </c>
    </row>
    <row r="1560" spans="1:18" x14ac:dyDescent="0.25">
      <c r="A1560" s="169">
        <v>44302</v>
      </c>
      <c r="B1560" s="115">
        <v>1057</v>
      </c>
      <c r="C1560" s="115">
        <v>1033.52</v>
      </c>
      <c r="D1560" s="115">
        <v>1030.2</v>
      </c>
      <c r="E1560" s="115">
        <v>1047.94</v>
      </c>
      <c r="F1560" s="115">
        <v>5167.6000000000004</v>
      </c>
      <c r="G1560">
        <v>165</v>
      </c>
      <c r="H1560" s="115"/>
      <c r="I1560" s="115"/>
      <c r="L1560" s="169">
        <v>44305</v>
      </c>
      <c r="M1560" s="115">
        <v>1020.93</v>
      </c>
      <c r="N1560" s="115">
        <v>1031.8</v>
      </c>
      <c r="O1560" s="115">
        <v>1005.48</v>
      </c>
      <c r="P1560" s="115">
        <v>1025</v>
      </c>
      <c r="Q1560" s="115">
        <v>5104.6499999999996</v>
      </c>
      <c r="R1560">
        <v>13520</v>
      </c>
    </row>
    <row r="1561" spans="1:18" x14ac:dyDescent="0.25">
      <c r="A1561" s="169">
        <v>44305</v>
      </c>
      <c r="B1561" s="115">
        <v>1027.3900000000001</v>
      </c>
      <c r="C1561" s="115">
        <v>1021.64</v>
      </c>
      <c r="D1561" s="115">
        <v>1007.11</v>
      </c>
      <c r="E1561" s="115">
        <v>1026</v>
      </c>
      <c r="F1561" s="115">
        <v>5108.2</v>
      </c>
      <c r="G1561">
        <v>198</v>
      </c>
      <c r="H1561" s="115"/>
      <c r="I1561" s="115"/>
      <c r="L1561" s="169">
        <v>44306</v>
      </c>
      <c r="M1561" s="115">
        <v>1005.96</v>
      </c>
      <c r="N1561" s="115">
        <v>1032.72</v>
      </c>
      <c r="O1561" s="115">
        <v>990.45</v>
      </c>
      <c r="P1561" s="115">
        <v>1022</v>
      </c>
      <c r="Q1561" s="115">
        <v>5029.8</v>
      </c>
      <c r="R1561">
        <v>8194</v>
      </c>
    </row>
    <row r="1562" spans="1:18" x14ac:dyDescent="0.25">
      <c r="A1562" s="169">
        <v>44306</v>
      </c>
      <c r="B1562" s="115">
        <v>1031.1300000000001</v>
      </c>
      <c r="C1562" s="115">
        <v>1008.66</v>
      </c>
      <c r="D1562" s="115">
        <v>991.2</v>
      </c>
      <c r="E1562" s="115">
        <v>1029.74</v>
      </c>
      <c r="F1562" s="115">
        <v>5043.3</v>
      </c>
      <c r="G1562">
        <v>836</v>
      </c>
      <c r="H1562" s="115"/>
      <c r="I1562" s="115"/>
      <c r="L1562" s="169">
        <v>44308</v>
      </c>
      <c r="M1562" s="115">
        <v>998.43</v>
      </c>
      <c r="N1562" s="115">
        <v>1007.66</v>
      </c>
      <c r="O1562" s="115">
        <v>979.55</v>
      </c>
      <c r="P1562" s="115">
        <v>991</v>
      </c>
      <c r="Q1562" s="115">
        <v>4992.1499999999996</v>
      </c>
      <c r="R1562">
        <v>27868</v>
      </c>
    </row>
    <row r="1563" spans="1:18" x14ac:dyDescent="0.25">
      <c r="A1563" s="169">
        <v>44308</v>
      </c>
      <c r="B1563" s="115">
        <v>1007.33</v>
      </c>
      <c r="C1563" s="115">
        <v>998.76</v>
      </c>
      <c r="D1563" s="115">
        <v>973.96</v>
      </c>
      <c r="E1563" s="115">
        <v>994.32</v>
      </c>
      <c r="F1563" s="115">
        <v>4993.8</v>
      </c>
      <c r="G1563">
        <v>947</v>
      </c>
      <c r="H1563" s="115"/>
      <c r="I1563" s="115"/>
      <c r="L1563" s="169">
        <v>44309</v>
      </c>
      <c r="M1563" s="115">
        <v>999.69</v>
      </c>
      <c r="N1563" s="115">
        <v>1007.76</v>
      </c>
      <c r="O1563" s="115">
        <v>994.2</v>
      </c>
      <c r="P1563" s="115">
        <v>998.43</v>
      </c>
      <c r="Q1563" s="115">
        <v>4998.45</v>
      </c>
      <c r="R1563">
        <v>9016</v>
      </c>
    </row>
    <row r="1564" spans="1:18" x14ac:dyDescent="0.25">
      <c r="A1564" s="169">
        <v>44309</v>
      </c>
      <c r="B1564" s="115">
        <v>1006.2</v>
      </c>
      <c r="C1564" s="115">
        <v>998.89</v>
      </c>
      <c r="D1564" s="115">
        <v>996.32</v>
      </c>
      <c r="E1564" s="115">
        <v>1001</v>
      </c>
      <c r="F1564" s="115">
        <v>4994.45</v>
      </c>
      <c r="G1564">
        <v>159</v>
      </c>
      <c r="H1564" s="115"/>
      <c r="I1564" s="115"/>
      <c r="L1564" s="169">
        <v>44312</v>
      </c>
      <c r="M1564" s="115">
        <v>1036.55</v>
      </c>
      <c r="N1564" s="115">
        <v>1050.1099999999999</v>
      </c>
      <c r="O1564" s="115">
        <v>995</v>
      </c>
      <c r="P1564" s="115">
        <v>1004.05</v>
      </c>
      <c r="Q1564" s="115">
        <v>5182.75</v>
      </c>
      <c r="R1564">
        <v>19756</v>
      </c>
    </row>
    <row r="1565" spans="1:18" x14ac:dyDescent="0.25">
      <c r="A1565" s="169">
        <v>44312</v>
      </c>
      <c r="B1565" s="115">
        <v>1050</v>
      </c>
      <c r="C1565" s="115">
        <v>1036.46</v>
      </c>
      <c r="D1565" s="115">
        <v>998.16</v>
      </c>
      <c r="E1565" s="115">
        <v>999.36</v>
      </c>
      <c r="F1565" s="115">
        <v>5182.3</v>
      </c>
      <c r="G1565">
        <v>303</v>
      </c>
      <c r="H1565" s="115"/>
      <c r="I1565" s="115"/>
      <c r="L1565" s="169">
        <v>44313</v>
      </c>
      <c r="M1565" s="115">
        <v>1060.58</v>
      </c>
      <c r="N1565" s="115">
        <v>1089.8</v>
      </c>
      <c r="O1565" s="115">
        <v>1006.96</v>
      </c>
      <c r="P1565" s="115">
        <v>1070</v>
      </c>
      <c r="Q1565" s="115">
        <v>5302.9</v>
      </c>
      <c r="R1565">
        <v>72632</v>
      </c>
    </row>
    <row r="1566" spans="1:18" x14ac:dyDescent="0.25">
      <c r="A1566" s="169">
        <v>44313</v>
      </c>
      <c r="B1566" s="115">
        <v>1090.0899999999999</v>
      </c>
      <c r="C1566" s="115">
        <v>1061.6500000000001</v>
      </c>
      <c r="D1566" s="115">
        <v>1030.31</v>
      </c>
      <c r="E1566" s="115">
        <v>1075.8</v>
      </c>
      <c r="F1566" s="115">
        <v>5308.25</v>
      </c>
      <c r="G1566">
        <v>22325</v>
      </c>
      <c r="H1566" s="115"/>
      <c r="I1566" s="115"/>
      <c r="L1566" s="169">
        <v>44314</v>
      </c>
      <c r="M1566" s="115">
        <v>1061.43</v>
      </c>
      <c r="N1566" s="115">
        <v>1076</v>
      </c>
      <c r="O1566" s="115">
        <v>1051.8800000000001</v>
      </c>
      <c r="P1566" s="115">
        <v>1074</v>
      </c>
      <c r="Q1566" s="115">
        <v>5307.15</v>
      </c>
      <c r="R1566">
        <v>11634</v>
      </c>
    </row>
    <row r="1567" spans="1:18" x14ac:dyDescent="0.25">
      <c r="A1567" s="169">
        <v>44314</v>
      </c>
      <c r="B1567" s="115">
        <v>1079.97</v>
      </c>
      <c r="C1567" s="115">
        <v>1056.8499999999999</v>
      </c>
      <c r="D1567" s="115">
        <v>1044.08</v>
      </c>
      <c r="E1567" s="115">
        <v>1079.97</v>
      </c>
      <c r="F1567" s="115">
        <v>5284.25</v>
      </c>
      <c r="G1567">
        <v>594</v>
      </c>
      <c r="H1567" s="115"/>
      <c r="I1567" s="115"/>
      <c r="L1567" s="169">
        <v>44315</v>
      </c>
      <c r="M1567" s="115">
        <v>1059.83</v>
      </c>
      <c r="N1567" s="115">
        <v>1066.8900000000001</v>
      </c>
      <c r="O1567" s="115">
        <v>1030.67</v>
      </c>
      <c r="P1567" s="115">
        <v>1055.0999999999999</v>
      </c>
      <c r="Q1567" s="115">
        <v>5299.15</v>
      </c>
      <c r="R1567">
        <v>13421</v>
      </c>
    </row>
    <row r="1568" spans="1:18" x14ac:dyDescent="0.25">
      <c r="A1568" s="169">
        <v>44315</v>
      </c>
      <c r="B1568" s="115">
        <v>1076</v>
      </c>
      <c r="C1568" s="115">
        <v>1060.26</v>
      </c>
      <c r="D1568" s="115">
        <v>1044.08</v>
      </c>
      <c r="E1568" s="115">
        <v>1066.24</v>
      </c>
      <c r="F1568" s="115">
        <v>5301.3</v>
      </c>
      <c r="G1568">
        <v>315</v>
      </c>
      <c r="H1568" s="115"/>
      <c r="I1568" s="115"/>
      <c r="L1568" s="169">
        <v>44316</v>
      </c>
      <c r="M1568" s="115">
        <v>1046.68</v>
      </c>
      <c r="N1568" s="115">
        <v>1064.8699999999999</v>
      </c>
      <c r="O1568" s="115">
        <v>1037</v>
      </c>
      <c r="P1568" s="115">
        <v>1064.8</v>
      </c>
      <c r="Q1568" s="115">
        <v>5233.3999999999996</v>
      </c>
      <c r="R1568">
        <v>10568</v>
      </c>
    </row>
    <row r="1569" spans="1:18" x14ac:dyDescent="0.25">
      <c r="A1569" s="169">
        <v>44316</v>
      </c>
      <c r="B1569" s="115">
        <v>1061.98</v>
      </c>
      <c r="C1569" s="115">
        <v>1047.76</v>
      </c>
      <c r="D1569" s="115">
        <v>1030.2</v>
      </c>
      <c r="E1569" s="115">
        <v>1060.08</v>
      </c>
      <c r="F1569" s="115">
        <v>5238.8</v>
      </c>
      <c r="G1569">
        <v>357</v>
      </c>
      <c r="H1569" s="115"/>
      <c r="I1569" s="115"/>
      <c r="L1569" s="169">
        <v>44319</v>
      </c>
      <c r="M1569" s="115">
        <v>1039.58</v>
      </c>
      <c r="N1569" s="115">
        <v>1054.19</v>
      </c>
      <c r="O1569" s="115">
        <v>1034</v>
      </c>
      <c r="P1569" s="115">
        <v>1038</v>
      </c>
      <c r="Q1569" s="115">
        <v>5197.8999999999996</v>
      </c>
      <c r="R1569">
        <v>5453</v>
      </c>
    </row>
    <row r="1570" spans="1:18" x14ac:dyDescent="0.25">
      <c r="A1570" s="169">
        <v>44319</v>
      </c>
      <c r="B1570" s="115">
        <v>1050.29</v>
      </c>
      <c r="C1570" s="115">
        <v>1038.53</v>
      </c>
      <c r="D1570" s="115">
        <v>1037.22</v>
      </c>
      <c r="E1570" s="115">
        <v>1045.54</v>
      </c>
      <c r="F1570" s="115">
        <v>5192.6499999999996</v>
      </c>
      <c r="G1570">
        <v>168</v>
      </c>
      <c r="H1570" s="115"/>
      <c r="I1570" s="115"/>
      <c r="L1570" s="169">
        <v>44320</v>
      </c>
      <c r="M1570" s="115">
        <v>1041.75</v>
      </c>
      <c r="N1570" s="115">
        <v>1048.78</v>
      </c>
      <c r="O1570" s="115">
        <v>1027.21</v>
      </c>
      <c r="P1570" s="115">
        <v>1048.77</v>
      </c>
      <c r="Q1570" s="115">
        <v>5208.75</v>
      </c>
      <c r="R1570">
        <v>21248</v>
      </c>
    </row>
    <row r="1571" spans="1:18" x14ac:dyDescent="0.25">
      <c r="A1571" s="169">
        <v>44320</v>
      </c>
      <c r="B1571" s="115">
        <v>1050</v>
      </c>
      <c r="C1571" s="115">
        <v>1043.7</v>
      </c>
      <c r="D1571" s="115">
        <v>1030</v>
      </c>
      <c r="E1571" s="115">
        <v>1040.0999999999999</v>
      </c>
      <c r="F1571" s="115">
        <v>5218.5</v>
      </c>
      <c r="G1571">
        <v>422</v>
      </c>
      <c r="H1571" s="115"/>
      <c r="I1571" s="115"/>
      <c r="L1571" s="169">
        <v>44321</v>
      </c>
      <c r="M1571" s="115">
        <v>1033.4100000000001</v>
      </c>
      <c r="N1571" s="115">
        <v>1047</v>
      </c>
      <c r="O1571" s="115">
        <v>1022.1</v>
      </c>
      <c r="P1571" s="115">
        <v>1047</v>
      </c>
      <c r="Q1571" s="115">
        <v>5167.05</v>
      </c>
      <c r="R1571">
        <v>7985</v>
      </c>
    </row>
    <row r="1572" spans="1:18" x14ac:dyDescent="0.25">
      <c r="A1572" s="169">
        <v>44321</v>
      </c>
      <c r="B1572" s="115">
        <v>1050</v>
      </c>
      <c r="C1572" s="115">
        <v>1034.79</v>
      </c>
      <c r="D1572" s="115">
        <v>1024.3</v>
      </c>
      <c r="E1572" s="115">
        <v>1050</v>
      </c>
      <c r="F1572" s="115">
        <v>5173.95</v>
      </c>
      <c r="G1572">
        <v>320</v>
      </c>
      <c r="H1572" s="115"/>
      <c r="I1572" s="115"/>
      <c r="L1572" s="169">
        <v>44322</v>
      </c>
      <c r="M1572" s="115">
        <v>1014.98</v>
      </c>
      <c r="N1572" s="115">
        <v>1038.97</v>
      </c>
      <c r="O1572" s="115">
        <v>1000.46</v>
      </c>
      <c r="P1572" s="115">
        <v>1030.2</v>
      </c>
      <c r="Q1572" s="115">
        <v>5074.8999999999996</v>
      </c>
      <c r="R1572">
        <v>12152</v>
      </c>
    </row>
    <row r="1573" spans="1:18" x14ac:dyDescent="0.25">
      <c r="A1573" s="169">
        <v>44322</v>
      </c>
      <c r="B1573" s="115">
        <v>1032.79</v>
      </c>
      <c r="C1573" s="115">
        <v>1014.45</v>
      </c>
      <c r="D1573" s="115">
        <v>1000.8</v>
      </c>
      <c r="E1573" s="115">
        <v>1031.53</v>
      </c>
      <c r="F1573" s="115">
        <v>5072.25</v>
      </c>
      <c r="G1573">
        <v>250</v>
      </c>
      <c r="H1573" s="115"/>
      <c r="I1573" s="115"/>
      <c r="L1573" s="169">
        <v>44323</v>
      </c>
      <c r="M1573" s="115">
        <v>997.23</v>
      </c>
      <c r="N1573" s="115">
        <v>1021.69</v>
      </c>
      <c r="O1573" s="115">
        <v>993.83</v>
      </c>
      <c r="P1573" s="115">
        <v>1015</v>
      </c>
      <c r="Q1573" s="115">
        <v>4986.1499999999996</v>
      </c>
      <c r="R1573">
        <v>7233</v>
      </c>
    </row>
    <row r="1574" spans="1:18" x14ac:dyDescent="0.25">
      <c r="A1574" s="169">
        <v>44323</v>
      </c>
      <c r="B1574" s="115">
        <v>1020.69</v>
      </c>
      <c r="C1574" s="115">
        <v>997.3</v>
      </c>
      <c r="D1574" s="115">
        <v>994</v>
      </c>
      <c r="E1574" s="115">
        <v>1020.69</v>
      </c>
      <c r="F1574" s="115">
        <v>4986.5</v>
      </c>
      <c r="G1574">
        <v>130</v>
      </c>
      <c r="H1574" s="115"/>
      <c r="I1574" s="115"/>
      <c r="L1574" s="169">
        <v>44326</v>
      </c>
      <c r="M1574" s="115">
        <v>993.83</v>
      </c>
      <c r="N1574" s="115">
        <v>1005.4</v>
      </c>
      <c r="O1574" s="115">
        <v>988.81</v>
      </c>
      <c r="P1574" s="115">
        <v>1005.39</v>
      </c>
      <c r="Q1574" s="115">
        <v>4969.1499999999996</v>
      </c>
      <c r="R1574">
        <v>10403</v>
      </c>
    </row>
    <row r="1575" spans="1:18" x14ac:dyDescent="0.25">
      <c r="A1575" s="169">
        <v>44326</v>
      </c>
      <c r="B1575" s="115">
        <v>1004</v>
      </c>
      <c r="C1575" s="115">
        <v>992.94</v>
      </c>
      <c r="D1575" s="115">
        <v>990.21</v>
      </c>
      <c r="E1575" s="115">
        <v>997.3</v>
      </c>
      <c r="F1575" s="115">
        <v>4964.7</v>
      </c>
      <c r="G1575">
        <v>536</v>
      </c>
      <c r="H1575" s="115"/>
      <c r="I1575" s="115"/>
      <c r="L1575" s="169">
        <v>44327</v>
      </c>
      <c r="M1575" s="115">
        <v>993.49</v>
      </c>
      <c r="N1575" s="115">
        <v>999.24</v>
      </c>
      <c r="O1575" s="115">
        <v>985.61</v>
      </c>
      <c r="P1575" s="115">
        <v>997.97</v>
      </c>
      <c r="Q1575" s="115">
        <v>4967.45</v>
      </c>
      <c r="R1575">
        <v>6447</v>
      </c>
    </row>
    <row r="1576" spans="1:18" x14ac:dyDescent="0.25">
      <c r="A1576" s="169">
        <v>44327</v>
      </c>
      <c r="B1576" s="115">
        <v>997.58</v>
      </c>
      <c r="C1576" s="115">
        <v>993.53</v>
      </c>
      <c r="D1576" s="115">
        <v>986</v>
      </c>
      <c r="E1576" s="115">
        <v>997.45</v>
      </c>
      <c r="F1576" s="115">
        <v>4967.6499999999996</v>
      </c>
      <c r="G1576">
        <v>310</v>
      </c>
      <c r="H1576" s="115"/>
      <c r="I1576" s="115"/>
      <c r="L1576" s="169">
        <v>44328</v>
      </c>
      <c r="M1576" s="115">
        <v>993.91</v>
      </c>
      <c r="N1576" s="115">
        <v>1000.63</v>
      </c>
      <c r="O1576" s="115">
        <v>984.81</v>
      </c>
      <c r="P1576" s="115">
        <v>999.46</v>
      </c>
      <c r="Q1576" s="115">
        <v>4969.55</v>
      </c>
      <c r="R1576">
        <v>18017</v>
      </c>
    </row>
    <row r="1577" spans="1:18" x14ac:dyDescent="0.25">
      <c r="A1577" s="169">
        <v>44328</v>
      </c>
      <c r="B1577" s="115">
        <v>995.27</v>
      </c>
      <c r="C1577" s="115">
        <v>989.67</v>
      </c>
      <c r="D1577" s="115">
        <v>985</v>
      </c>
      <c r="E1577" s="115">
        <v>993.12</v>
      </c>
      <c r="F1577" s="115">
        <v>4948.3500000000004</v>
      </c>
      <c r="G1577">
        <v>254</v>
      </c>
      <c r="H1577" s="115"/>
      <c r="I1577" s="115"/>
      <c r="L1577" s="169">
        <v>44330</v>
      </c>
      <c r="M1577" s="115">
        <v>984.34</v>
      </c>
      <c r="N1577" s="115">
        <v>1003.84</v>
      </c>
      <c r="O1577" s="115">
        <v>966.08</v>
      </c>
      <c r="P1577" s="115">
        <v>1000</v>
      </c>
      <c r="Q1577" s="115">
        <v>4921.7</v>
      </c>
      <c r="R1577">
        <v>9618</v>
      </c>
    </row>
    <row r="1578" spans="1:18" x14ac:dyDescent="0.25">
      <c r="A1578" s="169">
        <v>44330</v>
      </c>
      <c r="B1578" s="115">
        <v>995.62</v>
      </c>
      <c r="C1578" s="115">
        <v>983.86</v>
      </c>
      <c r="D1578" s="115">
        <v>964.95</v>
      </c>
      <c r="E1578" s="115">
        <v>993.99</v>
      </c>
      <c r="F1578" s="115">
        <v>4919.3</v>
      </c>
      <c r="G1578">
        <v>330</v>
      </c>
      <c r="H1578" s="115"/>
      <c r="I1578" s="115"/>
      <c r="L1578" s="169">
        <v>44333</v>
      </c>
      <c r="M1578" s="115">
        <v>993.99</v>
      </c>
      <c r="N1578" s="115">
        <v>1001.8</v>
      </c>
      <c r="O1578" s="115">
        <v>965.2</v>
      </c>
      <c r="P1578" s="115">
        <v>994</v>
      </c>
      <c r="Q1578" s="115">
        <v>4969.95</v>
      </c>
      <c r="R1578">
        <v>17991</v>
      </c>
    </row>
    <row r="1579" spans="1:18" x14ac:dyDescent="0.25">
      <c r="A1579" s="169">
        <v>44333</v>
      </c>
      <c r="B1579" s="115">
        <v>1000</v>
      </c>
      <c r="C1579" s="115">
        <v>995.4</v>
      </c>
      <c r="D1579" s="115">
        <v>968.82</v>
      </c>
      <c r="E1579" s="115">
        <v>983.1</v>
      </c>
      <c r="F1579" s="115">
        <v>4977</v>
      </c>
      <c r="G1579">
        <v>241</v>
      </c>
      <c r="H1579" s="115"/>
      <c r="I1579" s="115"/>
      <c r="L1579" s="169">
        <v>44334</v>
      </c>
      <c r="M1579" s="115">
        <v>1001.81</v>
      </c>
      <c r="N1579" s="115">
        <v>1002.01</v>
      </c>
      <c r="O1579" s="115">
        <v>981.05</v>
      </c>
      <c r="P1579" s="115">
        <v>998.3</v>
      </c>
      <c r="Q1579" s="115">
        <v>5009.05</v>
      </c>
      <c r="R1579">
        <v>23041</v>
      </c>
    </row>
    <row r="1580" spans="1:18" x14ac:dyDescent="0.25">
      <c r="A1580" s="169">
        <v>44334</v>
      </c>
      <c r="B1580" s="115">
        <v>1001.99</v>
      </c>
      <c r="C1580" s="115">
        <v>1000.54</v>
      </c>
      <c r="D1580" s="115">
        <v>981.76</v>
      </c>
      <c r="E1580" s="115">
        <v>1001.46</v>
      </c>
      <c r="F1580" s="115">
        <v>5002.7</v>
      </c>
      <c r="G1580">
        <v>343</v>
      </c>
      <c r="H1580" s="115"/>
      <c r="I1580" s="115"/>
      <c r="L1580" s="169">
        <v>44335</v>
      </c>
      <c r="M1580" s="115">
        <v>1017.2</v>
      </c>
      <c r="N1580" s="115">
        <v>1025.98</v>
      </c>
      <c r="O1580" s="115">
        <v>1000.1</v>
      </c>
      <c r="P1580" s="115">
        <v>1000.1</v>
      </c>
      <c r="Q1580" s="115">
        <v>5086</v>
      </c>
      <c r="R1580">
        <v>8088</v>
      </c>
    </row>
    <row r="1581" spans="1:18" x14ac:dyDescent="0.25">
      <c r="A1581" s="169">
        <v>44335</v>
      </c>
      <c r="B1581" s="115">
        <v>1020.2</v>
      </c>
      <c r="C1581" s="115">
        <v>1016.93</v>
      </c>
      <c r="D1581" s="115">
        <v>1004.51</v>
      </c>
      <c r="E1581" s="115">
        <v>1007.1</v>
      </c>
      <c r="F1581" s="115">
        <v>5084.6499999999996</v>
      </c>
      <c r="G1581">
        <v>280</v>
      </c>
      <c r="H1581" s="115"/>
      <c r="I1581" s="115"/>
      <c r="L1581" s="169">
        <v>44336</v>
      </c>
      <c r="M1581" s="115">
        <v>1008.75</v>
      </c>
      <c r="N1581" s="115">
        <v>1026.96</v>
      </c>
      <c r="O1581" s="115">
        <v>1005</v>
      </c>
      <c r="P1581" s="115">
        <v>1019.2</v>
      </c>
      <c r="Q1581" s="115">
        <v>5043.75</v>
      </c>
      <c r="R1581">
        <v>4249</v>
      </c>
    </row>
    <row r="1582" spans="1:18" x14ac:dyDescent="0.25">
      <c r="A1582" s="169">
        <v>44336</v>
      </c>
      <c r="B1582" s="115">
        <v>1024.77</v>
      </c>
      <c r="C1582" s="115">
        <v>1009.56</v>
      </c>
      <c r="D1582" s="115">
        <v>1006.21</v>
      </c>
      <c r="E1582" s="115">
        <v>1024.77</v>
      </c>
      <c r="F1582" s="115">
        <v>5047.8</v>
      </c>
      <c r="G1582">
        <v>277</v>
      </c>
      <c r="H1582" s="115"/>
      <c r="I1582" s="115"/>
      <c r="L1582" s="169">
        <v>44337</v>
      </c>
      <c r="M1582" s="115">
        <v>1012.37</v>
      </c>
      <c r="N1582" s="115">
        <v>1037.5999999999999</v>
      </c>
      <c r="O1582" s="115">
        <v>997.97</v>
      </c>
      <c r="P1582" s="115">
        <v>1012.26</v>
      </c>
      <c r="Q1582" s="115">
        <v>5061.8500000000004</v>
      </c>
      <c r="R1582">
        <v>15966</v>
      </c>
    </row>
    <row r="1583" spans="1:18" x14ac:dyDescent="0.25">
      <c r="A1583" s="169">
        <v>44337</v>
      </c>
      <c r="B1583" s="115">
        <v>1033</v>
      </c>
      <c r="C1583" s="115">
        <v>1010.66</v>
      </c>
      <c r="D1583" s="115">
        <v>995.96</v>
      </c>
      <c r="E1583" s="115">
        <v>1004.27</v>
      </c>
      <c r="F1583" s="115">
        <v>5053.3</v>
      </c>
      <c r="G1583">
        <v>694</v>
      </c>
      <c r="H1583" s="115"/>
      <c r="I1583" s="115"/>
      <c r="L1583" s="169">
        <v>44340</v>
      </c>
      <c r="M1583" s="115">
        <v>1030.97</v>
      </c>
      <c r="N1583" s="115">
        <v>1035</v>
      </c>
      <c r="O1583" s="115">
        <v>1010.74</v>
      </c>
      <c r="P1583" s="115">
        <v>1027.8</v>
      </c>
      <c r="Q1583" s="115">
        <v>5154.8500000000004</v>
      </c>
      <c r="R1583">
        <v>27409</v>
      </c>
    </row>
    <row r="1584" spans="1:18" x14ac:dyDescent="0.25">
      <c r="A1584" s="169">
        <v>44340</v>
      </c>
      <c r="B1584" s="115">
        <v>1034.8</v>
      </c>
      <c r="C1584" s="115">
        <v>1032.33</v>
      </c>
      <c r="D1584" s="115">
        <v>1011.57</v>
      </c>
      <c r="E1584" s="115">
        <v>1020.09</v>
      </c>
      <c r="F1584" s="115">
        <v>5161.6499999999996</v>
      </c>
      <c r="G1584">
        <v>207</v>
      </c>
      <c r="H1584" s="115"/>
      <c r="I1584" s="115"/>
      <c r="L1584" s="169">
        <v>44341</v>
      </c>
      <c r="M1584" s="115">
        <v>1032.69</v>
      </c>
      <c r="N1584" s="115">
        <v>1038.99</v>
      </c>
      <c r="O1584" s="115">
        <v>1017.33</v>
      </c>
      <c r="P1584" s="115">
        <v>1032.0999999999999</v>
      </c>
      <c r="Q1584" s="115">
        <v>5163.45</v>
      </c>
      <c r="R1584">
        <v>10429</v>
      </c>
    </row>
    <row r="1585" spans="1:18" x14ac:dyDescent="0.25">
      <c r="A1585" s="169">
        <v>44341</v>
      </c>
      <c r="B1585" s="115">
        <v>1038.4000000000001</v>
      </c>
      <c r="C1585" s="115">
        <v>1032.29</v>
      </c>
      <c r="D1585" s="115">
        <v>1016.83</v>
      </c>
      <c r="E1585" s="115">
        <v>1033.0899999999999</v>
      </c>
      <c r="F1585" s="115">
        <v>5161.45</v>
      </c>
      <c r="G1585">
        <v>233</v>
      </c>
      <c r="H1585" s="115"/>
      <c r="I1585" s="115"/>
      <c r="L1585" s="169">
        <v>44342</v>
      </c>
      <c r="M1585" s="115">
        <v>1031.8499999999999</v>
      </c>
      <c r="N1585" s="115">
        <v>1054</v>
      </c>
      <c r="O1585" s="115">
        <v>1025.05</v>
      </c>
      <c r="P1585" s="115">
        <v>1035.1600000000001</v>
      </c>
      <c r="Q1585" s="115">
        <v>5159.25</v>
      </c>
      <c r="R1585">
        <v>2023</v>
      </c>
    </row>
    <row r="1586" spans="1:18" x14ac:dyDescent="0.25">
      <c r="A1586" s="169">
        <v>44342</v>
      </c>
      <c r="B1586" s="115">
        <v>1040</v>
      </c>
      <c r="C1586" s="115">
        <v>1030.95</v>
      </c>
      <c r="D1586" s="115">
        <v>1026.9100000000001</v>
      </c>
      <c r="E1586" s="115">
        <v>1036</v>
      </c>
      <c r="F1586" s="115">
        <v>5154.75</v>
      </c>
      <c r="G1586">
        <v>41</v>
      </c>
      <c r="H1586" s="115"/>
      <c r="I1586" s="115"/>
      <c r="L1586" s="169">
        <v>44343</v>
      </c>
      <c r="M1586" s="115">
        <v>1042.27</v>
      </c>
      <c r="N1586" s="115">
        <v>1054</v>
      </c>
      <c r="O1586" s="115">
        <v>1027.6500000000001</v>
      </c>
      <c r="P1586" s="115">
        <v>1031.8499999999999</v>
      </c>
      <c r="Q1586" s="115">
        <v>5211.3500000000004</v>
      </c>
      <c r="R1586">
        <v>9979</v>
      </c>
    </row>
    <row r="1587" spans="1:18" x14ac:dyDescent="0.25">
      <c r="A1587" s="169">
        <v>44343</v>
      </c>
      <c r="B1587" s="115">
        <v>1050</v>
      </c>
      <c r="C1587" s="115">
        <v>1037.8800000000001</v>
      </c>
      <c r="D1587" s="115">
        <v>1030.29</v>
      </c>
      <c r="E1587" s="115">
        <v>1038.8699999999999</v>
      </c>
      <c r="F1587" s="115">
        <v>5189.3999999999996</v>
      </c>
      <c r="G1587">
        <v>269</v>
      </c>
      <c r="H1587" s="115"/>
      <c r="I1587" s="115"/>
      <c r="L1587" s="169">
        <v>44344</v>
      </c>
      <c r="M1587" s="115">
        <v>1057.45</v>
      </c>
      <c r="N1587" s="115">
        <v>1063.75</v>
      </c>
      <c r="O1587" s="115">
        <v>1030</v>
      </c>
      <c r="P1587" s="115">
        <v>1041.4000000000001</v>
      </c>
      <c r="Q1587" s="115">
        <v>5287.25</v>
      </c>
      <c r="R1587">
        <v>35117</v>
      </c>
    </row>
    <row r="1588" spans="1:18" x14ac:dyDescent="0.25">
      <c r="A1588" s="169">
        <v>44344</v>
      </c>
      <c r="B1588" s="115">
        <v>1063</v>
      </c>
      <c r="C1588" s="115">
        <v>1058.0999999999999</v>
      </c>
      <c r="D1588" s="115">
        <v>1035.21</v>
      </c>
      <c r="E1588" s="115">
        <v>1051.42</v>
      </c>
      <c r="F1588" s="115">
        <v>5290.5</v>
      </c>
      <c r="G1588">
        <v>651</v>
      </c>
      <c r="H1588" s="115"/>
      <c r="I1588" s="115"/>
      <c r="L1588" s="169">
        <v>44347</v>
      </c>
      <c r="M1588" s="115">
        <v>1057.6500000000001</v>
      </c>
      <c r="N1588" s="115">
        <v>1063.4000000000001</v>
      </c>
      <c r="O1588" s="115">
        <v>1041.01</v>
      </c>
      <c r="P1588" s="115">
        <v>1063.4000000000001</v>
      </c>
      <c r="Q1588" s="115">
        <v>5288.25</v>
      </c>
      <c r="R1588">
        <v>20175</v>
      </c>
    </row>
    <row r="1589" spans="1:18" x14ac:dyDescent="0.25">
      <c r="A1589" s="169">
        <v>44347</v>
      </c>
      <c r="B1589" s="115">
        <v>1060.98</v>
      </c>
      <c r="C1589" s="115">
        <v>1054.6400000000001</v>
      </c>
      <c r="D1589" s="115">
        <v>1024.3</v>
      </c>
      <c r="E1589" s="115">
        <v>1060</v>
      </c>
      <c r="F1589" s="115">
        <v>5273.2</v>
      </c>
      <c r="G1589">
        <v>251</v>
      </c>
      <c r="H1589" s="115"/>
      <c r="I1589" s="115"/>
      <c r="L1589" s="169">
        <v>44348</v>
      </c>
      <c r="M1589" s="115">
        <v>1040.27</v>
      </c>
      <c r="N1589" s="115">
        <v>1071.28</v>
      </c>
      <c r="O1589" s="115">
        <v>1034.1400000000001</v>
      </c>
      <c r="P1589" s="115">
        <v>1057.42</v>
      </c>
      <c r="Q1589" s="115">
        <v>5201.3500000000004</v>
      </c>
      <c r="R1589">
        <v>7064</v>
      </c>
    </row>
    <row r="1590" spans="1:18" x14ac:dyDescent="0.25">
      <c r="A1590" s="169">
        <v>44348</v>
      </c>
      <c r="B1590" s="115">
        <v>1070</v>
      </c>
      <c r="C1590" s="115">
        <v>1048.42</v>
      </c>
      <c r="D1590" s="115">
        <v>1036.01</v>
      </c>
      <c r="E1590" s="115">
        <v>1046</v>
      </c>
      <c r="F1590" s="115">
        <v>5242.1000000000004</v>
      </c>
      <c r="G1590">
        <v>332</v>
      </c>
      <c r="H1590" s="115"/>
      <c r="I1590" s="115"/>
      <c r="L1590" s="169">
        <v>44349</v>
      </c>
      <c r="M1590" s="115">
        <v>1043.23</v>
      </c>
      <c r="N1590" s="115">
        <v>1049.8800000000001</v>
      </c>
      <c r="O1590" s="115">
        <v>1035</v>
      </c>
      <c r="P1590" s="115">
        <v>1035</v>
      </c>
      <c r="Q1590" s="115">
        <v>5216.1499999999996</v>
      </c>
      <c r="R1590">
        <v>9867</v>
      </c>
    </row>
    <row r="1591" spans="1:18" x14ac:dyDescent="0.25">
      <c r="A1591" s="169">
        <v>44349</v>
      </c>
      <c r="B1591" s="115">
        <v>1046.52</v>
      </c>
      <c r="C1591" s="115">
        <v>1044.2</v>
      </c>
      <c r="D1591" s="115">
        <v>1039.29</v>
      </c>
      <c r="E1591" s="115">
        <v>1043.95</v>
      </c>
      <c r="F1591" s="115">
        <v>5221</v>
      </c>
      <c r="G1591">
        <v>381</v>
      </c>
      <c r="H1591" s="115"/>
      <c r="I1591" s="115"/>
      <c r="L1591" s="169">
        <v>44350</v>
      </c>
      <c r="M1591" s="115">
        <v>1043.03</v>
      </c>
      <c r="N1591" s="115">
        <v>1050</v>
      </c>
      <c r="O1591" s="115">
        <v>1037</v>
      </c>
      <c r="P1591" s="115">
        <v>1045.4000000000001</v>
      </c>
      <c r="Q1591" s="115">
        <v>5215.1499999999996</v>
      </c>
      <c r="R1591">
        <v>7381</v>
      </c>
    </row>
    <row r="1592" spans="1:18" x14ac:dyDescent="0.25">
      <c r="A1592" s="169">
        <v>44350</v>
      </c>
      <c r="B1592" s="115">
        <v>1050</v>
      </c>
      <c r="C1592" s="115">
        <v>1040.26</v>
      </c>
      <c r="D1592" s="115">
        <v>1038.44</v>
      </c>
      <c r="E1592" s="115">
        <v>1044.46</v>
      </c>
      <c r="F1592" s="115">
        <v>5201.3</v>
      </c>
      <c r="G1592">
        <v>273</v>
      </c>
      <c r="H1592" s="115"/>
      <c r="I1592" s="115"/>
      <c r="L1592" s="169">
        <v>44351</v>
      </c>
      <c r="M1592" s="115">
        <v>1040.77</v>
      </c>
      <c r="N1592" s="115">
        <v>1045</v>
      </c>
      <c r="O1592" s="115">
        <v>1028.81</v>
      </c>
      <c r="P1592" s="115">
        <v>1044</v>
      </c>
      <c r="Q1592" s="115">
        <v>5203.8500000000004</v>
      </c>
      <c r="R1592">
        <v>10834</v>
      </c>
    </row>
    <row r="1593" spans="1:18" x14ac:dyDescent="0.25">
      <c r="A1593" s="169">
        <v>44351</v>
      </c>
      <c r="B1593" s="115">
        <v>1044.99</v>
      </c>
      <c r="C1593" s="115">
        <v>1040.6600000000001</v>
      </c>
      <c r="D1593" s="115">
        <v>1030</v>
      </c>
      <c r="E1593" s="115">
        <v>1042.74</v>
      </c>
      <c r="F1593" s="115">
        <v>5203.3</v>
      </c>
      <c r="G1593">
        <v>95</v>
      </c>
      <c r="H1593" s="115"/>
      <c r="I1593" s="115"/>
      <c r="L1593" s="169">
        <v>44354</v>
      </c>
      <c r="M1593" s="115">
        <v>1040.3699999999999</v>
      </c>
      <c r="N1593" s="115">
        <v>1052.05</v>
      </c>
      <c r="O1593" s="115">
        <v>1030.3399999999999</v>
      </c>
      <c r="P1593" s="115">
        <v>1038.5999999999999</v>
      </c>
      <c r="Q1593" s="115">
        <v>5201.8500000000004</v>
      </c>
      <c r="R1593">
        <v>10361</v>
      </c>
    </row>
    <row r="1594" spans="1:18" x14ac:dyDescent="0.25">
      <c r="A1594" s="169">
        <v>44354</v>
      </c>
      <c r="B1594" s="115">
        <v>1049.19</v>
      </c>
      <c r="C1594" s="115">
        <v>1041.49</v>
      </c>
      <c r="D1594" s="115">
        <v>1032.21</v>
      </c>
      <c r="E1594" s="115">
        <v>1040.6199999999999</v>
      </c>
      <c r="F1594" s="115">
        <v>5207.45</v>
      </c>
      <c r="G1594">
        <v>146</v>
      </c>
      <c r="H1594" s="115"/>
      <c r="I1594" s="115"/>
      <c r="L1594" s="169">
        <v>44355</v>
      </c>
      <c r="M1594" s="115">
        <v>1049.25</v>
      </c>
      <c r="N1594" s="115">
        <v>1055</v>
      </c>
      <c r="O1594" s="115">
        <v>1036.71</v>
      </c>
      <c r="P1594" s="115">
        <v>1050</v>
      </c>
      <c r="Q1594" s="115">
        <v>5246.25</v>
      </c>
      <c r="R1594">
        <v>11967</v>
      </c>
    </row>
    <row r="1595" spans="1:18" x14ac:dyDescent="0.25">
      <c r="A1595" s="169">
        <v>44355</v>
      </c>
      <c r="B1595" s="115">
        <v>1054.5999999999999</v>
      </c>
      <c r="C1595" s="115">
        <v>1049.74</v>
      </c>
      <c r="D1595" s="115">
        <v>1037.17</v>
      </c>
      <c r="E1595" s="115">
        <v>1044.9100000000001</v>
      </c>
      <c r="F1595" s="115">
        <v>5248.7</v>
      </c>
      <c r="G1595">
        <v>208</v>
      </c>
      <c r="H1595" s="115"/>
      <c r="I1595" s="115"/>
      <c r="L1595" s="169">
        <v>44356</v>
      </c>
      <c r="M1595" s="115">
        <v>1050.56</v>
      </c>
      <c r="N1595" s="115">
        <v>1057</v>
      </c>
      <c r="O1595" s="115">
        <v>1045</v>
      </c>
      <c r="P1595" s="115">
        <v>1049.24</v>
      </c>
      <c r="Q1595" s="115">
        <v>5252.8</v>
      </c>
      <c r="R1595">
        <v>6999</v>
      </c>
    </row>
    <row r="1596" spans="1:18" x14ac:dyDescent="0.25">
      <c r="A1596" s="169">
        <v>44356</v>
      </c>
      <c r="B1596" s="115">
        <v>1054.17</v>
      </c>
      <c r="C1596" s="115">
        <v>1049.99</v>
      </c>
      <c r="D1596" s="115">
        <v>1038</v>
      </c>
      <c r="E1596" s="115">
        <v>1054.17</v>
      </c>
      <c r="F1596" s="115">
        <v>5249.95</v>
      </c>
      <c r="G1596">
        <v>571</v>
      </c>
      <c r="H1596" s="115"/>
      <c r="I1596" s="115"/>
      <c r="L1596" s="169">
        <v>44357</v>
      </c>
      <c r="M1596" s="115">
        <v>1051.32</v>
      </c>
      <c r="N1596" s="115">
        <v>1062.01</v>
      </c>
      <c r="O1596" s="115">
        <v>1041</v>
      </c>
      <c r="P1596" s="115">
        <v>1056.4000000000001</v>
      </c>
      <c r="Q1596" s="115">
        <v>5256.6</v>
      </c>
      <c r="R1596">
        <v>4069</v>
      </c>
    </row>
    <row r="1597" spans="1:18" x14ac:dyDescent="0.25">
      <c r="A1597" s="169">
        <v>44357</v>
      </c>
      <c r="B1597" s="115">
        <v>1062.3900000000001</v>
      </c>
      <c r="C1597" s="115">
        <v>1051.74</v>
      </c>
      <c r="D1597" s="115">
        <v>1045</v>
      </c>
      <c r="E1597" s="115">
        <v>1054.3699999999999</v>
      </c>
      <c r="F1597" s="115">
        <v>5258.7</v>
      </c>
      <c r="G1597">
        <v>327</v>
      </c>
      <c r="H1597" s="115"/>
      <c r="I1597" s="115"/>
      <c r="L1597" s="169">
        <v>44358</v>
      </c>
      <c r="M1597" s="115">
        <v>1050.21</v>
      </c>
      <c r="N1597" s="115">
        <v>1057</v>
      </c>
      <c r="O1597" s="115">
        <v>1043</v>
      </c>
      <c r="P1597" s="115">
        <v>1054</v>
      </c>
      <c r="Q1597" s="115">
        <v>5251.05</v>
      </c>
      <c r="R1597">
        <v>50692</v>
      </c>
    </row>
    <row r="1598" spans="1:18" x14ac:dyDescent="0.25">
      <c r="A1598" s="169">
        <v>44358</v>
      </c>
      <c r="B1598" s="115">
        <v>1059.8</v>
      </c>
      <c r="C1598" s="115">
        <v>1054.19</v>
      </c>
      <c r="D1598" s="115">
        <v>1043.99</v>
      </c>
      <c r="E1598" s="115">
        <v>1051.8399999999999</v>
      </c>
      <c r="F1598" s="115">
        <v>5270.95</v>
      </c>
      <c r="G1598">
        <v>303</v>
      </c>
      <c r="H1598" s="115"/>
      <c r="I1598" s="115"/>
      <c r="L1598" s="169">
        <v>44361</v>
      </c>
      <c r="M1598" s="115">
        <v>1050.78</v>
      </c>
      <c r="N1598" s="115">
        <v>1057.01</v>
      </c>
      <c r="O1598" s="115">
        <v>1036</v>
      </c>
      <c r="P1598" s="115">
        <v>1057</v>
      </c>
      <c r="Q1598" s="115">
        <v>5253.9</v>
      </c>
      <c r="R1598">
        <v>7281</v>
      </c>
    </row>
    <row r="1599" spans="1:18" x14ac:dyDescent="0.25">
      <c r="A1599" s="169">
        <v>44361</v>
      </c>
      <c r="B1599" s="115">
        <v>1056</v>
      </c>
      <c r="C1599" s="115">
        <v>1050.78</v>
      </c>
      <c r="D1599" s="115">
        <v>1029</v>
      </c>
      <c r="E1599" s="115">
        <v>1029</v>
      </c>
      <c r="F1599" s="115">
        <v>5253.9</v>
      </c>
      <c r="G1599">
        <v>510</v>
      </c>
      <c r="H1599" s="115"/>
      <c r="I1599" s="115"/>
      <c r="L1599" s="169">
        <v>44362</v>
      </c>
      <c r="M1599" s="115">
        <v>1048.4100000000001</v>
      </c>
      <c r="N1599" s="115">
        <v>1053.04</v>
      </c>
      <c r="O1599" s="115">
        <v>1040.46</v>
      </c>
      <c r="P1599" s="115">
        <v>1050.51</v>
      </c>
      <c r="Q1599" s="115">
        <v>5242.05</v>
      </c>
      <c r="R1599">
        <v>8458</v>
      </c>
    </row>
    <row r="1600" spans="1:18" x14ac:dyDescent="0.25">
      <c r="A1600" s="169">
        <v>44362</v>
      </c>
      <c r="B1600" s="115">
        <v>1051.48</v>
      </c>
      <c r="C1600" s="115">
        <v>1047.26</v>
      </c>
      <c r="D1600" s="115">
        <v>1041.23</v>
      </c>
      <c r="E1600" s="115">
        <v>1047.8499999999999</v>
      </c>
      <c r="F1600" s="115">
        <v>5236.3</v>
      </c>
      <c r="G1600">
        <v>297</v>
      </c>
      <c r="H1600" s="115"/>
      <c r="I1600" s="115"/>
      <c r="L1600" s="169">
        <v>44363</v>
      </c>
      <c r="M1600" s="115">
        <v>1045.56</v>
      </c>
      <c r="N1600" s="115">
        <v>1054.8900000000001</v>
      </c>
      <c r="O1600" s="115">
        <v>1040</v>
      </c>
      <c r="P1600" s="115">
        <v>1049.3900000000001</v>
      </c>
      <c r="Q1600" s="115">
        <v>5227.8</v>
      </c>
      <c r="R1600">
        <v>5977</v>
      </c>
    </row>
    <row r="1601" spans="1:18" x14ac:dyDescent="0.25">
      <c r="A1601" s="169">
        <v>44363</v>
      </c>
      <c r="B1601" s="115">
        <v>1052.6600000000001</v>
      </c>
      <c r="C1601" s="115">
        <v>1046.21</v>
      </c>
      <c r="D1601" s="115">
        <v>1041.9100000000001</v>
      </c>
      <c r="E1601" s="115">
        <v>1050.07</v>
      </c>
      <c r="F1601" s="115">
        <v>5231.05</v>
      </c>
      <c r="G1601">
        <v>132</v>
      </c>
      <c r="H1601" s="115"/>
      <c r="I1601" s="115"/>
      <c r="L1601" s="169">
        <v>44364</v>
      </c>
      <c r="M1601" s="115">
        <v>1063.03</v>
      </c>
      <c r="N1601" s="115">
        <v>1065</v>
      </c>
      <c r="O1601" s="115">
        <v>1034.48</v>
      </c>
      <c r="P1601" s="115">
        <v>1045.74</v>
      </c>
      <c r="Q1601" s="115">
        <v>5315.15</v>
      </c>
      <c r="R1601">
        <v>20574</v>
      </c>
    </row>
    <row r="1602" spans="1:18" x14ac:dyDescent="0.25">
      <c r="A1602" s="169">
        <v>44364</v>
      </c>
      <c r="B1602" s="115">
        <v>1065</v>
      </c>
      <c r="C1602" s="115">
        <v>1061.26</v>
      </c>
      <c r="D1602" s="115">
        <v>1034.5899999999999</v>
      </c>
      <c r="E1602" s="115">
        <v>1045.97</v>
      </c>
      <c r="F1602" s="115">
        <v>5306.3</v>
      </c>
      <c r="G1602">
        <v>488</v>
      </c>
      <c r="H1602" s="115"/>
      <c r="I1602" s="115"/>
      <c r="L1602" s="169">
        <v>44365</v>
      </c>
      <c r="M1602" s="115">
        <v>1059.3800000000001</v>
      </c>
      <c r="N1602" s="115">
        <v>1066.3900000000001</v>
      </c>
      <c r="O1602" s="115">
        <v>1041.26</v>
      </c>
      <c r="P1602" s="115">
        <v>1062</v>
      </c>
      <c r="Q1602" s="115">
        <v>5296.9</v>
      </c>
      <c r="R1602">
        <v>10143</v>
      </c>
    </row>
    <row r="1603" spans="1:18" x14ac:dyDescent="0.25">
      <c r="A1603" s="169">
        <v>44365</v>
      </c>
      <c r="B1603" s="115">
        <v>1064.8599999999999</v>
      </c>
      <c r="C1603" s="115">
        <v>1059.71</v>
      </c>
      <c r="D1603" s="115">
        <v>1039.75</v>
      </c>
      <c r="E1603" s="115">
        <v>1064.8599999999999</v>
      </c>
      <c r="F1603" s="115">
        <v>5298.55</v>
      </c>
      <c r="G1603">
        <v>466</v>
      </c>
      <c r="H1603" s="115"/>
      <c r="I1603" s="115"/>
      <c r="L1603" s="169">
        <v>44368</v>
      </c>
      <c r="M1603" s="115">
        <v>1053.98</v>
      </c>
      <c r="N1603" s="115">
        <v>1059.3800000000001</v>
      </c>
      <c r="O1603" s="115">
        <v>1041.21</v>
      </c>
      <c r="P1603" s="115">
        <v>1059.3800000000001</v>
      </c>
      <c r="Q1603" s="115">
        <v>5269.9</v>
      </c>
      <c r="R1603">
        <v>7759</v>
      </c>
    </row>
    <row r="1604" spans="1:18" x14ac:dyDescent="0.25">
      <c r="A1604" s="169">
        <v>44368</v>
      </c>
      <c r="B1604" s="115">
        <v>1056.07</v>
      </c>
      <c r="C1604" s="115">
        <v>1047.8399999999999</v>
      </c>
      <c r="D1604" s="115">
        <v>1043.6300000000001</v>
      </c>
      <c r="E1604" s="115">
        <v>1052.71</v>
      </c>
      <c r="F1604" s="115">
        <v>5239.2</v>
      </c>
      <c r="G1604">
        <v>225</v>
      </c>
      <c r="H1604" s="115"/>
      <c r="I1604" s="115"/>
      <c r="L1604" s="169">
        <v>44369</v>
      </c>
      <c r="M1604" s="115">
        <v>1061.4100000000001</v>
      </c>
      <c r="N1604" s="115">
        <v>1090</v>
      </c>
      <c r="O1604" s="115">
        <v>1043.03</v>
      </c>
      <c r="P1604" s="115">
        <v>1048.4000000000001</v>
      </c>
      <c r="Q1604" s="115">
        <v>5307.05</v>
      </c>
      <c r="R1604">
        <v>14515</v>
      </c>
    </row>
    <row r="1605" spans="1:18" x14ac:dyDescent="0.25">
      <c r="A1605" s="169">
        <v>44369</v>
      </c>
      <c r="B1605" s="115">
        <v>1075.71</v>
      </c>
      <c r="C1605" s="115">
        <v>1062.55</v>
      </c>
      <c r="D1605" s="115">
        <v>1047.8</v>
      </c>
      <c r="E1605" s="115">
        <v>1056.55</v>
      </c>
      <c r="F1605" s="115">
        <v>5312.75</v>
      </c>
      <c r="G1605">
        <v>379</v>
      </c>
      <c r="H1605" s="115"/>
      <c r="I1605" s="115"/>
      <c r="L1605" s="169">
        <v>44370</v>
      </c>
      <c r="M1605" s="115">
        <v>1075.21</v>
      </c>
      <c r="N1605" s="115">
        <v>1081.24</v>
      </c>
      <c r="O1605" s="115">
        <v>1052</v>
      </c>
      <c r="P1605" s="115">
        <v>1069.19</v>
      </c>
      <c r="Q1605" s="115">
        <v>5376.05</v>
      </c>
      <c r="R1605">
        <v>11865</v>
      </c>
    </row>
    <row r="1606" spans="1:18" x14ac:dyDescent="0.25">
      <c r="A1606" s="169">
        <v>44370</v>
      </c>
      <c r="B1606" s="115">
        <v>1080</v>
      </c>
      <c r="C1606" s="115">
        <v>1074.8499999999999</v>
      </c>
      <c r="D1606" s="115">
        <v>1053.49</v>
      </c>
      <c r="E1606" s="115">
        <v>1069.23</v>
      </c>
      <c r="F1606" s="115">
        <v>5374.25</v>
      </c>
      <c r="G1606">
        <v>441</v>
      </c>
      <c r="H1606" s="115"/>
      <c r="I1606" s="115"/>
      <c r="L1606" s="169">
        <v>44371</v>
      </c>
      <c r="M1606" s="115">
        <v>1091.3800000000001</v>
      </c>
      <c r="N1606" s="115">
        <v>1098.2</v>
      </c>
      <c r="O1606" s="115">
        <v>1061.07</v>
      </c>
      <c r="P1606" s="115">
        <v>1085.1099999999999</v>
      </c>
      <c r="Q1606" s="115">
        <v>5456.9</v>
      </c>
      <c r="R1606">
        <v>12421</v>
      </c>
    </row>
    <row r="1607" spans="1:18" x14ac:dyDescent="0.25">
      <c r="A1607" s="169">
        <v>44371</v>
      </c>
      <c r="B1607" s="115">
        <v>1093</v>
      </c>
      <c r="C1607" s="115">
        <v>1089.1099999999999</v>
      </c>
      <c r="D1607" s="115">
        <v>1066.8</v>
      </c>
      <c r="E1607" s="115">
        <v>1084.76</v>
      </c>
      <c r="F1607" s="115">
        <v>5445.55</v>
      </c>
      <c r="G1607">
        <v>303</v>
      </c>
      <c r="H1607" s="115"/>
      <c r="I1607" s="115"/>
      <c r="L1607" s="169">
        <v>44372</v>
      </c>
      <c r="M1607" s="115">
        <v>1120.9100000000001</v>
      </c>
      <c r="N1607" s="115">
        <v>1125.23</v>
      </c>
      <c r="O1607" s="115">
        <v>1084</v>
      </c>
      <c r="P1607" s="115">
        <v>1098</v>
      </c>
      <c r="Q1607" s="115">
        <v>5604.55</v>
      </c>
      <c r="R1607">
        <v>21291</v>
      </c>
    </row>
    <row r="1608" spans="1:18" x14ac:dyDescent="0.25">
      <c r="A1608" s="169">
        <v>44372</v>
      </c>
      <c r="B1608" s="115">
        <v>1125</v>
      </c>
      <c r="C1608" s="115">
        <v>1120.56</v>
      </c>
      <c r="D1608" s="115">
        <v>1086.54</v>
      </c>
      <c r="E1608" s="115">
        <v>1086.54</v>
      </c>
      <c r="F1608" s="115">
        <v>5602.8</v>
      </c>
      <c r="G1608">
        <v>451</v>
      </c>
      <c r="H1608" s="115"/>
      <c r="I1608" s="115"/>
      <c r="L1608" s="169">
        <v>44375</v>
      </c>
      <c r="M1608" s="115">
        <v>1130.6600000000001</v>
      </c>
      <c r="N1608" s="115">
        <v>1149.5899999999999</v>
      </c>
      <c r="O1608" s="115">
        <v>1127.5999999999999</v>
      </c>
      <c r="P1608" s="115">
        <v>1140.05</v>
      </c>
      <c r="Q1608" s="115">
        <v>5653.3</v>
      </c>
      <c r="R1608">
        <v>13958</v>
      </c>
    </row>
    <row r="1609" spans="1:18" x14ac:dyDescent="0.25">
      <c r="A1609" s="169">
        <v>44375</v>
      </c>
      <c r="B1609" s="115">
        <v>1149</v>
      </c>
      <c r="C1609" s="115">
        <v>1131.93</v>
      </c>
      <c r="D1609" s="115">
        <v>1121.2</v>
      </c>
      <c r="E1609" s="115">
        <v>1121.2</v>
      </c>
      <c r="F1609" s="115">
        <v>5659.65</v>
      </c>
      <c r="G1609">
        <v>282</v>
      </c>
      <c r="H1609" s="115"/>
      <c r="I1609" s="115"/>
      <c r="L1609" s="169">
        <v>44376</v>
      </c>
      <c r="M1609" s="115">
        <v>1110.06</v>
      </c>
      <c r="N1609" s="115">
        <v>1138.02</v>
      </c>
      <c r="O1609" s="115">
        <v>1090</v>
      </c>
      <c r="P1609" s="115">
        <v>1121.53</v>
      </c>
      <c r="Q1609" s="115">
        <v>5550.3</v>
      </c>
      <c r="R1609">
        <v>9081</v>
      </c>
    </row>
    <row r="1610" spans="1:18" x14ac:dyDescent="0.25">
      <c r="A1610" s="169">
        <v>44376</v>
      </c>
      <c r="B1610" s="115">
        <v>1137.1099999999999</v>
      </c>
      <c r="C1610" s="115">
        <v>1108.77</v>
      </c>
      <c r="D1610" s="115">
        <v>1090</v>
      </c>
      <c r="E1610" s="115">
        <v>1134</v>
      </c>
      <c r="F1610" s="115">
        <v>5543.85</v>
      </c>
      <c r="G1610">
        <v>659</v>
      </c>
      <c r="H1610" s="115"/>
      <c r="I1610" s="115"/>
      <c r="L1610" s="169">
        <v>44377</v>
      </c>
      <c r="M1610" s="115">
        <v>1126.8800000000001</v>
      </c>
      <c r="N1610" s="115">
        <v>1140</v>
      </c>
      <c r="O1610" s="115">
        <v>1095.1099999999999</v>
      </c>
      <c r="P1610" s="115">
        <v>1117.99</v>
      </c>
      <c r="Q1610" s="115">
        <v>5634.4</v>
      </c>
      <c r="R1610">
        <v>13748</v>
      </c>
    </row>
    <row r="1611" spans="1:18" x14ac:dyDescent="0.25">
      <c r="A1611" s="169">
        <v>44377</v>
      </c>
      <c r="B1611" s="115">
        <v>1139.98</v>
      </c>
      <c r="C1611" s="115">
        <v>1128.25</v>
      </c>
      <c r="D1611" s="115">
        <v>1097.94</v>
      </c>
      <c r="E1611" s="115">
        <v>1113.74</v>
      </c>
      <c r="F1611" s="115">
        <v>5641.25</v>
      </c>
      <c r="G1611">
        <v>481</v>
      </c>
      <c r="H1611" s="115"/>
      <c r="I1611" s="115"/>
      <c r="L1611" s="169">
        <v>44378</v>
      </c>
      <c r="M1611" s="115">
        <v>1108.96</v>
      </c>
      <c r="N1611" s="115">
        <v>1140</v>
      </c>
      <c r="O1611" s="115">
        <v>1097.2</v>
      </c>
      <c r="P1611" s="115">
        <v>1129.8</v>
      </c>
      <c r="Q1611" s="115">
        <v>5544.8</v>
      </c>
      <c r="R1611">
        <v>16197</v>
      </c>
    </row>
    <row r="1612" spans="1:18" x14ac:dyDescent="0.25">
      <c r="A1612" s="169">
        <v>44378</v>
      </c>
      <c r="B1612" s="115">
        <v>1141.77</v>
      </c>
      <c r="C1612" s="115">
        <v>1123.8800000000001</v>
      </c>
      <c r="D1612" s="115">
        <v>1097.79</v>
      </c>
      <c r="E1612" s="115">
        <v>1126.6600000000001</v>
      </c>
      <c r="F1612" s="115">
        <v>5619.4</v>
      </c>
      <c r="G1612">
        <v>500</v>
      </c>
      <c r="H1612" s="115"/>
      <c r="I1612" s="115"/>
      <c r="L1612" s="169">
        <v>44379</v>
      </c>
      <c r="M1612" s="115">
        <v>1117.07</v>
      </c>
      <c r="N1612" s="115">
        <v>1130.95</v>
      </c>
      <c r="O1612" s="115">
        <v>1101.22</v>
      </c>
      <c r="P1612" s="115">
        <v>1110.01</v>
      </c>
      <c r="Q1612" s="115">
        <v>5585.35</v>
      </c>
      <c r="R1612">
        <v>5929</v>
      </c>
    </row>
    <row r="1613" spans="1:18" x14ac:dyDescent="0.25">
      <c r="A1613" s="169">
        <v>44379</v>
      </c>
      <c r="B1613" s="115">
        <v>1142.21</v>
      </c>
      <c r="C1613" s="115">
        <v>1119.8699999999999</v>
      </c>
      <c r="D1613" s="115">
        <v>1103.8599999999999</v>
      </c>
      <c r="E1613" s="115">
        <v>1124.1099999999999</v>
      </c>
      <c r="F1613" s="115">
        <v>5599.35</v>
      </c>
      <c r="G1613">
        <v>1445</v>
      </c>
      <c r="H1613" s="115"/>
      <c r="I1613" s="115"/>
      <c r="L1613" s="169">
        <v>44382</v>
      </c>
      <c r="M1613" s="115">
        <v>1119.95</v>
      </c>
      <c r="N1613" s="115">
        <v>1132</v>
      </c>
      <c r="O1613" s="115">
        <v>1107.01</v>
      </c>
      <c r="P1613" s="115">
        <v>1113.44</v>
      </c>
      <c r="Q1613" s="115">
        <v>5599.75</v>
      </c>
      <c r="R1613">
        <v>5885</v>
      </c>
    </row>
    <row r="1614" spans="1:18" x14ac:dyDescent="0.25">
      <c r="A1614" s="169">
        <v>44382</v>
      </c>
      <c r="B1614" s="115">
        <v>1131.33</v>
      </c>
      <c r="C1614" s="115">
        <v>1120.48</v>
      </c>
      <c r="D1614" s="115">
        <v>1107.52</v>
      </c>
      <c r="E1614" s="115">
        <v>1118.58</v>
      </c>
      <c r="F1614" s="115">
        <v>5602.4</v>
      </c>
      <c r="G1614">
        <v>509</v>
      </c>
      <c r="H1614" s="115"/>
      <c r="I1614" s="115"/>
      <c r="L1614" s="169">
        <v>44383</v>
      </c>
      <c r="M1614" s="115">
        <v>1099.28</v>
      </c>
      <c r="N1614" s="115">
        <v>1127.75</v>
      </c>
      <c r="O1614" s="115">
        <v>1090.46</v>
      </c>
      <c r="P1614" s="115">
        <v>1119.99</v>
      </c>
      <c r="Q1614" s="115">
        <v>5496.4</v>
      </c>
      <c r="R1614">
        <v>6482</v>
      </c>
    </row>
    <row r="1615" spans="1:18" x14ac:dyDescent="0.25">
      <c r="A1615" s="169">
        <v>44383</v>
      </c>
      <c r="B1615" s="115">
        <v>1126.02</v>
      </c>
      <c r="C1615" s="115">
        <v>1098.4000000000001</v>
      </c>
      <c r="D1615" s="115">
        <v>1090.21</v>
      </c>
      <c r="E1615" s="115">
        <v>1118.6300000000001</v>
      </c>
      <c r="F1615" s="115">
        <v>5492</v>
      </c>
      <c r="G1615">
        <v>274</v>
      </c>
      <c r="H1615" s="115"/>
      <c r="I1615" s="115"/>
      <c r="L1615" s="169">
        <v>44384</v>
      </c>
      <c r="M1615" s="115">
        <v>1089.5899999999999</v>
      </c>
      <c r="N1615" s="115">
        <v>1104.97</v>
      </c>
      <c r="O1615" s="115">
        <v>1084</v>
      </c>
      <c r="P1615" s="115">
        <v>1099.2</v>
      </c>
      <c r="Q1615" s="115">
        <v>5447.95</v>
      </c>
      <c r="R1615">
        <v>6225</v>
      </c>
    </row>
    <row r="1616" spans="1:18" x14ac:dyDescent="0.25">
      <c r="A1616" s="169">
        <v>44384</v>
      </c>
      <c r="B1616" s="115">
        <v>1103.3599999999999</v>
      </c>
      <c r="C1616" s="115">
        <v>1090.74</v>
      </c>
      <c r="D1616" s="115">
        <v>1084.45</v>
      </c>
      <c r="E1616" s="115">
        <v>1103.3599999999999</v>
      </c>
      <c r="F1616" s="115">
        <v>5453.7</v>
      </c>
      <c r="G1616">
        <v>257</v>
      </c>
      <c r="H1616" s="115"/>
      <c r="I1616" s="115"/>
      <c r="L1616" s="169">
        <v>44385</v>
      </c>
      <c r="M1616" s="115">
        <v>1083.43</v>
      </c>
      <c r="N1616" s="115">
        <v>1095.99</v>
      </c>
      <c r="O1616" s="115">
        <v>1072</v>
      </c>
      <c r="P1616" s="115">
        <v>1090.44</v>
      </c>
      <c r="Q1616" s="115">
        <v>5417.15</v>
      </c>
      <c r="R1616">
        <v>10236</v>
      </c>
    </row>
    <row r="1617" spans="1:18" x14ac:dyDescent="0.25">
      <c r="A1617" s="169">
        <v>44385</v>
      </c>
      <c r="B1617" s="115">
        <v>1091.02</v>
      </c>
      <c r="C1617" s="115">
        <v>1084.25</v>
      </c>
      <c r="D1617" s="115">
        <v>1073.32</v>
      </c>
      <c r="E1617" s="115">
        <v>1089.5</v>
      </c>
      <c r="F1617" s="115">
        <v>5421.25</v>
      </c>
      <c r="G1617">
        <v>1138</v>
      </c>
      <c r="H1617" s="115"/>
      <c r="I1617" s="115"/>
      <c r="L1617" s="169">
        <v>44386</v>
      </c>
      <c r="M1617" s="115">
        <v>1071.8800000000001</v>
      </c>
      <c r="N1617" s="115">
        <v>1099.4000000000001</v>
      </c>
      <c r="O1617" s="115">
        <v>1068.0999999999999</v>
      </c>
      <c r="P1617" s="115">
        <v>1099.4000000000001</v>
      </c>
      <c r="Q1617" s="115">
        <v>5359.4</v>
      </c>
      <c r="R1617">
        <v>2478</v>
      </c>
    </row>
    <row r="1618" spans="1:18" x14ac:dyDescent="0.25">
      <c r="A1618" s="169">
        <v>44386</v>
      </c>
      <c r="B1618" s="115">
        <v>1088</v>
      </c>
      <c r="C1618" s="115">
        <v>1071.97</v>
      </c>
      <c r="D1618" s="115">
        <v>1069.2</v>
      </c>
      <c r="E1618" s="115">
        <v>1088</v>
      </c>
      <c r="F1618" s="115">
        <v>5359.85</v>
      </c>
      <c r="G1618">
        <v>198</v>
      </c>
      <c r="H1618" s="115"/>
      <c r="I1618" s="115"/>
      <c r="L1618" s="169">
        <v>44389</v>
      </c>
      <c r="M1618" s="115">
        <v>1078.76</v>
      </c>
      <c r="N1618" s="115">
        <v>1092.33</v>
      </c>
      <c r="O1618" s="115">
        <v>1063.06</v>
      </c>
      <c r="P1618" s="115">
        <v>1065.05</v>
      </c>
      <c r="Q1618" s="115">
        <v>5393.8</v>
      </c>
      <c r="R1618">
        <v>2796</v>
      </c>
    </row>
    <row r="1619" spans="1:18" x14ac:dyDescent="0.25">
      <c r="A1619" s="169">
        <v>44389</v>
      </c>
      <c r="B1619" s="115">
        <v>1090.73</v>
      </c>
      <c r="C1619" s="115">
        <v>1076.0899999999999</v>
      </c>
      <c r="D1619" s="115">
        <v>1068.3900000000001</v>
      </c>
      <c r="E1619" s="115">
        <v>1075.48</v>
      </c>
      <c r="F1619" s="115">
        <v>5380.45</v>
      </c>
      <c r="G1619">
        <v>374</v>
      </c>
      <c r="H1619" s="115"/>
      <c r="I1619" s="115"/>
      <c r="L1619" s="169">
        <v>44390</v>
      </c>
      <c r="M1619" s="115">
        <v>1089.3900000000001</v>
      </c>
      <c r="N1619" s="115">
        <v>1110</v>
      </c>
      <c r="O1619" s="115">
        <v>1078.22</v>
      </c>
      <c r="P1619" s="115">
        <v>1078.22</v>
      </c>
      <c r="Q1619" s="115">
        <v>5446.95</v>
      </c>
      <c r="R1619">
        <v>5525</v>
      </c>
    </row>
    <row r="1620" spans="1:18" x14ac:dyDescent="0.25">
      <c r="A1620" s="169">
        <v>44390</v>
      </c>
      <c r="B1620" s="115">
        <v>1110</v>
      </c>
      <c r="C1620" s="115">
        <v>1090.94</v>
      </c>
      <c r="D1620" s="115">
        <v>1080</v>
      </c>
      <c r="E1620" s="115">
        <v>1080.01</v>
      </c>
      <c r="F1620" s="115">
        <v>5454.7</v>
      </c>
      <c r="G1620">
        <v>388</v>
      </c>
      <c r="H1620" s="115"/>
      <c r="I1620" s="115"/>
      <c r="L1620" s="169">
        <v>44391</v>
      </c>
      <c r="M1620" s="115">
        <v>1081.06</v>
      </c>
      <c r="N1620" s="115">
        <v>1109.8</v>
      </c>
      <c r="O1620" s="115">
        <v>1073.32</v>
      </c>
      <c r="P1620" s="115">
        <v>1100</v>
      </c>
      <c r="Q1620" s="115">
        <v>5405.3</v>
      </c>
      <c r="R1620">
        <v>4750</v>
      </c>
    </row>
    <row r="1621" spans="1:18" x14ac:dyDescent="0.25">
      <c r="A1621" s="169">
        <v>44391</v>
      </c>
      <c r="B1621" s="115">
        <v>1107.56</v>
      </c>
      <c r="C1621" s="115">
        <v>1081.71</v>
      </c>
      <c r="D1621" s="115">
        <v>1078.19</v>
      </c>
      <c r="E1621" s="115">
        <v>1093.94</v>
      </c>
      <c r="F1621" s="115">
        <v>5408.55</v>
      </c>
      <c r="G1621">
        <v>300</v>
      </c>
      <c r="H1621" s="115"/>
      <c r="I1621" s="115"/>
      <c r="L1621" s="169">
        <v>44392</v>
      </c>
      <c r="M1621" s="115">
        <v>1084.8499999999999</v>
      </c>
      <c r="N1621" s="115">
        <v>1101.2</v>
      </c>
      <c r="O1621" s="115">
        <v>1082</v>
      </c>
      <c r="P1621" s="115">
        <v>1084</v>
      </c>
      <c r="Q1621" s="115">
        <v>5424.25</v>
      </c>
      <c r="R1621">
        <v>4044</v>
      </c>
    </row>
    <row r="1622" spans="1:18" x14ac:dyDescent="0.25">
      <c r="A1622" s="169">
        <v>44392</v>
      </c>
      <c r="B1622" s="115">
        <v>1100</v>
      </c>
      <c r="C1622" s="115">
        <v>1084.48</v>
      </c>
      <c r="D1622" s="115">
        <v>1082.21</v>
      </c>
      <c r="E1622" s="115">
        <v>1087.01</v>
      </c>
      <c r="F1622" s="115">
        <v>5422.4</v>
      </c>
      <c r="G1622">
        <v>152</v>
      </c>
      <c r="H1622" s="115"/>
      <c r="I1622" s="115"/>
      <c r="L1622" s="169">
        <v>44393</v>
      </c>
      <c r="M1622" s="115">
        <v>1080.49</v>
      </c>
      <c r="N1622" s="115">
        <v>1096.29</v>
      </c>
      <c r="O1622" s="115">
        <v>1066.45</v>
      </c>
      <c r="P1622" s="115">
        <v>1096.26</v>
      </c>
      <c r="Q1622" s="115">
        <v>5402.45</v>
      </c>
      <c r="R1622">
        <v>8724</v>
      </c>
    </row>
    <row r="1623" spans="1:18" x14ac:dyDescent="0.25">
      <c r="A1623" s="169">
        <v>44393</v>
      </c>
      <c r="B1623" s="115">
        <v>1091.3599999999999</v>
      </c>
      <c r="C1623" s="115">
        <v>1080.56</v>
      </c>
      <c r="D1623" s="115">
        <v>1066.6600000000001</v>
      </c>
      <c r="E1623" s="115">
        <v>1086.72</v>
      </c>
      <c r="F1623" s="115">
        <v>5402.8</v>
      </c>
      <c r="G1623">
        <v>435</v>
      </c>
      <c r="H1623" s="115"/>
      <c r="I1623" s="115"/>
      <c r="L1623" s="169">
        <v>44396</v>
      </c>
      <c r="M1623" s="115">
        <v>1091.3699999999999</v>
      </c>
      <c r="N1623" s="115">
        <v>1101</v>
      </c>
      <c r="O1623" s="115">
        <v>1064.07</v>
      </c>
      <c r="P1623" s="115">
        <v>1072.05</v>
      </c>
      <c r="Q1623" s="115">
        <v>5456.85</v>
      </c>
      <c r="R1623">
        <v>4588</v>
      </c>
    </row>
    <row r="1624" spans="1:18" x14ac:dyDescent="0.25">
      <c r="A1624" s="169">
        <v>44396</v>
      </c>
      <c r="B1624" s="115">
        <v>1102</v>
      </c>
      <c r="C1624" s="115">
        <v>1088.68</v>
      </c>
      <c r="D1624" s="115">
        <v>1065</v>
      </c>
      <c r="E1624" s="115">
        <v>1071.05</v>
      </c>
      <c r="F1624" s="115">
        <v>5443.4</v>
      </c>
      <c r="G1624">
        <v>490</v>
      </c>
      <c r="H1624" s="115"/>
      <c r="I1624" s="115"/>
      <c r="L1624" s="169">
        <v>44397</v>
      </c>
      <c r="M1624" s="115">
        <v>1080.1099999999999</v>
      </c>
      <c r="N1624" s="115">
        <v>1110</v>
      </c>
      <c r="O1624" s="115">
        <v>1075</v>
      </c>
      <c r="P1624" s="115">
        <v>1093.05</v>
      </c>
      <c r="Q1624" s="115">
        <v>5400.55</v>
      </c>
      <c r="R1624">
        <v>3345</v>
      </c>
    </row>
    <row r="1625" spans="1:18" x14ac:dyDescent="0.25">
      <c r="A1625" s="169">
        <v>44397</v>
      </c>
      <c r="B1625" s="115">
        <v>1100.52</v>
      </c>
      <c r="C1625" s="115">
        <v>1081.6500000000001</v>
      </c>
      <c r="D1625" s="115">
        <v>1075.76</v>
      </c>
      <c r="E1625" s="115">
        <v>1100.52</v>
      </c>
      <c r="F1625" s="115">
        <v>5408.25</v>
      </c>
      <c r="G1625">
        <v>175</v>
      </c>
      <c r="H1625" s="115"/>
      <c r="I1625" s="115"/>
      <c r="L1625" s="169">
        <v>44399</v>
      </c>
      <c r="M1625" s="115">
        <v>1162.1500000000001</v>
      </c>
      <c r="N1625" s="115">
        <v>1205</v>
      </c>
      <c r="O1625" s="115">
        <v>1106.8499999999999</v>
      </c>
      <c r="P1625" s="115">
        <v>1122</v>
      </c>
      <c r="Q1625" s="115">
        <v>5810.75</v>
      </c>
      <c r="R1625">
        <v>208732</v>
      </c>
    </row>
    <row r="1626" spans="1:18" x14ac:dyDescent="0.25">
      <c r="A1626" s="169">
        <v>44399</v>
      </c>
      <c r="B1626" s="115">
        <v>1202.33</v>
      </c>
      <c r="C1626" s="115">
        <v>1164.23</v>
      </c>
      <c r="D1626" s="115">
        <v>1095.76</v>
      </c>
      <c r="E1626" s="115">
        <v>1095.76</v>
      </c>
      <c r="F1626" s="115">
        <v>5821.15</v>
      </c>
      <c r="G1626">
        <v>29233</v>
      </c>
      <c r="H1626" s="115"/>
      <c r="I1626" s="115"/>
      <c r="L1626" s="169">
        <v>44400</v>
      </c>
      <c r="M1626" s="115">
        <v>1313.93</v>
      </c>
      <c r="N1626" s="115">
        <v>1377.4</v>
      </c>
      <c r="O1626" s="115">
        <v>1170</v>
      </c>
      <c r="P1626" s="115">
        <v>1193.8</v>
      </c>
      <c r="Q1626" s="115">
        <v>6569.65</v>
      </c>
      <c r="R1626">
        <v>400078</v>
      </c>
    </row>
    <row r="1627" spans="1:18" x14ac:dyDescent="0.25">
      <c r="A1627" s="169">
        <v>44400</v>
      </c>
      <c r="B1627" s="115">
        <v>1376.56</v>
      </c>
      <c r="C1627" s="115">
        <v>1313.71</v>
      </c>
      <c r="D1627" s="115">
        <v>1168.72</v>
      </c>
      <c r="E1627" s="115">
        <v>1187</v>
      </c>
      <c r="F1627" s="115">
        <v>6568.55</v>
      </c>
      <c r="G1627">
        <v>21892</v>
      </c>
      <c r="H1627" s="115"/>
      <c r="I1627" s="115"/>
      <c r="L1627" s="169">
        <v>44403</v>
      </c>
      <c r="M1627" s="115">
        <v>1372.26</v>
      </c>
      <c r="N1627" s="115">
        <v>1394.18</v>
      </c>
      <c r="O1627" s="115">
        <v>1320.01</v>
      </c>
      <c r="P1627" s="115">
        <v>1349</v>
      </c>
      <c r="Q1627" s="115">
        <v>6861.3</v>
      </c>
      <c r="R1627">
        <v>173842</v>
      </c>
    </row>
    <row r="1628" spans="1:18" x14ac:dyDescent="0.25">
      <c r="A1628" s="169">
        <v>44403</v>
      </c>
      <c r="B1628" s="115">
        <v>1391.27</v>
      </c>
      <c r="C1628" s="115">
        <v>1370.6</v>
      </c>
      <c r="D1628" s="115">
        <v>1330.65</v>
      </c>
      <c r="E1628" s="115">
        <v>1340</v>
      </c>
      <c r="F1628" s="115">
        <v>6853</v>
      </c>
      <c r="G1628">
        <v>7565</v>
      </c>
      <c r="H1628" s="115"/>
      <c r="I1628" s="115"/>
      <c r="L1628" s="169">
        <v>44404</v>
      </c>
      <c r="M1628" s="115">
        <v>1328.59</v>
      </c>
      <c r="N1628" s="115">
        <v>1397</v>
      </c>
      <c r="O1628" s="115">
        <v>1305.01</v>
      </c>
      <c r="P1628" s="115">
        <v>1389.57</v>
      </c>
      <c r="Q1628" s="115">
        <v>6642.95</v>
      </c>
      <c r="R1628">
        <v>51547</v>
      </c>
    </row>
    <row r="1629" spans="1:18" x14ac:dyDescent="0.25">
      <c r="A1629" s="169">
        <v>44404</v>
      </c>
      <c r="B1629" s="115">
        <v>1400</v>
      </c>
      <c r="C1629" s="115">
        <v>1329.69</v>
      </c>
      <c r="D1629" s="115">
        <v>1305.01</v>
      </c>
      <c r="E1629" s="115">
        <v>1377.4</v>
      </c>
      <c r="F1629" s="115">
        <v>6648.45</v>
      </c>
      <c r="G1629">
        <v>3183</v>
      </c>
      <c r="H1629" s="115"/>
      <c r="I1629" s="115"/>
      <c r="L1629" s="169">
        <v>44405</v>
      </c>
      <c r="M1629" s="115">
        <v>1364.66</v>
      </c>
      <c r="N1629" s="115">
        <v>1395.99</v>
      </c>
      <c r="O1629" s="115">
        <v>1304.8900000000001</v>
      </c>
      <c r="P1629" s="115">
        <v>1328.4</v>
      </c>
      <c r="Q1629" s="115">
        <v>6823.3</v>
      </c>
      <c r="R1629">
        <v>26493</v>
      </c>
    </row>
    <row r="1630" spans="1:18" x14ac:dyDescent="0.25">
      <c r="A1630" s="169">
        <v>44405</v>
      </c>
      <c r="B1630" s="115">
        <v>1393.79</v>
      </c>
      <c r="C1630" s="115">
        <v>1360.15</v>
      </c>
      <c r="D1630" s="115">
        <v>1298.3</v>
      </c>
      <c r="E1630" s="115">
        <v>1332</v>
      </c>
      <c r="F1630" s="115">
        <v>6800.75</v>
      </c>
      <c r="G1630">
        <v>2598</v>
      </c>
      <c r="H1630" s="115"/>
      <c r="I1630" s="115"/>
      <c r="L1630" s="169">
        <v>44406</v>
      </c>
      <c r="M1630" s="115">
        <v>1367.51</v>
      </c>
      <c r="N1630" s="115">
        <v>1380</v>
      </c>
      <c r="O1630" s="115">
        <v>1339.98</v>
      </c>
      <c r="P1630" s="115">
        <v>1370</v>
      </c>
      <c r="Q1630" s="115">
        <v>6837.55</v>
      </c>
      <c r="R1630">
        <v>7997</v>
      </c>
    </row>
    <row r="1631" spans="1:18" x14ac:dyDescent="0.25">
      <c r="A1631" s="169">
        <v>44406</v>
      </c>
      <c r="B1631" s="115">
        <v>1380</v>
      </c>
      <c r="C1631" s="115">
        <v>1367.45</v>
      </c>
      <c r="D1631" s="115">
        <v>1342.02</v>
      </c>
      <c r="E1631" s="115">
        <v>1372</v>
      </c>
      <c r="F1631" s="115">
        <v>6837.25</v>
      </c>
      <c r="G1631">
        <v>446</v>
      </c>
      <c r="H1631" s="115"/>
      <c r="I1631" s="115"/>
      <c r="L1631" s="169">
        <v>44407</v>
      </c>
      <c r="M1631" s="115">
        <v>1372.66</v>
      </c>
      <c r="N1631" s="115">
        <v>1433.2</v>
      </c>
      <c r="O1631" s="115">
        <v>1333.8</v>
      </c>
      <c r="P1631" s="115">
        <v>1367.51</v>
      </c>
      <c r="Q1631" s="115">
        <v>6863.3</v>
      </c>
      <c r="R1631">
        <v>21543</v>
      </c>
    </row>
    <row r="1632" spans="1:18" x14ac:dyDescent="0.25">
      <c r="A1632" s="169">
        <v>44407</v>
      </c>
      <c r="B1632" s="115">
        <v>1430.08</v>
      </c>
      <c r="C1632" s="115">
        <v>1384.79</v>
      </c>
      <c r="D1632" s="115">
        <v>1336</v>
      </c>
      <c r="E1632" s="115">
        <v>1361.39</v>
      </c>
      <c r="F1632" s="115">
        <v>6923.95</v>
      </c>
      <c r="G1632">
        <v>1430</v>
      </c>
      <c r="H1632" s="115"/>
      <c r="I1632" s="115"/>
      <c r="L1632" s="169">
        <v>44410</v>
      </c>
      <c r="M1632" s="115">
        <v>1362.21</v>
      </c>
      <c r="N1632" s="115">
        <v>1396</v>
      </c>
      <c r="O1632" s="115">
        <v>1342.2</v>
      </c>
      <c r="P1632" s="115">
        <v>1396</v>
      </c>
      <c r="Q1632" s="115">
        <v>6811.05</v>
      </c>
      <c r="R1632">
        <v>10970</v>
      </c>
    </row>
    <row r="1633" spans="1:18" x14ac:dyDescent="0.25">
      <c r="A1633" s="169">
        <v>44410</v>
      </c>
      <c r="B1633" s="115">
        <v>1391.04</v>
      </c>
      <c r="C1633" s="115">
        <v>1357.62</v>
      </c>
      <c r="D1633" s="115">
        <v>1345.14</v>
      </c>
      <c r="E1633" s="115">
        <v>1377</v>
      </c>
      <c r="F1633" s="115">
        <v>6788.1</v>
      </c>
      <c r="G1633">
        <v>969</v>
      </c>
      <c r="H1633" s="115"/>
      <c r="I1633" s="115"/>
      <c r="L1633" s="169">
        <v>44411</v>
      </c>
      <c r="M1633" s="115">
        <v>1373.99</v>
      </c>
      <c r="N1633" s="115">
        <v>1399</v>
      </c>
      <c r="O1633" s="115">
        <v>1356.51</v>
      </c>
      <c r="P1633" s="115">
        <v>1365.01</v>
      </c>
      <c r="Q1633" s="115">
        <v>6869.95</v>
      </c>
      <c r="R1633">
        <v>9841</v>
      </c>
    </row>
    <row r="1634" spans="1:18" x14ac:dyDescent="0.25">
      <c r="A1634" s="169">
        <v>44411</v>
      </c>
      <c r="B1634" s="115">
        <v>1390.77</v>
      </c>
      <c r="C1634" s="115">
        <v>1373.5</v>
      </c>
      <c r="D1634" s="115">
        <v>1359.5</v>
      </c>
      <c r="E1634" s="115">
        <v>1379.84</v>
      </c>
      <c r="F1634" s="115">
        <v>6867.5</v>
      </c>
      <c r="G1634">
        <v>705</v>
      </c>
      <c r="H1634" s="115"/>
      <c r="I1634" s="115"/>
      <c r="L1634" s="169">
        <v>44412</v>
      </c>
      <c r="M1634" s="115">
        <v>1372.4</v>
      </c>
      <c r="N1634" s="115">
        <v>1410</v>
      </c>
      <c r="O1634" s="115">
        <v>1366.2</v>
      </c>
      <c r="P1634" s="115">
        <v>1385.4</v>
      </c>
      <c r="Q1634" s="115">
        <v>6862</v>
      </c>
      <c r="R1634">
        <v>9777</v>
      </c>
    </row>
    <row r="1635" spans="1:18" x14ac:dyDescent="0.25">
      <c r="A1635" s="169">
        <v>44412</v>
      </c>
      <c r="B1635" s="115">
        <v>1410.5</v>
      </c>
      <c r="C1635" s="115">
        <v>1370.16</v>
      </c>
      <c r="D1635" s="115">
        <v>1367.61</v>
      </c>
      <c r="E1635" s="115">
        <v>1388.35</v>
      </c>
      <c r="F1635" s="115">
        <v>6850.8</v>
      </c>
      <c r="G1635">
        <v>694</v>
      </c>
      <c r="H1635" s="115"/>
      <c r="I1635" s="115"/>
      <c r="L1635" s="169">
        <v>44413</v>
      </c>
      <c r="M1635" s="115">
        <v>1360.43</v>
      </c>
      <c r="N1635" s="115">
        <v>1399.98</v>
      </c>
      <c r="O1635" s="115">
        <v>1356.2</v>
      </c>
      <c r="P1635" s="115">
        <v>1373.99</v>
      </c>
      <c r="Q1635" s="115">
        <v>6802.15</v>
      </c>
      <c r="R1635">
        <v>5665</v>
      </c>
    </row>
    <row r="1636" spans="1:18" x14ac:dyDescent="0.25">
      <c r="A1636" s="169">
        <v>44413</v>
      </c>
      <c r="B1636" s="115">
        <v>1377.02</v>
      </c>
      <c r="C1636" s="115">
        <v>1360.35</v>
      </c>
      <c r="D1636" s="115">
        <v>1356.06</v>
      </c>
      <c r="E1636" s="115">
        <v>1370.25</v>
      </c>
      <c r="F1636" s="115">
        <v>6801.75</v>
      </c>
      <c r="G1636">
        <v>161</v>
      </c>
      <c r="H1636" s="115"/>
      <c r="I1636" s="115"/>
      <c r="L1636" s="169">
        <v>44414</v>
      </c>
      <c r="M1636" s="115">
        <v>1360.63</v>
      </c>
      <c r="N1636" s="115">
        <v>1385.95</v>
      </c>
      <c r="O1636" s="115">
        <v>1352.36</v>
      </c>
      <c r="P1636" s="115">
        <v>1360.4</v>
      </c>
      <c r="Q1636" s="115">
        <v>6803.15</v>
      </c>
      <c r="R1636">
        <v>10123</v>
      </c>
    </row>
    <row r="1637" spans="1:18" x14ac:dyDescent="0.25">
      <c r="A1637" s="169">
        <v>44414</v>
      </c>
      <c r="B1637" s="115">
        <v>1387.19</v>
      </c>
      <c r="C1637" s="115">
        <v>1358.89</v>
      </c>
      <c r="D1637" s="115">
        <v>1357.52</v>
      </c>
      <c r="E1637" s="115">
        <v>1357.52</v>
      </c>
      <c r="F1637" s="115">
        <v>6794.45</v>
      </c>
      <c r="G1637">
        <v>461</v>
      </c>
      <c r="H1637" s="115"/>
      <c r="I1637" s="115"/>
      <c r="L1637" s="169">
        <v>44417</v>
      </c>
      <c r="M1637" s="115">
        <v>1341.59</v>
      </c>
      <c r="N1637" s="115">
        <v>1387</v>
      </c>
      <c r="O1637" s="115">
        <v>1338.2</v>
      </c>
      <c r="P1637" s="115">
        <v>1387</v>
      </c>
      <c r="Q1637" s="115">
        <v>6707.95</v>
      </c>
      <c r="R1637">
        <v>10564</v>
      </c>
    </row>
    <row r="1638" spans="1:18" x14ac:dyDescent="0.25">
      <c r="A1638" s="169">
        <v>44417</v>
      </c>
      <c r="B1638" s="115">
        <v>1377.82</v>
      </c>
      <c r="C1638" s="115">
        <v>1341.53</v>
      </c>
      <c r="D1638" s="115">
        <v>1339.49</v>
      </c>
      <c r="E1638" s="115">
        <v>1377.82</v>
      </c>
      <c r="F1638" s="115">
        <v>6707.65</v>
      </c>
      <c r="G1638">
        <v>343</v>
      </c>
      <c r="H1638" s="115"/>
      <c r="I1638" s="115"/>
      <c r="L1638" s="169">
        <v>44418</v>
      </c>
      <c r="M1638" s="115">
        <v>1344.6</v>
      </c>
      <c r="N1638" s="115">
        <v>1357.01</v>
      </c>
      <c r="O1638" s="115">
        <v>1335.01</v>
      </c>
      <c r="P1638" s="115">
        <v>1350.2</v>
      </c>
      <c r="Q1638" s="115">
        <v>6723</v>
      </c>
      <c r="R1638">
        <v>4410</v>
      </c>
    </row>
    <row r="1639" spans="1:18" x14ac:dyDescent="0.25">
      <c r="A1639" s="169">
        <v>44418</v>
      </c>
      <c r="B1639" s="115">
        <v>1357.61</v>
      </c>
      <c r="C1639" s="115">
        <v>1342.51</v>
      </c>
      <c r="D1639" s="115">
        <v>1334.37</v>
      </c>
      <c r="E1639" s="115">
        <v>1351.45</v>
      </c>
      <c r="F1639" s="115">
        <v>6712.55</v>
      </c>
      <c r="G1639">
        <v>232</v>
      </c>
      <c r="H1639" s="115"/>
      <c r="I1639" s="115"/>
      <c r="L1639" s="169">
        <v>44419</v>
      </c>
      <c r="M1639" s="115">
        <v>1341.97</v>
      </c>
      <c r="N1639" s="115">
        <v>1370</v>
      </c>
      <c r="O1639" s="115">
        <v>1285.21</v>
      </c>
      <c r="P1639" s="115">
        <v>1368</v>
      </c>
      <c r="Q1639" s="115">
        <v>6709.85</v>
      </c>
      <c r="R1639">
        <v>20249</v>
      </c>
    </row>
    <row r="1640" spans="1:18" x14ac:dyDescent="0.25">
      <c r="A1640" s="169">
        <v>44419</v>
      </c>
      <c r="B1640" s="115">
        <v>1357.31</v>
      </c>
      <c r="C1640" s="115">
        <v>1339.25</v>
      </c>
      <c r="D1640" s="115">
        <v>1285.5</v>
      </c>
      <c r="E1640" s="115">
        <v>1353.23</v>
      </c>
      <c r="F1640" s="115">
        <v>6696.25</v>
      </c>
      <c r="G1640">
        <v>621</v>
      </c>
      <c r="H1640" s="115"/>
      <c r="I1640" s="115"/>
      <c r="L1640" s="169">
        <v>44420</v>
      </c>
      <c r="M1640" s="115">
        <v>1342.44</v>
      </c>
      <c r="N1640" s="115">
        <v>1364.02</v>
      </c>
      <c r="O1640" s="115">
        <v>1330</v>
      </c>
      <c r="P1640" s="115">
        <v>1363.6</v>
      </c>
      <c r="Q1640" s="115">
        <v>6712.2</v>
      </c>
      <c r="R1640">
        <v>8750</v>
      </c>
    </row>
    <row r="1641" spans="1:18" x14ac:dyDescent="0.25">
      <c r="A1641" s="169">
        <v>44420</v>
      </c>
      <c r="B1641" s="115">
        <v>1359.52</v>
      </c>
      <c r="C1641" s="115">
        <v>1343.72</v>
      </c>
      <c r="D1641" s="115">
        <v>1333</v>
      </c>
      <c r="E1641" s="115">
        <v>1347.71</v>
      </c>
      <c r="F1641" s="115">
        <v>6718.6</v>
      </c>
      <c r="G1641">
        <v>293</v>
      </c>
      <c r="H1641" s="115"/>
      <c r="I1641" s="115"/>
      <c r="L1641" s="169">
        <v>44421</v>
      </c>
      <c r="M1641" s="115">
        <v>1363.17</v>
      </c>
      <c r="N1641" s="115">
        <v>1391.2</v>
      </c>
      <c r="O1641" s="115">
        <v>1337.08</v>
      </c>
      <c r="P1641" s="115">
        <v>1343.34</v>
      </c>
      <c r="Q1641" s="115">
        <v>6815.85</v>
      </c>
      <c r="R1641">
        <v>14244</v>
      </c>
    </row>
    <row r="1642" spans="1:18" x14ac:dyDescent="0.25">
      <c r="A1642" s="169">
        <v>44421</v>
      </c>
      <c r="B1642" s="115">
        <v>1390.62</v>
      </c>
      <c r="C1642" s="115">
        <v>1360.88</v>
      </c>
      <c r="D1642" s="115">
        <v>1339.9</v>
      </c>
      <c r="E1642" s="115">
        <v>1354.78</v>
      </c>
      <c r="F1642" s="115">
        <v>6804.4</v>
      </c>
      <c r="G1642">
        <v>589</v>
      </c>
      <c r="H1642" s="115"/>
      <c r="I1642" s="115"/>
      <c r="L1642" s="169">
        <v>44424</v>
      </c>
      <c r="M1642" s="115">
        <v>1359.11</v>
      </c>
      <c r="N1642" s="115">
        <v>1371.68</v>
      </c>
      <c r="O1642" s="115">
        <v>1349</v>
      </c>
      <c r="P1642" s="115">
        <v>1350.21</v>
      </c>
      <c r="Q1642" s="115">
        <v>6795.55</v>
      </c>
      <c r="R1642">
        <v>8047</v>
      </c>
    </row>
    <row r="1643" spans="1:18" x14ac:dyDescent="0.25">
      <c r="A1643" s="169">
        <v>44424</v>
      </c>
      <c r="B1643" s="115">
        <v>1366.79</v>
      </c>
      <c r="C1643" s="115">
        <v>1359.43</v>
      </c>
      <c r="D1643" s="115">
        <v>1350.89</v>
      </c>
      <c r="E1643" s="115">
        <v>1350.89</v>
      </c>
      <c r="F1643" s="115">
        <v>6797.15</v>
      </c>
      <c r="G1643">
        <v>347</v>
      </c>
      <c r="H1643" s="115"/>
      <c r="I1643" s="115"/>
      <c r="L1643" s="169">
        <v>44425</v>
      </c>
      <c r="M1643" s="115">
        <v>1358.84</v>
      </c>
      <c r="N1643" s="115">
        <v>1372</v>
      </c>
      <c r="O1643" s="115">
        <v>1317.76</v>
      </c>
      <c r="P1643" s="115">
        <v>1350.03</v>
      </c>
      <c r="Q1643" s="115">
        <v>6794.2</v>
      </c>
      <c r="R1643">
        <v>5679</v>
      </c>
    </row>
    <row r="1644" spans="1:18" x14ac:dyDescent="0.25">
      <c r="A1644" s="169">
        <v>44425</v>
      </c>
      <c r="B1644" s="115">
        <v>1370</v>
      </c>
      <c r="C1644" s="115">
        <v>1359.45</v>
      </c>
      <c r="D1644" s="115">
        <v>1329.23</v>
      </c>
      <c r="E1644" s="115">
        <v>1358.76</v>
      </c>
      <c r="F1644" s="115">
        <v>6797.25</v>
      </c>
      <c r="G1644">
        <v>529</v>
      </c>
      <c r="H1644" s="115"/>
      <c r="I1644" s="115"/>
      <c r="L1644" s="169">
        <v>44426</v>
      </c>
      <c r="M1644" s="115">
        <v>1361.66</v>
      </c>
      <c r="N1644" s="115">
        <v>1379.73</v>
      </c>
      <c r="O1644" s="115">
        <v>1340</v>
      </c>
      <c r="P1644" s="115">
        <v>1360.2</v>
      </c>
      <c r="Q1644" s="115">
        <v>6808.3</v>
      </c>
      <c r="R1644">
        <v>11103</v>
      </c>
    </row>
    <row r="1645" spans="1:18" x14ac:dyDescent="0.25">
      <c r="A1645" s="169">
        <v>44426</v>
      </c>
      <c r="B1645" s="115">
        <v>1377.14</v>
      </c>
      <c r="C1645" s="115">
        <v>1360.57</v>
      </c>
      <c r="D1645" s="115">
        <v>1339.4</v>
      </c>
      <c r="E1645" s="115">
        <v>1361.25</v>
      </c>
      <c r="F1645" s="115">
        <v>6802.85</v>
      </c>
      <c r="G1645">
        <v>633</v>
      </c>
      <c r="H1645" s="115"/>
      <c r="I1645" s="115"/>
      <c r="L1645" s="169">
        <v>44428</v>
      </c>
      <c r="M1645" s="115">
        <v>1363.18</v>
      </c>
      <c r="N1645" s="115">
        <v>1368.95</v>
      </c>
      <c r="O1645" s="115">
        <v>1344</v>
      </c>
      <c r="P1645" s="115">
        <v>1356.01</v>
      </c>
      <c r="Q1645" s="115">
        <v>6815.9</v>
      </c>
      <c r="R1645">
        <v>4053</v>
      </c>
    </row>
    <row r="1646" spans="1:18" x14ac:dyDescent="0.25">
      <c r="A1646" s="169">
        <v>44428</v>
      </c>
      <c r="B1646" s="115">
        <v>1368.19</v>
      </c>
      <c r="C1646" s="115">
        <v>1363.71</v>
      </c>
      <c r="D1646" s="115">
        <v>1345</v>
      </c>
      <c r="E1646" s="115">
        <v>1358.81</v>
      </c>
      <c r="F1646" s="115">
        <v>6818.55</v>
      </c>
      <c r="G1646">
        <v>412</v>
      </c>
      <c r="H1646" s="115"/>
      <c r="I1646" s="115"/>
      <c r="L1646" s="169">
        <v>44431</v>
      </c>
      <c r="M1646" s="115">
        <v>1397.55</v>
      </c>
      <c r="N1646" s="115">
        <v>1445</v>
      </c>
      <c r="O1646" s="115">
        <v>1371.8</v>
      </c>
      <c r="P1646" s="115">
        <v>1371.8</v>
      </c>
      <c r="Q1646" s="115">
        <v>6987.75</v>
      </c>
      <c r="R1646">
        <v>34458</v>
      </c>
    </row>
    <row r="1647" spans="1:18" x14ac:dyDescent="0.25">
      <c r="A1647" s="169">
        <v>44431</v>
      </c>
      <c r="B1647" s="115">
        <v>1444.39</v>
      </c>
      <c r="C1647" s="115">
        <v>1396.29</v>
      </c>
      <c r="D1647" s="115">
        <v>1380.01</v>
      </c>
      <c r="E1647" s="115">
        <v>1387.68</v>
      </c>
      <c r="F1647" s="115">
        <v>6981.45</v>
      </c>
      <c r="G1647">
        <v>3507</v>
      </c>
      <c r="H1647" s="115"/>
      <c r="I1647" s="115"/>
      <c r="L1647" s="169">
        <v>44432</v>
      </c>
      <c r="M1647" s="115">
        <v>1399.99</v>
      </c>
      <c r="N1647" s="115">
        <v>1446</v>
      </c>
      <c r="O1647" s="115">
        <v>1380</v>
      </c>
      <c r="P1647" s="115">
        <v>1430</v>
      </c>
      <c r="Q1647" s="115">
        <v>6999.95</v>
      </c>
      <c r="R1647">
        <v>24067</v>
      </c>
    </row>
    <row r="1648" spans="1:18" x14ac:dyDescent="0.25">
      <c r="A1648" s="169">
        <v>44432</v>
      </c>
      <c r="B1648" s="115">
        <v>1440.38</v>
      </c>
      <c r="C1648" s="115">
        <v>1400.72</v>
      </c>
      <c r="D1648" s="115">
        <v>1381.72</v>
      </c>
      <c r="E1648" s="115">
        <v>1430</v>
      </c>
      <c r="F1648" s="115">
        <v>7003.6</v>
      </c>
      <c r="G1648">
        <v>703</v>
      </c>
      <c r="H1648" s="115"/>
      <c r="I1648" s="115"/>
      <c r="L1648" s="169">
        <v>44433</v>
      </c>
      <c r="M1648" s="115">
        <v>1417.18</v>
      </c>
      <c r="N1648" s="115">
        <v>1437.99</v>
      </c>
      <c r="O1648" s="115">
        <v>1396.02</v>
      </c>
      <c r="P1648" s="115">
        <v>1406</v>
      </c>
      <c r="Q1648" s="115">
        <v>7085.9</v>
      </c>
      <c r="R1648">
        <v>12918</v>
      </c>
    </row>
    <row r="1649" spans="1:18" x14ac:dyDescent="0.25">
      <c r="A1649" s="169">
        <v>44433</v>
      </c>
      <c r="B1649" s="115">
        <v>1437.35</v>
      </c>
      <c r="C1649" s="115">
        <v>1419.77</v>
      </c>
      <c r="D1649" s="115">
        <v>1380</v>
      </c>
      <c r="E1649" s="115">
        <v>1433</v>
      </c>
      <c r="F1649" s="115">
        <v>7098.85</v>
      </c>
      <c r="G1649">
        <v>894</v>
      </c>
      <c r="H1649" s="115"/>
      <c r="I1649" s="115"/>
      <c r="L1649" s="169">
        <v>44434</v>
      </c>
      <c r="M1649" s="115">
        <v>1418.22</v>
      </c>
      <c r="N1649" s="115">
        <v>1442</v>
      </c>
      <c r="O1649" s="115">
        <v>1410</v>
      </c>
      <c r="P1649" s="115">
        <v>1435.6</v>
      </c>
      <c r="Q1649" s="115">
        <v>7091.1</v>
      </c>
      <c r="R1649">
        <v>14328</v>
      </c>
    </row>
    <row r="1650" spans="1:18" x14ac:dyDescent="0.25">
      <c r="A1650" s="169">
        <v>44434</v>
      </c>
      <c r="B1650" s="115">
        <v>1440</v>
      </c>
      <c r="C1650" s="115">
        <v>1416.21</v>
      </c>
      <c r="D1650" s="115">
        <v>1404</v>
      </c>
      <c r="E1650" s="115">
        <v>1420</v>
      </c>
      <c r="F1650" s="115">
        <v>7081.05</v>
      </c>
      <c r="G1650">
        <v>693</v>
      </c>
      <c r="H1650" s="115"/>
      <c r="I1650" s="115"/>
      <c r="L1650" s="169">
        <v>44435</v>
      </c>
      <c r="M1650" s="115">
        <v>1438.94</v>
      </c>
      <c r="N1650" s="115">
        <v>1479.23</v>
      </c>
      <c r="O1650" s="115">
        <v>1409.99</v>
      </c>
      <c r="P1650" s="115">
        <v>1427</v>
      </c>
      <c r="Q1650" s="115">
        <v>7194.7</v>
      </c>
      <c r="R1650">
        <v>25527</v>
      </c>
    </row>
    <row r="1651" spans="1:18" x14ac:dyDescent="0.25">
      <c r="A1651" s="169">
        <v>44435</v>
      </c>
      <c r="B1651" s="115">
        <v>1480</v>
      </c>
      <c r="C1651" s="115">
        <v>1440.24</v>
      </c>
      <c r="D1651" s="115">
        <v>1411.34</v>
      </c>
      <c r="E1651" s="115">
        <v>1417.51</v>
      </c>
      <c r="F1651" s="115">
        <v>7201.2</v>
      </c>
      <c r="G1651">
        <v>1173</v>
      </c>
      <c r="H1651" s="115"/>
      <c r="I1651" s="115"/>
      <c r="L1651" s="169">
        <v>44438</v>
      </c>
      <c r="M1651" s="115">
        <v>1434.77</v>
      </c>
      <c r="N1651" s="115">
        <v>1470</v>
      </c>
      <c r="O1651" s="115">
        <v>1424.82</v>
      </c>
      <c r="P1651" s="115">
        <v>1470</v>
      </c>
      <c r="Q1651" s="115">
        <v>7173.85</v>
      </c>
      <c r="R1651">
        <v>10668</v>
      </c>
    </row>
    <row r="1652" spans="1:18" x14ac:dyDescent="0.25">
      <c r="A1652" s="169">
        <v>44438</v>
      </c>
      <c r="B1652" s="115">
        <v>1461</v>
      </c>
      <c r="C1652" s="115">
        <v>1433.37</v>
      </c>
      <c r="D1652" s="115">
        <v>1423.77</v>
      </c>
      <c r="E1652" s="115">
        <v>1461</v>
      </c>
      <c r="F1652" s="115">
        <v>7166.85</v>
      </c>
      <c r="G1652">
        <v>865</v>
      </c>
      <c r="H1652" s="115"/>
      <c r="I1652" s="115"/>
      <c r="L1652" s="169">
        <v>44439</v>
      </c>
      <c r="M1652" s="115">
        <v>1450.12</v>
      </c>
      <c r="N1652" s="115">
        <v>1459.7</v>
      </c>
      <c r="O1652" s="115">
        <v>1412</v>
      </c>
      <c r="P1652" s="115">
        <v>1435.01</v>
      </c>
      <c r="Q1652" s="115">
        <v>7250.6</v>
      </c>
      <c r="R1652">
        <v>24649</v>
      </c>
    </row>
    <row r="1653" spans="1:18" x14ac:dyDescent="0.25">
      <c r="A1653" s="169">
        <v>44439</v>
      </c>
      <c r="B1653" s="115">
        <v>1456.96</v>
      </c>
      <c r="C1653" s="115">
        <v>1447.54</v>
      </c>
      <c r="D1653" s="115">
        <v>1413.62</v>
      </c>
      <c r="E1653" s="115">
        <v>1435.63</v>
      </c>
      <c r="F1653" s="115">
        <v>7237.7</v>
      </c>
      <c r="G1653">
        <v>381</v>
      </c>
      <c r="H1653" s="115"/>
      <c r="I1653" s="115"/>
      <c r="L1653" s="169">
        <v>44440</v>
      </c>
      <c r="M1653" s="115">
        <v>1458.83</v>
      </c>
      <c r="N1653" s="115">
        <v>1466.2</v>
      </c>
      <c r="O1653" s="115">
        <v>1452</v>
      </c>
      <c r="P1653" s="115">
        <v>1452</v>
      </c>
      <c r="Q1653" s="115">
        <v>7294.15</v>
      </c>
      <c r="R1653">
        <v>11912</v>
      </c>
    </row>
    <row r="1654" spans="1:18" x14ac:dyDescent="0.25">
      <c r="A1654" s="169">
        <v>44440</v>
      </c>
      <c r="B1654" s="115">
        <v>1467.2</v>
      </c>
      <c r="C1654" s="115">
        <v>1460.34</v>
      </c>
      <c r="D1654" s="115">
        <v>1452.61</v>
      </c>
      <c r="E1654" s="115">
        <v>1456.64</v>
      </c>
      <c r="F1654" s="115">
        <v>7301.7</v>
      </c>
      <c r="G1654">
        <v>317</v>
      </c>
      <c r="H1654" s="115"/>
      <c r="I1654" s="115"/>
      <c r="L1654" s="169">
        <v>44441</v>
      </c>
      <c r="M1654" s="115">
        <v>1450.84</v>
      </c>
      <c r="N1654" s="115">
        <v>1469.19</v>
      </c>
      <c r="O1654" s="115">
        <v>1444.43</v>
      </c>
      <c r="P1654" s="115">
        <v>1465</v>
      </c>
      <c r="Q1654" s="115">
        <v>7254.2</v>
      </c>
      <c r="R1654">
        <v>17877</v>
      </c>
    </row>
    <row r="1655" spans="1:18" x14ac:dyDescent="0.25">
      <c r="A1655" s="169">
        <v>44441</v>
      </c>
      <c r="B1655" s="115">
        <v>1468.4</v>
      </c>
      <c r="C1655" s="115">
        <v>1450.74</v>
      </c>
      <c r="D1655" s="115">
        <v>1446.4</v>
      </c>
      <c r="E1655" s="115">
        <v>1460.4</v>
      </c>
      <c r="F1655" s="115">
        <v>7253.7</v>
      </c>
      <c r="G1655">
        <v>464</v>
      </c>
      <c r="H1655" s="115"/>
      <c r="I1655" s="115"/>
      <c r="L1655" s="169">
        <v>44442</v>
      </c>
      <c r="M1655" s="115">
        <v>1481.17</v>
      </c>
      <c r="N1655" s="115">
        <v>1518.15</v>
      </c>
      <c r="O1655" s="115">
        <v>1445.21</v>
      </c>
      <c r="P1655" s="115">
        <v>1450.84</v>
      </c>
      <c r="Q1655" s="115">
        <v>7405.85</v>
      </c>
      <c r="R1655">
        <v>28638</v>
      </c>
    </row>
    <row r="1656" spans="1:18" x14ac:dyDescent="0.25">
      <c r="A1656" s="169">
        <v>44442</v>
      </c>
      <c r="B1656" s="115">
        <v>1515</v>
      </c>
      <c r="C1656" s="115">
        <v>1479.32</v>
      </c>
      <c r="D1656" s="115">
        <v>1445.59</v>
      </c>
      <c r="E1656" s="115">
        <v>1455.86</v>
      </c>
      <c r="F1656" s="115">
        <v>7396.6</v>
      </c>
      <c r="G1656">
        <v>2297</v>
      </c>
      <c r="H1656" s="115"/>
      <c r="I1656" s="115"/>
      <c r="L1656" s="169">
        <v>44445</v>
      </c>
      <c r="M1656" s="115">
        <v>1474.15</v>
      </c>
      <c r="N1656" s="115">
        <v>1505.95</v>
      </c>
      <c r="O1656" s="115">
        <v>1460.2</v>
      </c>
      <c r="P1656" s="115">
        <v>1489.8</v>
      </c>
      <c r="Q1656" s="115">
        <v>7370.75</v>
      </c>
      <c r="R1656">
        <v>6400</v>
      </c>
    </row>
    <row r="1657" spans="1:18" x14ac:dyDescent="0.25">
      <c r="A1657" s="169">
        <v>44445</v>
      </c>
      <c r="B1657" s="115">
        <v>1507.66</v>
      </c>
      <c r="C1657" s="115">
        <v>1476.28</v>
      </c>
      <c r="D1657" s="115">
        <v>1467.2</v>
      </c>
      <c r="E1657" s="115">
        <v>1499.2</v>
      </c>
      <c r="F1657" s="115">
        <v>7381.4</v>
      </c>
      <c r="G1657">
        <v>947</v>
      </c>
      <c r="H1657" s="115"/>
      <c r="I1657" s="115"/>
      <c r="L1657" s="169">
        <v>44446</v>
      </c>
      <c r="M1657" s="115">
        <v>1483.31</v>
      </c>
      <c r="N1657" s="115">
        <v>1495.97</v>
      </c>
      <c r="O1657" s="115">
        <v>1470.01</v>
      </c>
      <c r="P1657" s="115">
        <v>1470.02</v>
      </c>
      <c r="Q1657" s="115">
        <v>7416.55</v>
      </c>
      <c r="R1657">
        <v>3482</v>
      </c>
    </row>
    <row r="1658" spans="1:18" x14ac:dyDescent="0.25">
      <c r="A1658" s="169">
        <v>44446</v>
      </c>
      <c r="B1658" s="115">
        <v>1489.95</v>
      </c>
      <c r="C1658" s="115">
        <v>1484.23</v>
      </c>
      <c r="D1658" s="115">
        <v>1469.61</v>
      </c>
      <c r="E1658" s="115">
        <v>1481.8</v>
      </c>
      <c r="F1658" s="115">
        <v>7421.15</v>
      </c>
      <c r="G1658">
        <v>479</v>
      </c>
      <c r="H1658" s="115"/>
      <c r="I1658" s="115"/>
      <c r="L1658" s="169">
        <v>44447</v>
      </c>
      <c r="M1658" s="115">
        <v>1505.6</v>
      </c>
      <c r="N1658" s="115">
        <v>1514.77</v>
      </c>
      <c r="O1658" s="115">
        <v>1479.07</v>
      </c>
      <c r="P1658" s="115">
        <v>1483.31</v>
      </c>
      <c r="Q1658" s="115">
        <v>7528</v>
      </c>
      <c r="R1658">
        <v>25431</v>
      </c>
    </row>
    <row r="1659" spans="1:18" x14ac:dyDescent="0.25">
      <c r="A1659" s="169">
        <v>44447</v>
      </c>
      <c r="B1659" s="115">
        <v>1512</v>
      </c>
      <c r="C1659" s="115">
        <v>1504.64</v>
      </c>
      <c r="D1659" s="115">
        <v>1479.33</v>
      </c>
      <c r="E1659" s="115">
        <v>1485.77</v>
      </c>
      <c r="F1659" s="115">
        <v>7523.2</v>
      </c>
      <c r="G1659">
        <v>1016</v>
      </c>
      <c r="H1659" s="115"/>
      <c r="I1659" s="115"/>
      <c r="L1659" s="169">
        <v>44448</v>
      </c>
      <c r="M1659" s="115">
        <v>1475.9</v>
      </c>
      <c r="N1659" s="115">
        <v>1515.07</v>
      </c>
      <c r="O1659" s="115">
        <v>1466.4</v>
      </c>
      <c r="P1659" s="115">
        <v>1508.98</v>
      </c>
      <c r="Q1659" s="115">
        <v>7379.5</v>
      </c>
      <c r="R1659">
        <v>6740</v>
      </c>
    </row>
    <row r="1660" spans="1:18" x14ac:dyDescent="0.25">
      <c r="A1660" s="169">
        <v>44448</v>
      </c>
      <c r="B1660" s="115">
        <v>1512.55</v>
      </c>
      <c r="C1660" s="115">
        <v>1477.04</v>
      </c>
      <c r="D1660" s="115">
        <v>1467.3</v>
      </c>
      <c r="E1660" s="115">
        <v>1511.99</v>
      </c>
      <c r="F1660" s="115">
        <v>7385.2</v>
      </c>
      <c r="G1660">
        <v>378</v>
      </c>
      <c r="H1660" s="115"/>
      <c r="I1660" s="115"/>
      <c r="L1660" s="169">
        <v>44452</v>
      </c>
      <c r="M1660" s="115">
        <v>1461.41</v>
      </c>
      <c r="N1660" s="115">
        <v>1488.79</v>
      </c>
      <c r="O1660" s="115">
        <v>1450</v>
      </c>
      <c r="P1660" s="115">
        <v>1475.9</v>
      </c>
      <c r="Q1660" s="115">
        <v>7307.05</v>
      </c>
      <c r="R1660">
        <v>4144</v>
      </c>
    </row>
    <row r="1661" spans="1:18" x14ac:dyDescent="0.25">
      <c r="A1661" s="169">
        <v>44452</v>
      </c>
      <c r="B1661" s="115">
        <v>1484.2</v>
      </c>
      <c r="C1661" s="115">
        <v>1461.64</v>
      </c>
      <c r="D1661" s="115">
        <v>1447.61</v>
      </c>
      <c r="E1661" s="115">
        <v>1455.52</v>
      </c>
      <c r="F1661" s="115">
        <v>7308.2</v>
      </c>
      <c r="G1661">
        <v>562</v>
      </c>
      <c r="H1661" s="115"/>
      <c r="I1661" s="115"/>
      <c r="L1661" s="169">
        <v>44453</v>
      </c>
      <c r="M1661" s="115">
        <v>1451.53</v>
      </c>
      <c r="N1661" s="115">
        <v>1470.93</v>
      </c>
      <c r="O1661" s="115">
        <v>1438.89</v>
      </c>
      <c r="P1661" s="115">
        <v>1465.01</v>
      </c>
      <c r="Q1661" s="115">
        <v>7257.65</v>
      </c>
      <c r="R1661">
        <v>10072</v>
      </c>
    </row>
    <row r="1662" spans="1:18" x14ac:dyDescent="0.25">
      <c r="A1662" s="169">
        <v>44453</v>
      </c>
      <c r="B1662" s="115">
        <v>1470.56</v>
      </c>
      <c r="C1662" s="115">
        <v>1451.49</v>
      </c>
      <c r="D1662" s="115">
        <v>1440</v>
      </c>
      <c r="E1662" s="115">
        <v>1450.01</v>
      </c>
      <c r="F1662" s="115">
        <v>7257.45</v>
      </c>
      <c r="G1662">
        <v>1043</v>
      </c>
      <c r="H1662" s="115"/>
      <c r="I1662" s="115"/>
      <c r="L1662" s="169">
        <v>44454</v>
      </c>
      <c r="M1662" s="115">
        <v>1447.4</v>
      </c>
      <c r="N1662" s="115">
        <v>1468</v>
      </c>
      <c r="O1662" s="115">
        <v>1432.67</v>
      </c>
      <c r="P1662" s="115">
        <v>1450</v>
      </c>
      <c r="Q1662" s="115">
        <v>7237</v>
      </c>
      <c r="R1662">
        <v>12473</v>
      </c>
    </row>
    <row r="1663" spans="1:18" x14ac:dyDescent="0.25">
      <c r="A1663" s="169">
        <v>44454</v>
      </c>
      <c r="B1663" s="115">
        <v>1466.66</v>
      </c>
      <c r="C1663" s="115">
        <v>1447.62</v>
      </c>
      <c r="D1663" s="115">
        <v>1436.15</v>
      </c>
      <c r="E1663" s="115">
        <v>1454.63</v>
      </c>
      <c r="F1663" s="115">
        <v>7238.1</v>
      </c>
      <c r="G1663">
        <v>555</v>
      </c>
      <c r="H1663" s="115"/>
      <c r="I1663" s="115"/>
      <c r="L1663" s="169">
        <v>44455</v>
      </c>
      <c r="M1663" s="115">
        <v>1437.12</v>
      </c>
      <c r="N1663" s="115">
        <v>1466.8</v>
      </c>
      <c r="O1663" s="115">
        <v>1435</v>
      </c>
      <c r="P1663" s="115">
        <v>1466.8</v>
      </c>
      <c r="Q1663" s="115">
        <v>7185.6</v>
      </c>
      <c r="R1663">
        <v>8605</v>
      </c>
    </row>
    <row r="1664" spans="1:18" x14ac:dyDescent="0.25">
      <c r="A1664" s="169">
        <v>44455</v>
      </c>
      <c r="B1664" s="115">
        <v>1460</v>
      </c>
      <c r="C1664" s="115">
        <v>1436.11</v>
      </c>
      <c r="D1664" s="115">
        <v>1429.9</v>
      </c>
      <c r="E1664" s="115">
        <v>1444</v>
      </c>
      <c r="F1664" s="115">
        <v>7180.55</v>
      </c>
      <c r="G1664">
        <v>1731</v>
      </c>
      <c r="H1664" s="115"/>
      <c r="I1664" s="115"/>
      <c r="L1664" s="169">
        <v>44456</v>
      </c>
      <c r="M1664" s="115">
        <v>1459.97</v>
      </c>
      <c r="N1664" s="115">
        <v>1467.27</v>
      </c>
      <c r="O1664" s="115">
        <v>1433.99</v>
      </c>
      <c r="P1664" s="115">
        <v>1439.2</v>
      </c>
      <c r="Q1664" s="115">
        <v>7299.85</v>
      </c>
      <c r="R1664">
        <v>15698</v>
      </c>
    </row>
    <row r="1665" spans="1:18" x14ac:dyDescent="0.25">
      <c r="A1665" s="169">
        <v>44456</v>
      </c>
      <c r="B1665" s="115">
        <v>1468.12</v>
      </c>
      <c r="C1665" s="115">
        <v>1460.87</v>
      </c>
      <c r="D1665" s="115">
        <v>1433.64</v>
      </c>
      <c r="E1665" s="115">
        <v>1446.25</v>
      </c>
      <c r="F1665" s="115">
        <v>7304.35</v>
      </c>
      <c r="G1665">
        <v>248</v>
      </c>
      <c r="H1665" s="115"/>
      <c r="I1665" s="115"/>
      <c r="L1665" s="169">
        <v>44459</v>
      </c>
      <c r="M1665" s="115">
        <v>1465.01</v>
      </c>
      <c r="N1665" s="115">
        <v>1471.8</v>
      </c>
      <c r="O1665" s="115">
        <v>1440.43</v>
      </c>
      <c r="P1665" s="115">
        <v>1450</v>
      </c>
      <c r="Q1665" s="115">
        <v>7325.05</v>
      </c>
      <c r="R1665">
        <v>4519</v>
      </c>
    </row>
    <row r="1666" spans="1:18" x14ac:dyDescent="0.25">
      <c r="A1666" s="169">
        <v>44459</v>
      </c>
      <c r="B1666" s="115">
        <v>1470</v>
      </c>
      <c r="C1666" s="115">
        <v>1459.39</v>
      </c>
      <c r="D1666" s="115">
        <v>1441.07</v>
      </c>
      <c r="E1666" s="115">
        <v>1447.71</v>
      </c>
      <c r="F1666" s="115">
        <v>7296.95</v>
      </c>
      <c r="G1666">
        <v>587</v>
      </c>
      <c r="H1666" s="115"/>
      <c r="I1666" s="115"/>
      <c r="L1666" s="169">
        <v>44460</v>
      </c>
      <c r="M1666" s="115">
        <v>1455.47</v>
      </c>
      <c r="N1666" s="115">
        <v>1476.11</v>
      </c>
      <c r="O1666" s="115">
        <v>1426.88</v>
      </c>
      <c r="P1666" s="115">
        <v>1472</v>
      </c>
      <c r="Q1666" s="115">
        <v>7277.35</v>
      </c>
      <c r="R1666">
        <v>12078</v>
      </c>
    </row>
    <row r="1667" spans="1:18" x14ac:dyDescent="0.25">
      <c r="A1667" s="169">
        <v>44460</v>
      </c>
      <c r="B1667" s="115">
        <v>1536.76</v>
      </c>
      <c r="C1667" s="115">
        <v>1455.7</v>
      </c>
      <c r="D1667" s="115">
        <v>1429.3</v>
      </c>
      <c r="E1667" s="115">
        <v>1536.76</v>
      </c>
      <c r="F1667" s="115">
        <v>7278.5</v>
      </c>
      <c r="G1667">
        <v>489</v>
      </c>
      <c r="H1667" s="115"/>
      <c r="I1667" s="115"/>
      <c r="L1667" s="169">
        <v>44461</v>
      </c>
      <c r="M1667" s="115">
        <v>1460.13</v>
      </c>
      <c r="N1667" s="115">
        <v>1478.99</v>
      </c>
      <c r="O1667" s="115">
        <v>1447.06</v>
      </c>
      <c r="P1667" s="115">
        <v>1476</v>
      </c>
      <c r="Q1667" s="115">
        <v>7300.65</v>
      </c>
      <c r="R1667">
        <v>5124</v>
      </c>
    </row>
    <row r="1668" spans="1:18" x14ac:dyDescent="0.25">
      <c r="A1668" s="169">
        <v>44461</v>
      </c>
      <c r="B1668" s="115">
        <v>1477.97</v>
      </c>
      <c r="C1668" s="115">
        <v>1460.06</v>
      </c>
      <c r="D1668" s="115">
        <v>1448.84</v>
      </c>
      <c r="E1668" s="115">
        <v>1448.84</v>
      </c>
      <c r="F1668" s="115">
        <v>7300.3</v>
      </c>
      <c r="G1668">
        <v>396</v>
      </c>
      <c r="H1668" s="115"/>
      <c r="I1668" s="115"/>
      <c r="L1668" s="169">
        <v>44462</v>
      </c>
      <c r="M1668" s="115">
        <v>1481.93</v>
      </c>
      <c r="N1668" s="115">
        <v>1517.61</v>
      </c>
      <c r="O1668" s="115">
        <v>1463</v>
      </c>
      <c r="P1668" s="115">
        <v>1474.4</v>
      </c>
      <c r="Q1668" s="115">
        <v>7409.65</v>
      </c>
      <c r="R1668">
        <v>12193</v>
      </c>
    </row>
    <row r="1669" spans="1:18" x14ac:dyDescent="0.25">
      <c r="A1669" s="169">
        <v>44462</v>
      </c>
      <c r="B1669" s="115">
        <v>1516</v>
      </c>
      <c r="C1669" s="115">
        <v>1481.5</v>
      </c>
      <c r="D1669" s="115">
        <v>1461.58</v>
      </c>
      <c r="E1669" s="115">
        <v>1461.58</v>
      </c>
      <c r="F1669" s="115">
        <v>7407.5</v>
      </c>
      <c r="G1669">
        <v>402</v>
      </c>
      <c r="H1669" s="115"/>
      <c r="I1669" s="115"/>
      <c r="L1669" s="169">
        <v>44463</v>
      </c>
      <c r="M1669" s="115">
        <v>1451.62</v>
      </c>
      <c r="N1669" s="115">
        <v>1503.25</v>
      </c>
      <c r="O1669" s="115">
        <v>1448</v>
      </c>
      <c r="P1669" s="115">
        <v>1503.25</v>
      </c>
      <c r="Q1669" s="115">
        <v>7258.1</v>
      </c>
      <c r="R1669">
        <v>10708</v>
      </c>
    </row>
    <row r="1670" spans="1:18" x14ac:dyDescent="0.25">
      <c r="A1670" s="169">
        <v>44463</v>
      </c>
      <c r="B1670" s="115">
        <v>1487.76</v>
      </c>
      <c r="C1670" s="115">
        <v>1451.91</v>
      </c>
      <c r="D1670" s="115">
        <v>1450</v>
      </c>
      <c r="E1670" s="115">
        <v>1486.64</v>
      </c>
      <c r="F1670" s="115">
        <v>7259.55</v>
      </c>
      <c r="G1670">
        <v>250</v>
      </c>
      <c r="H1670" s="115"/>
      <c r="I1670" s="115"/>
      <c r="L1670" s="169">
        <v>44466</v>
      </c>
      <c r="M1670" s="115">
        <v>1459.51</v>
      </c>
      <c r="N1670" s="115">
        <v>1469.2</v>
      </c>
      <c r="O1670" s="115">
        <v>1452.85</v>
      </c>
      <c r="P1670" s="115">
        <v>1464.2</v>
      </c>
      <c r="Q1670" s="115">
        <v>7297.55</v>
      </c>
      <c r="R1670">
        <v>2534</v>
      </c>
    </row>
    <row r="1671" spans="1:18" x14ac:dyDescent="0.25">
      <c r="A1671" s="169">
        <v>44466</v>
      </c>
      <c r="B1671" s="115">
        <v>1469.7</v>
      </c>
      <c r="C1671" s="115">
        <v>1457.8</v>
      </c>
      <c r="D1671" s="115">
        <v>1453.62</v>
      </c>
      <c r="E1671" s="115">
        <v>1464.63</v>
      </c>
      <c r="F1671" s="115">
        <v>7289</v>
      </c>
      <c r="G1671">
        <v>319</v>
      </c>
      <c r="H1671" s="115"/>
      <c r="I1671" s="115"/>
      <c r="L1671" s="169">
        <v>44467</v>
      </c>
      <c r="M1671" s="115">
        <v>1473.56</v>
      </c>
      <c r="N1671" s="115">
        <v>1520</v>
      </c>
      <c r="O1671" s="115">
        <v>1443.16</v>
      </c>
      <c r="P1671" s="115">
        <v>1473.8</v>
      </c>
      <c r="Q1671" s="115">
        <v>7367.8</v>
      </c>
      <c r="R1671">
        <v>22961</v>
      </c>
    </row>
    <row r="1672" spans="1:18" x14ac:dyDescent="0.25">
      <c r="A1672" s="169">
        <v>44467</v>
      </c>
      <c r="B1672" s="115">
        <v>1519.92</v>
      </c>
      <c r="C1672" s="115">
        <v>1474.93</v>
      </c>
      <c r="D1672" s="115">
        <v>1443.21</v>
      </c>
      <c r="E1672" s="115">
        <v>1452.71</v>
      </c>
      <c r="F1672" s="115">
        <v>7374.65</v>
      </c>
      <c r="G1672">
        <v>1108</v>
      </c>
      <c r="H1672" s="115"/>
      <c r="I1672" s="115"/>
      <c r="L1672" s="169">
        <v>44468</v>
      </c>
      <c r="M1672" s="115">
        <v>1487.01</v>
      </c>
      <c r="N1672" s="115">
        <v>1499.66</v>
      </c>
      <c r="O1672" s="115">
        <v>1465</v>
      </c>
      <c r="P1672" s="115">
        <v>1465</v>
      </c>
      <c r="Q1672" s="115">
        <v>7435.05</v>
      </c>
      <c r="R1672">
        <v>4370</v>
      </c>
    </row>
    <row r="1673" spans="1:18" x14ac:dyDescent="0.25">
      <c r="A1673" s="169">
        <v>44468</v>
      </c>
      <c r="B1673" s="115">
        <v>1508</v>
      </c>
      <c r="C1673" s="115">
        <v>1486.78</v>
      </c>
      <c r="D1673" s="115">
        <v>1464.37</v>
      </c>
      <c r="E1673" s="115">
        <v>1508</v>
      </c>
      <c r="F1673" s="115">
        <v>7433.9</v>
      </c>
      <c r="G1673">
        <v>376</v>
      </c>
      <c r="H1673" s="115"/>
      <c r="I1673" s="115"/>
      <c r="L1673" s="169">
        <v>44469</v>
      </c>
      <c r="M1673" s="115">
        <v>1511.71</v>
      </c>
      <c r="N1673" s="115">
        <v>1530</v>
      </c>
      <c r="O1673" s="115">
        <v>1468.4</v>
      </c>
      <c r="P1673" s="115">
        <v>1497.8</v>
      </c>
      <c r="Q1673" s="115">
        <v>7558.55</v>
      </c>
      <c r="R1673">
        <v>11366</v>
      </c>
    </row>
    <row r="1674" spans="1:18" x14ac:dyDescent="0.25">
      <c r="A1674" s="169">
        <v>44469</v>
      </c>
      <c r="B1674" s="115">
        <v>1529.6</v>
      </c>
      <c r="C1674" s="115">
        <v>1522.08</v>
      </c>
      <c r="D1674" s="115">
        <v>1469.62</v>
      </c>
      <c r="E1674" s="115">
        <v>1490.01</v>
      </c>
      <c r="F1674" s="115">
        <v>7610.4</v>
      </c>
      <c r="G1674">
        <v>290</v>
      </c>
      <c r="H1674" s="115"/>
      <c r="I1674" s="115"/>
      <c r="L1674" s="169">
        <v>44470</v>
      </c>
      <c r="M1674" s="115">
        <v>1466.39</v>
      </c>
      <c r="N1674" s="115">
        <v>1548</v>
      </c>
      <c r="O1674" s="115">
        <v>1458</v>
      </c>
      <c r="P1674" s="115">
        <v>1548</v>
      </c>
      <c r="Q1674" s="115">
        <v>7331.95</v>
      </c>
      <c r="R1674">
        <v>19587</v>
      </c>
    </row>
    <row r="1675" spans="1:18" x14ac:dyDescent="0.25">
      <c r="A1675" s="169">
        <v>44470</v>
      </c>
      <c r="B1675" s="115">
        <v>1532.2</v>
      </c>
      <c r="C1675" s="115">
        <v>1467.61</v>
      </c>
      <c r="D1675" s="115">
        <v>1460</v>
      </c>
      <c r="E1675" s="115">
        <v>1530</v>
      </c>
      <c r="F1675" s="115">
        <v>7338.05</v>
      </c>
      <c r="G1675">
        <v>764</v>
      </c>
      <c r="H1675" s="115"/>
      <c r="I1675" s="115"/>
      <c r="L1675" s="169">
        <v>44473</v>
      </c>
      <c r="M1675" s="115">
        <v>1453.92</v>
      </c>
      <c r="N1675" s="115">
        <v>1481.38</v>
      </c>
      <c r="O1675" s="115">
        <v>1445</v>
      </c>
      <c r="P1675" s="115">
        <v>1472</v>
      </c>
      <c r="Q1675" s="115">
        <v>7269.6</v>
      </c>
      <c r="R1675">
        <v>9319</v>
      </c>
    </row>
    <row r="1676" spans="1:18" x14ac:dyDescent="0.25">
      <c r="A1676" s="169">
        <v>44473</v>
      </c>
      <c r="B1676" s="115">
        <v>1503.6</v>
      </c>
      <c r="C1676" s="115">
        <v>1451.59</v>
      </c>
      <c r="D1676" s="115">
        <v>1444.81</v>
      </c>
      <c r="E1676" s="115">
        <v>1483.37</v>
      </c>
      <c r="F1676" s="115">
        <v>7257.95</v>
      </c>
      <c r="G1676">
        <v>703</v>
      </c>
      <c r="H1676" s="115"/>
      <c r="I1676" s="115"/>
      <c r="L1676" s="169">
        <v>44474</v>
      </c>
      <c r="M1676" s="115">
        <v>1470.78</v>
      </c>
      <c r="N1676" s="115">
        <v>1479.86</v>
      </c>
      <c r="O1676" s="115">
        <v>1460</v>
      </c>
      <c r="P1676" s="115">
        <v>1460</v>
      </c>
      <c r="Q1676" s="115">
        <v>7353.9</v>
      </c>
      <c r="R1676">
        <v>9278</v>
      </c>
    </row>
    <row r="1677" spans="1:18" x14ac:dyDescent="0.25">
      <c r="A1677" s="169">
        <v>44474</v>
      </c>
      <c r="B1677" s="115">
        <v>1474.76</v>
      </c>
      <c r="C1677" s="115">
        <v>1471.18</v>
      </c>
      <c r="D1677" s="115">
        <v>1461.52</v>
      </c>
      <c r="E1677" s="115">
        <v>1466.54</v>
      </c>
      <c r="F1677" s="115">
        <v>7355.9</v>
      </c>
      <c r="G1677">
        <v>299</v>
      </c>
      <c r="H1677" s="115"/>
      <c r="I1677" s="115"/>
      <c r="L1677" s="169">
        <v>44475</v>
      </c>
      <c r="M1677" s="115">
        <v>1438.06</v>
      </c>
      <c r="N1677" s="115">
        <v>1480</v>
      </c>
      <c r="O1677" s="115">
        <v>1425.61</v>
      </c>
      <c r="P1677" s="115">
        <v>1480</v>
      </c>
      <c r="Q1677" s="115">
        <v>7190.3</v>
      </c>
      <c r="R1677">
        <v>20708</v>
      </c>
    </row>
    <row r="1678" spans="1:18" x14ac:dyDescent="0.25">
      <c r="A1678" s="169">
        <v>44475</v>
      </c>
      <c r="B1678" s="115">
        <v>1472.92</v>
      </c>
      <c r="C1678" s="115">
        <v>1439.28</v>
      </c>
      <c r="D1678" s="115">
        <v>1425.06</v>
      </c>
      <c r="E1678" s="115">
        <v>1469.29</v>
      </c>
      <c r="F1678" s="115">
        <v>7196.4</v>
      </c>
      <c r="G1678">
        <v>661</v>
      </c>
      <c r="H1678" s="115"/>
      <c r="I1678" s="115"/>
      <c r="L1678" s="169">
        <v>44476</v>
      </c>
      <c r="M1678" s="115">
        <v>1435.44</v>
      </c>
      <c r="N1678" s="115">
        <v>1459.6</v>
      </c>
      <c r="O1678" s="115">
        <v>1427.37</v>
      </c>
      <c r="P1678" s="115">
        <v>1437</v>
      </c>
      <c r="Q1678" s="115">
        <v>7177.2</v>
      </c>
      <c r="R1678">
        <v>3777</v>
      </c>
    </row>
    <row r="1679" spans="1:18" x14ac:dyDescent="0.25">
      <c r="A1679" s="169">
        <v>44476</v>
      </c>
      <c r="B1679" s="115">
        <v>1456.91</v>
      </c>
      <c r="C1679" s="115">
        <v>1436.54</v>
      </c>
      <c r="D1679" s="115">
        <v>1430.08</v>
      </c>
      <c r="E1679" s="115">
        <v>1451.15</v>
      </c>
      <c r="F1679" s="115">
        <v>7182.7</v>
      </c>
      <c r="G1679">
        <v>488</v>
      </c>
      <c r="H1679" s="115"/>
      <c r="I1679" s="115"/>
      <c r="L1679" s="169">
        <v>44477</v>
      </c>
      <c r="M1679" s="115">
        <v>1429.43</v>
      </c>
      <c r="N1679" s="115">
        <v>1450.47</v>
      </c>
      <c r="O1679" s="115">
        <v>1415</v>
      </c>
      <c r="P1679" s="115">
        <v>1450</v>
      </c>
      <c r="Q1679" s="115">
        <v>7147.15</v>
      </c>
      <c r="R1679">
        <v>18478</v>
      </c>
    </row>
    <row r="1680" spans="1:18" x14ac:dyDescent="0.25">
      <c r="A1680" s="169">
        <v>44477</v>
      </c>
      <c r="B1680" s="115">
        <v>1446.91</v>
      </c>
      <c r="C1680" s="115">
        <v>1426.17</v>
      </c>
      <c r="D1680" s="115">
        <v>1416</v>
      </c>
      <c r="E1680" s="115">
        <v>1441.62</v>
      </c>
      <c r="F1680" s="115">
        <v>7130.85</v>
      </c>
      <c r="G1680">
        <v>763</v>
      </c>
      <c r="H1680" s="115"/>
      <c r="I1680" s="115"/>
      <c r="L1680" s="169">
        <v>44480</v>
      </c>
      <c r="M1680" s="115">
        <v>1442.26</v>
      </c>
      <c r="N1680" s="115">
        <v>1445.75</v>
      </c>
      <c r="O1680" s="115">
        <v>1420.2</v>
      </c>
      <c r="P1680" s="115">
        <v>1439</v>
      </c>
      <c r="Q1680" s="115">
        <v>7211.3</v>
      </c>
      <c r="R1680">
        <v>2575</v>
      </c>
    </row>
    <row r="1681" spans="1:18" x14ac:dyDescent="0.25">
      <c r="A1681" s="169">
        <v>44480</v>
      </c>
      <c r="B1681" s="115">
        <v>1472.39</v>
      </c>
      <c r="C1681" s="115">
        <v>1443.54</v>
      </c>
      <c r="D1681" s="115">
        <v>1423.64</v>
      </c>
      <c r="E1681" s="115">
        <v>1472.39</v>
      </c>
      <c r="F1681" s="115">
        <v>7217.7</v>
      </c>
      <c r="G1681">
        <v>205</v>
      </c>
      <c r="H1681" s="115"/>
      <c r="I1681" s="115"/>
      <c r="L1681" s="169">
        <v>44481</v>
      </c>
      <c r="M1681" s="115">
        <v>1525.79</v>
      </c>
      <c r="N1681" s="115">
        <v>1639.8</v>
      </c>
      <c r="O1681" s="115">
        <v>1520</v>
      </c>
      <c r="P1681" s="115">
        <v>1582.26</v>
      </c>
      <c r="Q1681" s="115">
        <v>7628.95</v>
      </c>
      <c r="R1681">
        <v>138465</v>
      </c>
    </row>
    <row r="1682" spans="1:18" x14ac:dyDescent="0.25">
      <c r="A1682" s="169">
        <v>44481</v>
      </c>
      <c r="B1682" s="115">
        <v>1675.44</v>
      </c>
      <c r="C1682" s="115">
        <v>1526.79</v>
      </c>
      <c r="D1682" s="115">
        <v>1522</v>
      </c>
      <c r="E1682" s="115">
        <v>1589.69</v>
      </c>
      <c r="F1682" s="115">
        <v>7633.95</v>
      </c>
      <c r="G1682">
        <v>8403</v>
      </c>
      <c r="H1682" s="115"/>
      <c r="I1682" s="115"/>
      <c r="L1682" s="169">
        <v>44482</v>
      </c>
      <c r="M1682" s="115">
        <v>1567.74</v>
      </c>
      <c r="N1682" s="115">
        <v>1587.8</v>
      </c>
      <c r="O1682" s="115">
        <v>1547.92</v>
      </c>
      <c r="P1682" s="115">
        <v>1568.99</v>
      </c>
      <c r="Q1682" s="115">
        <v>7838.7</v>
      </c>
      <c r="R1682">
        <v>40709</v>
      </c>
    </row>
    <row r="1683" spans="1:18" x14ac:dyDescent="0.25">
      <c r="A1683" s="169">
        <v>44482</v>
      </c>
      <c r="B1683" s="115">
        <v>1588.15</v>
      </c>
      <c r="C1683" s="115">
        <v>1568.74</v>
      </c>
      <c r="D1683" s="115">
        <v>1550</v>
      </c>
      <c r="E1683" s="115">
        <v>1575</v>
      </c>
      <c r="F1683" s="115">
        <v>7843.7</v>
      </c>
      <c r="G1683">
        <v>4060</v>
      </c>
      <c r="H1683" s="115"/>
      <c r="I1683" s="115"/>
      <c r="L1683" s="169">
        <v>44483</v>
      </c>
      <c r="M1683" s="115">
        <v>1559.03</v>
      </c>
      <c r="N1683" s="115">
        <v>1613.89</v>
      </c>
      <c r="O1683" s="115">
        <v>1551.03</v>
      </c>
      <c r="P1683" s="115">
        <v>1579.6</v>
      </c>
      <c r="Q1683" s="115">
        <v>7795.15</v>
      </c>
      <c r="R1683">
        <v>38032</v>
      </c>
    </row>
    <row r="1684" spans="1:18" x14ac:dyDescent="0.25">
      <c r="A1684" s="169">
        <v>44483</v>
      </c>
      <c r="B1684" s="115">
        <v>1614.13</v>
      </c>
      <c r="C1684" s="115">
        <v>1559.37</v>
      </c>
      <c r="D1684" s="115">
        <v>1551.99</v>
      </c>
      <c r="E1684" s="115">
        <v>1579.6</v>
      </c>
      <c r="F1684" s="115">
        <v>7796.85</v>
      </c>
      <c r="G1684">
        <v>2648</v>
      </c>
      <c r="H1684" s="115"/>
      <c r="I1684" s="115"/>
      <c r="L1684" s="169">
        <v>44487</v>
      </c>
      <c r="M1684" s="115">
        <v>1591.41</v>
      </c>
      <c r="N1684" s="115">
        <v>1597.12</v>
      </c>
      <c r="O1684" s="115">
        <v>1564.47</v>
      </c>
      <c r="P1684" s="115">
        <v>1579.8</v>
      </c>
      <c r="Q1684" s="115">
        <v>7957.05</v>
      </c>
      <c r="R1684">
        <v>25772</v>
      </c>
    </row>
    <row r="1685" spans="1:18" x14ac:dyDescent="0.25">
      <c r="A1685" s="169">
        <v>44487</v>
      </c>
      <c r="B1685" s="115">
        <v>1595.45</v>
      </c>
      <c r="C1685" s="115">
        <v>1590.95</v>
      </c>
      <c r="D1685" s="115">
        <v>1560</v>
      </c>
      <c r="E1685" s="115">
        <v>1579</v>
      </c>
      <c r="F1685" s="115">
        <v>7954.75</v>
      </c>
      <c r="G1685">
        <v>1906</v>
      </c>
      <c r="H1685" s="115"/>
      <c r="I1685" s="115"/>
      <c r="L1685" s="169">
        <v>44488</v>
      </c>
      <c r="M1685" s="115">
        <v>1572.27</v>
      </c>
      <c r="N1685" s="115">
        <v>1654.81</v>
      </c>
      <c r="O1685" s="115">
        <v>1562.05</v>
      </c>
      <c r="P1685" s="115">
        <v>1604</v>
      </c>
      <c r="Q1685" s="115">
        <v>7861.35</v>
      </c>
      <c r="R1685">
        <v>33265</v>
      </c>
    </row>
    <row r="1686" spans="1:18" x14ac:dyDescent="0.25">
      <c r="A1686" s="169">
        <v>44488</v>
      </c>
      <c r="B1686" s="115">
        <v>1650.26</v>
      </c>
      <c r="C1686" s="115">
        <v>1572.73</v>
      </c>
      <c r="D1686" s="115">
        <v>1564.33</v>
      </c>
      <c r="E1686" s="115">
        <v>1609.6</v>
      </c>
      <c r="F1686" s="115">
        <v>7863.65</v>
      </c>
      <c r="G1686">
        <v>1498</v>
      </c>
      <c r="H1686" s="115"/>
      <c r="I1686" s="115"/>
      <c r="L1686" s="169">
        <v>44489</v>
      </c>
      <c r="M1686" s="115">
        <v>1519.37</v>
      </c>
      <c r="N1686" s="115">
        <v>1587</v>
      </c>
      <c r="O1686" s="115">
        <v>1514.94</v>
      </c>
      <c r="P1686" s="115">
        <v>1587</v>
      </c>
      <c r="Q1686" s="115">
        <v>7596.85</v>
      </c>
      <c r="R1686">
        <v>19297</v>
      </c>
    </row>
    <row r="1687" spans="1:18" x14ac:dyDescent="0.25">
      <c r="A1687" s="169">
        <v>44489</v>
      </c>
      <c r="B1687" s="115">
        <v>1578.8</v>
      </c>
      <c r="C1687" s="115">
        <v>1520.2</v>
      </c>
      <c r="D1687" s="115">
        <v>1515.42</v>
      </c>
      <c r="E1687" s="115">
        <v>1568.44</v>
      </c>
      <c r="F1687" s="115">
        <v>7601</v>
      </c>
      <c r="G1687">
        <v>1606</v>
      </c>
      <c r="H1687" s="115"/>
      <c r="I1687" s="115"/>
      <c r="L1687" s="169">
        <v>44490</v>
      </c>
      <c r="M1687" s="115">
        <v>1509.65</v>
      </c>
      <c r="N1687" s="115">
        <v>1537.97</v>
      </c>
      <c r="O1687" s="115">
        <v>1500.02</v>
      </c>
      <c r="P1687" s="115">
        <v>1537</v>
      </c>
      <c r="Q1687" s="115">
        <v>7548.25</v>
      </c>
      <c r="R1687">
        <v>9045</v>
      </c>
    </row>
    <row r="1688" spans="1:18" x14ac:dyDescent="0.25">
      <c r="A1688" s="169">
        <v>44490</v>
      </c>
      <c r="B1688" s="115">
        <v>1539.55</v>
      </c>
      <c r="C1688" s="115">
        <v>1508</v>
      </c>
      <c r="D1688" s="115">
        <v>1500.94</v>
      </c>
      <c r="E1688" s="115">
        <v>1516.05</v>
      </c>
      <c r="F1688" s="115">
        <v>7540</v>
      </c>
      <c r="G1688">
        <v>949</v>
      </c>
      <c r="H1688" s="115"/>
      <c r="I1688" s="115"/>
      <c r="L1688" s="169">
        <v>44491</v>
      </c>
      <c r="M1688" s="115">
        <v>1491.5</v>
      </c>
      <c r="N1688" s="115">
        <v>1529.51</v>
      </c>
      <c r="O1688" s="115">
        <v>1485</v>
      </c>
      <c r="P1688" s="115">
        <v>1519.8</v>
      </c>
      <c r="Q1688" s="115">
        <v>7457.5</v>
      </c>
      <c r="R1688">
        <v>13604</v>
      </c>
    </row>
    <row r="1689" spans="1:18" x14ac:dyDescent="0.25">
      <c r="A1689" s="169">
        <v>44491</v>
      </c>
      <c r="B1689" s="115">
        <v>1539.77</v>
      </c>
      <c r="C1689" s="115">
        <v>1490.73</v>
      </c>
      <c r="D1689" s="115">
        <v>1486.25</v>
      </c>
      <c r="E1689" s="115">
        <v>1514</v>
      </c>
      <c r="F1689" s="115">
        <v>7453.65</v>
      </c>
      <c r="G1689">
        <v>643</v>
      </c>
      <c r="H1689" s="115"/>
      <c r="I1689" s="115"/>
      <c r="L1689" s="169">
        <v>44494</v>
      </c>
      <c r="M1689" s="115">
        <v>1448.95</v>
      </c>
      <c r="N1689" s="115">
        <v>1499.42</v>
      </c>
      <c r="O1689" s="115">
        <v>1428.81</v>
      </c>
      <c r="P1689" s="115">
        <v>1499</v>
      </c>
      <c r="Q1689" s="115">
        <v>7244.75</v>
      </c>
      <c r="R1689">
        <v>18011</v>
      </c>
    </row>
    <row r="1690" spans="1:18" x14ac:dyDescent="0.25">
      <c r="A1690" s="169">
        <v>44494</v>
      </c>
      <c r="B1690" s="115">
        <v>1495.65</v>
      </c>
      <c r="C1690" s="115">
        <v>1448.22</v>
      </c>
      <c r="D1690" s="115">
        <v>1433.86</v>
      </c>
      <c r="E1690" s="115">
        <v>1494.76</v>
      </c>
      <c r="F1690" s="115">
        <v>7241.1</v>
      </c>
      <c r="G1690">
        <v>1051</v>
      </c>
      <c r="H1690" s="115"/>
      <c r="I1690" s="115"/>
      <c r="L1690" s="169">
        <v>44495</v>
      </c>
      <c r="M1690" s="115">
        <v>1441.79</v>
      </c>
      <c r="N1690" s="115">
        <v>1471.1</v>
      </c>
      <c r="O1690" s="115">
        <v>1436</v>
      </c>
      <c r="P1690" s="115">
        <v>1448.22</v>
      </c>
      <c r="Q1690" s="115">
        <v>7208.95</v>
      </c>
      <c r="R1690">
        <v>20682</v>
      </c>
    </row>
    <row r="1691" spans="1:18" x14ac:dyDescent="0.25">
      <c r="A1691" s="169">
        <v>44495</v>
      </c>
      <c r="B1691" s="115">
        <v>1469.77</v>
      </c>
      <c r="C1691" s="115">
        <v>1441.37</v>
      </c>
      <c r="D1691" s="115">
        <v>1437.9</v>
      </c>
      <c r="E1691" s="115">
        <v>1458.75</v>
      </c>
      <c r="F1691" s="115">
        <v>7206.85</v>
      </c>
      <c r="G1691">
        <v>708</v>
      </c>
      <c r="H1691" s="115"/>
      <c r="I1691" s="115"/>
      <c r="L1691" s="169">
        <v>44496</v>
      </c>
      <c r="M1691" s="115">
        <v>1439.09</v>
      </c>
      <c r="N1691" s="115">
        <v>1461.2</v>
      </c>
      <c r="O1691" s="115">
        <v>1433.18</v>
      </c>
      <c r="P1691" s="115">
        <v>1451</v>
      </c>
      <c r="Q1691" s="115">
        <v>7195.45</v>
      </c>
      <c r="R1691">
        <v>13834</v>
      </c>
    </row>
    <row r="1692" spans="1:18" x14ac:dyDescent="0.25">
      <c r="A1692" s="169">
        <v>44496</v>
      </c>
      <c r="B1692" s="115">
        <v>1456.67</v>
      </c>
      <c r="C1692" s="115">
        <v>1440.58</v>
      </c>
      <c r="D1692" s="115">
        <v>1436.91</v>
      </c>
      <c r="E1692" s="115">
        <v>1455.01</v>
      </c>
      <c r="F1692" s="115">
        <v>7202.9</v>
      </c>
      <c r="G1692">
        <v>505</v>
      </c>
      <c r="H1692" s="115"/>
      <c r="I1692" s="115"/>
      <c r="L1692" s="169">
        <v>44497</v>
      </c>
      <c r="M1692" s="115">
        <v>1471.29</v>
      </c>
      <c r="N1692" s="115">
        <v>1497.6</v>
      </c>
      <c r="O1692" s="115">
        <v>1450</v>
      </c>
      <c r="P1692" s="115">
        <v>1457</v>
      </c>
      <c r="Q1692" s="115">
        <v>7356.45</v>
      </c>
      <c r="R1692">
        <v>42919</v>
      </c>
    </row>
    <row r="1693" spans="1:18" x14ac:dyDescent="0.25">
      <c r="A1693" s="169">
        <v>44497</v>
      </c>
      <c r="B1693" s="115">
        <v>1497</v>
      </c>
      <c r="C1693" s="115">
        <v>1471.1</v>
      </c>
      <c r="D1693" s="115">
        <v>1452.01</v>
      </c>
      <c r="E1693" s="115">
        <v>1452.01</v>
      </c>
      <c r="F1693" s="115">
        <v>7355.5</v>
      </c>
      <c r="G1693">
        <v>1974</v>
      </c>
      <c r="H1693" s="115"/>
      <c r="I1693" s="115"/>
      <c r="L1693" s="169">
        <v>44498</v>
      </c>
      <c r="M1693" s="115">
        <v>1480.35</v>
      </c>
      <c r="N1693" s="115">
        <v>1537</v>
      </c>
      <c r="O1693" s="115">
        <v>1449.88</v>
      </c>
      <c r="P1693" s="115">
        <v>1522</v>
      </c>
      <c r="Q1693" s="115">
        <v>7401.75</v>
      </c>
      <c r="R1693">
        <v>99928</v>
      </c>
    </row>
    <row r="1694" spans="1:18" x14ac:dyDescent="0.25">
      <c r="A1694" s="169">
        <v>44498</v>
      </c>
      <c r="B1694" s="115">
        <v>1536.97</v>
      </c>
      <c r="C1694" s="115">
        <v>1482.77</v>
      </c>
      <c r="D1694" s="115">
        <v>1455.03</v>
      </c>
      <c r="E1694" s="115">
        <v>1522.4</v>
      </c>
      <c r="F1694" s="115">
        <v>7413.85</v>
      </c>
      <c r="G1694">
        <v>3744</v>
      </c>
      <c r="H1694" s="115"/>
      <c r="I1694" s="115"/>
      <c r="L1694" s="169">
        <v>44501</v>
      </c>
      <c r="M1694" s="115">
        <v>1501.7</v>
      </c>
      <c r="N1694" s="115">
        <v>1509</v>
      </c>
      <c r="O1694" s="115">
        <v>1470.1</v>
      </c>
      <c r="P1694" s="115">
        <v>1480.35</v>
      </c>
      <c r="Q1694" s="115">
        <v>7508.5</v>
      </c>
      <c r="R1694">
        <v>37972</v>
      </c>
    </row>
    <row r="1695" spans="1:18" x14ac:dyDescent="0.25">
      <c r="A1695" s="169">
        <v>44501</v>
      </c>
      <c r="B1695" s="115">
        <v>1509.83</v>
      </c>
      <c r="C1695" s="115">
        <v>1500.78</v>
      </c>
      <c r="D1695" s="115">
        <v>1469.17</v>
      </c>
      <c r="E1695" s="115">
        <v>1489.8</v>
      </c>
      <c r="F1695" s="115">
        <v>7503.9</v>
      </c>
      <c r="G1695">
        <v>1227</v>
      </c>
      <c r="H1695" s="115"/>
      <c r="I1695" s="115"/>
      <c r="L1695" s="169">
        <v>44502</v>
      </c>
      <c r="M1695" s="115">
        <v>1505.12</v>
      </c>
      <c r="N1695" s="115">
        <v>1517.95</v>
      </c>
      <c r="O1695" s="115">
        <v>1495.99</v>
      </c>
      <c r="P1695" s="115">
        <v>1505.04</v>
      </c>
      <c r="Q1695" s="115">
        <v>7525.6</v>
      </c>
      <c r="R1695">
        <v>21454</v>
      </c>
    </row>
    <row r="1696" spans="1:18" x14ac:dyDescent="0.25">
      <c r="A1696" s="169">
        <v>44502</v>
      </c>
      <c r="B1696" s="115">
        <v>1516</v>
      </c>
      <c r="C1696" s="115">
        <v>1505.92</v>
      </c>
      <c r="D1696" s="115">
        <v>1497.2</v>
      </c>
      <c r="E1696" s="115">
        <v>1506.87</v>
      </c>
      <c r="F1696" s="115">
        <v>7529.6</v>
      </c>
      <c r="G1696">
        <v>444</v>
      </c>
      <c r="H1696" s="115"/>
      <c r="I1696" s="115"/>
      <c r="L1696" s="169">
        <v>44503</v>
      </c>
      <c r="M1696" s="115">
        <v>1540.44</v>
      </c>
      <c r="N1696" s="115">
        <v>1571.98</v>
      </c>
      <c r="O1696" s="115">
        <v>1505.03</v>
      </c>
      <c r="P1696" s="115">
        <v>1505.03</v>
      </c>
      <c r="Q1696" s="115">
        <v>7702.2</v>
      </c>
      <c r="R1696">
        <v>31391</v>
      </c>
    </row>
    <row r="1697" spans="1:18" x14ac:dyDescent="0.25">
      <c r="A1697" s="169">
        <v>44503</v>
      </c>
      <c r="B1697" s="115">
        <v>1570</v>
      </c>
      <c r="C1697" s="115">
        <v>1539.69</v>
      </c>
      <c r="D1697" s="115">
        <v>1505.47</v>
      </c>
      <c r="E1697" s="115">
        <v>1506</v>
      </c>
      <c r="F1697" s="115">
        <v>7698.45</v>
      </c>
      <c r="G1697">
        <v>2659</v>
      </c>
      <c r="H1697" s="115"/>
      <c r="I1697" s="115"/>
      <c r="L1697" s="169">
        <v>44504</v>
      </c>
      <c r="M1697" s="115">
        <v>1563.74</v>
      </c>
      <c r="N1697" s="115">
        <v>1571.8</v>
      </c>
      <c r="O1697" s="115">
        <v>1550.01</v>
      </c>
      <c r="P1697" s="115">
        <v>1560</v>
      </c>
      <c r="Q1697" s="115">
        <v>7818.7</v>
      </c>
      <c r="R1697">
        <v>6160</v>
      </c>
    </row>
    <row r="1698" spans="1:18" x14ac:dyDescent="0.25">
      <c r="A1698" s="169">
        <v>44504</v>
      </c>
      <c r="B1698" s="115">
        <v>1573.13</v>
      </c>
      <c r="C1698" s="115">
        <v>1563.69</v>
      </c>
      <c r="D1698" s="115">
        <v>1554.01</v>
      </c>
      <c r="E1698" s="115">
        <v>1555.68</v>
      </c>
      <c r="F1698" s="115">
        <v>7818.45</v>
      </c>
      <c r="G1698">
        <v>281</v>
      </c>
      <c r="H1698" s="115"/>
      <c r="I1698" s="115"/>
      <c r="L1698" s="169">
        <v>44508</v>
      </c>
      <c r="M1698" s="115">
        <v>1593.24</v>
      </c>
      <c r="N1698" s="115">
        <v>1600</v>
      </c>
      <c r="O1698" s="115">
        <v>1571</v>
      </c>
      <c r="P1698" s="115">
        <v>1595.8</v>
      </c>
      <c r="Q1698" s="115">
        <v>7966.2</v>
      </c>
      <c r="R1698">
        <v>18977</v>
      </c>
    </row>
    <row r="1699" spans="1:18" x14ac:dyDescent="0.25">
      <c r="A1699" s="169">
        <v>44508</v>
      </c>
      <c r="B1699" s="115">
        <v>1596</v>
      </c>
      <c r="C1699" s="115">
        <v>1591.68</v>
      </c>
      <c r="D1699" s="115">
        <v>1568.6</v>
      </c>
      <c r="E1699" s="115">
        <v>1579.8</v>
      </c>
      <c r="F1699" s="115">
        <v>7958.4</v>
      </c>
      <c r="G1699">
        <v>787</v>
      </c>
      <c r="H1699" s="115"/>
      <c r="I1699" s="115"/>
      <c r="L1699" s="169">
        <v>44509</v>
      </c>
      <c r="M1699" s="115">
        <v>1584.64</v>
      </c>
      <c r="N1699" s="115">
        <v>1609.98</v>
      </c>
      <c r="O1699" s="115">
        <v>1571</v>
      </c>
      <c r="P1699" s="115">
        <v>1590</v>
      </c>
      <c r="Q1699" s="115">
        <v>7923.2</v>
      </c>
      <c r="R1699">
        <v>21958</v>
      </c>
    </row>
    <row r="1700" spans="1:18" x14ac:dyDescent="0.25">
      <c r="A1700" s="169">
        <v>44509</v>
      </c>
      <c r="B1700" s="115">
        <v>1610</v>
      </c>
      <c r="C1700" s="115">
        <v>1584.38</v>
      </c>
      <c r="D1700" s="115">
        <v>1572.6</v>
      </c>
      <c r="E1700" s="115">
        <v>1589.13</v>
      </c>
      <c r="F1700" s="115">
        <v>7921.9</v>
      </c>
      <c r="G1700">
        <v>889</v>
      </c>
      <c r="H1700" s="115"/>
      <c r="I1700" s="115"/>
      <c r="L1700" s="169">
        <v>44510</v>
      </c>
      <c r="M1700" s="115">
        <v>1634.37</v>
      </c>
      <c r="N1700" s="115">
        <v>1640</v>
      </c>
      <c r="O1700" s="115">
        <v>1575.01</v>
      </c>
      <c r="P1700" s="115">
        <v>1579.2</v>
      </c>
      <c r="Q1700" s="115">
        <v>8171.85</v>
      </c>
      <c r="R1700">
        <v>37160</v>
      </c>
    </row>
    <row r="1701" spans="1:18" x14ac:dyDescent="0.25">
      <c r="A1701" s="169">
        <v>44510</v>
      </c>
      <c r="B1701" s="115">
        <v>1640.8</v>
      </c>
      <c r="C1701" s="115">
        <v>1633.22</v>
      </c>
      <c r="D1701" s="115">
        <v>1579</v>
      </c>
      <c r="E1701" s="115">
        <v>1582</v>
      </c>
      <c r="F1701" s="115">
        <v>8166.1</v>
      </c>
      <c r="G1701">
        <v>1276</v>
      </c>
      <c r="H1701" s="115"/>
      <c r="I1701" s="115"/>
      <c r="L1701" s="169">
        <v>44511</v>
      </c>
      <c r="M1701" s="115">
        <v>1609.02</v>
      </c>
      <c r="N1701" s="115">
        <v>1639.6</v>
      </c>
      <c r="O1701" s="115">
        <v>1600</v>
      </c>
      <c r="P1701" s="115">
        <v>1634</v>
      </c>
      <c r="Q1701" s="115">
        <v>8045.1</v>
      </c>
      <c r="R1701">
        <v>17292</v>
      </c>
    </row>
    <row r="1702" spans="1:18" x14ac:dyDescent="0.25">
      <c r="A1702" s="169">
        <v>44511</v>
      </c>
      <c r="B1702" s="115">
        <v>1639.79</v>
      </c>
      <c r="C1702" s="115">
        <v>1609.76</v>
      </c>
      <c r="D1702" s="115">
        <v>1600.2</v>
      </c>
      <c r="E1702" s="115">
        <v>1634.71</v>
      </c>
      <c r="F1702" s="115">
        <v>8048.8</v>
      </c>
      <c r="G1702">
        <v>434</v>
      </c>
      <c r="H1702" s="115"/>
      <c r="I1702" s="115"/>
      <c r="L1702" s="169">
        <v>44512</v>
      </c>
      <c r="M1702" s="115">
        <v>1573.27</v>
      </c>
      <c r="N1702" s="115">
        <v>1619.99</v>
      </c>
      <c r="O1702" s="115">
        <v>1555.41</v>
      </c>
      <c r="P1702" s="115">
        <v>1619.99</v>
      </c>
      <c r="Q1702" s="115">
        <v>7866.35</v>
      </c>
      <c r="R1702">
        <v>23578</v>
      </c>
    </row>
    <row r="1703" spans="1:18" x14ac:dyDescent="0.25">
      <c r="A1703" s="169">
        <v>44512</v>
      </c>
      <c r="B1703" s="115">
        <v>1608.94</v>
      </c>
      <c r="C1703" s="115">
        <v>1568.16</v>
      </c>
      <c r="D1703" s="115">
        <v>1554.77</v>
      </c>
      <c r="E1703" s="115">
        <v>1607.42</v>
      </c>
      <c r="F1703" s="115">
        <v>7840.8</v>
      </c>
      <c r="G1703">
        <v>846</v>
      </c>
      <c r="H1703" s="115"/>
      <c r="I1703" s="115"/>
      <c r="L1703" s="169">
        <v>44515</v>
      </c>
      <c r="M1703" s="115">
        <v>1560.35</v>
      </c>
      <c r="N1703" s="115">
        <v>1588.85</v>
      </c>
      <c r="O1703" s="115">
        <v>1551.4</v>
      </c>
      <c r="P1703" s="115">
        <v>1588.85</v>
      </c>
      <c r="Q1703" s="115">
        <v>7801.75</v>
      </c>
      <c r="R1703">
        <v>7706</v>
      </c>
    </row>
    <row r="1704" spans="1:18" x14ac:dyDescent="0.25">
      <c r="A1704" s="169">
        <v>44515</v>
      </c>
      <c r="B1704" s="115">
        <v>1584.1</v>
      </c>
      <c r="C1704" s="115">
        <v>1559.35</v>
      </c>
      <c r="D1704" s="115">
        <v>1553.02</v>
      </c>
      <c r="E1704" s="115">
        <v>1570</v>
      </c>
      <c r="F1704" s="115">
        <v>7796.75</v>
      </c>
      <c r="G1704">
        <v>748</v>
      </c>
      <c r="H1704" s="115"/>
      <c r="I1704" s="115"/>
      <c r="L1704" s="169">
        <v>44516</v>
      </c>
      <c r="M1704" s="115">
        <v>1550.15</v>
      </c>
      <c r="N1704" s="115">
        <v>1575.41</v>
      </c>
      <c r="O1704" s="115">
        <v>1546.2</v>
      </c>
      <c r="P1704" s="115">
        <v>1569.56</v>
      </c>
      <c r="Q1704" s="115">
        <v>7750.75</v>
      </c>
      <c r="R1704">
        <v>13641</v>
      </c>
    </row>
    <row r="1705" spans="1:18" x14ac:dyDescent="0.25">
      <c r="A1705" s="169">
        <v>44516</v>
      </c>
      <c r="B1705" s="115">
        <v>1573.18</v>
      </c>
      <c r="C1705" s="115">
        <v>1549.37</v>
      </c>
      <c r="D1705" s="115">
        <v>1546.11</v>
      </c>
      <c r="E1705" s="115">
        <v>1565.43</v>
      </c>
      <c r="F1705" s="115">
        <v>7746.85</v>
      </c>
      <c r="G1705">
        <v>219</v>
      </c>
      <c r="H1705" s="115"/>
      <c r="I1705" s="115"/>
      <c r="L1705" s="169">
        <v>44517</v>
      </c>
      <c r="M1705" s="115">
        <v>1557.92</v>
      </c>
      <c r="N1705" s="115">
        <v>1595.19</v>
      </c>
      <c r="O1705" s="115">
        <v>1544</v>
      </c>
      <c r="P1705" s="115">
        <v>1546.21</v>
      </c>
      <c r="Q1705" s="115">
        <v>7789.6</v>
      </c>
      <c r="R1705">
        <v>17857</v>
      </c>
    </row>
    <row r="1706" spans="1:18" x14ac:dyDescent="0.25">
      <c r="A1706" s="169">
        <v>44517</v>
      </c>
      <c r="B1706" s="115">
        <v>1585.42</v>
      </c>
      <c r="C1706" s="115">
        <v>1556.15</v>
      </c>
      <c r="D1706" s="115">
        <v>1546.8</v>
      </c>
      <c r="E1706" s="115">
        <v>1551.32</v>
      </c>
      <c r="F1706" s="115">
        <v>7780.75</v>
      </c>
      <c r="G1706">
        <v>661</v>
      </c>
      <c r="H1706" s="115"/>
      <c r="I1706" s="115"/>
      <c r="L1706" s="169">
        <v>44518</v>
      </c>
      <c r="M1706" s="115">
        <v>1551.27</v>
      </c>
      <c r="N1706" s="115">
        <v>1577.7</v>
      </c>
      <c r="O1706" s="115">
        <v>1540.01</v>
      </c>
      <c r="P1706" s="115">
        <v>1565</v>
      </c>
      <c r="Q1706" s="115">
        <v>7756.35</v>
      </c>
      <c r="R1706">
        <v>9235</v>
      </c>
    </row>
    <row r="1707" spans="1:18" x14ac:dyDescent="0.25">
      <c r="A1707" s="169">
        <v>44518</v>
      </c>
      <c r="B1707" s="115">
        <v>1570.94</v>
      </c>
      <c r="C1707" s="115">
        <v>1550.52</v>
      </c>
      <c r="D1707" s="115">
        <v>1541.68</v>
      </c>
      <c r="E1707" s="115">
        <v>1570.94</v>
      </c>
      <c r="F1707" s="115">
        <v>7752.6</v>
      </c>
      <c r="G1707">
        <v>392</v>
      </c>
      <c r="H1707" s="115"/>
      <c r="I1707" s="115"/>
      <c r="L1707" s="169">
        <v>44522</v>
      </c>
      <c r="M1707" s="115">
        <v>1512.61</v>
      </c>
      <c r="N1707" s="115">
        <v>1565.54</v>
      </c>
      <c r="O1707" s="115">
        <v>1506</v>
      </c>
      <c r="P1707" s="115">
        <v>1565.32</v>
      </c>
      <c r="Q1707" s="115">
        <v>7563.05</v>
      </c>
      <c r="R1707">
        <v>11577</v>
      </c>
    </row>
    <row r="1708" spans="1:18" x14ac:dyDescent="0.25">
      <c r="A1708" s="169">
        <v>44522</v>
      </c>
      <c r="B1708" s="115">
        <v>1558</v>
      </c>
      <c r="C1708" s="115">
        <v>1514.04</v>
      </c>
      <c r="D1708" s="115">
        <v>1507</v>
      </c>
      <c r="E1708" s="115">
        <v>1558</v>
      </c>
      <c r="F1708" s="115">
        <v>7570.2</v>
      </c>
      <c r="G1708">
        <v>539</v>
      </c>
      <c r="H1708" s="115"/>
      <c r="I1708" s="115"/>
      <c r="L1708" s="169">
        <v>44523</v>
      </c>
      <c r="M1708" s="115">
        <v>1517.29</v>
      </c>
      <c r="N1708" s="115">
        <v>1538.65</v>
      </c>
      <c r="O1708" s="115">
        <v>1488.25</v>
      </c>
      <c r="P1708" s="115">
        <v>1506</v>
      </c>
      <c r="Q1708" s="115">
        <v>7586.45</v>
      </c>
      <c r="R1708">
        <v>13458</v>
      </c>
    </row>
    <row r="1709" spans="1:18" x14ac:dyDescent="0.25">
      <c r="A1709" s="169">
        <v>44523</v>
      </c>
      <c r="B1709" s="115">
        <v>1538.31</v>
      </c>
      <c r="C1709" s="115">
        <v>1515.03</v>
      </c>
      <c r="D1709" s="115">
        <v>1483.91</v>
      </c>
      <c r="E1709" s="115">
        <v>1498.19</v>
      </c>
      <c r="F1709" s="115">
        <v>7575.15</v>
      </c>
      <c r="G1709">
        <v>702</v>
      </c>
      <c r="H1709" s="115"/>
      <c r="I1709" s="115"/>
      <c r="L1709" s="169">
        <v>44524</v>
      </c>
      <c r="M1709" s="115">
        <v>1532.92</v>
      </c>
      <c r="N1709" s="115">
        <v>1559.8</v>
      </c>
      <c r="O1709" s="115">
        <v>1521</v>
      </c>
      <c r="P1709" s="115">
        <v>1536</v>
      </c>
      <c r="Q1709" s="115">
        <v>7664.6</v>
      </c>
      <c r="R1709">
        <v>15776</v>
      </c>
    </row>
    <row r="1710" spans="1:18" x14ac:dyDescent="0.25">
      <c r="A1710" s="169">
        <v>44524</v>
      </c>
      <c r="B1710" s="115">
        <v>1558.47</v>
      </c>
      <c r="C1710" s="115">
        <v>1532.43</v>
      </c>
      <c r="D1710" s="115">
        <v>1522.58</v>
      </c>
      <c r="E1710" s="115">
        <v>1547.8</v>
      </c>
      <c r="F1710" s="115">
        <v>7662.15</v>
      </c>
      <c r="G1710">
        <v>591</v>
      </c>
      <c r="H1710" s="115"/>
      <c r="I1710" s="115"/>
      <c r="L1710" s="169">
        <v>44525</v>
      </c>
      <c r="M1710" s="115">
        <v>1526.53</v>
      </c>
      <c r="N1710" s="115">
        <v>1538</v>
      </c>
      <c r="O1710" s="115">
        <v>1521.09</v>
      </c>
      <c r="P1710" s="115">
        <v>1530.28</v>
      </c>
      <c r="Q1710" s="115">
        <v>7632.65</v>
      </c>
      <c r="R1710">
        <v>4159</v>
      </c>
    </row>
    <row r="1711" spans="1:18" x14ac:dyDescent="0.25">
      <c r="A1711" s="169">
        <v>44525</v>
      </c>
      <c r="B1711" s="115">
        <v>1538.78</v>
      </c>
      <c r="C1711" s="115">
        <v>1527.59</v>
      </c>
      <c r="D1711" s="115">
        <v>1521.6</v>
      </c>
      <c r="E1711" s="115">
        <v>1534.12</v>
      </c>
      <c r="F1711" s="115">
        <v>7637.95</v>
      </c>
      <c r="G1711">
        <v>135</v>
      </c>
      <c r="H1711" s="115"/>
      <c r="I1711" s="115"/>
      <c r="L1711" s="169">
        <v>44526</v>
      </c>
      <c r="M1711" s="115">
        <v>1504.34</v>
      </c>
      <c r="N1711" s="115">
        <v>1520.2</v>
      </c>
      <c r="O1711" s="115">
        <v>1495.8</v>
      </c>
      <c r="P1711" s="115">
        <v>1520.2</v>
      </c>
      <c r="Q1711" s="115">
        <v>7521.7</v>
      </c>
      <c r="R1711">
        <v>14905</v>
      </c>
    </row>
    <row r="1712" spans="1:18" x14ac:dyDescent="0.25">
      <c r="A1712" s="169">
        <v>44526</v>
      </c>
      <c r="B1712" s="115">
        <v>1517.59</v>
      </c>
      <c r="C1712" s="115">
        <v>1503.74</v>
      </c>
      <c r="D1712" s="115">
        <v>1495.21</v>
      </c>
      <c r="E1712" s="115">
        <v>1504.21</v>
      </c>
      <c r="F1712" s="115">
        <v>7518.7</v>
      </c>
      <c r="G1712">
        <v>1139</v>
      </c>
      <c r="H1712" s="115"/>
      <c r="I1712" s="115"/>
      <c r="L1712" s="169">
        <v>44529</v>
      </c>
      <c r="M1712" s="115">
        <v>1525.99</v>
      </c>
      <c r="N1712" s="115">
        <v>1537.6</v>
      </c>
      <c r="O1712" s="115">
        <v>1418.75</v>
      </c>
      <c r="P1712" s="115">
        <v>1480.06</v>
      </c>
      <c r="Q1712" s="115">
        <v>7629.95</v>
      </c>
      <c r="R1712">
        <v>20951</v>
      </c>
    </row>
    <row r="1713" spans="1:18" x14ac:dyDescent="0.25">
      <c r="A1713" s="169">
        <v>44529</v>
      </c>
      <c r="B1713" s="115">
        <v>1540.07</v>
      </c>
      <c r="C1713" s="115">
        <v>1524.4</v>
      </c>
      <c r="D1713" s="115">
        <v>1448.05</v>
      </c>
      <c r="E1713" s="115">
        <v>1481.02</v>
      </c>
      <c r="F1713" s="115">
        <v>7622</v>
      </c>
      <c r="G1713">
        <v>513</v>
      </c>
      <c r="H1713" s="115"/>
      <c r="I1713" s="115"/>
      <c r="L1713" s="169">
        <v>44530</v>
      </c>
      <c r="M1713" s="115">
        <v>1558.76</v>
      </c>
      <c r="N1713" s="115">
        <v>1570</v>
      </c>
      <c r="O1713" s="115">
        <v>1510.17</v>
      </c>
      <c r="P1713" s="115">
        <v>1537.8</v>
      </c>
      <c r="Q1713" s="115">
        <v>7793.8</v>
      </c>
      <c r="R1713">
        <v>50005</v>
      </c>
    </row>
    <row r="1714" spans="1:18" x14ac:dyDescent="0.25">
      <c r="A1714" s="169">
        <v>44530</v>
      </c>
      <c r="B1714" s="115">
        <v>1569.6</v>
      </c>
      <c r="C1714" s="115">
        <v>1558.47</v>
      </c>
      <c r="D1714" s="115">
        <v>1505.85</v>
      </c>
      <c r="E1714" s="115">
        <v>1533.2</v>
      </c>
      <c r="F1714" s="115">
        <v>7792.35</v>
      </c>
      <c r="G1714">
        <v>1098</v>
      </c>
      <c r="H1714" s="115"/>
      <c r="I1714" s="115"/>
      <c r="L1714" s="169">
        <v>44531</v>
      </c>
      <c r="M1714" s="115">
        <v>1520.71</v>
      </c>
      <c r="N1714" s="115">
        <v>1574</v>
      </c>
      <c r="O1714" s="115">
        <v>1511.4</v>
      </c>
      <c r="P1714" s="115">
        <v>1560</v>
      </c>
      <c r="Q1714" s="115">
        <v>7603.55</v>
      </c>
      <c r="R1714">
        <v>10032</v>
      </c>
    </row>
    <row r="1715" spans="1:18" x14ac:dyDescent="0.25">
      <c r="A1715" s="169">
        <v>44531</v>
      </c>
      <c r="B1715" s="115">
        <v>1570.8</v>
      </c>
      <c r="C1715" s="115">
        <v>1518.66</v>
      </c>
      <c r="D1715" s="115">
        <v>1512.62</v>
      </c>
      <c r="E1715" s="115">
        <v>1569.42</v>
      </c>
      <c r="F1715" s="115">
        <v>7593.3</v>
      </c>
      <c r="G1715">
        <v>394</v>
      </c>
      <c r="H1715" s="115"/>
      <c r="I1715" s="115"/>
      <c r="L1715" s="169">
        <v>44532</v>
      </c>
      <c r="M1715" s="115">
        <v>1571.38</v>
      </c>
      <c r="N1715" s="115">
        <v>1577</v>
      </c>
      <c r="O1715" s="115">
        <v>1522.01</v>
      </c>
      <c r="P1715" s="115">
        <v>1547.98</v>
      </c>
      <c r="Q1715" s="115">
        <v>7856.9</v>
      </c>
      <c r="R1715">
        <v>22003</v>
      </c>
    </row>
    <row r="1716" spans="1:18" x14ac:dyDescent="0.25">
      <c r="A1716" s="169">
        <v>44532</v>
      </c>
      <c r="B1716" s="115">
        <v>1578.58</v>
      </c>
      <c r="C1716" s="115">
        <v>1568.37</v>
      </c>
      <c r="D1716" s="115">
        <v>1534</v>
      </c>
      <c r="E1716" s="115">
        <v>1537.19</v>
      </c>
      <c r="F1716" s="115">
        <v>7841.85</v>
      </c>
      <c r="G1716">
        <v>926</v>
      </c>
      <c r="H1716" s="115"/>
      <c r="I1716" s="115"/>
      <c r="L1716" s="169">
        <v>44533</v>
      </c>
      <c r="M1716" s="115">
        <v>1576.72</v>
      </c>
      <c r="N1716" s="115">
        <v>1604.93</v>
      </c>
      <c r="O1716" s="115">
        <v>1570.19</v>
      </c>
      <c r="P1716" s="115">
        <v>1581.8</v>
      </c>
      <c r="Q1716" s="115">
        <v>7883.6</v>
      </c>
      <c r="R1716">
        <v>28371</v>
      </c>
    </row>
    <row r="1717" spans="1:18" x14ac:dyDescent="0.25">
      <c r="A1717" s="169">
        <v>44533</v>
      </c>
      <c r="B1717" s="115">
        <v>1606</v>
      </c>
      <c r="C1717" s="115">
        <v>1575.47</v>
      </c>
      <c r="D1717" s="115">
        <v>1560</v>
      </c>
      <c r="E1717" s="115">
        <v>1560</v>
      </c>
      <c r="F1717" s="115">
        <v>7877.35</v>
      </c>
      <c r="G1717">
        <v>515</v>
      </c>
      <c r="H1717" s="115"/>
      <c r="I1717" s="115"/>
      <c r="L1717" s="169">
        <v>44536</v>
      </c>
      <c r="M1717" s="115">
        <v>1569.72</v>
      </c>
      <c r="N1717" s="115">
        <v>1588.4</v>
      </c>
      <c r="O1717" s="115">
        <v>1553.2</v>
      </c>
      <c r="P1717" s="115">
        <v>1584.84</v>
      </c>
      <c r="Q1717" s="115">
        <v>7848.6</v>
      </c>
      <c r="R1717">
        <v>15074</v>
      </c>
    </row>
    <row r="1718" spans="1:18" x14ac:dyDescent="0.25">
      <c r="A1718" s="169">
        <v>44536</v>
      </c>
      <c r="B1718" s="115">
        <v>1588.1</v>
      </c>
      <c r="C1718" s="115">
        <v>1570.02</v>
      </c>
      <c r="D1718" s="115">
        <v>1554.62</v>
      </c>
      <c r="E1718" s="115">
        <v>1565.95</v>
      </c>
      <c r="F1718" s="115">
        <v>7850.1</v>
      </c>
      <c r="G1718">
        <v>445</v>
      </c>
      <c r="H1718" s="115"/>
      <c r="I1718" s="115"/>
      <c r="L1718" s="169">
        <v>44537</v>
      </c>
      <c r="M1718" s="115">
        <v>1599.13</v>
      </c>
      <c r="N1718" s="115">
        <v>1613.6</v>
      </c>
      <c r="O1718" s="115">
        <v>1565.4</v>
      </c>
      <c r="P1718" s="115">
        <v>1565.4</v>
      </c>
      <c r="Q1718" s="115">
        <v>7995.65</v>
      </c>
      <c r="R1718">
        <v>13694</v>
      </c>
    </row>
    <row r="1719" spans="1:18" x14ac:dyDescent="0.25">
      <c r="A1719" s="169">
        <v>44537</v>
      </c>
      <c r="B1719" s="115">
        <v>1612.95</v>
      </c>
      <c r="C1719" s="115">
        <v>1600.69</v>
      </c>
      <c r="D1719" s="115">
        <v>1570.65</v>
      </c>
      <c r="E1719" s="115">
        <v>1579.25</v>
      </c>
      <c r="F1719" s="115">
        <v>8003.45</v>
      </c>
      <c r="G1719">
        <v>1222</v>
      </c>
      <c r="H1719" s="115"/>
      <c r="I1719" s="115"/>
      <c r="L1719" s="169">
        <v>44538</v>
      </c>
      <c r="M1719" s="115">
        <v>1597.58</v>
      </c>
      <c r="N1719" s="115">
        <v>1618.09</v>
      </c>
      <c r="O1719" s="115">
        <v>1592</v>
      </c>
      <c r="P1719" s="115">
        <v>1609.8</v>
      </c>
      <c r="Q1719" s="115">
        <v>7987.9</v>
      </c>
      <c r="R1719">
        <v>8772</v>
      </c>
    </row>
    <row r="1720" spans="1:18" x14ac:dyDescent="0.25">
      <c r="A1720" s="169">
        <v>44538</v>
      </c>
      <c r="B1720" s="115">
        <v>1616.19</v>
      </c>
      <c r="C1720" s="115">
        <v>1595.9</v>
      </c>
      <c r="D1720" s="115">
        <v>1592.35</v>
      </c>
      <c r="E1720" s="115">
        <v>1609.49</v>
      </c>
      <c r="F1720" s="115">
        <v>7979.5</v>
      </c>
      <c r="G1720">
        <v>479</v>
      </c>
      <c r="H1720" s="115"/>
      <c r="I1720" s="115"/>
      <c r="L1720" s="169">
        <v>44539</v>
      </c>
      <c r="M1720" s="115">
        <v>1575.56</v>
      </c>
      <c r="N1720" s="115">
        <v>1609.51</v>
      </c>
      <c r="O1720" s="115">
        <v>1565.4</v>
      </c>
      <c r="P1720" s="115">
        <v>1600</v>
      </c>
      <c r="Q1720" s="115">
        <v>7877.8</v>
      </c>
      <c r="R1720">
        <v>4356</v>
      </c>
    </row>
    <row r="1721" spans="1:18" x14ac:dyDescent="0.25">
      <c r="A1721" s="169">
        <v>44539</v>
      </c>
      <c r="B1721" s="115">
        <v>1635.54</v>
      </c>
      <c r="C1721" s="115">
        <v>1574.98</v>
      </c>
      <c r="D1721" s="115">
        <v>1571</v>
      </c>
      <c r="E1721" s="115">
        <v>1599.19</v>
      </c>
      <c r="F1721" s="115">
        <v>7874.9</v>
      </c>
      <c r="G1721">
        <v>468</v>
      </c>
      <c r="H1721" s="115"/>
      <c r="I1721" s="115"/>
      <c r="L1721" s="169">
        <v>44540</v>
      </c>
      <c r="M1721" s="115">
        <v>1589.93</v>
      </c>
      <c r="N1721" s="115">
        <v>1594</v>
      </c>
      <c r="O1721" s="115">
        <v>1561.9</v>
      </c>
      <c r="P1721" s="115">
        <v>1589.28</v>
      </c>
      <c r="Q1721" s="115">
        <v>7949.65</v>
      </c>
      <c r="R1721">
        <v>4799</v>
      </c>
    </row>
    <row r="1722" spans="1:18" x14ac:dyDescent="0.25">
      <c r="A1722" s="169">
        <v>44540</v>
      </c>
      <c r="B1722" s="115">
        <v>1593.16</v>
      </c>
      <c r="C1722" s="115">
        <v>1590.52</v>
      </c>
      <c r="D1722" s="115">
        <v>1564.48</v>
      </c>
      <c r="E1722" s="115">
        <v>1585.42</v>
      </c>
      <c r="F1722" s="115">
        <v>7952.6</v>
      </c>
      <c r="G1722">
        <v>362</v>
      </c>
      <c r="H1722" s="115"/>
      <c r="I1722" s="115"/>
      <c r="L1722" s="169">
        <v>44543</v>
      </c>
      <c r="M1722" s="115">
        <v>1647.88</v>
      </c>
      <c r="N1722" s="115">
        <v>1659.6</v>
      </c>
      <c r="O1722" s="115">
        <v>1584.61</v>
      </c>
      <c r="P1722" s="115">
        <v>1589.93</v>
      </c>
      <c r="Q1722" s="115">
        <v>8239.4</v>
      </c>
      <c r="R1722">
        <v>23241</v>
      </c>
    </row>
    <row r="1723" spans="1:18" x14ac:dyDescent="0.25">
      <c r="A1723" s="169">
        <v>44543</v>
      </c>
      <c r="B1723" s="115">
        <v>1658.6</v>
      </c>
      <c r="C1723" s="115">
        <v>1645.61</v>
      </c>
      <c r="D1723" s="115">
        <v>1565.4</v>
      </c>
      <c r="E1723" s="115">
        <v>1565.4</v>
      </c>
      <c r="F1723" s="115">
        <v>8228.0499999999993</v>
      </c>
      <c r="G1723">
        <v>11802</v>
      </c>
      <c r="H1723" s="115"/>
      <c r="I1723" s="115"/>
      <c r="L1723" s="169">
        <v>44544</v>
      </c>
      <c r="M1723" s="115">
        <v>1678.49</v>
      </c>
      <c r="N1723" s="115">
        <v>1707.2</v>
      </c>
      <c r="O1723" s="115">
        <v>1662.2</v>
      </c>
      <c r="P1723" s="115">
        <v>1679.78</v>
      </c>
      <c r="Q1723" s="115">
        <v>8392.4500000000007</v>
      </c>
      <c r="R1723">
        <v>55888</v>
      </c>
    </row>
    <row r="1724" spans="1:18" x14ac:dyDescent="0.25">
      <c r="A1724" s="169">
        <v>44544</v>
      </c>
      <c r="B1724" s="115">
        <v>1705.8</v>
      </c>
      <c r="C1724" s="115">
        <v>1677.51</v>
      </c>
      <c r="D1724" s="115">
        <v>1662.3</v>
      </c>
      <c r="E1724" s="115">
        <v>1680</v>
      </c>
      <c r="F1724" s="115">
        <v>8387.5499999999993</v>
      </c>
      <c r="G1724">
        <v>1833</v>
      </c>
      <c r="H1724" s="115"/>
      <c r="I1724" s="115"/>
      <c r="L1724" s="169">
        <v>44545</v>
      </c>
      <c r="M1724" s="115">
        <v>1661.57</v>
      </c>
      <c r="N1724" s="115">
        <v>1693.4</v>
      </c>
      <c r="O1724" s="115">
        <v>1652.72</v>
      </c>
      <c r="P1724" s="115">
        <v>1693.4</v>
      </c>
      <c r="Q1724" s="115">
        <v>8307.85</v>
      </c>
      <c r="R1724">
        <v>8796</v>
      </c>
    </row>
    <row r="1725" spans="1:18" x14ac:dyDescent="0.25">
      <c r="A1725" s="169">
        <v>44545</v>
      </c>
      <c r="B1725" s="115">
        <v>1717.57</v>
      </c>
      <c r="C1725" s="115">
        <v>1661.15</v>
      </c>
      <c r="D1725" s="115">
        <v>1653.62</v>
      </c>
      <c r="E1725" s="115">
        <v>1717.57</v>
      </c>
      <c r="F1725" s="115">
        <v>8305.75</v>
      </c>
      <c r="G1725">
        <v>599</v>
      </c>
      <c r="H1725" s="115"/>
      <c r="I1725" s="115"/>
      <c r="L1725" s="169">
        <v>44546</v>
      </c>
      <c r="M1725" s="115">
        <v>1631</v>
      </c>
      <c r="N1725" s="115">
        <v>1678</v>
      </c>
      <c r="O1725" s="115">
        <v>1616.01</v>
      </c>
      <c r="P1725" s="115">
        <v>1673.36</v>
      </c>
      <c r="Q1725" s="115">
        <v>8155</v>
      </c>
      <c r="R1725">
        <v>11501</v>
      </c>
    </row>
    <row r="1726" spans="1:18" x14ac:dyDescent="0.25">
      <c r="A1726" s="169">
        <v>44546</v>
      </c>
      <c r="B1726" s="115">
        <v>1679.6</v>
      </c>
      <c r="C1726" s="115">
        <v>1634.24</v>
      </c>
      <c r="D1726" s="115">
        <v>1617.59</v>
      </c>
      <c r="E1726" s="115">
        <v>1661.99</v>
      </c>
      <c r="F1726" s="115">
        <v>8171.2</v>
      </c>
      <c r="G1726">
        <v>788</v>
      </c>
      <c r="H1726" s="115"/>
      <c r="I1726" s="115"/>
      <c r="L1726" s="169">
        <v>44547</v>
      </c>
      <c r="M1726" s="115">
        <v>1595.03</v>
      </c>
      <c r="N1726" s="115">
        <v>1638.34</v>
      </c>
      <c r="O1726" s="115">
        <v>1585.02</v>
      </c>
      <c r="P1726" s="115">
        <v>1633.8</v>
      </c>
      <c r="Q1726" s="115">
        <v>7975.15</v>
      </c>
      <c r="R1726">
        <v>20943</v>
      </c>
    </row>
    <row r="1727" spans="1:18" x14ac:dyDescent="0.25">
      <c r="A1727" s="169">
        <v>44547</v>
      </c>
      <c r="B1727" s="115">
        <v>1632.87</v>
      </c>
      <c r="C1727" s="115">
        <v>1593.38</v>
      </c>
      <c r="D1727" s="115">
        <v>1584.01</v>
      </c>
      <c r="E1727" s="115">
        <v>1632.87</v>
      </c>
      <c r="F1727" s="115">
        <v>7966.9</v>
      </c>
      <c r="G1727">
        <v>1396</v>
      </c>
      <c r="H1727" s="115"/>
      <c r="I1727" s="115"/>
      <c r="L1727" s="169">
        <v>44550</v>
      </c>
      <c r="M1727" s="115">
        <v>1580.02</v>
      </c>
      <c r="N1727" s="115">
        <v>1612</v>
      </c>
      <c r="O1727" s="115">
        <v>1530.2</v>
      </c>
      <c r="P1727" s="115">
        <v>1567.2</v>
      </c>
      <c r="Q1727" s="115">
        <v>7900.1</v>
      </c>
      <c r="R1727">
        <v>28091</v>
      </c>
    </row>
    <row r="1728" spans="1:18" x14ac:dyDescent="0.25">
      <c r="A1728" s="169">
        <v>44550</v>
      </c>
      <c r="B1728" s="115">
        <v>1610.54</v>
      </c>
      <c r="C1728" s="115">
        <v>1581.18</v>
      </c>
      <c r="D1728" s="115">
        <v>1534.58</v>
      </c>
      <c r="E1728" s="115">
        <v>1586.01</v>
      </c>
      <c r="F1728" s="115">
        <v>7905.9</v>
      </c>
      <c r="G1728">
        <v>1960</v>
      </c>
      <c r="H1728" s="115"/>
      <c r="I1728" s="115"/>
      <c r="L1728" s="169">
        <v>44551</v>
      </c>
      <c r="M1728" s="115">
        <v>1639.4</v>
      </c>
      <c r="N1728" s="115">
        <v>1648</v>
      </c>
      <c r="O1728" s="115">
        <v>1582.26</v>
      </c>
      <c r="P1728" s="115">
        <v>1589.8</v>
      </c>
      <c r="Q1728" s="115">
        <v>8197</v>
      </c>
      <c r="R1728">
        <v>32900</v>
      </c>
    </row>
    <row r="1729" spans="1:18" x14ac:dyDescent="0.25">
      <c r="A1729" s="169">
        <v>44551</v>
      </c>
      <c r="B1729" s="115">
        <v>1646.5</v>
      </c>
      <c r="C1729" s="115">
        <v>1638.62</v>
      </c>
      <c r="D1729" s="115">
        <v>1588.35</v>
      </c>
      <c r="E1729" s="115">
        <v>1594.45</v>
      </c>
      <c r="F1729" s="115">
        <v>8193.1</v>
      </c>
      <c r="G1729">
        <v>1345</v>
      </c>
      <c r="H1729" s="115"/>
      <c r="I1729" s="115"/>
      <c r="L1729" s="169">
        <v>44552</v>
      </c>
      <c r="M1729" s="115">
        <v>1685.23</v>
      </c>
      <c r="N1729" s="115">
        <v>1698.4</v>
      </c>
      <c r="O1729" s="115">
        <v>1641.3</v>
      </c>
      <c r="P1729" s="115">
        <v>1645.56</v>
      </c>
      <c r="Q1729" s="115">
        <v>8426.15</v>
      </c>
      <c r="R1729">
        <v>26248</v>
      </c>
    </row>
    <row r="1730" spans="1:18" x14ac:dyDescent="0.25">
      <c r="A1730" s="169">
        <v>44552</v>
      </c>
      <c r="B1730" s="115">
        <v>1698</v>
      </c>
      <c r="C1730" s="115">
        <v>1685.89</v>
      </c>
      <c r="D1730" s="115">
        <v>1637</v>
      </c>
      <c r="E1730" s="115">
        <v>1637</v>
      </c>
      <c r="F1730" s="115">
        <v>8429.4500000000007</v>
      </c>
      <c r="G1730">
        <v>1509</v>
      </c>
      <c r="H1730" s="115"/>
      <c r="I1730" s="115"/>
      <c r="L1730" s="169">
        <v>44553</v>
      </c>
      <c r="M1730" s="115">
        <v>1699.5</v>
      </c>
      <c r="N1730" s="115">
        <v>1709.6</v>
      </c>
      <c r="O1730" s="115">
        <v>1678</v>
      </c>
      <c r="P1730" s="115">
        <v>1702</v>
      </c>
      <c r="Q1730" s="115">
        <v>8497.5</v>
      </c>
      <c r="R1730">
        <v>67018</v>
      </c>
    </row>
    <row r="1731" spans="1:18" x14ac:dyDescent="0.25">
      <c r="A1731" s="169">
        <v>44553</v>
      </c>
      <c r="B1731" s="115">
        <v>1704.79</v>
      </c>
      <c r="C1731" s="115">
        <v>1698.66</v>
      </c>
      <c r="D1731" s="115">
        <v>1678.25</v>
      </c>
      <c r="E1731" s="115">
        <v>1689.6</v>
      </c>
      <c r="F1731" s="115">
        <v>8493.2999999999993</v>
      </c>
      <c r="G1731">
        <v>1383</v>
      </c>
      <c r="H1731" s="115"/>
      <c r="I1731" s="115"/>
      <c r="L1731" s="169">
        <v>44554</v>
      </c>
      <c r="M1731" s="115">
        <v>1708.59</v>
      </c>
      <c r="N1731" s="115">
        <v>1719.6</v>
      </c>
      <c r="O1731" s="115">
        <v>1693.25</v>
      </c>
      <c r="P1731" s="115">
        <v>1703</v>
      </c>
      <c r="Q1731" s="115">
        <v>8542.9500000000007</v>
      </c>
      <c r="R1731">
        <v>17059</v>
      </c>
    </row>
    <row r="1732" spans="1:18" x14ac:dyDescent="0.25">
      <c r="A1732" s="169">
        <v>44554</v>
      </c>
      <c r="B1732" s="115">
        <v>1719.51</v>
      </c>
      <c r="C1732" s="115">
        <v>1709.79</v>
      </c>
      <c r="D1732" s="115">
        <v>1693.23</v>
      </c>
      <c r="E1732" s="115">
        <v>1699.6</v>
      </c>
      <c r="F1732" s="115">
        <v>8548.9500000000007</v>
      </c>
      <c r="G1732">
        <v>1330</v>
      </c>
      <c r="H1732" s="115"/>
      <c r="I1732" s="115"/>
      <c r="L1732" s="169">
        <v>44557</v>
      </c>
      <c r="M1732" s="115">
        <v>1727.48</v>
      </c>
      <c r="N1732" s="115">
        <v>1743.6</v>
      </c>
      <c r="O1732" s="115">
        <v>1656.59</v>
      </c>
      <c r="P1732" s="115">
        <v>1712.72</v>
      </c>
      <c r="Q1732" s="115">
        <v>8637.4</v>
      </c>
      <c r="R1732">
        <v>16950</v>
      </c>
    </row>
    <row r="1733" spans="1:18" x14ac:dyDescent="0.25">
      <c r="A1733" s="169">
        <v>44557</v>
      </c>
      <c r="B1733" s="115">
        <v>1742.17</v>
      </c>
      <c r="C1733" s="115">
        <v>1723.28</v>
      </c>
      <c r="D1733" s="115">
        <v>1657.4</v>
      </c>
      <c r="E1733" s="115">
        <v>1710</v>
      </c>
      <c r="F1733" s="115">
        <v>8616.4</v>
      </c>
      <c r="G1733">
        <v>1570</v>
      </c>
      <c r="H1733" s="115"/>
      <c r="I1733" s="115"/>
      <c r="L1733" s="169">
        <v>44558</v>
      </c>
      <c r="M1733" s="115">
        <v>1719.35</v>
      </c>
      <c r="N1733" s="115">
        <v>1746.15</v>
      </c>
      <c r="O1733" s="115">
        <v>1714</v>
      </c>
      <c r="P1733" s="115">
        <v>1729.8</v>
      </c>
      <c r="Q1733" s="115">
        <v>8596.75</v>
      </c>
      <c r="R1733">
        <v>48117</v>
      </c>
    </row>
    <row r="1734" spans="1:18" x14ac:dyDescent="0.25">
      <c r="A1734" s="169">
        <v>44558</v>
      </c>
      <c r="B1734" s="115">
        <v>1742</v>
      </c>
      <c r="C1734" s="115">
        <v>1719.28</v>
      </c>
      <c r="D1734" s="115">
        <v>1715</v>
      </c>
      <c r="E1734" s="115">
        <v>1741.79</v>
      </c>
      <c r="F1734" s="115">
        <v>8596.4</v>
      </c>
      <c r="G1734">
        <v>1041</v>
      </c>
      <c r="H1734" s="115"/>
      <c r="I1734" s="115"/>
      <c r="L1734" s="169">
        <v>44559</v>
      </c>
      <c r="M1734" s="115">
        <v>1741.6</v>
      </c>
      <c r="N1734" s="115">
        <v>1754</v>
      </c>
      <c r="O1734" s="115">
        <v>1705</v>
      </c>
      <c r="P1734" s="115">
        <v>1712.01</v>
      </c>
      <c r="Q1734" s="115">
        <v>8708</v>
      </c>
      <c r="R1734">
        <v>18072</v>
      </c>
    </row>
    <row r="1735" spans="1:18" x14ac:dyDescent="0.25">
      <c r="A1735" s="169">
        <v>44559</v>
      </c>
      <c r="B1735" s="115">
        <v>1752.73</v>
      </c>
      <c r="C1735" s="115">
        <v>1739.75</v>
      </c>
      <c r="D1735" s="115">
        <v>1707.31</v>
      </c>
      <c r="E1735" s="115">
        <v>1719.8</v>
      </c>
      <c r="F1735" s="115">
        <v>8698.75</v>
      </c>
      <c r="G1735">
        <v>818</v>
      </c>
      <c r="H1735" s="115"/>
      <c r="I1735" s="115"/>
      <c r="L1735" s="169">
        <v>44560</v>
      </c>
      <c r="M1735" s="115">
        <v>1754.21</v>
      </c>
      <c r="N1735" s="115">
        <v>1765.59</v>
      </c>
      <c r="O1735" s="115">
        <v>1731</v>
      </c>
      <c r="P1735" s="115">
        <v>1731</v>
      </c>
      <c r="Q1735" s="115">
        <v>8771.0499999999993</v>
      </c>
      <c r="R1735">
        <v>17518</v>
      </c>
    </row>
    <row r="1736" spans="1:18" x14ac:dyDescent="0.25">
      <c r="A1736" s="169">
        <v>44560</v>
      </c>
      <c r="B1736" s="115">
        <v>1764.29</v>
      </c>
      <c r="C1736" s="115">
        <v>1753.12</v>
      </c>
      <c r="D1736" s="115">
        <v>1734.79</v>
      </c>
      <c r="E1736" s="115">
        <v>1734.79</v>
      </c>
      <c r="F1736" s="115">
        <v>8765.6</v>
      </c>
      <c r="G1736">
        <v>501</v>
      </c>
      <c r="H1736" s="115"/>
      <c r="I1736" s="115"/>
      <c r="L1736" s="169">
        <v>44561</v>
      </c>
      <c r="M1736" s="115">
        <v>1756.88</v>
      </c>
      <c r="N1736" s="115">
        <v>1765.59</v>
      </c>
      <c r="O1736" s="115">
        <v>1728.79</v>
      </c>
      <c r="P1736" s="115">
        <v>1763.99</v>
      </c>
      <c r="Q1736" s="115">
        <v>8784.4</v>
      </c>
      <c r="R1736">
        <v>22674</v>
      </c>
    </row>
    <row r="1737" spans="1:18" x14ac:dyDescent="0.25">
      <c r="A1737" s="169">
        <v>44561</v>
      </c>
      <c r="B1737" s="115">
        <v>1773.99</v>
      </c>
      <c r="C1737" s="115">
        <v>1758.09</v>
      </c>
      <c r="D1737" s="115">
        <v>1730.4</v>
      </c>
      <c r="E1737" s="115">
        <v>1773.99</v>
      </c>
      <c r="F1737" s="115">
        <v>8790.4500000000007</v>
      </c>
      <c r="G1737">
        <v>499</v>
      </c>
      <c r="H1737" s="115"/>
      <c r="I1737" s="115"/>
      <c r="L1737" s="169">
        <v>44564</v>
      </c>
      <c r="M1737" s="115">
        <v>1830.09</v>
      </c>
      <c r="N1737" s="115">
        <v>1850</v>
      </c>
      <c r="O1737" s="115">
        <v>1756.87</v>
      </c>
      <c r="P1737" s="115">
        <v>1756.88</v>
      </c>
      <c r="Q1737" s="115">
        <v>9150.4500000000007</v>
      </c>
      <c r="R1737">
        <v>34669</v>
      </c>
    </row>
    <row r="1738" spans="1:18" x14ac:dyDescent="0.25">
      <c r="A1738" s="169">
        <v>44564</v>
      </c>
      <c r="B1738" s="115">
        <v>1850.2</v>
      </c>
      <c r="C1738" s="115">
        <v>1834.18</v>
      </c>
      <c r="D1738" s="115">
        <v>1759.6</v>
      </c>
      <c r="E1738" s="115">
        <v>1759.6</v>
      </c>
      <c r="F1738" s="115">
        <v>9170.9</v>
      </c>
      <c r="G1738">
        <v>3226</v>
      </c>
      <c r="H1738" s="115"/>
      <c r="I1738" s="115"/>
      <c r="L1738" s="169">
        <v>44565</v>
      </c>
      <c r="M1738" s="115">
        <v>1859.61</v>
      </c>
      <c r="N1738" s="115">
        <v>1875</v>
      </c>
      <c r="O1738" s="115">
        <v>1808</v>
      </c>
      <c r="P1738" s="115">
        <v>1862.99</v>
      </c>
      <c r="Q1738" s="115">
        <v>9298.0499999999993</v>
      </c>
      <c r="R1738">
        <v>28127</v>
      </c>
    </row>
    <row r="1739" spans="1:18" x14ac:dyDescent="0.25">
      <c r="A1739" s="169">
        <v>44565</v>
      </c>
      <c r="B1739" s="115">
        <v>1876.4</v>
      </c>
      <c r="C1739" s="115">
        <v>1857.72</v>
      </c>
      <c r="D1739" s="115">
        <v>1808.81</v>
      </c>
      <c r="E1739" s="115">
        <v>1876.4</v>
      </c>
      <c r="F1739" s="115">
        <v>9288.6</v>
      </c>
      <c r="G1739">
        <v>2499</v>
      </c>
      <c r="H1739" s="115"/>
      <c r="I1739" s="115"/>
      <c r="L1739" s="169">
        <v>44566</v>
      </c>
      <c r="M1739" s="115">
        <v>1887.57</v>
      </c>
      <c r="N1739" s="115">
        <v>1905.89</v>
      </c>
      <c r="O1739" s="115">
        <v>1834.57</v>
      </c>
      <c r="P1739" s="115">
        <v>1865.12</v>
      </c>
      <c r="Q1739" s="115">
        <v>9437.85</v>
      </c>
      <c r="R1739">
        <v>21540</v>
      </c>
    </row>
    <row r="1740" spans="1:18" x14ac:dyDescent="0.25">
      <c r="A1740" s="169">
        <v>44566</v>
      </c>
      <c r="B1740" s="115">
        <v>1902.12</v>
      </c>
      <c r="C1740" s="115">
        <v>1887.94</v>
      </c>
      <c r="D1740" s="115">
        <v>1835.22</v>
      </c>
      <c r="E1740" s="115">
        <v>1859.8</v>
      </c>
      <c r="F1740" s="115">
        <v>9439.7000000000007</v>
      </c>
      <c r="G1740">
        <v>855</v>
      </c>
      <c r="H1740" s="115"/>
      <c r="I1740" s="115"/>
      <c r="L1740" s="169">
        <v>44567</v>
      </c>
      <c r="M1740" s="115">
        <v>1890.14</v>
      </c>
      <c r="N1740" s="115">
        <v>1906.14</v>
      </c>
      <c r="O1740" s="115">
        <v>1820</v>
      </c>
      <c r="P1740" s="115">
        <v>1832</v>
      </c>
      <c r="Q1740" s="115">
        <v>9450.7000000000007</v>
      </c>
      <c r="R1740">
        <v>29827</v>
      </c>
    </row>
    <row r="1741" spans="1:18" x14ac:dyDescent="0.25">
      <c r="A1741" s="169">
        <v>44567</v>
      </c>
      <c r="B1741" s="115">
        <v>1905.76</v>
      </c>
      <c r="C1741" s="115">
        <v>1889.73</v>
      </c>
      <c r="D1741" s="115">
        <v>1852.66</v>
      </c>
      <c r="E1741" s="115">
        <v>1880</v>
      </c>
      <c r="F1741" s="115">
        <v>9448.65</v>
      </c>
      <c r="G1741">
        <v>2762</v>
      </c>
      <c r="H1741" s="115"/>
      <c r="I1741" s="115"/>
      <c r="L1741" s="169">
        <v>44568</v>
      </c>
      <c r="M1741" s="115">
        <v>1878.49</v>
      </c>
      <c r="N1741" s="115">
        <v>1906</v>
      </c>
      <c r="O1741" s="115">
        <v>1864.2</v>
      </c>
      <c r="P1741" s="115">
        <v>1877.2</v>
      </c>
      <c r="Q1741" s="115">
        <v>9392.4500000000007</v>
      </c>
      <c r="R1741">
        <v>20663</v>
      </c>
    </row>
    <row r="1742" spans="1:18" x14ac:dyDescent="0.25">
      <c r="A1742" s="169">
        <v>44568</v>
      </c>
      <c r="B1742" s="115">
        <v>1903.64</v>
      </c>
      <c r="C1742" s="115">
        <v>1881.08</v>
      </c>
      <c r="D1742" s="115">
        <v>1861.4</v>
      </c>
      <c r="E1742" s="115">
        <v>1888.8</v>
      </c>
      <c r="F1742" s="115">
        <v>9405.4</v>
      </c>
      <c r="G1742">
        <v>1125</v>
      </c>
      <c r="H1742" s="115"/>
      <c r="I1742" s="115"/>
      <c r="L1742" s="169">
        <v>44571</v>
      </c>
      <c r="M1742" s="115">
        <v>1851.38</v>
      </c>
      <c r="N1742" s="115">
        <v>1899.58</v>
      </c>
      <c r="O1742" s="115">
        <v>1840.01</v>
      </c>
      <c r="P1742" s="115">
        <v>1890</v>
      </c>
      <c r="Q1742" s="115">
        <v>9256.9</v>
      </c>
      <c r="R1742">
        <v>6923</v>
      </c>
    </row>
    <row r="1743" spans="1:18" x14ac:dyDescent="0.25">
      <c r="A1743" s="169">
        <v>44571</v>
      </c>
      <c r="B1743" s="115">
        <v>1900.37</v>
      </c>
      <c r="C1743" s="115">
        <v>1851.73</v>
      </c>
      <c r="D1743" s="115">
        <v>1845.18</v>
      </c>
      <c r="E1743" s="115">
        <v>1879.8</v>
      </c>
      <c r="F1743" s="115">
        <v>9258.65</v>
      </c>
      <c r="G1743">
        <v>743</v>
      </c>
      <c r="H1743" s="115"/>
      <c r="I1743" s="115"/>
      <c r="L1743" s="169">
        <v>44572</v>
      </c>
      <c r="M1743" s="115">
        <v>1911.66</v>
      </c>
      <c r="N1743" s="115">
        <v>1930.2</v>
      </c>
      <c r="O1743" s="115">
        <v>1852.49</v>
      </c>
      <c r="P1743" s="115">
        <v>1862.78</v>
      </c>
      <c r="Q1743" s="115">
        <v>9558.2999999999993</v>
      </c>
      <c r="R1743">
        <v>58136</v>
      </c>
    </row>
    <row r="1744" spans="1:18" x14ac:dyDescent="0.25">
      <c r="A1744" s="169">
        <v>44572</v>
      </c>
      <c r="B1744" s="115">
        <v>1928.01</v>
      </c>
      <c r="C1744" s="115">
        <v>1914.48</v>
      </c>
      <c r="D1744" s="115">
        <v>1862.47</v>
      </c>
      <c r="E1744" s="115">
        <v>1864.93</v>
      </c>
      <c r="F1744" s="115">
        <v>9572.4</v>
      </c>
      <c r="G1744">
        <v>1739</v>
      </c>
      <c r="H1744" s="115"/>
      <c r="I1744" s="115"/>
      <c r="L1744" s="169">
        <v>44573</v>
      </c>
      <c r="M1744" s="115">
        <v>1890.08</v>
      </c>
      <c r="N1744" s="115">
        <v>1916</v>
      </c>
      <c r="O1744" s="115">
        <v>1868.09</v>
      </c>
      <c r="P1744" s="115">
        <v>1916</v>
      </c>
      <c r="Q1744" s="115">
        <v>9450.4</v>
      </c>
      <c r="R1744">
        <v>25757</v>
      </c>
    </row>
    <row r="1745" spans="1:18" x14ac:dyDescent="0.25">
      <c r="A1745" s="169">
        <v>44573</v>
      </c>
      <c r="B1745" s="115">
        <v>1912.93</v>
      </c>
      <c r="C1745" s="115">
        <v>1887.93</v>
      </c>
      <c r="D1745" s="115">
        <v>1870.03</v>
      </c>
      <c r="E1745" s="115">
        <v>1912.93</v>
      </c>
      <c r="F1745" s="115">
        <v>9439.65</v>
      </c>
      <c r="G1745">
        <v>1022</v>
      </c>
      <c r="H1745" s="115"/>
      <c r="I1745" s="115"/>
      <c r="L1745" s="169">
        <v>44574</v>
      </c>
      <c r="M1745" s="115">
        <v>1868.41</v>
      </c>
      <c r="N1745" s="115">
        <v>1907</v>
      </c>
      <c r="O1745" s="115">
        <v>1859</v>
      </c>
      <c r="P1745" s="115">
        <v>1880.6</v>
      </c>
      <c r="Q1745" s="115">
        <v>9342.0499999999993</v>
      </c>
      <c r="R1745">
        <v>10204</v>
      </c>
    </row>
    <row r="1746" spans="1:18" x14ac:dyDescent="0.25">
      <c r="A1746" s="169">
        <v>44574</v>
      </c>
      <c r="B1746" s="115">
        <v>1903.34</v>
      </c>
      <c r="C1746" s="115">
        <v>1868.32</v>
      </c>
      <c r="D1746" s="115">
        <v>1860</v>
      </c>
      <c r="E1746" s="115">
        <v>1878.98</v>
      </c>
      <c r="F1746" s="115">
        <v>9341.6</v>
      </c>
      <c r="G1746">
        <v>518</v>
      </c>
      <c r="H1746" s="115"/>
      <c r="I1746" s="115"/>
      <c r="L1746" s="169">
        <v>44575</v>
      </c>
      <c r="M1746" s="115">
        <v>1869.56</v>
      </c>
      <c r="N1746" s="115">
        <v>1915</v>
      </c>
      <c r="O1746" s="115">
        <v>1864.03</v>
      </c>
      <c r="P1746" s="115">
        <v>1873.86</v>
      </c>
      <c r="Q1746" s="115">
        <v>9347.7999999999993</v>
      </c>
      <c r="R1746">
        <v>12891</v>
      </c>
    </row>
    <row r="1747" spans="1:18" x14ac:dyDescent="0.25">
      <c r="A1747" s="169">
        <v>44575</v>
      </c>
      <c r="B1747" s="115">
        <v>1910</v>
      </c>
      <c r="C1747" s="115">
        <v>1870.85</v>
      </c>
      <c r="D1747" s="115">
        <v>1863.95</v>
      </c>
      <c r="E1747" s="115">
        <v>1871.15</v>
      </c>
      <c r="F1747" s="115">
        <v>9354.25</v>
      </c>
      <c r="G1747">
        <v>611</v>
      </c>
      <c r="H1747" s="115"/>
      <c r="I1747" s="115"/>
      <c r="L1747" s="169">
        <v>44578</v>
      </c>
      <c r="M1747" s="115">
        <v>1913.58</v>
      </c>
      <c r="N1747" s="115">
        <v>1920</v>
      </c>
      <c r="O1747" s="115">
        <v>1871.88</v>
      </c>
      <c r="P1747" s="115">
        <v>1889.99</v>
      </c>
      <c r="Q1747" s="115">
        <v>9567.9</v>
      </c>
      <c r="R1747">
        <v>15329</v>
      </c>
    </row>
    <row r="1748" spans="1:18" x14ac:dyDescent="0.25">
      <c r="A1748" s="169">
        <v>44578</v>
      </c>
      <c r="B1748" s="115">
        <v>1920.99</v>
      </c>
      <c r="C1748" s="115">
        <v>1912.85</v>
      </c>
      <c r="D1748" s="115">
        <v>1875</v>
      </c>
      <c r="E1748" s="115">
        <v>1899.59</v>
      </c>
      <c r="F1748" s="115">
        <v>9564.25</v>
      </c>
      <c r="G1748">
        <v>1521</v>
      </c>
      <c r="H1748" s="115"/>
      <c r="I1748" s="115"/>
      <c r="L1748" s="169">
        <v>44579</v>
      </c>
      <c r="M1748" s="115">
        <v>1876.97</v>
      </c>
      <c r="N1748" s="115">
        <v>1940</v>
      </c>
      <c r="O1748" s="115">
        <v>1864.45</v>
      </c>
      <c r="P1748" s="115">
        <v>1940</v>
      </c>
      <c r="Q1748" s="115">
        <v>9384.85</v>
      </c>
      <c r="R1748">
        <v>12315</v>
      </c>
    </row>
    <row r="1749" spans="1:18" x14ac:dyDescent="0.25">
      <c r="A1749" s="169">
        <v>44579</v>
      </c>
      <c r="B1749" s="115">
        <v>1920.21</v>
      </c>
      <c r="C1749" s="115">
        <v>1876.85</v>
      </c>
      <c r="D1749" s="115">
        <v>1865.84</v>
      </c>
      <c r="E1749" s="115">
        <v>1920.11</v>
      </c>
      <c r="F1749" s="115">
        <v>9384.25</v>
      </c>
      <c r="G1749">
        <v>925</v>
      </c>
      <c r="H1749" s="115"/>
      <c r="I1749" s="115"/>
      <c r="L1749" s="169">
        <v>44580</v>
      </c>
      <c r="M1749" s="115">
        <v>1872.93</v>
      </c>
      <c r="N1749" s="115">
        <v>1896.97</v>
      </c>
      <c r="O1749" s="115">
        <v>1866</v>
      </c>
      <c r="P1749" s="115">
        <v>1887.7</v>
      </c>
      <c r="Q1749" s="115">
        <v>9364.65</v>
      </c>
      <c r="R1749">
        <v>8032</v>
      </c>
    </row>
    <row r="1750" spans="1:18" x14ac:dyDescent="0.25">
      <c r="A1750" s="169">
        <v>44580</v>
      </c>
      <c r="B1750" s="115">
        <v>1894.28</v>
      </c>
      <c r="C1750" s="115">
        <v>1877.31</v>
      </c>
      <c r="D1750" s="115">
        <v>1867.31</v>
      </c>
      <c r="E1750" s="115">
        <v>1878.7</v>
      </c>
      <c r="F1750" s="115">
        <v>9386.5499999999993</v>
      </c>
      <c r="G1750">
        <v>586</v>
      </c>
      <c r="H1750" s="115"/>
      <c r="I1750" s="115"/>
      <c r="L1750" s="169">
        <v>44581</v>
      </c>
      <c r="M1750" s="115">
        <v>1839.04</v>
      </c>
      <c r="N1750" s="115">
        <v>1880</v>
      </c>
      <c r="O1750" s="115">
        <v>1836.21</v>
      </c>
      <c r="P1750" s="115">
        <v>1880</v>
      </c>
      <c r="Q1750" s="115">
        <v>9195.2000000000007</v>
      </c>
      <c r="R1750">
        <v>8374</v>
      </c>
    </row>
    <row r="1751" spans="1:18" x14ac:dyDescent="0.25">
      <c r="A1751" s="169">
        <v>44581</v>
      </c>
      <c r="B1751" s="115">
        <v>1874.75</v>
      </c>
      <c r="C1751" s="115">
        <v>1841.59</v>
      </c>
      <c r="D1751" s="115">
        <v>1834.2</v>
      </c>
      <c r="E1751" s="115">
        <v>1871.23</v>
      </c>
      <c r="F1751" s="115">
        <v>9207.9500000000007</v>
      </c>
      <c r="G1751">
        <v>859</v>
      </c>
      <c r="H1751" s="115"/>
      <c r="I1751" s="115"/>
      <c r="L1751" s="169">
        <v>44582</v>
      </c>
      <c r="M1751" s="115">
        <v>1801.09</v>
      </c>
      <c r="N1751" s="115">
        <v>1829.59</v>
      </c>
      <c r="O1751" s="115">
        <v>1760</v>
      </c>
      <c r="P1751" s="115">
        <v>1802.01</v>
      </c>
      <c r="Q1751" s="115">
        <v>9005.4500000000007</v>
      </c>
      <c r="R1751">
        <v>27916</v>
      </c>
    </row>
    <row r="1752" spans="1:18" x14ac:dyDescent="0.25">
      <c r="A1752" s="169">
        <v>44582</v>
      </c>
      <c r="B1752" s="115">
        <v>1830</v>
      </c>
      <c r="C1752" s="115">
        <v>1799.88</v>
      </c>
      <c r="D1752" s="115">
        <v>1761.12</v>
      </c>
      <c r="E1752" s="115">
        <v>1830</v>
      </c>
      <c r="F1752" s="115">
        <v>8999.4</v>
      </c>
      <c r="G1752">
        <v>1233</v>
      </c>
      <c r="H1752" s="115"/>
      <c r="I1752" s="115"/>
      <c r="L1752" s="169">
        <v>44585</v>
      </c>
      <c r="M1752" s="115">
        <v>1719.33</v>
      </c>
      <c r="N1752" s="115">
        <v>1796.68</v>
      </c>
      <c r="O1752" s="115">
        <v>1717.4</v>
      </c>
      <c r="P1752" s="115">
        <v>1783</v>
      </c>
      <c r="Q1752" s="115">
        <v>8596.65</v>
      </c>
      <c r="R1752">
        <v>13426</v>
      </c>
    </row>
    <row r="1753" spans="1:18" x14ac:dyDescent="0.25">
      <c r="A1753" s="169">
        <v>44585</v>
      </c>
      <c r="B1753" s="115">
        <v>1785.59</v>
      </c>
      <c r="C1753" s="115">
        <v>1721.21</v>
      </c>
      <c r="D1753" s="115">
        <v>1715.65</v>
      </c>
      <c r="E1753" s="115">
        <v>1785.59</v>
      </c>
      <c r="F1753" s="115">
        <v>8606.0499999999993</v>
      </c>
      <c r="G1753">
        <v>1048</v>
      </c>
      <c r="H1753" s="115"/>
      <c r="I1753" s="115"/>
      <c r="L1753" s="169">
        <v>44586</v>
      </c>
      <c r="M1753" s="115">
        <v>1730.52</v>
      </c>
      <c r="N1753" s="115">
        <v>1773.12</v>
      </c>
      <c r="O1753" s="115">
        <v>1686.45</v>
      </c>
      <c r="P1753" s="115">
        <v>1717.8</v>
      </c>
      <c r="Q1753" s="115">
        <v>8652.6</v>
      </c>
      <c r="R1753">
        <v>20212</v>
      </c>
    </row>
    <row r="1754" spans="1:18" x14ac:dyDescent="0.25">
      <c r="A1754" s="169">
        <v>44586</v>
      </c>
      <c r="B1754" s="115">
        <v>1774.1</v>
      </c>
      <c r="C1754" s="115">
        <v>1732.12</v>
      </c>
      <c r="D1754" s="115">
        <v>1688.89</v>
      </c>
      <c r="E1754" s="115">
        <v>1720</v>
      </c>
      <c r="F1754" s="115">
        <v>8660.6</v>
      </c>
      <c r="G1754">
        <v>930</v>
      </c>
      <c r="H1754" s="115"/>
      <c r="I1754" s="115"/>
      <c r="L1754" s="169">
        <v>44588</v>
      </c>
      <c r="M1754" s="115">
        <v>1703.96</v>
      </c>
      <c r="N1754" s="115">
        <v>1772.3</v>
      </c>
      <c r="O1754" s="115">
        <v>1700.5</v>
      </c>
      <c r="P1754" s="115">
        <v>1730.84</v>
      </c>
      <c r="Q1754" s="115">
        <v>8519.7999999999993</v>
      </c>
      <c r="R1754">
        <v>15524</v>
      </c>
    </row>
    <row r="1755" spans="1:18" x14ac:dyDescent="0.25">
      <c r="A1755" s="169">
        <v>44588</v>
      </c>
      <c r="B1755" s="115">
        <v>1772.81</v>
      </c>
      <c r="C1755" s="115">
        <v>1704.19</v>
      </c>
      <c r="D1755" s="115">
        <v>1700</v>
      </c>
      <c r="E1755" s="115">
        <v>1720</v>
      </c>
      <c r="F1755" s="115">
        <v>8520.9500000000007</v>
      </c>
      <c r="G1755">
        <v>1351</v>
      </c>
      <c r="H1755" s="115"/>
      <c r="I1755" s="115"/>
      <c r="L1755" s="169">
        <v>44589</v>
      </c>
      <c r="M1755" s="115">
        <v>1753.68</v>
      </c>
      <c r="N1755" s="115">
        <v>1818</v>
      </c>
      <c r="O1755" s="115">
        <v>1700</v>
      </c>
      <c r="P1755" s="115">
        <v>1700</v>
      </c>
      <c r="Q1755" s="115">
        <v>8768.4</v>
      </c>
      <c r="R1755">
        <v>26173</v>
      </c>
    </row>
    <row r="1756" spans="1:18" x14ac:dyDescent="0.25">
      <c r="A1756" s="169">
        <v>44589</v>
      </c>
      <c r="B1756" s="115">
        <v>1819.05</v>
      </c>
      <c r="C1756" s="115">
        <v>1754.57</v>
      </c>
      <c r="D1756" s="115">
        <v>1710</v>
      </c>
      <c r="E1756" s="115">
        <v>1710.01</v>
      </c>
      <c r="F1756" s="115">
        <v>8772.85</v>
      </c>
      <c r="G1756">
        <v>2572</v>
      </c>
      <c r="H1756" s="115"/>
      <c r="I1756" s="115"/>
      <c r="L1756" s="169">
        <v>44592</v>
      </c>
      <c r="M1756" s="115">
        <v>1791.6</v>
      </c>
      <c r="N1756" s="115">
        <v>1816.2</v>
      </c>
      <c r="O1756" s="115">
        <v>1776.99</v>
      </c>
      <c r="P1756" s="115">
        <v>1783.6</v>
      </c>
      <c r="Q1756" s="115">
        <v>8958</v>
      </c>
      <c r="R1756">
        <v>20016</v>
      </c>
    </row>
    <row r="1757" spans="1:18" x14ac:dyDescent="0.25">
      <c r="A1757" s="169">
        <v>44592</v>
      </c>
      <c r="B1757" s="115">
        <v>1815.21</v>
      </c>
      <c r="C1757" s="115">
        <v>1790.45</v>
      </c>
      <c r="D1757" s="115">
        <v>1776.61</v>
      </c>
      <c r="E1757" s="115">
        <v>1810</v>
      </c>
      <c r="F1757" s="115">
        <v>8952.25</v>
      </c>
      <c r="G1757">
        <v>1679</v>
      </c>
      <c r="H1757" s="115"/>
      <c r="I1757" s="115"/>
      <c r="L1757" s="169">
        <v>44593</v>
      </c>
      <c r="M1757" s="115">
        <v>1864.2</v>
      </c>
      <c r="N1757" s="115">
        <v>1871.6</v>
      </c>
      <c r="O1757" s="115">
        <v>1793</v>
      </c>
      <c r="P1757" s="115">
        <v>1793</v>
      </c>
      <c r="Q1757" s="115">
        <v>9321</v>
      </c>
      <c r="R1757">
        <v>32005</v>
      </c>
    </row>
    <row r="1758" spans="1:18" x14ac:dyDescent="0.25">
      <c r="A1758" s="169">
        <v>44593</v>
      </c>
      <c r="B1758" s="115">
        <v>1872.66</v>
      </c>
      <c r="C1758" s="115">
        <v>1867.94</v>
      </c>
      <c r="D1758" s="115">
        <v>1799.93</v>
      </c>
      <c r="E1758" s="115">
        <v>1799.93</v>
      </c>
      <c r="F1758" s="115">
        <v>9339.7000000000007</v>
      </c>
      <c r="G1758">
        <v>6878</v>
      </c>
      <c r="H1758" s="115"/>
      <c r="I1758" s="115"/>
      <c r="L1758" s="169">
        <v>44594</v>
      </c>
      <c r="M1758" s="115">
        <v>1837.04</v>
      </c>
      <c r="N1758" s="115">
        <v>1898.04</v>
      </c>
      <c r="O1758" s="115">
        <v>1820</v>
      </c>
      <c r="P1758" s="115">
        <v>1886.9</v>
      </c>
      <c r="Q1758" s="115">
        <v>9185.2000000000007</v>
      </c>
      <c r="R1758">
        <v>16175</v>
      </c>
    </row>
    <row r="1759" spans="1:18" x14ac:dyDescent="0.25">
      <c r="A1759" s="169">
        <v>44594</v>
      </c>
      <c r="B1759" s="115">
        <v>1893.59</v>
      </c>
      <c r="C1759" s="115">
        <v>1836.66</v>
      </c>
      <c r="D1759" s="115">
        <v>1819.73</v>
      </c>
      <c r="E1759" s="115">
        <v>1889.2</v>
      </c>
      <c r="F1759" s="115">
        <v>9183.2999999999993</v>
      </c>
      <c r="G1759">
        <v>1916</v>
      </c>
      <c r="H1759" s="115"/>
      <c r="I1759" s="115"/>
      <c r="L1759" s="169">
        <v>44595</v>
      </c>
      <c r="M1759" s="115">
        <v>1839.13</v>
      </c>
      <c r="N1759" s="115">
        <v>1853.09</v>
      </c>
      <c r="O1759" s="115">
        <v>1818.62</v>
      </c>
      <c r="P1759" s="115">
        <v>1826.04</v>
      </c>
      <c r="Q1759" s="115">
        <v>9195.65</v>
      </c>
      <c r="R1759">
        <v>13031</v>
      </c>
    </row>
    <row r="1760" spans="1:18" x14ac:dyDescent="0.25">
      <c r="A1760" s="169">
        <v>44595</v>
      </c>
      <c r="B1760" s="115">
        <v>1851.92</v>
      </c>
      <c r="C1760" s="115">
        <v>1839.86</v>
      </c>
      <c r="D1760" s="115">
        <v>1819</v>
      </c>
      <c r="E1760" s="115">
        <v>1832.51</v>
      </c>
      <c r="F1760" s="115">
        <v>9199.2999999999993</v>
      </c>
      <c r="G1760">
        <v>828</v>
      </c>
      <c r="H1760" s="115"/>
      <c r="I1760" s="115"/>
      <c r="L1760" s="169">
        <v>44596</v>
      </c>
      <c r="M1760" s="115">
        <v>1804.86</v>
      </c>
      <c r="N1760" s="115">
        <v>1866.63</v>
      </c>
      <c r="O1760" s="115">
        <v>1790.26</v>
      </c>
      <c r="P1760" s="115">
        <v>1849</v>
      </c>
      <c r="Q1760" s="115">
        <v>9024.2999999999993</v>
      </c>
      <c r="R1760">
        <v>14469</v>
      </c>
    </row>
    <row r="1761" spans="1:18" x14ac:dyDescent="0.25">
      <c r="A1761" s="169">
        <v>44596</v>
      </c>
      <c r="B1761" s="115">
        <v>1857.2</v>
      </c>
      <c r="C1761" s="115">
        <v>1805.52</v>
      </c>
      <c r="D1761" s="115">
        <v>1796.8</v>
      </c>
      <c r="E1761" s="115">
        <v>1855</v>
      </c>
      <c r="F1761" s="115">
        <v>9027.6</v>
      </c>
      <c r="G1761">
        <v>1354</v>
      </c>
      <c r="H1761" s="115"/>
      <c r="I1761" s="115"/>
      <c r="L1761" s="169">
        <v>44599</v>
      </c>
      <c r="M1761" s="115">
        <v>1786.66</v>
      </c>
      <c r="N1761" s="115">
        <v>1814.45</v>
      </c>
      <c r="O1761" s="115">
        <v>1775</v>
      </c>
      <c r="P1761" s="115">
        <v>1800.01</v>
      </c>
      <c r="Q1761" s="115">
        <v>8933.2999999999993</v>
      </c>
      <c r="R1761">
        <v>24038</v>
      </c>
    </row>
    <row r="1762" spans="1:18" x14ac:dyDescent="0.25">
      <c r="A1762" s="169">
        <v>44599</v>
      </c>
      <c r="B1762" s="115">
        <v>1815.6</v>
      </c>
      <c r="C1762" s="115">
        <v>1786.17</v>
      </c>
      <c r="D1762" s="115">
        <v>1776.76</v>
      </c>
      <c r="E1762" s="115">
        <v>1815.6</v>
      </c>
      <c r="F1762" s="115">
        <v>8930.85</v>
      </c>
      <c r="G1762">
        <v>2215</v>
      </c>
      <c r="H1762" s="115"/>
      <c r="I1762" s="115"/>
      <c r="L1762" s="169">
        <v>44600</v>
      </c>
      <c r="M1762" s="115">
        <v>1764.9</v>
      </c>
      <c r="N1762" s="115">
        <v>1825</v>
      </c>
      <c r="O1762" s="115">
        <v>1755</v>
      </c>
      <c r="P1762" s="115">
        <v>1790</v>
      </c>
      <c r="Q1762" s="115">
        <v>1764.9</v>
      </c>
      <c r="R1762">
        <v>74878</v>
      </c>
    </row>
    <row r="1763" spans="1:18" x14ac:dyDescent="0.25">
      <c r="A1763" s="169">
        <v>44600</v>
      </c>
      <c r="B1763" s="115">
        <v>1832.5</v>
      </c>
      <c r="C1763" s="115">
        <v>1762.45</v>
      </c>
      <c r="D1763" s="115">
        <v>1755</v>
      </c>
      <c r="E1763" s="115">
        <v>1799</v>
      </c>
      <c r="F1763" s="115">
        <v>1762.45</v>
      </c>
      <c r="G1763">
        <v>7278</v>
      </c>
      <c r="H1763" s="115"/>
      <c r="I1763" s="115"/>
      <c r="L1763" s="169">
        <v>44601</v>
      </c>
      <c r="M1763" s="115">
        <v>1702.5</v>
      </c>
      <c r="N1763" s="115">
        <v>1777</v>
      </c>
      <c r="O1763" s="115">
        <v>1691</v>
      </c>
      <c r="P1763" s="115">
        <v>1772.55</v>
      </c>
      <c r="Q1763" s="115">
        <v>1702.5</v>
      </c>
      <c r="R1763">
        <v>121797</v>
      </c>
    </row>
    <row r="1764" spans="1:18" x14ac:dyDescent="0.25">
      <c r="A1764" s="169">
        <v>44601</v>
      </c>
      <c r="B1764" s="115">
        <v>1784.9</v>
      </c>
      <c r="C1764" s="115">
        <v>1708.95</v>
      </c>
      <c r="D1764" s="115">
        <v>1693.25</v>
      </c>
      <c r="E1764" s="115">
        <v>1784.9</v>
      </c>
      <c r="F1764" s="115">
        <v>1708.95</v>
      </c>
      <c r="G1764">
        <v>5291</v>
      </c>
      <c r="H1764" s="115"/>
      <c r="I1764" s="115"/>
      <c r="L1764" s="169">
        <v>44602</v>
      </c>
      <c r="M1764" s="115">
        <v>1710.45</v>
      </c>
      <c r="N1764" s="115">
        <v>1736.9</v>
      </c>
      <c r="O1764" s="115">
        <v>1648.6</v>
      </c>
      <c r="P1764" s="115">
        <v>1700</v>
      </c>
      <c r="Q1764" s="115">
        <v>1710.45</v>
      </c>
      <c r="R1764">
        <v>112099</v>
      </c>
    </row>
    <row r="1765" spans="1:18" x14ac:dyDescent="0.25">
      <c r="A1765" s="169">
        <v>44602</v>
      </c>
      <c r="B1765" s="115">
        <v>1737.5</v>
      </c>
      <c r="C1765" s="115">
        <v>1717.95</v>
      </c>
      <c r="D1765" s="115">
        <v>1650</v>
      </c>
      <c r="E1765" s="115">
        <v>1696</v>
      </c>
      <c r="F1765" s="115">
        <v>1717.95</v>
      </c>
      <c r="G1765">
        <v>8317</v>
      </c>
      <c r="H1765" s="115"/>
      <c r="I1765" s="115"/>
      <c r="L1765" s="169">
        <v>44603</v>
      </c>
      <c r="M1765" s="115">
        <v>1706.9</v>
      </c>
      <c r="N1765" s="115">
        <v>1722.55</v>
      </c>
      <c r="O1765" s="115">
        <v>1671</v>
      </c>
      <c r="P1765" s="115">
        <v>1710</v>
      </c>
      <c r="Q1765" s="115">
        <v>1706.9</v>
      </c>
      <c r="R1765">
        <v>75926</v>
      </c>
    </row>
    <row r="1766" spans="1:18" x14ac:dyDescent="0.25">
      <c r="A1766" s="169">
        <v>44603</v>
      </c>
      <c r="B1766" s="115">
        <v>1720.9</v>
      </c>
      <c r="C1766" s="115">
        <v>1704.35</v>
      </c>
      <c r="D1766" s="115">
        <v>1671.85</v>
      </c>
      <c r="E1766" s="115">
        <v>1700</v>
      </c>
      <c r="F1766" s="115">
        <v>1704.35</v>
      </c>
      <c r="G1766">
        <v>5556</v>
      </c>
      <c r="H1766" s="115"/>
      <c r="I1766" s="115"/>
      <c r="L1766" s="169">
        <v>44606</v>
      </c>
      <c r="M1766" s="115">
        <v>1695.3</v>
      </c>
      <c r="N1766" s="115">
        <v>1714.35</v>
      </c>
      <c r="O1766" s="115">
        <v>1620.2</v>
      </c>
      <c r="P1766" s="115">
        <v>1651.05</v>
      </c>
      <c r="Q1766" s="115">
        <v>1695.3</v>
      </c>
      <c r="R1766">
        <v>95631</v>
      </c>
    </row>
    <row r="1767" spans="1:18" x14ac:dyDescent="0.25">
      <c r="A1767" s="169">
        <v>44606</v>
      </c>
      <c r="B1767" s="115">
        <v>1714.45</v>
      </c>
      <c r="C1767" s="115">
        <v>1692.9</v>
      </c>
      <c r="D1767" s="115">
        <v>1600</v>
      </c>
      <c r="E1767" s="115">
        <v>1600</v>
      </c>
      <c r="F1767" s="115">
        <v>1692.9</v>
      </c>
      <c r="G1767">
        <v>21132</v>
      </c>
      <c r="H1767" s="115"/>
      <c r="I1767" s="115"/>
      <c r="L1767" s="169">
        <v>44607</v>
      </c>
      <c r="M1767" s="115">
        <v>1679.7</v>
      </c>
      <c r="N1767" s="115">
        <v>1699.75</v>
      </c>
      <c r="O1767" s="115">
        <v>1620</v>
      </c>
      <c r="P1767" s="115">
        <v>1680.5</v>
      </c>
      <c r="Q1767" s="115">
        <v>1679.7</v>
      </c>
      <c r="R1767">
        <v>44108</v>
      </c>
    </row>
    <row r="1768" spans="1:18" x14ac:dyDescent="0.25">
      <c r="A1768" s="169">
        <v>44607</v>
      </c>
      <c r="B1768" s="115">
        <v>1700</v>
      </c>
      <c r="C1768" s="115">
        <v>1680</v>
      </c>
      <c r="D1768" s="115">
        <v>1621.35</v>
      </c>
      <c r="E1768" s="115">
        <v>1670.05</v>
      </c>
      <c r="F1768" s="115">
        <v>1680</v>
      </c>
      <c r="G1768">
        <v>4511</v>
      </c>
      <c r="H1768" s="115"/>
      <c r="I1768" s="115"/>
      <c r="L1768" s="169">
        <v>44608</v>
      </c>
      <c r="M1768" s="115">
        <v>1626.6</v>
      </c>
      <c r="N1768" s="115">
        <v>1725</v>
      </c>
      <c r="O1768" s="115">
        <v>1598</v>
      </c>
      <c r="P1768" s="115">
        <v>1683.7</v>
      </c>
      <c r="Q1768" s="115">
        <v>1626.6</v>
      </c>
      <c r="R1768">
        <v>57175</v>
      </c>
    </row>
    <row r="1769" spans="1:18" x14ac:dyDescent="0.25">
      <c r="A1769" s="169">
        <v>44608</v>
      </c>
      <c r="B1769" s="115">
        <v>1724.8</v>
      </c>
      <c r="C1769" s="115">
        <v>1631.3</v>
      </c>
      <c r="D1769" s="115">
        <v>1610</v>
      </c>
      <c r="E1769" s="115">
        <v>1685</v>
      </c>
      <c r="F1769" s="115">
        <v>1631.3</v>
      </c>
      <c r="G1769">
        <v>6636</v>
      </c>
      <c r="H1769" s="115"/>
      <c r="I1769" s="115"/>
      <c r="L1769" s="169">
        <v>44609</v>
      </c>
      <c r="M1769" s="115">
        <v>1786.25</v>
      </c>
      <c r="N1769" s="115">
        <v>1849</v>
      </c>
      <c r="O1769" s="115">
        <v>1673.65</v>
      </c>
      <c r="P1769" s="115">
        <v>1720</v>
      </c>
      <c r="Q1769" s="115">
        <v>1786.25</v>
      </c>
      <c r="R1769">
        <v>778285</v>
      </c>
    </row>
    <row r="1770" spans="1:18" x14ac:dyDescent="0.25">
      <c r="A1770" s="169">
        <v>44609</v>
      </c>
      <c r="B1770" s="115">
        <v>1845.75</v>
      </c>
      <c r="C1770" s="115">
        <v>1785.35</v>
      </c>
      <c r="D1770" s="115">
        <v>1675</v>
      </c>
      <c r="E1770" s="115">
        <v>1708</v>
      </c>
      <c r="F1770" s="115">
        <v>1785.35</v>
      </c>
      <c r="G1770">
        <v>31714</v>
      </c>
      <c r="H1770" s="115"/>
      <c r="I1770" s="115"/>
      <c r="L1770" s="169">
        <v>44610</v>
      </c>
      <c r="M1770" s="115">
        <v>1844.35</v>
      </c>
      <c r="N1770" s="115">
        <v>1900</v>
      </c>
      <c r="O1770" s="115">
        <v>1755.75</v>
      </c>
      <c r="P1770" s="115">
        <v>1784</v>
      </c>
      <c r="Q1770" s="115">
        <v>1844.35</v>
      </c>
      <c r="R1770">
        <v>569715</v>
      </c>
    </row>
    <row r="1771" spans="1:18" x14ac:dyDescent="0.25">
      <c r="A1771" s="169">
        <v>44610</v>
      </c>
      <c r="B1771" s="115">
        <v>1901.95</v>
      </c>
      <c r="C1771" s="115">
        <v>1848.15</v>
      </c>
      <c r="D1771" s="115">
        <v>1745</v>
      </c>
      <c r="E1771" s="115">
        <v>1785.35</v>
      </c>
      <c r="F1771" s="115">
        <v>1848.15</v>
      </c>
      <c r="G1771">
        <v>23109</v>
      </c>
      <c r="H1771" s="115"/>
      <c r="I1771" s="115"/>
      <c r="L1771" s="169">
        <v>44613</v>
      </c>
      <c r="M1771" s="115">
        <v>1867.15</v>
      </c>
      <c r="N1771" s="115">
        <v>1900</v>
      </c>
      <c r="O1771" s="115">
        <v>1825</v>
      </c>
      <c r="P1771" s="115">
        <v>1872.95</v>
      </c>
      <c r="Q1771" s="115">
        <v>1867.15</v>
      </c>
      <c r="R1771">
        <v>223681</v>
      </c>
    </row>
    <row r="1772" spans="1:18" x14ac:dyDescent="0.25">
      <c r="A1772" s="169">
        <v>44613</v>
      </c>
      <c r="B1772" s="115">
        <v>1895</v>
      </c>
      <c r="C1772" s="115">
        <v>1867.7</v>
      </c>
      <c r="D1772" s="115">
        <v>1824.25</v>
      </c>
      <c r="E1772" s="115">
        <v>1860</v>
      </c>
      <c r="F1772" s="115">
        <v>1867.7</v>
      </c>
      <c r="G1772">
        <v>11583</v>
      </c>
      <c r="H1772" s="115"/>
      <c r="I1772" s="115"/>
      <c r="L1772" s="169">
        <v>44614</v>
      </c>
      <c r="M1772" s="115">
        <v>1819.8</v>
      </c>
      <c r="N1772" s="115">
        <v>1861.9</v>
      </c>
      <c r="O1772" s="115">
        <v>1802.25</v>
      </c>
      <c r="P1772" s="115">
        <v>1830</v>
      </c>
      <c r="Q1772" s="115">
        <v>1819.8</v>
      </c>
      <c r="R1772">
        <v>132147</v>
      </c>
    </row>
    <row r="1773" spans="1:18" x14ac:dyDescent="0.25">
      <c r="A1773" s="169">
        <v>44614</v>
      </c>
      <c r="B1773" s="115">
        <v>1860</v>
      </c>
      <c r="C1773" s="115">
        <v>1820.55</v>
      </c>
      <c r="D1773" s="115">
        <v>1810</v>
      </c>
      <c r="E1773" s="115">
        <v>1820</v>
      </c>
      <c r="F1773" s="115">
        <v>1820.55</v>
      </c>
      <c r="G1773">
        <v>16402</v>
      </c>
      <c r="H1773" s="115"/>
      <c r="I1773" s="115"/>
      <c r="L1773" s="169">
        <v>44615</v>
      </c>
      <c r="M1773" s="115">
        <v>1805.3</v>
      </c>
      <c r="N1773" s="115">
        <v>1872.9</v>
      </c>
      <c r="O1773" s="115">
        <v>1790.3</v>
      </c>
      <c r="P1773" s="115">
        <v>1847.1</v>
      </c>
      <c r="Q1773" s="115">
        <v>1805.3</v>
      </c>
      <c r="R1773">
        <v>52063</v>
      </c>
    </row>
    <row r="1774" spans="1:18" x14ac:dyDescent="0.25">
      <c r="A1774" s="169">
        <v>44615</v>
      </c>
      <c r="B1774" s="115">
        <v>1867.85</v>
      </c>
      <c r="C1774" s="115">
        <v>1802.85</v>
      </c>
      <c r="D1774" s="115">
        <v>1787</v>
      </c>
      <c r="E1774" s="115">
        <v>1856</v>
      </c>
      <c r="F1774" s="115">
        <v>1802.85</v>
      </c>
      <c r="G1774">
        <v>4534</v>
      </c>
      <c r="H1774" s="115"/>
      <c r="I1774" s="115"/>
      <c r="L1774" s="169">
        <v>44616</v>
      </c>
      <c r="M1774" s="115">
        <v>1732</v>
      </c>
      <c r="N1774" s="115">
        <v>1815</v>
      </c>
      <c r="O1774" s="115">
        <v>1675</v>
      </c>
      <c r="P1774" s="115">
        <v>1778</v>
      </c>
      <c r="Q1774" s="115">
        <v>1732</v>
      </c>
      <c r="R1774">
        <v>119970</v>
      </c>
    </row>
    <row r="1775" spans="1:18" x14ac:dyDescent="0.25">
      <c r="A1775" s="169">
        <v>44616</v>
      </c>
      <c r="B1775" s="115">
        <v>1815</v>
      </c>
      <c r="C1775" s="115">
        <v>1731</v>
      </c>
      <c r="D1775" s="115">
        <v>1683.3</v>
      </c>
      <c r="E1775" s="115">
        <v>1802.6</v>
      </c>
      <c r="F1775" s="115">
        <v>1731</v>
      </c>
      <c r="G1775">
        <v>12357</v>
      </c>
      <c r="H1775" s="115"/>
      <c r="I1775" s="115"/>
      <c r="L1775" s="169">
        <v>44617</v>
      </c>
      <c r="M1775" s="115">
        <v>1802.15</v>
      </c>
      <c r="N1775" s="115">
        <v>1827.7</v>
      </c>
      <c r="O1775" s="115">
        <v>1753.1</v>
      </c>
      <c r="P1775" s="115">
        <v>1753.1</v>
      </c>
      <c r="Q1775" s="115">
        <v>1802.15</v>
      </c>
      <c r="R1775">
        <v>64887</v>
      </c>
    </row>
    <row r="1776" spans="1:18" x14ac:dyDescent="0.25">
      <c r="A1776" s="169">
        <v>44617</v>
      </c>
      <c r="B1776" s="115">
        <v>1827.1</v>
      </c>
      <c r="C1776" s="115">
        <v>1805.95</v>
      </c>
      <c r="D1776" s="115">
        <v>1775.95</v>
      </c>
      <c r="E1776" s="115">
        <v>1795.1</v>
      </c>
      <c r="F1776" s="115">
        <v>1805.95</v>
      </c>
      <c r="G1776">
        <v>44480</v>
      </c>
      <c r="H1776" s="115"/>
      <c r="I1776" s="115"/>
      <c r="L1776" s="169">
        <v>44620</v>
      </c>
      <c r="M1776" s="115">
        <v>1823.35</v>
      </c>
      <c r="N1776" s="115">
        <v>1839.95</v>
      </c>
      <c r="O1776" s="115">
        <v>1745.7</v>
      </c>
      <c r="P1776" s="115">
        <v>1785</v>
      </c>
      <c r="Q1776" s="115">
        <v>1823.35</v>
      </c>
      <c r="R1776">
        <v>84457</v>
      </c>
    </row>
    <row r="1777" spans="1:18" x14ac:dyDescent="0.25">
      <c r="A1777" s="169">
        <v>44620</v>
      </c>
      <c r="B1777" s="115">
        <v>1840</v>
      </c>
      <c r="C1777" s="115">
        <v>1828.85</v>
      </c>
      <c r="D1777" s="115">
        <v>1748.35</v>
      </c>
      <c r="E1777" s="115">
        <v>1776.35</v>
      </c>
      <c r="F1777" s="115">
        <v>1828.85</v>
      </c>
      <c r="G1777">
        <v>9113</v>
      </c>
      <c r="H1777" s="115"/>
      <c r="I1777" s="115"/>
      <c r="L1777" s="169">
        <v>44622</v>
      </c>
      <c r="M1777" s="115">
        <v>1843.85</v>
      </c>
      <c r="N1777" s="115">
        <v>1886.95</v>
      </c>
      <c r="O1777" s="115">
        <v>1795.2</v>
      </c>
      <c r="P1777" s="115">
        <v>1835</v>
      </c>
      <c r="Q1777" s="115">
        <v>1843.85</v>
      </c>
      <c r="R1777">
        <v>199854</v>
      </c>
    </row>
    <row r="1778" spans="1:18" x14ac:dyDescent="0.25">
      <c r="A1778" s="169">
        <v>44622</v>
      </c>
      <c r="B1778" s="115">
        <v>1884.05</v>
      </c>
      <c r="C1778" s="115">
        <v>1844.85</v>
      </c>
      <c r="D1778" s="115">
        <v>1791.05</v>
      </c>
      <c r="E1778" s="115">
        <v>1830</v>
      </c>
      <c r="F1778" s="115">
        <v>1844.85</v>
      </c>
      <c r="G1778">
        <v>11858</v>
      </c>
      <c r="H1778" s="115"/>
      <c r="I1778" s="115"/>
      <c r="L1778" s="169">
        <v>44623</v>
      </c>
      <c r="M1778" s="115">
        <v>1866.2</v>
      </c>
      <c r="N1778" s="115">
        <v>1898</v>
      </c>
      <c r="O1778" s="115">
        <v>1850.2</v>
      </c>
      <c r="P1778" s="115">
        <v>1859</v>
      </c>
      <c r="Q1778" s="115">
        <v>1866.2</v>
      </c>
      <c r="R1778">
        <v>145052</v>
      </c>
    </row>
    <row r="1779" spans="1:18" x14ac:dyDescent="0.25">
      <c r="A1779" s="169">
        <v>44623</v>
      </c>
      <c r="B1779" s="115">
        <v>1895</v>
      </c>
      <c r="C1779" s="115">
        <v>1863.85</v>
      </c>
      <c r="D1779" s="115">
        <v>1851.2</v>
      </c>
      <c r="E1779" s="115">
        <v>1865</v>
      </c>
      <c r="F1779" s="115">
        <v>1863.85</v>
      </c>
      <c r="G1779">
        <v>8339</v>
      </c>
      <c r="H1779" s="115"/>
      <c r="I1779" s="115"/>
      <c r="L1779" s="169">
        <v>44624</v>
      </c>
      <c r="M1779" s="115">
        <v>1773.55</v>
      </c>
      <c r="N1779" s="115">
        <v>1870.05</v>
      </c>
      <c r="O1779" s="115">
        <v>1760.25</v>
      </c>
      <c r="P1779" s="115">
        <v>1868.9</v>
      </c>
      <c r="Q1779" s="115">
        <v>1773.55</v>
      </c>
      <c r="R1779">
        <v>113836</v>
      </c>
    </row>
    <row r="1780" spans="1:18" x14ac:dyDescent="0.25">
      <c r="A1780" s="169">
        <v>44624</v>
      </c>
      <c r="B1780" s="115">
        <v>1868.9</v>
      </c>
      <c r="C1780" s="115">
        <v>1773.1</v>
      </c>
      <c r="D1780" s="115">
        <v>1761.9</v>
      </c>
      <c r="E1780" s="115">
        <v>1868.25</v>
      </c>
      <c r="F1780" s="115">
        <v>1773.1</v>
      </c>
      <c r="G1780">
        <v>7176</v>
      </c>
      <c r="H1780" s="115"/>
      <c r="I1780" s="115"/>
      <c r="L1780" s="169">
        <v>44627</v>
      </c>
      <c r="M1780" s="115">
        <v>1788.1</v>
      </c>
      <c r="N1780" s="115">
        <v>1815</v>
      </c>
      <c r="O1780" s="115">
        <v>1650.05</v>
      </c>
      <c r="P1780" s="115">
        <v>1711</v>
      </c>
      <c r="Q1780" s="115">
        <v>1788.1</v>
      </c>
      <c r="R1780">
        <v>120632</v>
      </c>
    </row>
    <row r="1781" spans="1:18" x14ac:dyDescent="0.25">
      <c r="A1781" s="169">
        <v>44627</v>
      </c>
      <c r="B1781" s="115">
        <v>1814.65</v>
      </c>
      <c r="C1781" s="115">
        <v>1785.05</v>
      </c>
      <c r="D1781" s="115">
        <v>1660</v>
      </c>
      <c r="E1781" s="115">
        <v>1729.95</v>
      </c>
      <c r="F1781" s="115">
        <v>1785.05</v>
      </c>
      <c r="G1781">
        <v>12119</v>
      </c>
      <c r="H1781" s="115"/>
      <c r="I1781" s="115"/>
      <c r="L1781" s="169">
        <v>44628</v>
      </c>
      <c r="M1781" s="115">
        <v>1817.75</v>
      </c>
      <c r="N1781" s="115">
        <v>1840</v>
      </c>
      <c r="O1781" s="115">
        <v>1740</v>
      </c>
      <c r="P1781" s="115">
        <v>1812</v>
      </c>
      <c r="Q1781" s="115">
        <v>1817.75</v>
      </c>
      <c r="R1781">
        <v>140030</v>
      </c>
    </row>
    <row r="1782" spans="1:18" x14ac:dyDescent="0.25">
      <c r="A1782" s="169">
        <v>44628</v>
      </c>
      <c r="B1782" s="115">
        <v>1836</v>
      </c>
      <c r="C1782" s="115">
        <v>1815.8</v>
      </c>
      <c r="D1782" s="115">
        <v>1742.35</v>
      </c>
      <c r="E1782" s="115">
        <v>1807.2</v>
      </c>
      <c r="F1782" s="115">
        <v>1815.8</v>
      </c>
      <c r="G1782">
        <v>6687</v>
      </c>
      <c r="H1782" s="115"/>
      <c r="I1782" s="115"/>
      <c r="L1782" s="169">
        <v>44629</v>
      </c>
      <c r="M1782" s="115">
        <v>1817.6</v>
      </c>
      <c r="N1782" s="115">
        <v>1838.75</v>
      </c>
      <c r="O1782" s="115">
        <v>1792.75</v>
      </c>
      <c r="P1782" s="115">
        <v>1822</v>
      </c>
      <c r="Q1782" s="115">
        <v>1817.6</v>
      </c>
      <c r="R1782">
        <v>42165</v>
      </c>
    </row>
    <row r="1783" spans="1:18" x14ac:dyDescent="0.25">
      <c r="A1783" s="169">
        <v>44629</v>
      </c>
      <c r="B1783" s="115">
        <v>1833.6</v>
      </c>
      <c r="C1783" s="115">
        <v>1816.65</v>
      </c>
      <c r="D1783" s="115">
        <v>1794.9</v>
      </c>
      <c r="E1783" s="115">
        <v>1830.5</v>
      </c>
      <c r="F1783" s="115">
        <v>1816.65</v>
      </c>
      <c r="G1783">
        <v>2347</v>
      </c>
      <c r="H1783" s="115"/>
      <c r="I1783" s="115"/>
      <c r="L1783" s="169">
        <v>44630</v>
      </c>
      <c r="M1783" s="115">
        <v>1810.3</v>
      </c>
      <c r="N1783" s="115">
        <v>1887.85</v>
      </c>
      <c r="O1783" s="115">
        <v>1798</v>
      </c>
      <c r="P1783" s="115">
        <v>1857</v>
      </c>
      <c r="Q1783" s="115">
        <v>1810.3</v>
      </c>
      <c r="R1783">
        <v>68185</v>
      </c>
    </row>
    <row r="1784" spans="1:18" x14ac:dyDescent="0.25">
      <c r="A1784" s="169">
        <v>44630</v>
      </c>
      <c r="B1784" s="115">
        <v>1872.7</v>
      </c>
      <c r="C1784" s="115">
        <v>1808.1</v>
      </c>
      <c r="D1784" s="115">
        <v>1800.15</v>
      </c>
      <c r="E1784" s="115">
        <v>1861.55</v>
      </c>
      <c r="F1784" s="115">
        <v>1808.1</v>
      </c>
      <c r="G1784">
        <v>3322</v>
      </c>
      <c r="H1784" s="115"/>
      <c r="I1784" s="115"/>
      <c r="L1784" s="169">
        <v>44631</v>
      </c>
      <c r="M1784" s="115">
        <v>1809.05</v>
      </c>
      <c r="N1784" s="115">
        <v>1839.65</v>
      </c>
      <c r="O1784" s="115">
        <v>1791.35</v>
      </c>
      <c r="P1784" s="115">
        <v>1810.3</v>
      </c>
      <c r="Q1784" s="115">
        <v>1809.05</v>
      </c>
      <c r="R1784">
        <v>71974</v>
      </c>
    </row>
    <row r="1785" spans="1:18" x14ac:dyDescent="0.25">
      <c r="A1785" s="169">
        <v>44631</v>
      </c>
      <c r="B1785" s="115">
        <v>1837.15</v>
      </c>
      <c r="C1785" s="115">
        <v>1821.05</v>
      </c>
      <c r="D1785" s="115">
        <v>1793</v>
      </c>
      <c r="E1785" s="115">
        <v>1804.4</v>
      </c>
      <c r="F1785" s="115">
        <v>1821.05</v>
      </c>
      <c r="G1785">
        <v>4711</v>
      </c>
      <c r="H1785" s="115"/>
      <c r="I1785" s="115"/>
      <c r="L1785" s="169">
        <v>44634</v>
      </c>
      <c r="M1785" s="115">
        <v>1789.5</v>
      </c>
      <c r="N1785" s="115">
        <v>2000</v>
      </c>
      <c r="O1785" s="115">
        <v>1760</v>
      </c>
      <c r="P1785" s="115">
        <v>2000</v>
      </c>
      <c r="Q1785" s="115">
        <v>1789.5</v>
      </c>
      <c r="R1785">
        <v>133052</v>
      </c>
    </row>
    <row r="1786" spans="1:18" x14ac:dyDescent="0.25">
      <c r="A1786" s="169">
        <v>44634</v>
      </c>
      <c r="B1786" s="115">
        <v>1910</v>
      </c>
      <c r="C1786" s="115">
        <v>1784.7</v>
      </c>
      <c r="D1786" s="115">
        <v>1765.3</v>
      </c>
      <c r="E1786" s="115">
        <v>1801.5</v>
      </c>
      <c r="F1786" s="115">
        <v>1784.7</v>
      </c>
      <c r="G1786">
        <v>8233</v>
      </c>
      <c r="H1786" s="115"/>
      <c r="I1786" s="115"/>
      <c r="L1786" s="169">
        <v>44635</v>
      </c>
      <c r="M1786" s="115">
        <v>1799.3</v>
      </c>
      <c r="N1786" s="115">
        <v>1828.75</v>
      </c>
      <c r="O1786" s="115">
        <v>1764.9</v>
      </c>
      <c r="P1786" s="115">
        <v>1820</v>
      </c>
      <c r="Q1786" s="115">
        <v>1799.3</v>
      </c>
      <c r="R1786">
        <v>189748</v>
      </c>
    </row>
    <row r="1787" spans="1:18" x14ac:dyDescent="0.25">
      <c r="A1787" s="169">
        <v>44635</v>
      </c>
      <c r="B1787" s="115">
        <v>1827.4</v>
      </c>
      <c r="C1787" s="115">
        <v>1799.95</v>
      </c>
      <c r="D1787" s="115">
        <v>1765.5</v>
      </c>
      <c r="E1787" s="115">
        <v>1810.8</v>
      </c>
      <c r="F1787" s="115">
        <v>1799.95</v>
      </c>
      <c r="G1787">
        <v>3456</v>
      </c>
      <c r="H1787" s="115"/>
      <c r="I1787" s="115"/>
      <c r="L1787" s="169">
        <v>44636</v>
      </c>
      <c r="M1787" s="115">
        <v>1788.95</v>
      </c>
      <c r="N1787" s="115">
        <v>1825.05</v>
      </c>
      <c r="O1787" s="115">
        <v>1767.1</v>
      </c>
      <c r="P1787" s="115">
        <v>1813.1</v>
      </c>
      <c r="Q1787" s="115">
        <v>1788.95</v>
      </c>
      <c r="R1787">
        <v>42400</v>
      </c>
    </row>
    <row r="1788" spans="1:18" x14ac:dyDescent="0.25">
      <c r="A1788" s="169">
        <v>44636</v>
      </c>
      <c r="B1788" s="115">
        <v>1821.2</v>
      </c>
      <c r="C1788" s="115">
        <v>1783.6</v>
      </c>
      <c r="D1788" s="115">
        <v>1765.45</v>
      </c>
      <c r="E1788" s="115">
        <v>1819.9</v>
      </c>
      <c r="F1788" s="115">
        <v>1783.6</v>
      </c>
      <c r="G1788">
        <v>2524</v>
      </c>
      <c r="H1788" s="115"/>
      <c r="I1788" s="115"/>
      <c r="L1788" s="169">
        <v>44637</v>
      </c>
      <c r="M1788" s="115">
        <v>1763.45</v>
      </c>
      <c r="N1788" s="115">
        <v>1847</v>
      </c>
      <c r="O1788" s="115">
        <v>1742</v>
      </c>
      <c r="P1788" s="115">
        <v>1795</v>
      </c>
      <c r="Q1788" s="115">
        <v>1763.45</v>
      </c>
      <c r="R1788">
        <v>300021</v>
      </c>
    </row>
    <row r="1789" spans="1:18" x14ac:dyDescent="0.25">
      <c r="A1789" s="169">
        <v>44637</v>
      </c>
      <c r="B1789" s="115">
        <v>1845.3</v>
      </c>
      <c r="C1789" s="115">
        <v>1768.8</v>
      </c>
      <c r="D1789" s="115">
        <v>1744.8</v>
      </c>
      <c r="E1789" s="115">
        <v>1805.5</v>
      </c>
      <c r="F1789" s="115">
        <v>1768.8</v>
      </c>
      <c r="G1789">
        <v>4887</v>
      </c>
      <c r="H1789" s="115"/>
      <c r="I1789" s="115"/>
      <c r="L1789" s="169">
        <v>44641</v>
      </c>
      <c r="M1789" s="115">
        <v>1808.5</v>
      </c>
      <c r="N1789" s="115">
        <v>1818</v>
      </c>
      <c r="O1789" s="115">
        <v>1771.05</v>
      </c>
      <c r="P1789" s="115">
        <v>1818</v>
      </c>
      <c r="Q1789" s="115">
        <v>1808.5</v>
      </c>
      <c r="R1789">
        <v>238463</v>
      </c>
    </row>
    <row r="1790" spans="1:18" x14ac:dyDescent="0.25">
      <c r="A1790" s="169">
        <v>44641</v>
      </c>
      <c r="B1790" s="115">
        <v>1815</v>
      </c>
      <c r="C1790" s="115">
        <v>1806.5</v>
      </c>
      <c r="D1790" s="115">
        <v>1761</v>
      </c>
      <c r="E1790" s="115">
        <v>1761</v>
      </c>
      <c r="F1790" s="115">
        <v>1806.5</v>
      </c>
      <c r="G1790">
        <v>3847</v>
      </c>
      <c r="H1790" s="115"/>
      <c r="I1790" s="115"/>
      <c r="L1790" s="169">
        <v>44642</v>
      </c>
      <c r="M1790" s="115">
        <v>1867.5</v>
      </c>
      <c r="N1790" s="115">
        <v>1919</v>
      </c>
      <c r="O1790" s="115">
        <v>1800</v>
      </c>
      <c r="P1790" s="115">
        <v>1818.5</v>
      </c>
      <c r="Q1790" s="115">
        <v>1867.5</v>
      </c>
      <c r="R1790">
        <v>450829</v>
      </c>
    </row>
    <row r="1791" spans="1:18" x14ac:dyDescent="0.25">
      <c r="A1791" s="169">
        <v>44642</v>
      </c>
      <c r="B1791" s="115">
        <v>1917.25</v>
      </c>
      <c r="C1791" s="115">
        <v>1860.95</v>
      </c>
      <c r="D1791" s="115">
        <v>1785.85</v>
      </c>
      <c r="E1791" s="115">
        <v>1785.85</v>
      </c>
      <c r="F1791" s="115">
        <v>1860.95</v>
      </c>
      <c r="G1791">
        <v>57960</v>
      </c>
      <c r="H1791" s="115"/>
      <c r="I1791" s="115"/>
      <c r="L1791" s="169">
        <v>44643</v>
      </c>
      <c r="M1791" s="115">
        <v>1868</v>
      </c>
      <c r="N1791" s="115">
        <v>1917.1</v>
      </c>
      <c r="O1791" s="115">
        <v>1854.5</v>
      </c>
      <c r="P1791" s="115">
        <v>1887</v>
      </c>
      <c r="Q1791" s="115">
        <v>1868</v>
      </c>
      <c r="R1791">
        <v>104459</v>
      </c>
    </row>
    <row r="1792" spans="1:18" x14ac:dyDescent="0.25">
      <c r="A1792" s="169">
        <v>44643</v>
      </c>
      <c r="B1792" s="115">
        <v>1916.8</v>
      </c>
      <c r="C1792" s="115">
        <v>1868.75</v>
      </c>
      <c r="D1792" s="115">
        <v>1854.35</v>
      </c>
      <c r="E1792" s="115">
        <v>1900</v>
      </c>
      <c r="F1792" s="115">
        <v>1868.75</v>
      </c>
      <c r="G1792">
        <v>5354</v>
      </c>
      <c r="H1792" s="115"/>
      <c r="I1792" s="115"/>
      <c r="L1792" s="169">
        <v>44644</v>
      </c>
      <c r="M1792" s="115">
        <v>1863.35</v>
      </c>
      <c r="N1792" s="115">
        <v>1887</v>
      </c>
      <c r="O1792" s="115">
        <v>1845.65</v>
      </c>
      <c r="P1792" s="115">
        <v>1866.6</v>
      </c>
      <c r="Q1792" s="115">
        <v>1863.35</v>
      </c>
      <c r="R1792">
        <v>47680</v>
      </c>
    </row>
    <row r="1793" spans="1:18" x14ac:dyDescent="0.25">
      <c r="A1793" s="169">
        <v>44644</v>
      </c>
      <c r="B1793" s="115">
        <v>1885.5</v>
      </c>
      <c r="C1793" s="115">
        <v>1862.6</v>
      </c>
      <c r="D1793" s="115">
        <v>1844.25</v>
      </c>
      <c r="E1793" s="115">
        <v>1875.55</v>
      </c>
      <c r="F1793" s="115">
        <v>1862.6</v>
      </c>
      <c r="G1793">
        <v>3755</v>
      </c>
      <c r="H1793" s="115"/>
      <c r="I1793" s="115"/>
      <c r="L1793" s="169">
        <v>44645</v>
      </c>
      <c r="M1793" s="115">
        <v>1851.75</v>
      </c>
      <c r="N1793" s="115">
        <v>1897</v>
      </c>
      <c r="O1793" s="115">
        <v>1840.85</v>
      </c>
      <c r="P1793" s="115">
        <v>1890</v>
      </c>
      <c r="Q1793" s="115">
        <v>1851.75</v>
      </c>
      <c r="R1793">
        <v>27695</v>
      </c>
    </row>
    <row r="1794" spans="1:18" x14ac:dyDescent="0.25">
      <c r="A1794" s="169">
        <v>44645</v>
      </c>
      <c r="B1794" s="115">
        <v>1891.35</v>
      </c>
      <c r="C1794" s="115">
        <v>1851.55</v>
      </c>
      <c r="D1794" s="115">
        <v>1850</v>
      </c>
      <c r="E1794" s="115">
        <v>1879.6</v>
      </c>
      <c r="F1794" s="115">
        <v>1851.55</v>
      </c>
      <c r="G1794">
        <v>2299</v>
      </c>
      <c r="H1794" s="115"/>
      <c r="I1794" s="115"/>
      <c r="L1794" s="169">
        <v>44648</v>
      </c>
      <c r="M1794" s="115">
        <v>1862.95</v>
      </c>
      <c r="N1794" s="115">
        <v>1873</v>
      </c>
      <c r="O1794" s="115">
        <v>1846.45</v>
      </c>
      <c r="P1794" s="115">
        <v>1865</v>
      </c>
      <c r="Q1794" s="115">
        <v>1862.95</v>
      </c>
      <c r="R1794">
        <v>29502</v>
      </c>
    </row>
    <row r="1795" spans="1:18" x14ac:dyDescent="0.25">
      <c r="A1795" s="169">
        <v>44648</v>
      </c>
      <c r="B1795" s="115">
        <v>1870.4</v>
      </c>
      <c r="C1795" s="115">
        <v>1864.2</v>
      </c>
      <c r="D1795" s="115">
        <v>1848.05</v>
      </c>
      <c r="E1795" s="115">
        <v>1853.7</v>
      </c>
      <c r="F1795" s="115">
        <v>1864.2</v>
      </c>
      <c r="G1795">
        <v>2608</v>
      </c>
      <c r="H1795" s="115"/>
      <c r="I1795" s="115"/>
      <c r="L1795" s="169">
        <v>44649</v>
      </c>
      <c r="M1795" s="115">
        <v>1881</v>
      </c>
      <c r="N1795" s="115">
        <v>1927</v>
      </c>
      <c r="O1795" s="115">
        <v>1872.25</v>
      </c>
      <c r="P1795" s="115">
        <v>1895</v>
      </c>
      <c r="Q1795" s="115">
        <v>1881</v>
      </c>
      <c r="R1795">
        <v>144174</v>
      </c>
    </row>
    <row r="1796" spans="1:18" x14ac:dyDescent="0.25">
      <c r="A1796" s="169">
        <v>44649</v>
      </c>
      <c r="B1796" s="115">
        <v>1925.2</v>
      </c>
      <c r="C1796" s="115">
        <v>1881.45</v>
      </c>
      <c r="D1796" s="115">
        <v>1872.95</v>
      </c>
      <c r="E1796" s="115">
        <v>1889</v>
      </c>
      <c r="F1796" s="115">
        <v>1881.45</v>
      </c>
      <c r="G1796">
        <v>7036</v>
      </c>
      <c r="H1796" s="115"/>
      <c r="I1796" s="115"/>
      <c r="L1796" s="169">
        <v>44650</v>
      </c>
      <c r="M1796" s="115">
        <v>1921.8</v>
      </c>
      <c r="N1796" s="115">
        <v>1935</v>
      </c>
      <c r="O1796" s="115">
        <v>1894</v>
      </c>
      <c r="P1796" s="115">
        <v>1905.95</v>
      </c>
      <c r="Q1796" s="115">
        <v>1921.8</v>
      </c>
      <c r="R1796">
        <v>180982</v>
      </c>
    </row>
    <row r="1797" spans="1:18" x14ac:dyDescent="0.25">
      <c r="A1797" s="169">
        <v>44650</v>
      </c>
      <c r="B1797" s="115">
        <v>1933.2</v>
      </c>
      <c r="C1797" s="115">
        <v>1923.65</v>
      </c>
      <c r="D1797" s="115">
        <v>1850</v>
      </c>
      <c r="E1797" s="115">
        <v>1850</v>
      </c>
      <c r="F1797" s="115">
        <v>1923.65</v>
      </c>
      <c r="G1797">
        <v>9298</v>
      </c>
      <c r="H1797" s="115"/>
      <c r="I1797" s="115"/>
      <c r="L1797" s="169">
        <v>44651</v>
      </c>
      <c r="M1797" s="115">
        <v>1942</v>
      </c>
      <c r="N1797" s="115">
        <v>1965</v>
      </c>
      <c r="O1797" s="115">
        <v>1928</v>
      </c>
      <c r="P1797" s="115">
        <v>1942.6</v>
      </c>
      <c r="Q1797" s="115">
        <v>1942</v>
      </c>
      <c r="R1797">
        <v>211724</v>
      </c>
    </row>
    <row r="1798" spans="1:18" x14ac:dyDescent="0.25">
      <c r="A1798" s="169">
        <v>44651</v>
      </c>
      <c r="B1798" s="115">
        <v>1965.4</v>
      </c>
      <c r="C1798" s="115">
        <v>1950.6</v>
      </c>
      <c r="D1798" s="115">
        <v>1920</v>
      </c>
      <c r="E1798" s="115">
        <v>1920</v>
      </c>
      <c r="F1798" s="115">
        <v>1950.6</v>
      </c>
      <c r="G1798">
        <v>10471</v>
      </c>
      <c r="H1798" s="115"/>
      <c r="I1798" s="115"/>
      <c r="L1798" s="169">
        <v>44652</v>
      </c>
      <c r="M1798" s="115">
        <v>1924.7</v>
      </c>
      <c r="N1798" s="115">
        <v>1976.5</v>
      </c>
      <c r="O1798" s="115">
        <v>1915</v>
      </c>
      <c r="P1798" s="115">
        <v>1965</v>
      </c>
      <c r="Q1798" s="115">
        <v>1924.7</v>
      </c>
      <c r="R1798">
        <v>78960</v>
      </c>
    </row>
    <row r="1799" spans="1:18" x14ac:dyDescent="0.25">
      <c r="A1799" s="169">
        <v>44652</v>
      </c>
      <c r="B1799" s="115">
        <v>1970</v>
      </c>
      <c r="C1799" s="115">
        <v>1926.95</v>
      </c>
      <c r="D1799" s="115">
        <v>1913.8</v>
      </c>
      <c r="E1799" s="115">
        <v>1963.45</v>
      </c>
      <c r="F1799" s="115">
        <v>1926.95</v>
      </c>
      <c r="G1799">
        <v>6787</v>
      </c>
      <c r="H1799" s="115"/>
      <c r="I1799" s="115"/>
      <c r="L1799" s="169">
        <v>44655</v>
      </c>
      <c r="M1799" s="115">
        <v>1945.5</v>
      </c>
      <c r="N1799" s="115">
        <v>1965</v>
      </c>
      <c r="O1799" s="115">
        <v>1922.65</v>
      </c>
      <c r="P1799" s="115">
        <v>1943.65</v>
      </c>
      <c r="Q1799" s="115">
        <v>1945.5</v>
      </c>
      <c r="R1799">
        <v>59907</v>
      </c>
    </row>
    <row r="1800" spans="1:18" x14ac:dyDescent="0.25">
      <c r="A1800" s="169">
        <v>44655</v>
      </c>
      <c r="B1800" s="115">
        <v>1964</v>
      </c>
      <c r="C1800" s="115">
        <v>1940.2</v>
      </c>
      <c r="D1800" s="115">
        <v>1922.1</v>
      </c>
      <c r="E1800" s="115">
        <v>1937</v>
      </c>
      <c r="F1800" s="115">
        <v>1940.2</v>
      </c>
      <c r="G1800">
        <v>5737</v>
      </c>
      <c r="H1800" s="115"/>
      <c r="I1800" s="115"/>
      <c r="L1800" s="169">
        <v>44656</v>
      </c>
      <c r="M1800" s="115">
        <v>1961.15</v>
      </c>
      <c r="N1800" s="115">
        <v>1970</v>
      </c>
      <c r="O1800" s="115">
        <v>1928.85</v>
      </c>
      <c r="P1800" s="115">
        <v>1954.95</v>
      </c>
      <c r="Q1800" s="115">
        <v>1961.15</v>
      </c>
      <c r="R1800">
        <v>170937</v>
      </c>
    </row>
    <row r="1801" spans="1:18" x14ac:dyDescent="0.25">
      <c r="A1801" s="169">
        <v>44656</v>
      </c>
      <c r="B1801" s="115">
        <v>1970</v>
      </c>
      <c r="C1801" s="115">
        <v>1962.65</v>
      </c>
      <c r="D1801" s="115">
        <v>1932.8</v>
      </c>
      <c r="E1801" s="115">
        <v>1953</v>
      </c>
      <c r="F1801" s="115">
        <v>1962.65</v>
      </c>
      <c r="G1801">
        <v>2251</v>
      </c>
      <c r="H1801" s="115"/>
      <c r="I1801" s="115"/>
      <c r="L1801" s="169">
        <v>44657</v>
      </c>
      <c r="M1801" s="115">
        <v>1977.05</v>
      </c>
      <c r="N1801" s="115">
        <v>2022</v>
      </c>
      <c r="O1801" s="115">
        <v>1960</v>
      </c>
      <c r="P1801" s="115">
        <v>1965.6</v>
      </c>
      <c r="Q1801" s="115">
        <v>1977.05</v>
      </c>
      <c r="R1801">
        <v>281762</v>
      </c>
    </row>
    <row r="1802" spans="1:18" x14ac:dyDescent="0.25">
      <c r="A1802" s="169">
        <v>44657</v>
      </c>
      <c r="B1802" s="115">
        <v>2021.25</v>
      </c>
      <c r="C1802" s="115">
        <v>1975.5</v>
      </c>
      <c r="D1802" s="115">
        <v>1959.9</v>
      </c>
      <c r="E1802" s="115">
        <v>1960</v>
      </c>
      <c r="F1802" s="115">
        <v>1975.5</v>
      </c>
      <c r="G1802">
        <v>10413</v>
      </c>
      <c r="H1802" s="115"/>
      <c r="I1802" s="115"/>
      <c r="L1802" s="169">
        <v>44658</v>
      </c>
      <c r="M1802" s="115">
        <v>1977.55</v>
      </c>
      <c r="N1802" s="115">
        <v>2019</v>
      </c>
      <c r="O1802" s="115">
        <v>1962</v>
      </c>
      <c r="P1802" s="115">
        <v>1985</v>
      </c>
      <c r="Q1802" s="115">
        <v>1977.55</v>
      </c>
      <c r="R1802">
        <v>163812</v>
      </c>
    </row>
    <row r="1803" spans="1:18" x14ac:dyDescent="0.25">
      <c r="A1803" s="169">
        <v>44658</v>
      </c>
      <c r="B1803" s="115">
        <v>2018.4</v>
      </c>
      <c r="C1803" s="115">
        <v>1976.8</v>
      </c>
      <c r="D1803" s="115">
        <v>1965.1</v>
      </c>
      <c r="E1803" s="115">
        <v>1994.25</v>
      </c>
      <c r="F1803" s="115">
        <v>1976.8</v>
      </c>
      <c r="G1803">
        <v>4300</v>
      </c>
      <c r="H1803" s="115"/>
      <c r="I1803" s="115"/>
      <c r="L1803" s="169">
        <v>44659</v>
      </c>
      <c r="M1803" s="115">
        <v>2011.75</v>
      </c>
      <c r="N1803" s="115">
        <v>2022</v>
      </c>
      <c r="O1803" s="115">
        <v>1972</v>
      </c>
      <c r="P1803" s="115">
        <v>1994.8</v>
      </c>
      <c r="Q1803" s="115">
        <v>2011.75</v>
      </c>
      <c r="R1803">
        <v>77416</v>
      </c>
    </row>
    <row r="1804" spans="1:18" x14ac:dyDescent="0.25">
      <c r="A1804" s="169">
        <v>44659</v>
      </c>
      <c r="B1804" s="115">
        <v>2022</v>
      </c>
      <c r="C1804" s="115">
        <v>2011.35</v>
      </c>
      <c r="D1804" s="115">
        <v>1972.55</v>
      </c>
      <c r="E1804" s="115">
        <v>2019.95</v>
      </c>
      <c r="F1804" s="115">
        <v>2011.35</v>
      </c>
      <c r="G1804">
        <v>3519</v>
      </c>
      <c r="H1804" s="115"/>
      <c r="I1804" s="115"/>
      <c r="L1804" s="169">
        <v>44662</v>
      </c>
      <c r="M1804" s="115">
        <v>2021.3</v>
      </c>
      <c r="N1804" s="115">
        <v>2037.45</v>
      </c>
      <c r="O1804" s="115">
        <v>1982.65</v>
      </c>
      <c r="P1804" s="115">
        <v>2028.6</v>
      </c>
      <c r="Q1804" s="115">
        <v>2021.3</v>
      </c>
      <c r="R1804">
        <v>110180</v>
      </c>
    </row>
    <row r="1805" spans="1:18" x14ac:dyDescent="0.25">
      <c r="A1805" s="169">
        <v>44662</v>
      </c>
      <c r="B1805" s="115">
        <v>2035</v>
      </c>
      <c r="C1805" s="115">
        <v>2028.8</v>
      </c>
      <c r="D1805" s="115">
        <v>1984.1</v>
      </c>
      <c r="E1805" s="115">
        <v>2015</v>
      </c>
      <c r="F1805" s="115">
        <v>2028.8</v>
      </c>
      <c r="G1805">
        <v>2430</v>
      </c>
      <c r="H1805" s="115"/>
      <c r="I1805" s="115"/>
      <c r="L1805" s="169">
        <v>44663</v>
      </c>
      <c r="M1805" s="115">
        <v>2014.45</v>
      </c>
      <c r="N1805" s="115">
        <v>2042</v>
      </c>
      <c r="O1805" s="115">
        <v>1977.25</v>
      </c>
      <c r="P1805" s="115">
        <v>2036.6</v>
      </c>
      <c r="Q1805" s="115">
        <v>2014.45</v>
      </c>
      <c r="R1805">
        <v>82664</v>
      </c>
    </row>
    <row r="1806" spans="1:18" x14ac:dyDescent="0.25">
      <c r="A1806" s="169">
        <v>44663</v>
      </c>
      <c r="B1806" s="115">
        <v>2041.8</v>
      </c>
      <c r="C1806" s="115">
        <v>2012</v>
      </c>
      <c r="D1806" s="115">
        <v>1976.35</v>
      </c>
      <c r="E1806" s="115">
        <v>2028.05</v>
      </c>
      <c r="F1806" s="115">
        <v>2012</v>
      </c>
      <c r="G1806">
        <v>5871</v>
      </c>
      <c r="H1806" s="115"/>
      <c r="I1806" s="115"/>
      <c r="L1806" s="169">
        <v>44664</v>
      </c>
      <c r="M1806" s="115">
        <v>2021.7</v>
      </c>
      <c r="N1806" s="115">
        <v>2040</v>
      </c>
      <c r="O1806" s="115">
        <v>2003.8</v>
      </c>
      <c r="P1806" s="115">
        <v>2029.8</v>
      </c>
      <c r="Q1806" s="115">
        <v>2021.7</v>
      </c>
      <c r="R1806">
        <v>34099</v>
      </c>
    </row>
    <row r="1807" spans="1:18" x14ac:dyDescent="0.25">
      <c r="A1807" s="169">
        <v>44664</v>
      </c>
      <c r="B1807" s="115">
        <v>2038</v>
      </c>
      <c r="C1807" s="115">
        <v>2020.55</v>
      </c>
      <c r="D1807" s="115">
        <v>2004.8</v>
      </c>
      <c r="E1807" s="115">
        <v>2012</v>
      </c>
      <c r="F1807" s="115">
        <v>2020.55</v>
      </c>
      <c r="G1807">
        <v>1635</v>
      </c>
      <c r="H1807" s="115"/>
      <c r="I1807" s="115"/>
      <c r="L1807" s="169">
        <v>44669</v>
      </c>
      <c r="M1807" s="115">
        <v>2049.5500000000002</v>
      </c>
      <c r="N1807" s="115">
        <v>2070.15</v>
      </c>
      <c r="O1807" s="115">
        <v>2012.6</v>
      </c>
      <c r="P1807" s="115">
        <v>2021.7</v>
      </c>
      <c r="Q1807" s="115">
        <v>2049.5500000000002</v>
      </c>
      <c r="R1807">
        <v>68031</v>
      </c>
    </row>
    <row r="1808" spans="1:18" x14ac:dyDescent="0.25">
      <c r="A1808" s="169">
        <v>44669</v>
      </c>
      <c r="B1808" s="115">
        <v>2070</v>
      </c>
      <c r="C1808" s="115">
        <v>2049.5500000000002</v>
      </c>
      <c r="D1808" s="115">
        <v>2020.55</v>
      </c>
      <c r="E1808" s="115">
        <v>2039.95</v>
      </c>
      <c r="F1808" s="115">
        <v>2049.5500000000002</v>
      </c>
      <c r="G1808">
        <v>4345</v>
      </c>
      <c r="H1808" s="115"/>
      <c r="I1808" s="115"/>
      <c r="L1808" s="169">
        <v>44670</v>
      </c>
      <c r="M1808" s="115">
        <v>2035.95</v>
      </c>
      <c r="N1808" s="115">
        <v>2062.6</v>
      </c>
      <c r="O1808" s="115">
        <v>2019</v>
      </c>
      <c r="P1808" s="115">
        <v>2056</v>
      </c>
      <c r="Q1808" s="115">
        <v>2035.95</v>
      </c>
      <c r="R1808">
        <v>64417</v>
      </c>
    </row>
    <row r="1809" spans="1:18" x14ac:dyDescent="0.25">
      <c r="A1809" s="169">
        <v>44670</v>
      </c>
      <c r="B1809" s="115">
        <v>2062</v>
      </c>
      <c r="C1809" s="115">
        <v>2036.35</v>
      </c>
      <c r="D1809" s="115">
        <v>2031.4</v>
      </c>
      <c r="E1809" s="115">
        <v>2056</v>
      </c>
      <c r="F1809" s="115">
        <v>2036.35</v>
      </c>
      <c r="G1809">
        <v>1647</v>
      </c>
      <c r="H1809" s="115"/>
      <c r="I1809" s="115"/>
      <c r="L1809" s="169">
        <v>44671</v>
      </c>
      <c r="M1809" s="115">
        <v>2044.95</v>
      </c>
      <c r="N1809" s="115">
        <v>2057</v>
      </c>
      <c r="O1809" s="115">
        <v>2015.65</v>
      </c>
      <c r="P1809" s="115">
        <v>2022.05</v>
      </c>
      <c r="Q1809" s="115">
        <v>2044.95</v>
      </c>
      <c r="R1809">
        <v>105525</v>
      </c>
    </row>
    <row r="1810" spans="1:18" x14ac:dyDescent="0.25">
      <c r="A1810" s="169">
        <v>44671</v>
      </c>
      <c r="B1810" s="115">
        <v>2056</v>
      </c>
      <c r="C1810" s="115">
        <v>2043.55</v>
      </c>
      <c r="D1810" s="115">
        <v>2031.4</v>
      </c>
      <c r="E1810" s="115">
        <v>2055.9499999999998</v>
      </c>
      <c r="F1810" s="115">
        <v>2043.55</v>
      </c>
      <c r="G1810">
        <v>2915</v>
      </c>
      <c r="H1810" s="115"/>
      <c r="I1810" s="115"/>
      <c r="L1810" s="169">
        <v>44672</v>
      </c>
      <c r="M1810" s="115">
        <v>2016.4</v>
      </c>
      <c r="N1810" s="115">
        <v>2063.6</v>
      </c>
      <c r="O1810" s="115">
        <v>2000.05</v>
      </c>
      <c r="P1810" s="115">
        <v>2050.4</v>
      </c>
      <c r="Q1810" s="115">
        <v>2016.4</v>
      </c>
      <c r="R1810">
        <v>66431</v>
      </c>
    </row>
    <row r="1811" spans="1:18" x14ac:dyDescent="0.25">
      <c r="A1811" s="169">
        <v>44672</v>
      </c>
      <c r="B1811" s="115">
        <v>2067</v>
      </c>
      <c r="C1811" s="115">
        <v>2012.8</v>
      </c>
      <c r="D1811" s="115">
        <v>2000.05</v>
      </c>
      <c r="E1811" s="115">
        <v>2060</v>
      </c>
      <c r="F1811" s="115">
        <v>2012.8</v>
      </c>
      <c r="G1811">
        <v>1299</v>
      </c>
      <c r="H1811" s="115"/>
      <c r="I1811" s="115"/>
      <c r="L1811" s="169">
        <v>44673</v>
      </c>
      <c r="M1811" s="115">
        <v>1961.85</v>
      </c>
      <c r="N1811" s="115">
        <v>2037.15</v>
      </c>
      <c r="O1811" s="115">
        <v>1945.4</v>
      </c>
      <c r="P1811" s="115">
        <v>2015</v>
      </c>
      <c r="Q1811" s="115">
        <v>1961.85</v>
      </c>
      <c r="R1811">
        <v>28415</v>
      </c>
    </row>
    <row r="1812" spans="1:18" x14ac:dyDescent="0.25">
      <c r="A1812" s="169">
        <v>44673</v>
      </c>
      <c r="B1812" s="115">
        <v>2040</v>
      </c>
      <c r="C1812" s="115">
        <v>1962.6</v>
      </c>
      <c r="D1812" s="115">
        <v>1949</v>
      </c>
      <c r="E1812" s="115">
        <v>2040</v>
      </c>
      <c r="F1812" s="115">
        <v>1962.6</v>
      </c>
      <c r="G1812">
        <v>2325</v>
      </c>
      <c r="H1812" s="115"/>
      <c r="I1812" s="115"/>
      <c r="L1812" s="169">
        <v>44676</v>
      </c>
      <c r="M1812" s="115">
        <v>1998.6</v>
      </c>
      <c r="N1812" s="115">
        <v>2020</v>
      </c>
      <c r="O1812" s="115">
        <v>1931.1</v>
      </c>
      <c r="P1812" s="115">
        <v>1955</v>
      </c>
      <c r="Q1812" s="115">
        <v>1998.6</v>
      </c>
      <c r="R1812">
        <v>62087</v>
      </c>
    </row>
    <row r="1813" spans="1:18" x14ac:dyDescent="0.25">
      <c r="A1813" s="169">
        <v>44676</v>
      </c>
      <c r="B1813" s="115">
        <v>2019.55</v>
      </c>
      <c r="C1813" s="115">
        <v>1997</v>
      </c>
      <c r="D1813" s="115">
        <v>1921.85</v>
      </c>
      <c r="E1813" s="115">
        <v>1921.85</v>
      </c>
      <c r="F1813" s="115">
        <v>1997</v>
      </c>
      <c r="G1813">
        <v>3756</v>
      </c>
      <c r="H1813" s="115"/>
      <c r="I1813" s="115"/>
      <c r="L1813" s="169">
        <v>44677</v>
      </c>
      <c r="M1813" s="115">
        <v>2098.8000000000002</v>
      </c>
      <c r="N1813" s="115">
        <v>2131</v>
      </c>
      <c r="O1813" s="115">
        <v>2005.75</v>
      </c>
      <c r="P1813" s="115">
        <v>2020</v>
      </c>
      <c r="Q1813" s="115">
        <v>2098.8000000000002</v>
      </c>
      <c r="R1813">
        <v>200631</v>
      </c>
    </row>
    <row r="1814" spans="1:18" x14ac:dyDescent="0.25">
      <c r="A1814" s="169">
        <v>44677</v>
      </c>
      <c r="B1814" s="115">
        <v>2127.3000000000002</v>
      </c>
      <c r="C1814" s="115">
        <v>2100.15</v>
      </c>
      <c r="D1814" s="115">
        <v>2007.15</v>
      </c>
      <c r="E1814" s="115">
        <v>2018.15</v>
      </c>
      <c r="F1814" s="115">
        <v>2100.15</v>
      </c>
      <c r="G1814">
        <v>8614</v>
      </c>
      <c r="H1814" s="115"/>
      <c r="I1814" s="115"/>
      <c r="L1814" s="169">
        <v>44678</v>
      </c>
      <c r="M1814" s="115">
        <v>2234.9</v>
      </c>
      <c r="N1814" s="115">
        <v>2277.9499999999998</v>
      </c>
      <c r="O1814" s="115">
        <v>2072.25</v>
      </c>
      <c r="P1814" s="115">
        <v>2148</v>
      </c>
      <c r="Q1814" s="115">
        <v>2234.9</v>
      </c>
      <c r="R1814">
        <v>626225</v>
      </c>
    </row>
    <row r="1815" spans="1:18" x14ac:dyDescent="0.25">
      <c r="A1815" s="169">
        <v>44678</v>
      </c>
      <c r="B1815" s="115">
        <v>2278.35</v>
      </c>
      <c r="C1815" s="115">
        <v>2240.35</v>
      </c>
      <c r="D1815" s="115">
        <v>2071.85</v>
      </c>
      <c r="E1815" s="115">
        <v>2140</v>
      </c>
      <c r="F1815" s="115">
        <v>2240.35</v>
      </c>
      <c r="G1815">
        <v>22178</v>
      </c>
      <c r="H1815" s="115"/>
      <c r="I1815" s="115"/>
      <c r="L1815" s="169">
        <v>44679</v>
      </c>
      <c r="M1815" s="115">
        <v>2226.9</v>
      </c>
      <c r="N1815" s="115">
        <v>2250</v>
      </c>
      <c r="O1815" s="115">
        <v>2200</v>
      </c>
      <c r="P1815" s="115">
        <v>2240</v>
      </c>
      <c r="Q1815" s="115">
        <v>2226.9</v>
      </c>
      <c r="R1815">
        <v>111003</v>
      </c>
    </row>
    <row r="1816" spans="1:18" x14ac:dyDescent="0.25">
      <c r="A1816" s="169">
        <v>44679</v>
      </c>
      <c r="B1816" s="115">
        <v>2249.6999999999998</v>
      </c>
      <c r="C1816" s="115">
        <v>2226.85</v>
      </c>
      <c r="D1816" s="115">
        <v>2198.9499999999998</v>
      </c>
      <c r="E1816" s="115">
        <v>2239</v>
      </c>
      <c r="F1816" s="115">
        <v>2226.85</v>
      </c>
      <c r="G1816">
        <v>6419</v>
      </c>
      <c r="H1816" s="115"/>
      <c r="I1816" s="115"/>
      <c r="L1816" s="169">
        <v>44680</v>
      </c>
      <c r="M1816" s="115">
        <v>2307.6</v>
      </c>
      <c r="N1816" s="115">
        <v>2441.6</v>
      </c>
      <c r="O1816" s="115">
        <v>2234.1999999999998</v>
      </c>
      <c r="P1816" s="115">
        <v>2245.25</v>
      </c>
      <c r="Q1816" s="115">
        <v>2307.6</v>
      </c>
      <c r="R1816">
        <v>319116</v>
      </c>
    </row>
    <row r="1817" spans="1:18" x14ac:dyDescent="0.25">
      <c r="A1817" s="169">
        <v>44680</v>
      </c>
      <c r="B1817" s="115">
        <v>2437.0500000000002</v>
      </c>
      <c r="C1817" s="115">
        <v>2311.6</v>
      </c>
      <c r="D1817" s="115">
        <v>2233.85</v>
      </c>
      <c r="E1817" s="115">
        <v>2275</v>
      </c>
      <c r="F1817" s="115">
        <v>2311.6</v>
      </c>
      <c r="G1817">
        <v>12220</v>
      </c>
      <c r="H1817" s="115"/>
      <c r="I1817" s="115"/>
      <c r="L1817" s="169">
        <v>44683</v>
      </c>
      <c r="M1817" s="115">
        <v>2269.25</v>
      </c>
      <c r="N1817" s="115">
        <v>2375</v>
      </c>
      <c r="O1817" s="115">
        <v>2255</v>
      </c>
      <c r="P1817" s="115">
        <v>2307.6</v>
      </c>
      <c r="Q1817" s="115">
        <v>2269.25</v>
      </c>
      <c r="R1817">
        <v>81347</v>
      </c>
    </row>
    <row r="1818" spans="1:18" x14ac:dyDescent="0.25">
      <c r="A1818" s="169">
        <v>44683</v>
      </c>
      <c r="B1818" s="115">
        <v>2377.6999999999998</v>
      </c>
      <c r="C1818" s="115">
        <v>2267.35</v>
      </c>
      <c r="D1818" s="115">
        <v>2255.1</v>
      </c>
      <c r="E1818" s="115">
        <v>2299.5</v>
      </c>
      <c r="F1818" s="115">
        <v>2267.35</v>
      </c>
      <c r="G1818">
        <v>5846</v>
      </c>
      <c r="H1818" s="115"/>
      <c r="I1818" s="115"/>
      <c r="L1818" s="169">
        <v>44685</v>
      </c>
      <c r="M1818" s="115">
        <v>2274.15</v>
      </c>
      <c r="N1818" s="115">
        <v>2299.9499999999998</v>
      </c>
      <c r="O1818" s="115">
        <v>2250</v>
      </c>
      <c r="P1818" s="115">
        <v>2293.9</v>
      </c>
      <c r="Q1818" s="115">
        <v>2274.15</v>
      </c>
      <c r="R1818">
        <v>75922</v>
      </c>
    </row>
    <row r="1819" spans="1:18" x14ac:dyDescent="0.25">
      <c r="A1819" s="169">
        <v>44685</v>
      </c>
      <c r="B1819" s="115">
        <v>2296.65</v>
      </c>
      <c r="C1819" s="115">
        <v>2277.3000000000002</v>
      </c>
      <c r="D1819" s="115">
        <v>2248.1999999999998</v>
      </c>
      <c r="E1819" s="115">
        <v>2284.5</v>
      </c>
      <c r="F1819" s="115">
        <v>2277.3000000000002</v>
      </c>
      <c r="G1819">
        <v>1991</v>
      </c>
      <c r="H1819" s="115"/>
      <c r="I1819" s="115"/>
      <c r="L1819" s="169">
        <v>44686</v>
      </c>
      <c r="M1819" s="115">
        <v>2299.1999999999998</v>
      </c>
      <c r="N1819" s="115">
        <v>2363</v>
      </c>
      <c r="O1819" s="115">
        <v>2246.1999999999998</v>
      </c>
      <c r="P1819" s="115">
        <v>2295.6</v>
      </c>
      <c r="Q1819" s="115">
        <v>2299.1999999999998</v>
      </c>
      <c r="R1819">
        <v>55261</v>
      </c>
    </row>
    <row r="1820" spans="1:18" x14ac:dyDescent="0.25">
      <c r="A1820" s="169">
        <v>44686</v>
      </c>
      <c r="B1820" s="115">
        <v>2350</v>
      </c>
      <c r="C1820" s="115">
        <v>2303.9</v>
      </c>
      <c r="D1820" s="115">
        <v>2249.6999999999998</v>
      </c>
      <c r="E1820" s="115">
        <v>2295.4499999999998</v>
      </c>
      <c r="F1820" s="115">
        <v>2303.9</v>
      </c>
      <c r="G1820">
        <v>4280</v>
      </c>
      <c r="H1820" s="115"/>
      <c r="I1820" s="115"/>
      <c r="L1820" s="169">
        <v>44687</v>
      </c>
      <c r="M1820" s="115">
        <v>2288.1999999999998</v>
      </c>
      <c r="N1820" s="115">
        <v>2319</v>
      </c>
      <c r="O1820" s="115">
        <v>2160</v>
      </c>
      <c r="P1820" s="115">
        <v>2276.9499999999998</v>
      </c>
      <c r="Q1820" s="115">
        <v>2288.1999999999998</v>
      </c>
      <c r="R1820">
        <v>78344</v>
      </c>
    </row>
    <row r="1821" spans="1:18" x14ac:dyDescent="0.25">
      <c r="A1821" s="169">
        <v>44687</v>
      </c>
      <c r="B1821" s="115">
        <v>2310</v>
      </c>
      <c r="C1821" s="115">
        <v>2284.5</v>
      </c>
      <c r="D1821" s="115">
        <v>2158.4</v>
      </c>
      <c r="E1821" s="115">
        <v>2241</v>
      </c>
      <c r="F1821" s="115">
        <v>2284.5</v>
      </c>
      <c r="G1821">
        <v>8677</v>
      </c>
      <c r="H1821" s="115"/>
      <c r="I1821" s="115"/>
      <c r="L1821" s="169">
        <v>44690</v>
      </c>
      <c r="M1821" s="115">
        <v>2193.1999999999998</v>
      </c>
      <c r="N1821" s="115">
        <v>2288.25</v>
      </c>
      <c r="O1821" s="115">
        <v>2161.65</v>
      </c>
      <c r="P1821" s="115">
        <v>2279.9499999999998</v>
      </c>
      <c r="Q1821" s="115">
        <v>2193.1999999999998</v>
      </c>
      <c r="R1821">
        <v>59413</v>
      </c>
    </row>
    <row r="1822" spans="1:18" x14ac:dyDescent="0.25">
      <c r="A1822" s="169">
        <v>44690</v>
      </c>
      <c r="B1822" s="115">
        <v>2339.9499999999998</v>
      </c>
      <c r="C1822" s="115">
        <v>2189.65</v>
      </c>
      <c r="D1822" s="115">
        <v>2163</v>
      </c>
      <c r="E1822" s="115">
        <v>2339.9499999999998</v>
      </c>
      <c r="F1822" s="115">
        <v>2189.65</v>
      </c>
      <c r="G1822">
        <v>2777</v>
      </c>
      <c r="H1822" s="115"/>
      <c r="I1822" s="115"/>
      <c r="L1822" s="169">
        <v>44691</v>
      </c>
      <c r="M1822" s="115">
        <v>2164.6999999999998</v>
      </c>
      <c r="N1822" s="115">
        <v>2263.4</v>
      </c>
      <c r="O1822" s="115">
        <v>2092.65</v>
      </c>
      <c r="P1822" s="115">
        <v>2195</v>
      </c>
      <c r="Q1822" s="115">
        <v>2164.6999999999998</v>
      </c>
      <c r="R1822">
        <v>71344</v>
      </c>
    </row>
    <row r="1823" spans="1:18" x14ac:dyDescent="0.25">
      <c r="A1823" s="169">
        <v>44691</v>
      </c>
      <c r="B1823" s="115">
        <v>2259</v>
      </c>
      <c r="C1823" s="115">
        <v>2165.35</v>
      </c>
      <c r="D1823" s="115">
        <v>2098.8000000000002</v>
      </c>
      <c r="E1823" s="115">
        <v>2216.1999999999998</v>
      </c>
      <c r="F1823" s="115">
        <v>2165.35</v>
      </c>
      <c r="G1823">
        <v>2106</v>
      </c>
      <c r="H1823" s="115"/>
      <c r="I1823" s="115"/>
      <c r="L1823" s="169">
        <v>44692</v>
      </c>
      <c r="M1823" s="115">
        <v>2073.65</v>
      </c>
      <c r="N1823" s="115">
        <v>2174.4499999999998</v>
      </c>
      <c r="O1823" s="115">
        <v>2038</v>
      </c>
      <c r="P1823" s="115">
        <v>2163</v>
      </c>
      <c r="Q1823" s="115">
        <v>2073.65</v>
      </c>
      <c r="R1823">
        <v>37868</v>
      </c>
    </row>
    <row r="1824" spans="1:18" x14ac:dyDescent="0.25">
      <c r="A1824" s="169">
        <v>44692</v>
      </c>
      <c r="B1824" s="115">
        <v>2170.9499999999998</v>
      </c>
      <c r="C1824" s="115">
        <v>2077.15</v>
      </c>
      <c r="D1824" s="115">
        <v>2042.1</v>
      </c>
      <c r="E1824" s="115">
        <v>2097.9</v>
      </c>
      <c r="F1824" s="115">
        <v>2077.15</v>
      </c>
      <c r="G1824">
        <v>4309</v>
      </c>
      <c r="H1824" s="115"/>
      <c r="I1824" s="115"/>
      <c r="L1824" s="169">
        <v>44693</v>
      </c>
      <c r="M1824" s="115">
        <v>1979.9</v>
      </c>
      <c r="N1824" s="115">
        <v>2062.4499999999998</v>
      </c>
      <c r="O1824" s="115">
        <v>1958.05</v>
      </c>
      <c r="P1824" s="115">
        <v>2043.3</v>
      </c>
      <c r="Q1824" s="115">
        <v>1979.9</v>
      </c>
      <c r="R1824">
        <v>105473</v>
      </c>
    </row>
    <row r="1825" spans="1:18" x14ac:dyDescent="0.25">
      <c r="A1825" s="169">
        <v>44693</v>
      </c>
      <c r="B1825" s="115">
        <v>2050</v>
      </c>
      <c r="C1825" s="115">
        <v>1981.7</v>
      </c>
      <c r="D1825" s="115">
        <v>1954.15</v>
      </c>
      <c r="E1825" s="115">
        <v>2033</v>
      </c>
      <c r="F1825" s="115">
        <v>1981.7</v>
      </c>
      <c r="G1825">
        <v>6500</v>
      </c>
      <c r="H1825" s="115"/>
      <c r="I1825" s="115"/>
      <c r="L1825" s="169">
        <v>44694</v>
      </c>
      <c r="M1825" s="115">
        <v>1984.35</v>
      </c>
      <c r="N1825" s="115">
        <v>2058.4499999999998</v>
      </c>
      <c r="O1825" s="115">
        <v>1970.45</v>
      </c>
      <c r="P1825" s="115">
        <v>2010.6</v>
      </c>
      <c r="Q1825" s="115">
        <v>1984.35</v>
      </c>
      <c r="R1825">
        <v>149438</v>
      </c>
    </row>
    <row r="1826" spans="1:18" x14ac:dyDescent="0.25">
      <c r="A1826" s="169">
        <v>44694</v>
      </c>
      <c r="B1826" s="115">
        <v>2050</v>
      </c>
      <c r="C1826" s="115">
        <v>1983.2</v>
      </c>
      <c r="D1826" s="115">
        <v>1969.5</v>
      </c>
      <c r="E1826" s="115">
        <v>1985.05</v>
      </c>
      <c r="F1826" s="115">
        <v>1983.2</v>
      </c>
      <c r="G1826">
        <v>3309</v>
      </c>
      <c r="H1826" s="115"/>
      <c r="I1826" s="115"/>
      <c r="L1826" s="169">
        <v>44697</v>
      </c>
      <c r="M1826" s="115">
        <v>1983.6</v>
      </c>
      <c r="N1826" s="115">
        <v>2037</v>
      </c>
      <c r="O1826" s="115">
        <v>1965</v>
      </c>
      <c r="P1826" s="115">
        <v>2005</v>
      </c>
      <c r="Q1826" s="115">
        <v>1983.6</v>
      </c>
      <c r="R1826">
        <v>61206</v>
      </c>
    </row>
    <row r="1827" spans="1:18" x14ac:dyDescent="0.25">
      <c r="A1827" s="169">
        <v>44697</v>
      </c>
      <c r="B1827" s="115">
        <v>2030.85</v>
      </c>
      <c r="C1827" s="115">
        <v>1987.55</v>
      </c>
      <c r="D1827" s="115">
        <v>1965.8</v>
      </c>
      <c r="E1827" s="115">
        <v>1990.05</v>
      </c>
      <c r="F1827" s="115">
        <v>1987.55</v>
      </c>
      <c r="G1827">
        <v>1351</v>
      </c>
      <c r="H1827" s="115"/>
      <c r="I1827" s="115"/>
      <c r="L1827" s="169">
        <v>44698</v>
      </c>
      <c r="M1827" s="115">
        <v>2005.35</v>
      </c>
      <c r="N1827" s="115">
        <v>2036.95</v>
      </c>
      <c r="O1827" s="115">
        <v>1980.9</v>
      </c>
      <c r="P1827" s="115">
        <v>2002.6</v>
      </c>
      <c r="Q1827" s="115">
        <v>2005.35</v>
      </c>
      <c r="R1827">
        <v>83804</v>
      </c>
    </row>
    <row r="1828" spans="1:18" x14ac:dyDescent="0.25">
      <c r="A1828" s="169">
        <v>44698</v>
      </c>
      <c r="B1828" s="115">
        <v>2040</v>
      </c>
      <c r="C1828" s="115">
        <v>2005.1</v>
      </c>
      <c r="D1828" s="115">
        <v>1982.3</v>
      </c>
      <c r="E1828" s="115">
        <v>1989.95</v>
      </c>
      <c r="F1828" s="115">
        <v>2005.1</v>
      </c>
      <c r="G1828">
        <v>2504</v>
      </c>
      <c r="H1828" s="115"/>
      <c r="I1828" s="115"/>
      <c r="L1828" s="169">
        <v>44699</v>
      </c>
      <c r="M1828" s="115">
        <v>2089.5</v>
      </c>
      <c r="N1828" s="115">
        <v>2099</v>
      </c>
      <c r="O1828" s="115">
        <v>2010</v>
      </c>
      <c r="P1828" s="115">
        <v>2025</v>
      </c>
      <c r="Q1828" s="115">
        <v>2089.5</v>
      </c>
      <c r="R1828">
        <v>55166</v>
      </c>
    </row>
    <row r="1829" spans="1:18" x14ac:dyDescent="0.25">
      <c r="A1829" s="169">
        <v>44699</v>
      </c>
      <c r="B1829" s="115">
        <v>2096.9499999999998</v>
      </c>
      <c r="C1829" s="115">
        <v>2091.65</v>
      </c>
      <c r="D1829" s="115">
        <v>2014.3</v>
      </c>
      <c r="E1829" s="115">
        <v>2066</v>
      </c>
      <c r="F1829" s="115">
        <v>2091.65</v>
      </c>
      <c r="G1829">
        <v>2149</v>
      </c>
      <c r="H1829" s="115"/>
      <c r="I1829" s="115"/>
      <c r="L1829" s="169">
        <v>44700</v>
      </c>
      <c r="M1829" s="115">
        <v>2076.4499999999998</v>
      </c>
      <c r="N1829" s="115">
        <v>2100</v>
      </c>
      <c r="O1829" s="115">
        <v>2003.95</v>
      </c>
      <c r="P1829" s="115">
        <v>2050</v>
      </c>
      <c r="Q1829" s="115">
        <v>2076.4499999999998</v>
      </c>
      <c r="R1829">
        <v>58966</v>
      </c>
    </row>
    <row r="1830" spans="1:18" x14ac:dyDescent="0.25">
      <c r="A1830" s="169">
        <v>44700</v>
      </c>
      <c r="B1830" s="115">
        <v>2100</v>
      </c>
      <c r="C1830" s="115">
        <v>2075.3000000000002</v>
      </c>
      <c r="D1830" s="115">
        <v>2003.8</v>
      </c>
      <c r="E1830" s="115">
        <v>2079.9499999999998</v>
      </c>
      <c r="F1830" s="115">
        <v>2075.3000000000002</v>
      </c>
      <c r="G1830">
        <v>4209</v>
      </c>
      <c r="H1830" s="115"/>
      <c r="I1830" s="115"/>
      <c r="L1830" s="169">
        <v>44701</v>
      </c>
      <c r="M1830" s="115">
        <v>2117.65</v>
      </c>
      <c r="N1830" s="115">
        <v>2195</v>
      </c>
      <c r="O1830" s="115">
        <v>2020.2</v>
      </c>
      <c r="P1830" s="115">
        <v>2100</v>
      </c>
      <c r="Q1830" s="115">
        <v>2117.65</v>
      </c>
      <c r="R1830">
        <v>76043</v>
      </c>
    </row>
    <row r="1831" spans="1:18" x14ac:dyDescent="0.25">
      <c r="A1831" s="169">
        <v>44701</v>
      </c>
      <c r="B1831" s="115">
        <v>2196.5</v>
      </c>
      <c r="C1831" s="115">
        <v>2101.25</v>
      </c>
      <c r="D1831" s="115">
        <v>2021.95</v>
      </c>
      <c r="E1831" s="115">
        <v>2110</v>
      </c>
      <c r="F1831" s="115">
        <v>2101.25</v>
      </c>
      <c r="G1831">
        <v>1834</v>
      </c>
      <c r="H1831" s="115"/>
      <c r="I1831" s="115"/>
      <c r="L1831" s="169">
        <v>44704</v>
      </c>
      <c r="M1831" s="115">
        <v>2079</v>
      </c>
      <c r="N1831" s="115">
        <v>2165</v>
      </c>
      <c r="O1831" s="115">
        <v>2062</v>
      </c>
      <c r="P1831" s="115">
        <v>2145.1999999999998</v>
      </c>
      <c r="Q1831" s="115">
        <v>2079</v>
      </c>
      <c r="R1831">
        <v>53429</v>
      </c>
    </row>
    <row r="1832" spans="1:18" x14ac:dyDescent="0.25">
      <c r="A1832" s="169">
        <v>44704</v>
      </c>
      <c r="B1832" s="115">
        <v>2162.35</v>
      </c>
      <c r="C1832" s="115">
        <v>2082.5</v>
      </c>
      <c r="D1832" s="115">
        <v>2063.9499999999998</v>
      </c>
      <c r="E1832" s="115">
        <v>2147.4499999999998</v>
      </c>
      <c r="F1832" s="115">
        <v>2082.5</v>
      </c>
      <c r="G1832">
        <v>2150</v>
      </c>
      <c r="H1832" s="115"/>
      <c r="I1832" s="115"/>
      <c r="L1832" s="169">
        <v>44705</v>
      </c>
      <c r="M1832" s="115">
        <v>2104.8000000000002</v>
      </c>
      <c r="N1832" s="115">
        <v>2200</v>
      </c>
      <c r="O1832" s="115">
        <v>2072.25</v>
      </c>
      <c r="P1832" s="115">
        <v>2100</v>
      </c>
      <c r="Q1832" s="115">
        <v>2104.8000000000002</v>
      </c>
      <c r="R1832">
        <v>124319</v>
      </c>
    </row>
    <row r="1833" spans="1:18" x14ac:dyDescent="0.25">
      <c r="A1833" s="169">
        <v>44705</v>
      </c>
      <c r="B1833" s="115">
        <v>2199.15</v>
      </c>
      <c r="C1833" s="115">
        <v>2099.25</v>
      </c>
      <c r="D1833" s="115">
        <v>2070.4499999999998</v>
      </c>
      <c r="E1833" s="115">
        <v>2108.65</v>
      </c>
      <c r="F1833" s="115">
        <v>2099.25</v>
      </c>
      <c r="G1833">
        <v>4402</v>
      </c>
      <c r="H1833" s="115"/>
      <c r="I1833" s="115"/>
      <c r="L1833" s="169">
        <v>44706</v>
      </c>
      <c r="M1833" s="115">
        <v>2112.3000000000002</v>
      </c>
      <c r="N1833" s="115">
        <v>2173.9</v>
      </c>
      <c r="O1833" s="115">
        <v>2082.1999999999998</v>
      </c>
      <c r="P1833" s="115">
        <v>2125.6</v>
      </c>
      <c r="Q1833" s="115">
        <v>2112.3000000000002</v>
      </c>
      <c r="R1833">
        <v>55335</v>
      </c>
    </row>
    <row r="1834" spans="1:18" x14ac:dyDescent="0.25">
      <c r="A1834" s="169">
        <v>44706</v>
      </c>
      <c r="B1834" s="115">
        <v>2174.35</v>
      </c>
      <c r="C1834" s="115">
        <v>2119.3000000000002</v>
      </c>
      <c r="D1834" s="115">
        <v>2080</v>
      </c>
      <c r="E1834" s="115">
        <v>2129.8000000000002</v>
      </c>
      <c r="F1834" s="115">
        <v>2119.3000000000002</v>
      </c>
      <c r="G1834">
        <v>2355</v>
      </c>
      <c r="H1834" s="115"/>
      <c r="I1834" s="115"/>
      <c r="L1834" s="169">
        <v>44707</v>
      </c>
      <c r="M1834" s="115">
        <v>2114.1999999999998</v>
      </c>
      <c r="N1834" s="115">
        <v>2170.5500000000002</v>
      </c>
      <c r="O1834" s="115">
        <v>2063.25</v>
      </c>
      <c r="P1834" s="115">
        <v>2115.25</v>
      </c>
      <c r="Q1834" s="115">
        <v>2114.1999999999998</v>
      </c>
      <c r="R1834">
        <v>55828</v>
      </c>
    </row>
    <row r="1835" spans="1:18" x14ac:dyDescent="0.25">
      <c r="A1835" s="169">
        <v>44707</v>
      </c>
      <c r="B1835" s="115">
        <v>2174.9499999999998</v>
      </c>
      <c r="C1835" s="115">
        <v>2112.4</v>
      </c>
      <c r="D1835" s="115">
        <v>2064</v>
      </c>
      <c r="E1835" s="115">
        <v>2174.9499999999998</v>
      </c>
      <c r="F1835" s="115">
        <v>2112.4</v>
      </c>
      <c r="G1835">
        <v>2580</v>
      </c>
      <c r="H1835" s="115"/>
      <c r="I1835" s="115"/>
      <c r="L1835" s="169">
        <v>44708</v>
      </c>
      <c r="M1835" s="115">
        <v>2145.4499999999998</v>
      </c>
      <c r="N1835" s="115">
        <v>2176.4</v>
      </c>
      <c r="O1835" s="115">
        <v>2122.9</v>
      </c>
      <c r="P1835" s="115">
        <v>2133.6</v>
      </c>
      <c r="Q1835" s="115">
        <v>2145.4499999999998</v>
      </c>
      <c r="R1835">
        <v>43437</v>
      </c>
    </row>
    <row r="1836" spans="1:18" x14ac:dyDescent="0.25">
      <c r="A1836" s="169">
        <v>44708</v>
      </c>
      <c r="B1836" s="115">
        <v>2173.5500000000002</v>
      </c>
      <c r="C1836" s="115">
        <v>2144.9</v>
      </c>
      <c r="D1836" s="115">
        <v>2124.0500000000002</v>
      </c>
      <c r="E1836" s="115">
        <v>2169.9499999999998</v>
      </c>
      <c r="F1836" s="115">
        <v>2144.9</v>
      </c>
      <c r="G1836">
        <v>1889</v>
      </c>
      <c r="H1836" s="115"/>
      <c r="I1836" s="115"/>
      <c r="L1836" s="169">
        <v>44711</v>
      </c>
      <c r="M1836" s="115">
        <v>2316.8000000000002</v>
      </c>
      <c r="N1836" s="115">
        <v>2349.9</v>
      </c>
      <c r="O1836" s="115">
        <v>2176.75</v>
      </c>
      <c r="P1836" s="115">
        <v>2240</v>
      </c>
      <c r="Q1836" s="115">
        <v>2316.8000000000002</v>
      </c>
      <c r="R1836">
        <v>142689</v>
      </c>
    </row>
    <row r="1837" spans="1:18" x14ac:dyDescent="0.25">
      <c r="A1837" s="169">
        <v>44711</v>
      </c>
      <c r="B1837" s="115">
        <v>2351</v>
      </c>
      <c r="C1837" s="115">
        <v>2306.65</v>
      </c>
      <c r="D1837" s="115">
        <v>2180</v>
      </c>
      <c r="E1837" s="115">
        <v>2180</v>
      </c>
      <c r="F1837" s="115">
        <v>2306.65</v>
      </c>
      <c r="G1837">
        <v>4815</v>
      </c>
      <c r="H1837" s="115"/>
      <c r="I1837" s="115"/>
      <c r="L1837" s="169">
        <v>44712</v>
      </c>
      <c r="M1837" s="115">
        <v>2300.6</v>
      </c>
      <c r="N1837" s="115">
        <v>2488</v>
      </c>
      <c r="O1837" s="115">
        <v>2252</v>
      </c>
      <c r="P1837" s="115">
        <v>2318.6</v>
      </c>
      <c r="Q1837" s="115">
        <v>2300.6</v>
      </c>
      <c r="R1837">
        <v>343047</v>
      </c>
    </row>
    <row r="1838" spans="1:18" x14ac:dyDescent="0.25">
      <c r="A1838" s="169">
        <v>44712</v>
      </c>
      <c r="B1838" s="115">
        <v>2489.4</v>
      </c>
      <c r="C1838" s="115">
        <v>2304.3000000000002</v>
      </c>
      <c r="D1838" s="115">
        <v>2253.8000000000002</v>
      </c>
      <c r="E1838" s="115">
        <v>2379.85</v>
      </c>
      <c r="F1838" s="115">
        <v>2304.3000000000002</v>
      </c>
      <c r="G1838">
        <v>7115</v>
      </c>
      <c r="H1838" s="115"/>
      <c r="I1838" s="115"/>
      <c r="L1838" s="169">
        <v>44713</v>
      </c>
      <c r="M1838" s="115">
        <v>2401.0500000000002</v>
      </c>
      <c r="N1838" s="115">
        <v>2433.5500000000002</v>
      </c>
      <c r="O1838" s="115">
        <v>2281.1</v>
      </c>
      <c r="P1838" s="115">
        <v>2308.6</v>
      </c>
      <c r="Q1838" s="115">
        <v>2401.0500000000002</v>
      </c>
      <c r="R1838">
        <v>226381</v>
      </c>
    </row>
    <row r="1839" spans="1:18" x14ac:dyDescent="0.25">
      <c r="A1839" s="169">
        <v>44713</v>
      </c>
      <c r="B1839" s="115">
        <v>2430</v>
      </c>
      <c r="C1839" s="115">
        <v>2399.9</v>
      </c>
      <c r="D1839" s="115">
        <v>2284.1</v>
      </c>
      <c r="E1839" s="115">
        <v>2291</v>
      </c>
      <c r="F1839" s="115">
        <v>2399.9</v>
      </c>
      <c r="G1839">
        <v>8140</v>
      </c>
      <c r="H1839" s="115"/>
      <c r="I1839" s="115"/>
      <c r="L1839" s="169">
        <v>44714</v>
      </c>
      <c r="M1839" s="115">
        <v>2378</v>
      </c>
      <c r="N1839" s="115">
        <v>2438.65</v>
      </c>
      <c r="O1839" s="115">
        <v>2358.65</v>
      </c>
      <c r="P1839" s="115">
        <v>2400</v>
      </c>
      <c r="Q1839" s="115">
        <v>2378</v>
      </c>
      <c r="R1839">
        <v>208966</v>
      </c>
    </row>
    <row r="1840" spans="1:18" x14ac:dyDescent="0.25">
      <c r="A1840" s="169">
        <v>44714</v>
      </c>
      <c r="B1840" s="115">
        <v>2435.75</v>
      </c>
      <c r="C1840" s="115">
        <v>2372.65</v>
      </c>
      <c r="D1840" s="115">
        <v>2361.65</v>
      </c>
      <c r="E1840" s="115">
        <v>2385</v>
      </c>
      <c r="F1840" s="115">
        <v>2372.65</v>
      </c>
      <c r="G1840">
        <v>3307</v>
      </c>
      <c r="H1840" s="115"/>
      <c r="I1840" s="115"/>
      <c r="L1840" s="169">
        <v>44715</v>
      </c>
      <c r="M1840" s="115">
        <v>2329.75</v>
      </c>
      <c r="N1840" s="115">
        <v>2409.6</v>
      </c>
      <c r="O1840" s="115">
        <v>2320</v>
      </c>
      <c r="P1840" s="115">
        <v>2389.4</v>
      </c>
      <c r="Q1840" s="115">
        <v>2329.75</v>
      </c>
      <c r="R1840">
        <v>64048</v>
      </c>
    </row>
    <row r="1841" spans="1:18" x14ac:dyDescent="0.25">
      <c r="A1841" s="169">
        <v>44715</v>
      </c>
      <c r="B1841" s="115">
        <v>2410.4499999999998</v>
      </c>
      <c r="C1841" s="115">
        <v>2327.25</v>
      </c>
      <c r="D1841" s="115">
        <v>2317.1999999999998</v>
      </c>
      <c r="E1841" s="115">
        <v>2400</v>
      </c>
      <c r="F1841" s="115">
        <v>2327.25</v>
      </c>
      <c r="G1841">
        <v>3233</v>
      </c>
      <c r="H1841" s="115"/>
      <c r="I1841" s="115"/>
      <c r="L1841" s="169">
        <v>44718</v>
      </c>
      <c r="M1841" s="115">
        <v>2310.4499999999998</v>
      </c>
      <c r="N1841" s="115">
        <v>2365</v>
      </c>
      <c r="O1841" s="115">
        <v>2269.9499999999998</v>
      </c>
      <c r="P1841" s="115">
        <v>2305</v>
      </c>
      <c r="Q1841" s="115">
        <v>2310.4499999999998</v>
      </c>
      <c r="R1841">
        <v>124739</v>
      </c>
    </row>
    <row r="1842" spans="1:18" x14ac:dyDescent="0.25">
      <c r="A1842" s="169">
        <v>44718</v>
      </c>
      <c r="B1842" s="115">
        <v>2364</v>
      </c>
      <c r="C1842" s="115">
        <v>2309.5500000000002</v>
      </c>
      <c r="D1842" s="115">
        <v>2268.6999999999998</v>
      </c>
      <c r="E1842" s="115">
        <v>2330</v>
      </c>
      <c r="F1842" s="115">
        <v>2309.5500000000002</v>
      </c>
      <c r="G1842">
        <v>4493</v>
      </c>
      <c r="H1842" s="115"/>
      <c r="I1842" s="115"/>
      <c r="L1842" s="169">
        <v>44719</v>
      </c>
      <c r="M1842" s="115">
        <v>2256.6999999999998</v>
      </c>
      <c r="N1842" s="115">
        <v>2324.5500000000002</v>
      </c>
      <c r="O1842" s="115">
        <v>2236.85</v>
      </c>
      <c r="P1842" s="115">
        <v>2280</v>
      </c>
      <c r="Q1842" s="115">
        <v>2256.6999999999998</v>
      </c>
      <c r="R1842">
        <v>45704</v>
      </c>
    </row>
    <row r="1843" spans="1:18" x14ac:dyDescent="0.25">
      <c r="A1843" s="169">
        <v>44719</v>
      </c>
      <c r="B1843" s="115">
        <v>2322</v>
      </c>
      <c r="C1843" s="115">
        <v>2265.85</v>
      </c>
      <c r="D1843" s="115">
        <v>2234.75</v>
      </c>
      <c r="E1843" s="115">
        <v>2308</v>
      </c>
      <c r="F1843" s="115">
        <v>2265.85</v>
      </c>
      <c r="G1843">
        <v>2815</v>
      </c>
      <c r="H1843" s="115"/>
      <c r="I1843" s="115"/>
      <c r="L1843" s="169">
        <v>44720</v>
      </c>
      <c r="M1843" s="115">
        <v>2267.9</v>
      </c>
      <c r="N1843" s="115">
        <v>2293.6999999999998</v>
      </c>
      <c r="O1843" s="115">
        <v>2240.25</v>
      </c>
      <c r="P1843" s="115">
        <v>2257.35</v>
      </c>
      <c r="Q1843" s="115">
        <v>2267.9</v>
      </c>
      <c r="R1843">
        <v>26061</v>
      </c>
    </row>
    <row r="1844" spans="1:18" x14ac:dyDescent="0.25">
      <c r="A1844" s="169">
        <v>44720</v>
      </c>
      <c r="B1844" s="115">
        <v>2290.75</v>
      </c>
      <c r="C1844" s="115">
        <v>2267.1999999999998</v>
      </c>
      <c r="D1844" s="115">
        <v>2247</v>
      </c>
      <c r="E1844" s="115">
        <v>2260</v>
      </c>
      <c r="F1844" s="115">
        <v>2267.1999999999998</v>
      </c>
      <c r="G1844">
        <v>2915</v>
      </c>
      <c r="H1844" s="115"/>
      <c r="I1844" s="115"/>
      <c r="L1844" s="169">
        <v>44721</v>
      </c>
      <c r="M1844" s="115">
        <v>2253.6999999999998</v>
      </c>
      <c r="N1844" s="115">
        <v>2284.25</v>
      </c>
      <c r="O1844" s="115">
        <v>2228.6</v>
      </c>
      <c r="P1844" s="115">
        <v>2267.9</v>
      </c>
      <c r="Q1844" s="115">
        <v>2253.6999999999998</v>
      </c>
      <c r="R1844">
        <v>26268</v>
      </c>
    </row>
    <row r="1845" spans="1:18" x14ac:dyDescent="0.25">
      <c r="A1845" s="169">
        <v>44721</v>
      </c>
      <c r="B1845" s="115">
        <v>2289.1</v>
      </c>
      <c r="C1845" s="115">
        <v>2250.5500000000002</v>
      </c>
      <c r="D1845" s="115">
        <v>2230</v>
      </c>
      <c r="E1845" s="115">
        <v>2289.1</v>
      </c>
      <c r="F1845" s="115">
        <v>2250.5500000000002</v>
      </c>
      <c r="G1845">
        <v>1102</v>
      </c>
      <c r="H1845" s="115"/>
      <c r="I1845" s="115"/>
      <c r="L1845" s="169">
        <v>44722</v>
      </c>
      <c r="M1845" s="115">
        <v>2224.25</v>
      </c>
      <c r="N1845" s="115">
        <v>2268.8000000000002</v>
      </c>
      <c r="O1845" s="115">
        <v>2215</v>
      </c>
      <c r="P1845" s="115">
        <v>2230</v>
      </c>
      <c r="Q1845" s="115">
        <v>2224.25</v>
      </c>
      <c r="R1845">
        <v>33521</v>
      </c>
    </row>
    <row r="1846" spans="1:18" x14ac:dyDescent="0.25">
      <c r="A1846" s="169">
        <v>44722</v>
      </c>
      <c r="B1846" s="115">
        <v>2266.15</v>
      </c>
      <c r="C1846" s="115">
        <v>2226.65</v>
      </c>
      <c r="D1846" s="115">
        <v>2215</v>
      </c>
      <c r="E1846" s="115">
        <v>2235.15</v>
      </c>
      <c r="F1846" s="115">
        <v>2226.65</v>
      </c>
      <c r="G1846">
        <v>1562</v>
      </c>
      <c r="H1846" s="115"/>
      <c r="I1846" s="115"/>
      <c r="L1846" s="169">
        <v>44725</v>
      </c>
      <c r="M1846" s="115">
        <v>2181.15</v>
      </c>
      <c r="N1846" s="115">
        <v>2223.65</v>
      </c>
      <c r="O1846" s="115">
        <v>2160</v>
      </c>
      <c r="P1846" s="115">
        <v>2195</v>
      </c>
      <c r="Q1846" s="115">
        <v>2181.15</v>
      </c>
      <c r="R1846">
        <v>122546</v>
      </c>
    </row>
    <row r="1847" spans="1:18" x14ac:dyDescent="0.25">
      <c r="A1847" s="169">
        <v>44725</v>
      </c>
      <c r="B1847" s="115">
        <v>2230</v>
      </c>
      <c r="C1847" s="115">
        <v>2183.8000000000002</v>
      </c>
      <c r="D1847" s="115">
        <v>2150.1</v>
      </c>
      <c r="E1847" s="115">
        <v>2150.1</v>
      </c>
      <c r="F1847" s="115">
        <v>2183.8000000000002</v>
      </c>
      <c r="G1847">
        <v>4106</v>
      </c>
      <c r="H1847" s="115"/>
      <c r="I1847" s="115"/>
      <c r="L1847" s="169">
        <v>44726</v>
      </c>
      <c r="M1847" s="115">
        <v>2245.1999999999998</v>
      </c>
      <c r="N1847" s="115">
        <v>2268.4499999999998</v>
      </c>
      <c r="O1847" s="115">
        <v>2171</v>
      </c>
      <c r="P1847" s="115">
        <v>2175</v>
      </c>
      <c r="Q1847" s="115">
        <v>2245.1999999999998</v>
      </c>
      <c r="R1847">
        <v>40820</v>
      </c>
    </row>
    <row r="1848" spans="1:18" x14ac:dyDescent="0.25">
      <c r="A1848" s="169">
        <v>44726</v>
      </c>
      <c r="B1848" s="115">
        <v>2265.3000000000002</v>
      </c>
      <c r="C1848" s="115">
        <v>2254.0500000000002</v>
      </c>
      <c r="D1848" s="115">
        <v>2152</v>
      </c>
      <c r="E1848" s="115">
        <v>2152</v>
      </c>
      <c r="F1848" s="115">
        <v>2254.0500000000002</v>
      </c>
      <c r="G1848">
        <v>4067</v>
      </c>
      <c r="H1848" s="115"/>
      <c r="I1848" s="115"/>
      <c r="L1848" s="169">
        <v>44727</v>
      </c>
      <c r="M1848" s="115">
        <v>2262.85</v>
      </c>
      <c r="N1848" s="115">
        <v>2320.3000000000002</v>
      </c>
      <c r="O1848" s="115">
        <v>2250</v>
      </c>
      <c r="P1848" s="115">
        <v>2290</v>
      </c>
      <c r="Q1848" s="115">
        <v>2262.85</v>
      </c>
      <c r="R1848">
        <v>61876</v>
      </c>
    </row>
    <row r="1849" spans="1:18" x14ac:dyDescent="0.25">
      <c r="A1849" s="169">
        <v>44727</v>
      </c>
      <c r="B1849" s="115">
        <v>2320.4499999999998</v>
      </c>
      <c r="C1849" s="115">
        <v>2265.25</v>
      </c>
      <c r="D1849" s="115">
        <v>2254</v>
      </c>
      <c r="E1849" s="115">
        <v>2275</v>
      </c>
      <c r="F1849" s="115">
        <v>2265.25</v>
      </c>
      <c r="G1849">
        <v>3741</v>
      </c>
      <c r="H1849" s="115"/>
      <c r="I1849" s="115"/>
      <c r="L1849" s="169">
        <v>44728</v>
      </c>
      <c r="M1849" s="115">
        <v>2238.0500000000002</v>
      </c>
      <c r="N1849" s="115">
        <v>2299.85</v>
      </c>
      <c r="O1849" s="115">
        <v>2220</v>
      </c>
      <c r="P1849" s="115">
        <v>2296.8000000000002</v>
      </c>
      <c r="Q1849" s="115">
        <v>2238.0500000000002</v>
      </c>
      <c r="R1849">
        <v>36547</v>
      </c>
    </row>
    <row r="1850" spans="1:18" x14ac:dyDescent="0.25">
      <c r="A1850" s="169">
        <v>44728</v>
      </c>
      <c r="B1850" s="115">
        <v>2310</v>
      </c>
      <c r="C1850" s="115">
        <v>2238.4</v>
      </c>
      <c r="D1850" s="115">
        <v>2211</v>
      </c>
      <c r="E1850" s="115">
        <v>2310</v>
      </c>
      <c r="F1850" s="115">
        <v>2238.4</v>
      </c>
      <c r="G1850">
        <v>3791</v>
      </c>
      <c r="H1850" s="115"/>
      <c r="I1850" s="115"/>
      <c r="L1850" s="169">
        <v>44729</v>
      </c>
      <c r="M1850" s="115">
        <v>2210.1999999999998</v>
      </c>
      <c r="N1850" s="115">
        <v>2272</v>
      </c>
      <c r="O1850" s="115">
        <v>2205.5500000000002</v>
      </c>
      <c r="P1850" s="115">
        <v>2231.4</v>
      </c>
      <c r="Q1850" s="115">
        <v>2210.1999999999998</v>
      </c>
      <c r="R1850">
        <v>53907</v>
      </c>
    </row>
    <row r="1851" spans="1:18" x14ac:dyDescent="0.25">
      <c r="A1851" s="169">
        <v>44729</v>
      </c>
      <c r="B1851" s="115">
        <v>2273.8000000000002</v>
      </c>
      <c r="C1851" s="115">
        <v>2210.4499999999998</v>
      </c>
      <c r="D1851" s="115">
        <v>2204.4</v>
      </c>
      <c r="E1851" s="115">
        <v>2240</v>
      </c>
      <c r="F1851" s="115">
        <v>2210.4499999999998</v>
      </c>
      <c r="G1851">
        <v>4194</v>
      </c>
      <c r="H1851" s="115"/>
      <c r="I1851" s="115"/>
      <c r="L1851" s="169">
        <v>44732</v>
      </c>
      <c r="M1851" s="115">
        <v>2183</v>
      </c>
      <c r="N1851" s="115">
        <v>2240.35</v>
      </c>
      <c r="O1851" s="115">
        <v>2145.4</v>
      </c>
      <c r="P1851" s="115">
        <v>2210</v>
      </c>
      <c r="Q1851" s="115">
        <v>2183</v>
      </c>
      <c r="R1851">
        <v>76283</v>
      </c>
    </row>
    <row r="1852" spans="1:18" x14ac:dyDescent="0.25">
      <c r="A1852" s="169">
        <v>44732</v>
      </c>
      <c r="B1852" s="115">
        <v>2239</v>
      </c>
      <c r="C1852" s="115">
        <v>2179.6</v>
      </c>
      <c r="D1852" s="115">
        <v>2142</v>
      </c>
      <c r="E1852" s="115">
        <v>2216</v>
      </c>
      <c r="F1852" s="115">
        <v>2179.6</v>
      </c>
      <c r="G1852">
        <v>4402</v>
      </c>
      <c r="H1852" s="115"/>
      <c r="I1852" s="115"/>
      <c r="L1852" s="169">
        <v>44733</v>
      </c>
      <c r="M1852" s="115">
        <v>2162.4499999999998</v>
      </c>
      <c r="N1852" s="115">
        <v>2200</v>
      </c>
      <c r="O1852" s="115">
        <v>2152.25</v>
      </c>
      <c r="P1852" s="115">
        <v>2191.9499999999998</v>
      </c>
      <c r="Q1852" s="115">
        <v>2162.4499999999998</v>
      </c>
      <c r="R1852">
        <v>44829</v>
      </c>
    </row>
    <row r="1853" spans="1:18" x14ac:dyDescent="0.25">
      <c r="A1853" s="169">
        <v>44733</v>
      </c>
      <c r="B1853" s="115">
        <v>2202.85</v>
      </c>
      <c r="C1853" s="115">
        <v>2161.6</v>
      </c>
      <c r="D1853" s="115">
        <v>2154.1</v>
      </c>
      <c r="E1853" s="115">
        <v>2194.0500000000002</v>
      </c>
      <c r="F1853" s="115">
        <v>2161.6</v>
      </c>
      <c r="G1853">
        <v>3562</v>
      </c>
      <c r="H1853" s="115"/>
      <c r="I1853" s="115"/>
      <c r="L1853" s="169">
        <v>44734</v>
      </c>
      <c r="M1853" s="115">
        <v>2150.65</v>
      </c>
      <c r="N1853" s="115">
        <v>2180.9</v>
      </c>
      <c r="O1853" s="115">
        <v>2135</v>
      </c>
      <c r="P1853" s="115">
        <v>2169.0500000000002</v>
      </c>
      <c r="Q1853" s="115">
        <v>2150.65</v>
      </c>
      <c r="R1853">
        <v>28057</v>
      </c>
    </row>
    <row r="1854" spans="1:18" x14ac:dyDescent="0.25">
      <c r="A1854" s="169">
        <v>44734</v>
      </c>
      <c r="B1854" s="115">
        <v>2180</v>
      </c>
      <c r="C1854" s="115">
        <v>2151.8000000000002</v>
      </c>
      <c r="D1854" s="115">
        <v>2134</v>
      </c>
      <c r="E1854" s="115">
        <v>2180</v>
      </c>
      <c r="F1854" s="115">
        <v>2151.8000000000002</v>
      </c>
      <c r="G1854">
        <v>2083</v>
      </c>
      <c r="H1854" s="115"/>
      <c r="I1854" s="115"/>
      <c r="L1854" s="169">
        <v>44735</v>
      </c>
      <c r="M1854" s="115">
        <v>2153</v>
      </c>
      <c r="N1854" s="115">
        <v>2176.5</v>
      </c>
      <c r="O1854" s="115">
        <v>2128.4499999999998</v>
      </c>
      <c r="P1854" s="115">
        <v>2151</v>
      </c>
      <c r="Q1854" s="115">
        <v>2153</v>
      </c>
      <c r="R1854">
        <v>53378</v>
      </c>
    </row>
    <row r="1855" spans="1:18" x14ac:dyDescent="0.25">
      <c r="A1855" s="169">
        <v>44735</v>
      </c>
      <c r="B1855" s="115">
        <v>2175</v>
      </c>
      <c r="C1855" s="115">
        <v>2150.9499999999998</v>
      </c>
      <c r="D1855" s="115">
        <v>2130</v>
      </c>
      <c r="E1855" s="115">
        <v>2130</v>
      </c>
      <c r="F1855" s="115">
        <v>2150.9499999999998</v>
      </c>
      <c r="G1855">
        <v>1728</v>
      </c>
      <c r="H1855" s="115"/>
      <c r="I1855" s="115"/>
      <c r="L1855" s="169">
        <v>44736</v>
      </c>
      <c r="M1855" s="115">
        <v>2183.6999999999998</v>
      </c>
      <c r="N1855" s="115">
        <v>2215</v>
      </c>
      <c r="O1855" s="115">
        <v>2151.0500000000002</v>
      </c>
      <c r="P1855" s="115">
        <v>2175</v>
      </c>
      <c r="Q1855" s="115">
        <v>2183.6999999999998</v>
      </c>
      <c r="R1855">
        <v>76684</v>
      </c>
    </row>
    <row r="1856" spans="1:18" x14ac:dyDescent="0.25">
      <c r="A1856" s="169">
        <v>44736</v>
      </c>
      <c r="B1856" s="115">
        <v>2214.85</v>
      </c>
      <c r="C1856" s="115">
        <v>2177.9499999999998</v>
      </c>
      <c r="D1856" s="115">
        <v>2152.85</v>
      </c>
      <c r="E1856" s="115">
        <v>2174</v>
      </c>
      <c r="F1856" s="115">
        <v>2177.9499999999998</v>
      </c>
      <c r="G1856">
        <v>5496</v>
      </c>
      <c r="H1856" s="115"/>
      <c r="I1856" s="115"/>
      <c r="L1856" s="169">
        <v>44739</v>
      </c>
      <c r="M1856" s="115">
        <v>2270.4499999999998</v>
      </c>
      <c r="N1856" s="115">
        <v>2335</v>
      </c>
      <c r="O1856" s="115">
        <v>2193.6</v>
      </c>
      <c r="P1856" s="115">
        <v>2220</v>
      </c>
      <c r="Q1856" s="115">
        <v>2270.4499999999998</v>
      </c>
      <c r="R1856">
        <v>85568</v>
      </c>
    </row>
    <row r="1857" spans="1:18" x14ac:dyDescent="0.25">
      <c r="A1857" s="169">
        <v>44739</v>
      </c>
      <c r="B1857" s="115">
        <v>2335</v>
      </c>
      <c r="C1857" s="115">
        <v>2271.9499999999998</v>
      </c>
      <c r="D1857" s="115">
        <v>2207.15</v>
      </c>
      <c r="E1857" s="115">
        <v>2230</v>
      </c>
      <c r="F1857" s="115">
        <v>2271.9499999999998</v>
      </c>
      <c r="G1857">
        <v>7404</v>
      </c>
      <c r="H1857" s="115"/>
      <c r="I1857" s="115"/>
      <c r="L1857" s="169">
        <v>44740</v>
      </c>
      <c r="M1857" s="115">
        <v>2252.1999999999998</v>
      </c>
      <c r="N1857" s="115">
        <v>2295.4499999999998</v>
      </c>
      <c r="O1857" s="115">
        <v>2230.5500000000002</v>
      </c>
      <c r="P1857" s="115">
        <v>2270</v>
      </c>
      <c r="Q1857" s="115">
        <v>2252.1999999999998</v>
      </c>
      <c r="R1857">
        <v>43130</v>
      </c>
    </row>
    <row r="1858" spans="1:18" x14ac:dyDescent="0.25">
      <c r="A1858" s="169">
        <v>44740</v>
      </c>
      <c r="B1858" s="115">
        <v>2300.9499999999998</v>
      </c>
      <c r="C1858" s="115">
        <v>2255.9</v>
      </c>
      <c r="D1858" s="115">
        <v>2235</v>
      </c>
      <c r="E1858" s="115">
        <v>2300.9499999999998</v>
      </c>
      <c r="F1858" s="115">
        <v>2255.9</v>
      </c>
      <c r="G1858">
        <v>4025</v>
      </c>
      <c r="H1858" s="115"/>
      <c r="I1858" s="115"/>
      <c r="L1858" s="169">
        <v>44741</v>
      </c>
      <c r="M1858" s="115">
        <v>2247.8000000000002</v>
      </c>
      <c r="N1858" s="115">
        <v>2275</v>
      </c>
      <c r="O1858" s="115">
        <v>2229.75</v>
      </c>
      <c r="P1858" s="115">
        <v>2230</v>
      </c>
      <c r="Q1858" s="115">
        <v>2247.8000000000002</v>
      </c>
      <c r="R1858">
        <v>40348</v>
      </c>
    </row>
    <row r="1859" spans="1:18" x14ac:dyDescent="0.25">
      <c r="A1859" s="169">
        <v>44741</v>
      </c>
      <c r="B1859" s="115">
        <v>2276.1</v>
      </c>
      <c r="C1859" s="115">
        <v>2244.1</v>
      </c>
      <c r="D1859" s="115">
        <v>2228.25</v>
      </c>
      <c r="E1859" s="115">
        <v>2244</v>
      </c>
      <c r="F1859" s="115">
        <v>2244.1</v>
      </c>
      <c r="G1859">
        <v>1827</v>
      </c>
      <c r="H1859" s="115"/>
      <c r="I1859" s="115"/>
      <c r="L1859" s="169">
        <v>44742</v>
      </c>
      <c r="M1859" s="115">
        <v>2290.5</v>
      </c>
      <c r="N1859" s="115">
        <v>2300</v>
      </c>
      <c r="O1859" s="115">
        <v>2208.35</v>
      </c>
      <c r="P1859" s="115">
        <v>2248.4499999999998</v>
      </c>
      <c r="Q1859" s="115">
        <v>2290.5</v>
      </c>
      <c r="R1859">
        <v>78339</v>
      </c>
    </row>
    <row r="1860" spans="1:18" x14ac:dyDescent="0.25">
      <c r="A1860" s="169">
        <v>44742</v>
      </c>
      <c r="B1860" s="115">
        <v>2299</v>
      </c>
      <c r="C1860" s="115">
        <v>2290.8000000000002</v>
      </c>
      <c r="D1860" s="115">
        <v>2211</v>
      </c>
      <c r="E1860" s="115">
        <v>2247.1999999999998</v>
      </c>
      <c r="F1860" s="115">
        <v>2290.8000000000002</v>
      </c>
      <c r="G1860">
        <v>2276</v>
      </c>
      <c r="H1860" s="115"/>
      <c r="I1860" s="115"/>
      <c r="L1860" s="169">
        <v>44743</v>
      </c>
      <c r="M1860" s="115">
        <v>2259.0500000000002</v>
      </c>
      <c r="N1860" s="115">
        <v>2289</v>
      </c>
      <c r="O1860" s="115">
        <v>2250</v>
      </c>
      <c r="P1860" s="115">
        <v>2289</v>
      </c>
      <c r="Q1860" s="115">
        <v>2259.0500000000002</v>
      </c>
      <c r="R1860">
        <v>46062</v>
      </c>
    </row>
    <row r="1861" spans="1:18" x14ac:dyDescent="0.25">
      <c r="A1861" s="169">
        <v>44743</v>
      </c>
      <c r="B1861" s="115">
        <v>2285.4</v>
      </c>
      <c r="C1861" s="115">
        <v>2260.0500000000002</v>
      </c>
      <c r="D1861" s="115">
        <v>2247.6</v>
      </c>
      <c r="E1861" s="115">
        <v>2274.6</v>
      </c>
      <c r="F1861" s="115">
        <v>2260.0500000000002</v>
      </c>
      <c r="G1861">
        <v>11763</v>
      </c>
      <c r="H1861" s="115"/>
      <c r="I1861" s="115"/>
      <c r="L1861" s="169">
        <v>44746</v>
      </c>
      <c r="M1861" s="115">
        <v>2273.0500000000002</v>
      </c>
      <c r="N1861" s="115">
        <v>2285</v>
      </c>
      <c r="O1861" s="115">
        <v>2245.35</v>
      </c>
      <c r="P1861" s="115">
        <v>2275</v>
      </c>
      <c r="Q1861" s="115">
        <v>2273.0500000000002</v>
      </c>
      <c r="R1861">
        <v>116932</v>
      </c>
    </row>
    <row r="1862" spans="1:18" x14ac:dyDescent="0.25">
      <c r="A1862" s="169">
        <v>44746</v>
      </c>
      <c r="B1862" s="115">
        <v>2282.8000000000002</v>
      </c>
      <c r="C1862" s="115">
        <v>2274.1999999999998</v>
      </c>
      <c r="D1862" s="115">
        <v>2241</v>
      </c>
      <c r="E1862" s="115">
        <v>2266</v>
      </c>
      <c r="F1862" s="115">
        <v>2274.1999999999998</v>
      </c>
      <c r="G1862">
        <v>4219</v>
      </c>
      <c r="H1862" s="115"/>
      <c r="I1862" s="115"/>
      <c r="L1862" s="169">
        <v>44747</v>
      </c>
      <c r="M1862" s="115">
        <v>2334.5</v>
      </c>
      <c r="N1862" s="115">
        <v>2374</v>
      </c>
      <c r="O1862" s="115">
        <v>2269.6</v>
      </c>
      <c r="P1862" s="115">
        <v>2289.9499999999998</v>
      </c>
      <c r="Q1862" s="115">
        <v>2334.5</v>
      </c>
      <c r="R1862">
        <v>154845</v>
      </c>
    </row>
    <row r="1863" spans="1:18" x14ac:dyDescent="0.25">
      <c r="A1863" s="169">
        <v>44747</v>
      </c>
      <c r="B1863" s="115">
        <v>2375</v>
      </c>
      <c r="C1863" s="115">
        <v>2333.0500000000002</v>
      </c>
      <c r="D1863" s="115">
        <v>2258</v>
      </c>
      <c r="E1863" s="115">
        <v>2258</v>
      </c>
      <c r="F1863" s="115">
        <v>2333.0500000000002</v>
      </c>
      <c r="G1863">
        <v>6535</v>
      </c>
      <c r="H1863" s="115"/>
      <c r="I1863" s="115"/>
      <c r="L1863" s="169">
        <v>44748</v>
      </c>
      <c r="M1863" s="115">
        <v>2417.1999999999998</v>
      </c>
      <c r="N1863" s="115">
        <v>2444.5500000000002</v>
      </c>
      <c r="O1863" s="115">
        <v>2326.25</v>
      </c>
      <c r="P1863" s="115">
        <v>2334.5</v>
      </c>
      <c r="Q1863" s="115">
        <v>2417.1999999999998</v>
      </c>
      <c r="R1863">
        <v>149128</v>
      </c>
    </row>
    <row r="1864" spans="1:18" x14ac:dyDescent="0.25">
      <c r="A1864" s="169">
        <v>44748</v>
      </c>
      <c r="B1864" s="115">
        <v>2446</v>
      </c>
      <c r="C1864" s="115">
        <v>2425.6999999999998</v>
      </c>
      <c r="D1864" s="115">
        <v>2329.5500000000002</v>
      </c>
      <c r="E1864" s="115">
        <v>2367.8000000000002</v>
      </c>
      <c r="F1864" s="115">
        <v>2425.6999999999998</v>
      </c>
      <c r="G1864">
        <v>9171</v>
      </c>
      <c r="H1864" s="115"/>
      <c r="I1864" s="115"/>
      <c r="L1864" s="169">
        <v>44749</v>
      </c>
      <c r="M1864" s="115">
        <v>2388.3000000000002</v>
      </c>
      <c r="N1864" s="115">
        <v>2449.9499999999998</v>
      </c>
      <c r="O1864" s="115">
        <v>2367.15</v>
      </c>
      <c r="P1864" s="115">
        <v>2429.75</v>
      </c>
      <c r="Q1864" s="115">
        <v>2388.3000000000002</v>
      </c>
      <c r="R1864">
        <v>138639</v>
      </c>
    </row>
    <row r="1865" spans="1:18" x14ac:dyDescent="0.25">
      <c r="A1865" s="169">
        <v>44749</v>
      </c>
      <c r="B1865" s="115">
        <v>2446.6</v>
      </c>
      <c r="C1865" s="115">
        <v>2387.4</v>
      </c>
      <c r="D1865" s="115">
        <v>2366.6999999999998</v>
      </c>
      <c r="E1865" s="115">
        <v>2442</v>
      </c>
      <c r="F1865" s="115">
        <v>2387.4</v>
      </c>
      <c r="G1865">
        <v>5842</v>
      </c>
      <c r="H1865" s="115"/>
      <c r="I1865" s="115"/>
      <c r="L1865" s="169">
        <v>44750</v>
      </c>
      <c r="M1865" s="115">
        <v>2371.35</v>
      </c>
      <c r="N1865" s="115">
        <v>2418.9499999999998</v>
      </c>
      <c r="O1865" s="115">
        <v>2359.5</v>
      </c>
      <c r="P1865" s="115">
        <v>2395</v>
      </c>
      <c r="Q1865" s="115">
        <v>2371.35</v>
      </c>
      <c r="R1865">
        <v>42788</v>
      </c>
    </row>
    <row r="1866" spans="1:18" x14ac:dyDescent="0.25">
      <c r="A1866" s="169">
        <v>44750</v>
      </c>
      <c r="B1866" s="115">
        <v>2423.15</v>
      </c>
      <c r="C1866" s="115">
        <v>2371.3000000000002</v>
      </c>
      <c r="D1866" s="115">
        <v>2360</v>
      </c>
      <c r="E1866" s="115">
        <v>2423.15</v>
      </c>
      <c r="F1866" s="115">
        <v>2371.3000000000002</v>
      </c>
      <c r="G1866">
        <v>2129</v>
      </c>
      <c r="H1866" s="115"/>
      <c r="I1866" s="115"/>
      <c r="L1866" s="169">
        <v>44753</v>
      </c>
      <c r="M1866" s="115">
        <v>2377.5</v>
      </c>
      <c r="N1866" s="115">
        <v>2481.5500000000002</v>
      </c>
      <c r="O1866" s="115">
        <v>2370</v>
      </c>
      <c r="P1866" s="115">
        <v>2379</v>
      </c>
      <c r="Q1866" s="115">
        <v>2377.5</v>
      </c>
      <c r="R1866">
        <v>109505</v>
      </c>
    </row>
    <row r="1867" spans="1:18" x14ac:dyDescent="0.25">
      <c r="A1867" s="169">
        <v>44753</v>
      </c>
      <c r="B1867" s="115">
        <v>2479.5</v>
      </c>
      <c r="C1867" s="115">
        <v>2377.9</v>
      </c>
      <c r="D1867" s="115">
        <v>2370</v>
      </c>
      <c r="E1867" s="115">
        <v>2405</v>
      </c>
      <c r="F1867" s="115">
        <v>2377.9</v>
      </c>
      <c r="G1867">
        <v>6948</v>
      </c>
      <c r="H1867" s="115"/>
      <c r="I1867" s="115"/>
      <c r="L1867" s="169">
        <v>44754</v>
      </c>
      <c r="M1867" s="115">
        <v>2304.6999999999998</v>
      </c>
      <c r="N1867" s="115">
        <v>2395.15</v>
      </c>
      <c r="O1867" s="115">
        <v>2295</v>
      </c>
      <c r="P1867" s="115">
        <v>2384.25</v>
      </c>
      <c r="Q1867" s="115">
        <v>2304.6999999999998</v>
      </c>
      <c r="R1867">
        <v>92978</v>
      </c>
    </row>
    <row r="1868" spans="1:18" x14ac:dyDescent="0.25">
      <c r="A1868" s="169">
        <v>44754</v>
      </c>
      <c r="B1868" s="115">
        <v>2395</v>
      </c>
      <c r="C1868" s="115">
        <v>2305.3000000000002</v>
      </c>
      <c r="D1868" s="115">
        <v>2272.1</v>
      </c>
      <c r="E1868" s="115">
        <v>2395</v>
      </c>
      <c r="F1868" s="115">
        <v>2305.3000000000002</v>
      </c>
      <c r="G1868">
        <v>7768</v>
      </c>
      <c r="H1868" s="115"/>
      <c r="I1868" s="115"/>
      <c r="L1868" s="169">
        <v>44755</v>
      </c>
      <c r="M1868" s="115">
        <v>2291.85</v>
      </c>
      <c r="N1868" s="115">
        <v>2334.4</v>
      </c>
      <c r="O1868" s="115">
        <v>2276.1</v>
      </c>
      <c r="P1868" s="115">
        <v>2317</v>
      </c>
      <c r="Q1868" s="115">
        <v>2291.85</v>
      </c>
      <c r="R1868">
        <v>53662</v>
      </c>
    </row>
    <row r="1869" spans="1:18" x14ac:dyDescent="0.25">
      <c r="A1869" s="169">
        <v>44755</v>
      </c>
      <c r="B1869" s="115">
        <v>2335</v>
      </c>
      <c r="C1869" s="115">
        <v>2289</v>
      </c>
      <c r="D1869" s="115">
        <v>2278</v>
      </c>
      <c r="E1869" s="115">
        <v>2305</v>
      </c>
      <c r="F1869" s="115">
        <v>2289</v>
      </c>
      <c r="G1869">
        <v>3010</v>
      </c>
      <c r="H1869" s="115"/>
      <c r="I1869" s="115"/>
      <c r="L1869" s="169">
        <v>44756</v>
      </c>
      <c r="M1869" s="115">
        <v>2392.4</v>
      </c>
      <c r="N1869" s="115">
        <v>2409</v>
      </c>
      <c r="O1869" s="115">
        <v>2285.6</v>
      </c>
      <c r="P1869" s="115">
        <v>2291</v>
      </c>
      <c r="Q1869" s="115">
        <v>2392.4</v>
      </c>
      <c r="R1869">
        <v>238913</v>
      </c>
    </row>
    <row r="1870" spans="1:18" x14ac:dyDescent="0.25">
      <c r="A1870" s="169">
        <v>44756</v>
      </c>
      <c r="B1870" s="115">
        <v>2409.6</v>
      </c>
      <c r="C1870" s="115">
        <v>2392.4</v>
      </c>
      <c r="D1870" s="115">
        <v>2298.0500000000002</v>
      </c>
      <c r="E1870" s="115">
        <v>2298.0500000000002</v>
      </c>
      <c r="F1870" s="115">
        <v>2392.4</v>
      </c>
      <c r="G1870">
        <v>6140</v>
      </c>
      <c r="H1870" s="115"/>
      <c r="I1870" s="115"/>
      <c r="L1870" s="169">
        <v>44757</v>
      </c>
      <c r="M1870" s="115">
        <v>2448.25</v>
      </c>
      <c r="N1870" s="115">
        <v>2470</v>
      </c>
      <c r="O1870" s="115">
        <v>2392.5500000000002</v>
      </c>
      <c r="P1870" s="115">
        <v>2409</v>
      </c>
      <c r="Q1870" s="115">
        <v>2448.25</v>
      </c>
      <c r="R1870">
        <v>150827</v>
      </c>
    </row>
    <row r="1871" spans="1:18" x14ac:dyDescent="0.25">
      <c r="A1871" s="169">
        <v>44757</v>
      </c>
      <c r="B1871" s="115">
        <v>2470</v>
      </c>
      <c r="C1871" s="115">
        <v>2448.25</v>
      </c>
      <c r="D1871" s="115">
        <v>2392.0500000000002</v>
      </c>
      <c r="E1871" s="115">
        <v>2398</v>
      </c>
      <c r="F1871" s="115">
        <v>2448.25</v>
      </c>
      <c r="G1871">
        <v>7015</v>
      </c>
      <c r="H1871" s="115"/>
      <c r="I1871" s="115"/>
      <c r="L1871" s="169">
        <v>44760</v>
      </c>
      <c r="M1871" s="115">
        <v>2559.5</v>
      </c>
      <c r="N1871" s="115">
        <v>2580.65</v>
      </c>
      <c r="O1871" s="115">
        <v>2475</v>
      </c>
      <c r="P1871" s="115">
        <v>2475</v>
      </c>
      <c r="Q1871" s="115">
        <v>2559.5</v>
      </c>
      <c r="R1871">
        <v>180241</v>
      </c>
    </row>
    <row r="1872" spans="1:18" x14ac:dyDescent="0.25">
      <c r="A1872" s="169">
        <v>44760</v>
      </c>
      <c r="B1872" s="115">
        <v>2581.4499999999998</v>
      </c>
      <c r="C1872" s="115">
        <v>2560.1999999999998</v>
      </c>
      <c r="D1872" s="115">
        <v>2445.15</v>
      </c>
      <c r="E1872" s="115">
        <v>2445.15</v>
      </c>
      <c r="F1872" s="115">
        <v>2560.1999999999998</v>
      </c>
      <c r="G1872">
        <v>15357</v>
      </c>
      <c r="H1872" s="115"/>
      <c r="I1872" s="115"/>
      <c r="L1872" s="169">
        <v>44761</v>
      </c>
      <c r="M1872" s="115">
        <v>2458.3000000000002</v>
      </c>
      <c r="N1872" s="115">
        <v>2578</v>
      </c>
      <c r="O1872" s="115">
        <v>2450</v>
      </c>
      <c r="P1872" s="115">
        <v>2559.5</v>
      </c>
      <c r="Q1872" s="115">
        <v>2458.3000000000002</v>
      </c>
      <c r="R1872">
        <v>145902</v>
      </c>
    </row>
    <row r="1873" spans="1:18" x14ac:dyDescent="0.25">
      <c r="A1873" s="169">
        <v>44761</v>
      </c>
      <c r="B1873" s="115">
        <v>2572.9499999999998</v>
      </c>
      <c r="C1873" s="115">
        <v>2458</v>
      </c>
      <c r="D1873" s="115">
        <v>2450</v>
      </c>
      <c r="E1873" s="115">
        <v>2540.0500000000002</v>
      </c>
      <c r="F1873" s="115">
        <v>2458</v>
      </c>
      <c r="G1873">
        <v>9567</v>
      </c>
      <c r="H1873" s="115"/>
      <c r="I1873" s="115"/>
      <c r="L1873" s="169">
        <v>44762</v>
      </c>
      <c r="M1873" s="115">
        <v>2411.25</v>
      </c>
      <c r="N1873" s="115">
        <v>2499</v>
      </c>
      <c r="O1873" s="115">
        <v>2377</v>
      </c>
      <c r="P1873" s="115">
        <v>2490</v>
      </c>
      <c r="Q1873" s="115">
        <v>2411.25</v>
      </c>
      <c r="R1873">
        <v>135866</v>
      </c>
    </row>
    <row r="1874" spans="1:18" x14ac:dyDescent="0.25">
      <c r="A1874" s="169">
        <v>44762</v>
      </c>
      <c r="B1874" s="115">
        <v>2495</v>
      </c>
      <c r="C1874" s="115">
        <v>2411.8000000000002</v>
      </c>
      <c r="D1874" s="115">
        <v>2378.4</v>
      </c>
      <c r="E1874" s="115">
        <v>2489.75</v>
      </c>
      <c r="F1874" s="115">
        <v>2411.8000000000002</v>
      </c>
      <c r="G1874">
        <v>7878</v>
      </c>
      <c r="H1874" s="115"/>
      <c r="I1874" s="115"/>
      <c r="L1874" s="169">
        <v>44763</v>
      </c>
      <c r="M1874" s="115">
        <v>2489.6</v>
      </c>
      <c r="N1874" s="115">
        <v>2524.9499999999998</v>
      </c>
      <c r="O1874" s="115">
        <v>2411.9</v>
      </c>
      <c r="P1874" s="115">
        <v>2424</v>
      </c>
      <c r="Q1874" s="115">
        <v>2489.6</v>
      </c>
      <c r="R1874">
        <v>128514</v>
      </c>
    </row>
    <row r="1875" spans="1:18" x14ac:dyDescent="0.25">
      <c r="A1875" s="169">
        <v>44763</v>
      </c>
      <c r="B1875" s="115">
        <v>2524</v>
      </c>
      <c r="C1875" s="115">
        <v>2489.1999999999998</v>
      </c>
      <c r="D1875" s="115">
        <v>2421.15</v>
      </c>
      <c r="E1875" s="115">
        <v>2447.9499999999998</v>
      </c>
      <c r="F1875" s="115">
        <v>2489.1999999999998</v>
      </c>
      <c r="G1875">
        <v>12611</v>
      </c>
      <c r="H1875" s="115"/>
      <c r="I1875" s="115"/>
      <c r="L1875" s="169">
        <v>44764</v>
      </c>
      <c r="M1875" s="115">
        <v>2483.1999999999998</v>
      </c>
      <c r="N1875" s="115">
        <v>2529.75</v>
      </c>
      <c r="O1875" s="115">
        <v>2450.0500000000002</v>
      </c>
      <c r="P1875" s="115">
        <v>2511</v>
      </c>
      <c r="Q1875" s="115">
        <v>2483.1999999999998</v>
      </c>
      <c r="R1875">
        <v>54681</v>
      </c>
    </row>
    <row r="1876" spans="1:18" x14ac:dyDescent="0.25">
      <c r="A1876" s="169">
        <v>44764</v>
      </c>
      <c r="B1876" s="115">
        <v>2528.9</v>
      </c>
      <c r="C1876" s="115">
        <v>2477.5500000000002</v>
      </c>
      <c r="D1876" s="115">
        <v>2450.6999999999998</v>
      </c>
      <c r="E1876" s="115">
        <v>2528.9</v>
      </c>
      <c r="F1876" s="115">
        <v>2477.5500000000002</v>
      </c>
      <c r="G1876">
        <v>3601</v>
      </c>
      <c r="H1876" s="115"/>
      <c r="I1876" s="115"/>
      <c r="L1876" s="169">
        <v>44767</v>
      </c>
      <c r="M1876" s="115">
        <v>2539.0500000000002</v>
      </c>
      <c r="N1876" s="115">
        <v>2574.85</v>
      </c>
      <c r="O1876" s="115">
        <v>2496</v>
      </c>
      <c r="P1876" s="115">
        <v>2500</v>
      </c>
      <c r="Q1876" s="115">
        <v>2539.0500000000002</v>
      </c>
      <c r="R1876">
        <v>98202</v>
      </c>
    </row>
    <row r="1877" spans="1:18" x14ac:dyDescent="0.25">
      <c r="A1877" s="169">
        <v>44767</v>
      </c>
      <c r="B1877" s="115">
        <v>2573.9499999999998</v>
      </c>
      <c r="C1877" s="115">
        <v>2531.15</v>
      </c>
      <c r="D1877" s="115">
        <v>2496.3000000000002</v>
      </c>
      <c r="E1877" s="115">
        <v>2500</v>
      </c>
      <c r="F1877" s="115">
        <v>2531.15</v>
      </c>
      <c r="G1877">
        <v>6398</v>
      </c>
      <c r="H1877" s="115"/>
      <c r="I1877" s="115"/>
      <c r="L1877" s="169">
        <v>44768</v>
      </c>
      <c r="M1877" s="115">
        <v>2498.4499999999998</v>
      </c>
      <c r="N1877" s="115">
        <v>2566.6</v>
      </c>
      <c r="O1877" s="115">
        <v>2480</v>
      </c>
      <c r="P1877" s="115">
        <v>2531</v>
      </c>
      <c r="Q1877" s="115">
        <v>2498.4499999999998</v>
      </c>
      <c r="R1877">
        <v>65721</v>
      </c>
    </row>
    <row r="1878" spans="1:18" x14ac:dyDescent="0.25">
      <c r="A1878" s="169">
        <v>44768</v>
      </c>
      <c r="B1878" s="115">
        <v>2589</v>
      </c>
      <c r="C1878" s="115">
        <v>2497.4</v>
      </c>
      <c r="D1878" s="115">
        <v>2485.9</v>
      </c>
      <c r="E1878" s="115">
        <v>2589</v>
      </c>
      <c r="F1878" s="115">
        <v>2497.4</v>
      </c>
      <c r="G1878">
        <v>2511</v>
      </c>
      <c r="H1878" s="115"/>
      <c r="I1878" s="115"/>
      <c r="L1878" s="169">
        <v>44769</v>
      </c>
      <c r="M1878" s="115">
        <v>2504.0500000000002</v>
      </c>
      <c r="N1878" s="115">
        <v>2562</v>
      </c>
      <c r="O1878" s="115">
        <v>2460</v>
      </c>
      <c r="P1878" s="115">
        <v>2460</v>
      </c>
      <c r="Q1878" s="115">
        <v>2504.0500000000002</v>
      </c>
      <c r="R1878">
        <v>67789</v>
      </c>
    </row>
    <row r="1879" spans="1:18" x14ac:dyDescent="0.25">
      <c r="A1879" s="169">
        <v>44769</v>
      </c>
      <c r="B1879" s="115">
        <v>2561</v>
      </c>
      <c r="C1879" s="115">
        <v>2503.6999999999998</v>
      </c>
      <c r="D1879" s="115">
        <v>2470</v>
      </c>
      <c r="E1879" s="115">
        <v>2505</v>
      </c>
      <c r="F1879" s="115">
        <v>2503.6999999999998</v>
      </c>
      <c r="G1879">
        <v>4717</v>
      </c>
      <c r="H1879" s="115"/>
      <c r="I1879" s="115"/>
      <c r="L1879" s="169">
        <v>44770</v>
      </c>
      <c r="M1879" s="115">
        <v>2584.4499999999998</v>
      </c>
      <c r="N1879" s="115">
        <v>2678.8</v>
      </c>
      <c r="O1879" s="115">
        <v>2520.15</v>
      </c>
      <c r="P1879" s="115">
        <v>2588</v>
      </c>
      <c r="Q1879" s="115">
        <v>2584.4499999999998</v>
      </c>
      <c r="R1879">
        <v>512524</v>
      </c>
    </row>
    <row r="1880" spans="1:18" x14ac:dyDescent="0.25">
      <c r="A1880" s="169">
        <v>44770</v>
      </c>
      <c r="B1880" s="115">
        <v>2675.95</v>
      </c>
      <c r="C1880" s="115">
        <v>2581.6999999999998</v>
      </c>
      <c r="D1880" s="115">
        <v>2518.5</v>
      </c>
      <c r="E1880" s="115">
        <v>2602.9499999999998</v>
      </c>
      <c r="F1880" s="115">
        <v>2581.6999999999998</v>
      </c>
      <c r="G1880">
        <v>23714</v>
      </c>
      <c r="H1880" s="115"/>
      <c r="I1880" s="115"/>
      <c r="L1880" s="169">
        <v>44771</v>
      </c>
      <c r="M1880" s="115">
        <v>2780.5</v>
      </c>
      <c r="N1880" s="115">
        <v>2860</v>
      </c>
      <c r="O1880" s="115">
        <v>2601.15</v>
      </c>
      <c r="P1880" s="115">
        <v>2644.95</v>
      </c>
      <c r="Q1880" s="115">
        <v>2780.5</v>
      </c>
      <c r="R1880">
        <v>602811</v>
      </c>
    </row>
    <row r="1881" spans="1:18" x14ac:dyDescent="0.25">
      <c r="A1881" s="169">
        <v>44771</v>
      </c>
      <c r="B1881" s="115">
        <v>2859.45</v>
      </c>
      <c r="C1881" s="115">
        <v>2779.45</v>
      </c>
      <c r="D1881" s="115">
        <v>2610.4499999999998</v>
      </c>
      <c r="E1881" s="115">
        <v>2649.95</v>
      </c>
      <c r="F1881" s="115">
        <v>2779.45</v>
      </c>
      <c r="G1881">
        <v>33989</v>
      </c>
      <c r="H1881" s="115"/>
      <c r="I1881" s="115"/>
      <c r="L1881" s="169">
        <v>44774</v>
      </c>
      <c r="M1881" s="115">
        <v>2833.1</v>
      </c>
      <c r="N1881" s="115">
        <v>2921</v>
      </c>
      <c r="O1881" s="115">
        <v>2788.95</v>
      </c>
      <c r="P1881" s="115">
        <v>2789</v>
      </c>
      <c r="Q1881" s="115">
        <v>2833.1</v>
      </c>
      <c r="R1881">
        <v>307509</v>
      </c>
    </row>
    <row r="1882" spans="1:18" x14ac:dyDescent="0.25">
      <c r="A1882" s="169">
        <v>44774</v>
      </c>
      <c r="B1882" s="115">
        <v>2920.6</v>
      </c>
      <c r="C1882" s="115">
        <v>2832.3</v>
      </c>
      <c r="D1882" s="115">
        <v>2790</v>
      </c>
      <c r="E1882" s="115">
        <v>2838</v>
      </c>
      <c r="F1882" s="115">
        <v>2832.3</v>
      </c>
      <c r="G1882">
        <v>16231</v>
      </c>
      <c r="H1882" s="115"/>
      <c r="I1882" s="115"/>
      <c r="L1882" s="169">
        <v>44775</v>
      </c>
      <c r="M1882" s="115">
        <v>2837.05</v>
      </c>
      <c r="N1882" s="115">
        <v>2872</v>
      </c>
      <c r="O1882" s="115">
        <v>2803.8</v>
      </c>
      <c r="P1882" s="115">
        <v>2830.8</v>
      </c>
      <c r="Q1882" s="115">
        <v>2837.05</v>
      </c>
      <c r="R1882">
        <v>137396</v>
      </c>
    </row>
    <row r="1883" spans="1:18" x14ac:dyDescent="0.25">
      <c r="A1883" s="169">
        <v>44775</v>
      </c>
      <c r="B1883" s="115">
        <v>2872</v>
      </c>
      <c r="C1883" s="115">
        <v>2832</v>
      </c>
      <c r="D1883" s="115">
        <v>2803.55</v>
      </c>
      <c r="E1883" s="115">
        <v>2849.95</v>
      </c>
      <c r="F1883" s="115">
        <v>2832</v>
      </c>
      <c r="G1883">
        <v>4833</v>
      </c>
      <c r="H1883" s="115"/>
      <c r="I1883" s="115"/>
      <c r="L1883" s="169">
        <v>44776</v>
      </c>
      <c r="M1883" s="115">
        <v>2806.15</v>
      </c>
      <c r="N1883" s="115">
        <v>2864.95</v>
      </c>
      <c r="O1883" s="115">
        <v>2767</v>
      </c>
      <c r="P1883" s="115">
        <v>2835</v>
      </c>
      <c r="Q1883" s="115">
        <v>2806.15</v>
      </c>
      <c r="R1883">
        <v>155352</v>
      </c>
    </row>
    <row r="1884" spans="1:18" x14ac:dyDescent="0.25">
      <c r="A1884" s="169">
        <v>44776</v>
      </c>
      <c r="B1884" s="115">
        <v>2880</v>
      </c>
      <c r="C1884" s="115">
        <v>2801.7</v>
      </c>
      <c r="D1884" s="115">
        <v>2769.95</v>
      </c>
      <c r="E1884" s="115">
        <v>2880</v>
      </c>
      <c r="F1884" s="115">
        <v>2801.7</v>
      </c>
      <c r="G1884">
        <v>4285</v>
      </c>
      <c r="H1884" s="115"/>
      <c r="I1884" s="115"/>
      <c r="L1884" s="169">
        <v>44777</v>
      </c>
      <c r="M1884" s="115">
        <v>2799.4</v>
      </c>
      <c r="N1884" s="115">
        <v>2865</v>
      </c>
      <c r="O1884" s="115">
        <v>2767.65</v>
      </c>
      <c r="P1884" s="115">
        <v>2839.95</v>
      </c>
      <c r="Q1884" s="115">
        <v>2799.4</v>
      </c>
      <c r="R1884">
        <v>119450</v>
      </c>
    </row>
    <row r="1885" spans="1:18" x14ac:dyDescent="0.25">
      <c r="A1885" s="169">
        <v>44777</v>
      </c>
      <c r="B1885" s="115">
        <v>2888</v>
      </c>
      <c r="C1885" s="115">
        <v>2799.55</v>
      </c>
      <c r="D1885" s="115">
        <v>2768.75</v>
      </c>
      <c r="E1885" s="115">
        <v>2888</v>
      </c>
      <c r="F1885" s="115">
        <v>2799.55</v>
      </c>
      <c r="G1885">
        <v>2730</v>
      </c>
      <c r="H1885" s="115"/>
      <c r="I1885" s="115"/>
      <c r="L1885" s="169">
        <v>44778</v>
      </c>
      <c r="M1885" s="115">
        <v>2826.2</v>
      </c>
      <c r="N1885" s="115">
        <v>2848</v>
      </c>
      <c r="O1885" s="115">
        <v>2786.05</v>
      </c>
      <c r="P1885" s="115">
        <v>2823.9</v>
      </c>
      <c r="Q1885" s="115">
        <v>2826.2</v>
      </c>
      <c r="R1885">
        <v>175204</v>
      </c>
    </row>
    <row r="1886" spans="1:18" x14ac:dyDescent="0.25">
      <c r="A1886" s="169">
        <v>44778</v>
      </c>
      <c r="B1886" s="115">
        <v>2845.65</v>
      </c>
      <c r="C1886" s="115">
        <v>2822.15</v>
      </c>
      <c r="D1886" s="115">
        <v>2790</v>
      </c>
      <c r="E1886" s="115">
        <v>2828</v>
      </c>
      <c r="F1886" s="115">
        <v>2822.15</v>
      </c>
      <c r="G1886">
        <v>5698</v>
      </c>
      <c r="H1886" s="115"/>
      <c r="I1886" s="115"/>
      <c r="L1886" s="169">
        <v>44781</v>
      </c>
      <c r="M1886" s="115">
        <v>2821.55</v>
      </c>
      <c r="N1886" s="115">
        <v>2864</v>
      </c>
      <c r="O1886" s="115">
        <v>2808.05</v>
      </c>
      <c r="P1886" s="115">
        <v>2845.65</v>
      </c>
      <c r="Q1886" s="115">
        <v>2821.55</v>
      </c>
      <c r="R1886">
        <v>96776</v>
      </c>
    </row>
    <row r="1887" spans="1:18" x14ac:dyDescent="0.25">
      <c r="A1887" s="169">
        <v>44781</v>
      </c>
      <c r="B1887" s="115">
        <v>2864.35</v>
      </c>
      <c r="C1887" s="115">
        <v>2821.15</v>
      </c>
      <c r="D1887" s="115">
        <v>2808.25</v>
      </c>
      <c r="E1887" s="115">
        <v>2857.65</v>
      </c>
      <c r="F1887" s="115">
        <v>2821.15</v>
      </c>
      <c r="G1887">
        <v>3562</v>
      </c>
      <c r="H1887" s="115"/>
      <c r="I1887" s="115"/>
      <c r="L1887" s="169">
        <v>44783</v>
      </c>
      <c r="M1887" s="115">
        <v>2878.25</v>
      </c>
      <c r="N1887" s="115">
        <v>2915</v>
      </c>
      <c r="O1887" s="115">
        <v>2833.15</v>
      </c>
      <c r="P1887" s="115">
        <v>2887.2</v>
      </c>
      <c r="Q1887" s="115">
        <v>2878.25</v>
      </c>
      <c r="R1887">
        <v>182891</v>
      </c>
    </row>
    <row r="1888" spans="1:18" x14ac:dyDescent="0.25">
      <c r="A1888" s="169">
        <v>44783</v>
      </c>
      <c r="B1888" s="115">
        <v>2913.1</v>
      </c>
      <c r="C1888" s="115">
        <v>2879.45</v>
      </c>
      <c r="D1888" s="115">
        <v>2833.15</v>
      </c>
      <c r="E1888" s="115">
        <v>2850</v>
      </c>
      <c r="F1888" s="115">
        <v>2879.45</v>
      </c>
      <c r="G1888">
        <v>8086</v>
      </c>
      <c r="H1888" s="115"/>
      <c r="I1888" s="115"/>
      <c r="L1888" s="169">
        <v>44784</v>
      </c>
      <c r="M1888" s="115">
        <v>2970.5</v>
      </c>
      <c r="N1888" s="115">
        <v>3011</v>
      </c>
      <c r="O1888" s="115">
        <v>2902.65</v>
      </c>
      <c r="P1888" s="115">
        <v>2904.3</v>
      </c>
      <c r="Q1888" s="115">
        <v>2970.5</v>
      </c>
      <c r="R1888">
        <v>145024</v>
      </c>
    </row>
    <row r="1889" spans="1:18" x14ac:dyDescent="0.25">
      <c r="A1889" s="169">
        <v>44784</v>
      </c>
      <c r="B1889" s="115">
        <v>3010.65</v>
      </c>
      <c r="C1889" s="115">
        <v>2970.05</v>
      </c>
      <c r="D1889" s="115">
        <v>2892.2</v>
      </c>
      <c r="E1889" s="115">
        <v>2892.2</v>
      </c>
      <c r="F1889" s="115">
        <v>2970.05</v>
      </c>
      <c r="G1889">
        <v>14697</v>
      </c>
      <c r="H1889" s="115"/>
      <c r="I1889" s="115"/>
      <c r="L1889" s="169">
        <v>44785</v>
      </c>
      <c r="M1889" s="115">
        <v>2998.2</v>
      </c>
      <c r="N1889" s="115">
        <v>3089.2</v>
      </c>
      <c r="O1889" s="115">
        <v>2960.85</v>
      </c>
      <c r="P1889" s="115">
        <v>2974</v>
      </c>
      <c r="Q1889" s="115">
        <v>2998.2</v>
      </c>
      <c r="R1889">
        <v>163156</v>
      </c>
    </row>
    <row r="1890" spans="1:18" x14ac:dyDescent="0.25">
      <c r="A1890" s="169">
        <v>44785</v>
      </c>
      <c r="B1890" s="115">
        <v>3088.8</v>
      </c>
      <c r="C1890" s="115">
        <v>2996.5</v>
      </c>
      <c r="D1890" s="115">
        <v>2964.1</v>
      </c>
      <c r="E1890" s="115">
        <v>3018.95</v>
      </c>
      <c r="F1890" s="115">
        <v>2996.5</v>
      </c>
      <c r="G1890">
        <v>13063</v>
      </c>
      <c r="H1890" s="115"/>
      <c r="I1890" s="115"/>
      <c r="L1890" s="169">
        <v>44789</v>
      </c>
      <c r="M1890" s="115">
        <v>2954.15</v>
      </c>
      <c r="N1890" s="115">
        <v>3027.2</v>
      </c>
      <c r="O1890" s="115">
        <v>2930</v>
      </c>
      <c r="P1890" s="115">
        <v>3027.2</v>
      </c>
      <c r="Q1890" s="115">
        <v>2954.15</v>
      </c>
      <c r="R1890">
        <v>135266</v>
      </c>
    </row>
    <row r="1891" spans="1:18" x14ac:dyDescent="0.25">
      <c r="A1891" s="169">
        <v>44789</v>
      </c>
      <c r="B1891" s="115">
        <v>3078.8</v>
      </c>
      <c r="C1891" s="115">
        <v>2950.35</v>
      </c>
      <c r="D1891" s="115">
        <v>2932.1</v>
      </c>
      <c r="E1891" s="115">
        <v>3078.8</v>
      </c>
      <c r="F1891" s="115">
        <v>2950.35</v>
      </c>
      <c r="G1891">
        <v>5221</v>
      </c>
      <c r="H1891" s="115"/>
      <c r="I1891" s="115"/>
      <c r="L1891" s="169">
        <v>44790</v>
      </c>
      <c r="M1891" s="115">
        <v>2909.9</v>
      </c>
      <c r="N1891" s="115">
        <v>2994</v>
      </c>
      <c r="O1891" s="115">
        <v>2875</v>
      </c>
      <c r="P1891" s="115">
        <v>2950</v>
      </c>
      <c r="Q1891" s="115">
        <v>2909.9</v>
      </c>
      <c r="R1891">
        <v>111779</v>
      </c>
    </row>
    <row r="1892" spans="1:18" x14ac:dyDescent="0.25">
      <c r="A1892" s="169">
        <v>44790</v>
      </c>
      <c r="B1892" s="115">
        <v>2992.2</v>
      </c>
      <c r="C1892" s="115">
        <v>2910.65</v>
      </c>
      <c r="D1892" s="115">
        <v>2878.4</v>
      </c>
      <c r="E1892" s="115">
        <v>2960</v>
      </c>
      <c r="F1892" s="115">
        <v>2910.65</v>
      </c>
      <c r="G1892">
        <v>5353</v>
      </c>
      <c r="H1892" s="115"/>
      <c r="I1892" s="115"/>
      <c r="L1892" s="169">
        <v>44791</v>
      </c>
      <c r="M1892" s="115">
        <v>2955.6</v>
      </c>
      <c r="N1892" s="115">
        <v>2982.45</v>
      </c>
      <c r="O1892" s="115">
        <v>2887.65</v>
      </c>
      <c r="P1892" s="115">
        <v>2910</v>
      </c>
      <c r="Q1892" s="115">
        <v>2955.6</v>
      </c>
      <c r="R1892">
        <v>120351</v>
      </c>
    </row>
    <row r="1893" spans="1:18" x14ac:dyDescent="0.25">
      <c r="A1893" s="169">
        <v>44791</v>
      </c>
      <c r="B1893" s="115">
        <v>2983.05</v>
      </c>
      <c r="C1893" s="115">
        <v>2955.9</v>
      </c>
      <c r="D1893" s="115">
        <v>2915</v>
      </c>
      <c r="E1893" s="115">
        <v>2950</v>
      </c>
      <c r="F1893" s="115">
        <v>2955.9</v>
      </c>
      <c r="G1893">
        <v>4968</v>
      </c>
      <c r="H1893" s="115"/>
      <c r="I1893" s="115"/>
      <c r="L1893" s="169">
        <v>44792</v>
      </c>
      <c r="M1893" s="115">
        <v>2950</v>
      </c>
      <c r="N1893" s="115">
        <v>2973.1</v>
      </c>
      <c r="O1893" s="115">
        <v>2933.7</v>
      </c>
      <c r="P1893" s="115">
        <v>2973.1</v>
      </c>
      <c r="Q1893" s="115">
        <v>2950</v>
      </c>
      <c r="R1893">
        <v>64441</v>
      </c>
    </row>
    <row r="1894" spans="1:18" x14ac:dyDescent="0.25">
      <c r="A1894" s="169">
        <v>44792</v>
      </c>
      <c r="B1894" s="115">
        <v>2983</v>
      </c>
      <c r="C1894" s="115">
        <v>2951.35</v>
      </c>
      <c r="D1894" s="115">
        <v>2929.05</v>
      </c>
      <c r="E1894" s="115">
        <v>2983</v>
      </c>
      <c r="F1894" s="115">
        <v>2951.35</v>
      </c>
      <c r="G1894">
        <v>4674</v>
      </c>
      <c r="H1894" s="115"/>
      <c r="I1894" s="115"/>
      <c r="L1894" s="169">
        <v>44795</v>
      </c>
      <c r="M1894" s="115">
        <v>2979.35</v>
      </c>
      <c r="N1894" s="115">
        <v>2998</v>
      </c>
      <c r="O1894" s="115">
        <v>2904.95</v>
      </c>
      <c r="P1894" s="115">
        <v>2950</v>
      </c>
      <c r="Q1894" s="115">
        <v>2979.35</v>
      </c>
      <c r="R1894">
        <v>105281</v>
      </c>
    </row>
    <row r="1895" spans="1:18" x14ac:dyDescent="0.25">
      <c r="A1895" s="169">
        <v>44795</v>
      </c>
      <c r="B1895" s="115">
        <v>2999.8</v>
      </c>
      <c r="C1895" s="115">
        <v>2978.15</v>
      </c>
      <c r="D1895" s="115">
        <v>2906.8</v>
      </c>
      <c r="E1895" s="115">
        <v>2942</v>
      </c>
      <c r="F1895" s="115">
        <v>2978.15</v>
      </c>
      <c r="G1895">
        <v>8564</v>
      </c>
      <c r="H1895" s="115"/>
      <c r="I1895" s="115"/>
      <c r="L1895" s="169">
        <v>44796</v>
      </c>
      <c r="M1895" s="115">
        <v>2999.45</v>
      </c>
      <c r="N1895" s="115">
        <v>3004</v>
      </c>
      <c r="O1895" s="115">
        <v>2951.95</v>
      </c>
      <c r="P1895" s="115">
        <v>2965</v>
      </c>
      <c r="Q1895" s="115">
        <v>2999.45</v>
      </c>
      <c r="R1895">
        <v>103892</v>
      </c>
    </row>
    <row r="1896" spans="1:18" x14ac:dyDescent="0.25">
      <c r="A1896" s="169">
        <v>44796</v>
      </c>
      <c r="B1896" s="115">
        <v>3003.25</v>
      </c>
      <c r="C1896" s="115">
        <v>3000.15</v>
      </c>
      <c r="D1896" s="115">
        <v>2952.2</v>
      </c>
      <c r="E1896" s="115">
        <v>2982.65</v>
      </c>
      <c r="F1896" s="115">
        <v>3000.15</v>
      </c>
      <c r="G1896">
        <v>5280</v>
      </c>
      <c r="H1896" s="115"/>
      <c r="I1896" s="115"/>
      <c r="L1896" s="169">
        <v>44797</v>
      </c>
      <c r="M1896" s="115">
        <v>2993.6</v>
      </c>
      <c r="N1896" s="115">
        <v>3036</v>
      </c>
      <c r="O1896" s="115">
        <v>2982.5</v>
      </c>
      <c r="P1896" s="115">
        <v>3014</v>
      </c>
      <c r="Q1896" s="115">
        <v>2993.6</v>
      </c>
      <c r="R1896">
        <v>106760</v>
      </c>
    </row>
    <row r="1897" spans="1:18" x14ac:dyDescent="0.25">
      <c r="A1897" s="169">
        <v>44797</v>
      </c>
      <c r="B1897" s="115">
        <v>3039.4</v>
      </c>
      <c r="C1897" s="115">
        <v>2991.75</v>
      </c>
      <c r="D1897" s="115">
        <v>2978.35</v>
      </c>
      <c r="E1897" s="115">
        <v>3030</v>
      </c>
      <c r="F1897" s="115">
        <v>2991.75</v>
      </c>
      <c r="G1897">
        <v>5832</v>
      </c>
      <c r="H1897" s="115"/>
      <c r="I1897" s="115"/>
      <c r="L1897" s="169">
        <v>44798</v>
      </c>
      <c r="M1897" s="115">
        <v>3018.15</v>
      </c>
      <c r="N1897" s="115">
        <v>3058</v>
      </c>
      <c r="O1897" s="115">
        <v>2968.05</v>
      </c>
      <c r="P1897" s="115">
        <v>3021</v>
      </c>
      <c r="Q1897" s="115">
        <v>3018.15</v>
      </c>
      <c r="R1897">
        <v>141017</v>
      </c>
    </row>
    <row r="1898" spans="1:18" x14ac:dyDescent="0.25">
      <c r="A1898" s="169">
        <v>44798</v>
      </c>
      <c r="B1898" s="115">
        <v>3057.8</v>
      </c>
      <c r="C1898" s="115">
        <v>3017.6</v>
      </c>
      <c r="D1898" s="115">
        <v>2968.85</v>
      </c>
      <c r="E1898" s="115">
        <v>3034.95</v>
      </c>
      <c r="F1898" s="115">
        <v>3017.6</v>
      </c>
      <c r="G1898">
        <v>4416</v>
      </c>
      <c r="H1898" s="115"/>
      <c r="I1898" s="115"/>
      <c r="L1898" s="169">
        <v>44799</v>
      </c>
      <c r="M1898" s="115">
        <v>3011.55</v>
      </c>
      <c r="N1898" s="115">
        <v>3045</v>
      </c>
      <c r="O1898" s="115">
        <v>3000.15</v>
      </c>
      <c r="P1898" s="115">
        <v>3035</v>
      </c>
      <c r="Q1898" s="115">
        <v>3011.55</v>
      </c>
      <c r="R1898">
        <v>68752</v>
      </c>
    </row>
    <row r="1899" spans="1:18" x14ac:dyDescent="0.25">
      <c r="A1899" s="169">
        <v>44799</v>
      </c>
      <c r="B1899" s="115">
        <v>3039.5</v>
      </c>
      <c r="C1899" s="115">
        <v>3011.65</v>
      </c>
      <c r="D1899" s="115">
        <v>3001.7</v>
      </c>
      <c r="E1899" s="115">
        <v>3036.05</v>
      </c>
      <c r="F1899" s="115">
        <v>3011.65</v>
      </c>
      <c r="G1899">
        <v>1855</v>
      </c>
      <c r="H1899" s="115"/>
      <c r="I1899" s="115"/>
      <c r="L1899" s="169">
        <v>44802</v>
      </c>
      <c r="M1899" s="115">
        <v>2976.95</v>
      </c>
      <c r="N1899" s="115">
        <v>3000</v>
      </c>
      <c r="O1899" s="115">
        <v>2849.95</v>
      </c>
      <c r="P1899" s="115">
        <v>2880</v>
      </c>
      <c r="Q1899" s="115">
        <v>2976.95</v>
      </c>
      <c r="R1899">
        <v>145481</v>
      </c>
    </row>
    <row r="1900" spans="1:18" x14ac:dyDescent="0.25">
      <c r="A1900" s="169">
        <v>44802</v>
      </c>
      <c r="B1900" s="115">
        <v>3011.55</v>
      </c>
      <c r="C1900" s="115">
        <v>2974.85</v>
      </c>
      <c r="D1900" s="115">
        <v>2829</v>
      </c>
      <c r="E1900" s="115">
        <v>2829</v>
      </c>
      <c r="F1900" s="115">
        <v>2974.85</v>
      </c>
      <c r="G1900">
        <v>8641</v>
      </c>
      <c r="H1900" s="115"/>
      <c r="I1900" s="115"/>
      <c r="L1900" s="169">
        <v>44803</v>
      </c>
      <c r="M1900" s="115">
        <v>3040.55</v>
      </c>
      <c r="N1900" s="115">
        <v>3050</v>
      </c>
      <c r="O1900" s="115">
        <v>2980</v>
      </c>
      <c r="P1900" s="115">
        <v>3005</v>
      </c>
      <c r="Q1900" s="115">
        <v>3040.55</v>
      </c>
      <c r="R1900">
        <v>73572</v>
      </c>
    </row>
    <row r="1901" spans="1:18" x14ac:dyDescent="0.25">
      <c r="A1901" s="169">
        <v>44803</v>
      </c>
      <c r="B1901" s="115">
        <v>3049.8</v>
      </c>
      <c r="C1901" s="115">
        <v>3043.3</v>
      </c>
      <c r="D1901" s="115">
        <v>2995.45</v>
      </c>
      <c r="E1901" s="115">
        <v>3019.25</v>
      </c>
      <c r="F1901" s="115">
        <v>3043.3</v>
      </c>
      <c r="G1901">
        <v>2815</v>
      </c>
      <c r="H1901" s="115"/>
      <c r="I1901" s="115"/>
      <c r="L1901" s="169">
        <v>44805</v>
      </c>
      <c r="M1901" s="115">
        <v>3186.95</v>
      </c>
      <c r="N1901" s="115">
        <v>3200</v>
      </c>
      <c r="O1901" s="115">
        <v>3035.3</v>
      </c>
      <c r="P1901" s="115">
        <v>3048</v>
      </c>
      <c r="Q1901" s="115">
        <v>3186.95</v>
      </c>
      <c r="R1901">
        <v>239267</v>
      </c>
    </row>
    <row r="1902" spans="1:18" x14ac:dyDescent="0.25">
      <c r="A1902" s="169">
        <v>44805</v>
      </c>
      <c r="B1902" s="115">
        <v>3203.6</v>
      </c>
      <c r="C1902" s="115">
        <v>3187.7</v>
      </c>
      <c r="D1902" s="115">
        <v>3030</v>
      </c>
      <c r="E1902" s="115">
        <v>3030</v>
      </c>
      <c r="F1902" s="115">
        <v>3187.7</v>
      </c>
      <c r="G1902">
        <v>18621</v>
      </c>
      <c r="H1902" s="115"/>
      <c r="I1902" s="115"/>
      <c r="L1902" s="169">
        <v>44806</v>
      </c>
      <c r="M1902" s="115">
        <v>3141.7</v>
      </c>
      <c r="N1902" s="115">
        <v>3228.5</v>
      </c>
      <c r="O1902" s="115">
        <v>3120</v>
      </c>
      <c r="P1902" s="115">
        <v>3199</v>
      </c>
      <c r="Q1902" s="115">
        <v>3141.7</v>
      </c>
      <c r="R1902">
        <v>147839</v>
      </c>
    </row>
    <row r="1903" spans="1:18" x14ac:dyDescent="0.25">
      <c r="A1903" s="169">
        <v>44806</v>
      </c>
      <c r="B1903" s="115">
        <v>3230.05</v>
      </c>
      <c r="C1903" s="115">
        <v>3140.5</v>
      </c>
      <c r="D1903" s="115">
        <v>3118.15</v>
      </c>
      <c r="E1903" s="115">
        <v>3220</v>
      </c>
      <c r="F1903" s="115">
        <v>3140.5</v>
      </c>
      <c r="G1903">
        <v>9142</v>
      </c>
      <c r="H1903" s="115"/>
      <c r="I1903" s="115"/>
      <c r="L1903" s="169">
        <v>44809</v>
      </c>
      <c r="M1903" s="115">
        <v>3320.3</v>
      </c>
      <c r="N1903" s="115">
        <v>3444</v>
      </c>
      <c r="O1903" s="115">
        <v>3128.05</v>
      </c>
      <c r="P1903" s="115">
        <v>3163.8</v>
      </c>
      <c r="Q1903" s="115">
        <v>3320.3</v>
      </c>
      <c r="R1903">
        <v>244782</v>
      </c>
    </row>
    <row r="1904" spans="1:18" x14ac:dyDescent="0.25">
      <c r="A1904" s="169">
        <v>44809</v>
      </c>
      <c r="B1904" s="115">
        <v>3444.95</v>
      </c>
      <c r="C1904" s="115">
        <v>3321.75</v>
      </c>
      <c r="D1904" s="115">
        <v>3130.05</v>
      </c>
      <c r="E1904" s="115">
        <v>3170</v>
      </c>
      <c r="F1904" s="115">
        <v>3321.75</v>
      </c>
      <c r="G1904">
        <v>12932</v>
      </c>
      <c r="H1904" s="115"/>
      <c r="I1904" s="115"/>
      <c r="L1904" s="169">
        <v>44810</v>
      </c>
      <c r="M1904" s="115">
        <v>3331.75</v>
      </c>
      <c r="N1904" s="115">
        <v>3374</v>
      </c>
      <c r="O1904" s="115">
        <v>3280</v>
      </c>
      <c r="P1904" s="115">
        <v>3348.8</v>
      </c>
      <c r="Q1904" s="115">
        <v>3331.75</v>
      </c>
      <c r="R1904">
        <v>98851</v>
      </c>
    </row>
    <row r="1905" spans="1:18" x14ac:dyDescent="0.25">
      <c r="A1905" s="169">
        <v>44810</v>
      </c>
      <c r="B1905" s="115">
        <v>3375</v>
      </c>
      <c r="C1905" s="115">
        <v>3329.45</v>
      </c>
      <c r="D1905" s="115">
        <v>3278.65</v>
      </c>
      <c r="E1905" s="115">
        <v>3375</v>
      </c>
      <c r="F1905" s="115">
        <v>3329.45</v>
      </c>
      <c r="G1905">
        <v>9881</v>
      </c>
      <c r="H1905" s="115"/>
      <c r="I1905" s="115"/>
      <c r="L1905" s="169">
        <v>44811</v>
      </c>
      <c r="M1905" s="115">
        <v>3381.3</v>
      </c>
      <c r="N1905" s="115">
        <v>3434</v>
      </c>
      <c r="O1905" s="115">
        <v>3294.6</v>
      </c>
      <c r="P1905" s="115">
        <v>3301</v>
      </c>
      <c r="Q1905" s="115">
        <v>3381.3</v>
      </c>
      <c r="R1905">
        <v>198428</v>
      </c>
    </row>
    <row r="1906" spans="1:18" x14ac:dyDescent="0.25">
      <c r="A1906" s="169">
        <v>44811</v>
      </c>
      <c r="B1906" s="115">
        <v>3463.7</v>
      </c>
      <c r="C1906" s="115">
        <v>3380.6</v>
      </c>
      <c r="D1906" s="115">
        <v>3314.3</v>
      </c>
      <c r="E1906" s="115">
        <v>3347.65</v>
      </c>
      <c r="F1906" s="115">
        <v>3380.6</v>
      </c>
      <c r="G1906">
        <v>11474</v>
      </c>
      <c r="H1906" s="115"/>
      <c r="I1906" s="115"/>
      <c r="L1906" s="169">
        <v>44812</v>
      </c>
      <c r="M1906" s="115">
        <v>3510.8</v>
      </c>
      <c r="N1906" s="115">
        <v>3600</v>
      </c>
      <c r="O1906" s="115">
        <v>3405</v>
      </c>
      <c r="P1906" s="115">
        <v>3409.4</v>
      </c>
      <c r="Q1906" s="115">
        <v>3510.8</v>
      </c>
      <c r="R1906">
        <v>441156</v>
      </c>
    </row>
    <row r="1907" spans="1:18" x14ac:dyDescent="0.25">
      <c r="A1907" s="169">
        <v>44812</v>
      </c>
      <c r="B1907" s="115">
        <v>3599.9</v>
      </c>
      <c r="C1907" s="115">
        <v>3507.85</v>
      </c>
      <c r="D1907" s="115">
        <v>3401.5</v>
      </c>
      <c r="E1907" s="115">
        <v>3401.5</v>
      </c>
      <c r="F1907" s="115">
        <v>3507.85</v>
      </c>
      <c r="G1907">
        <v>20942</v>
      </c>
      <c r="H1907" s="115"/>
      <c r="I1907" s="115"/>
      <c r="L1907" s="169">
        <v>44813</v>
      </c>
      <c r="M1907" s="115">
        <v>3621.85</v>
      </c>
      <c r="N1907" s="115">
        <v>3744.7</v>
      </c>
      <c r="O1907" s="115">
        <v>3510.8</v>
      </c>
      <c r="P1907" s="115">
        <v>3515</v>
      </c>
      <c r="Q1907" s="115">
        <v>3621.85</v>
      </c>
      <c r="R1907">
        <v>458931</v>
      </c>
    </row>
    <row r="1908" spans="1:18" x14ac:dyDescent="0.25">
      <c r="A1908" s="169">
        <v>44813</v>
      </c>
      <c r="B1908" s="115">
        <v>3744</v>
      </c>
      <c r="C1908" s="115">
        <v>3621.95</v>
      </c>
      <c r="D1908" s="115">
        <v>3507.85</v>
      </c>
      <c r="E1908" s="115">
        <v>3507.85</v>
      </c>
      <c r="F1908" s="115">
        <v>3621.95</v>
      </c>
      <c r="G1908">
        <v>88469</v>
      </c>
      <c r="H1908" s="115"/>
      <c r="I1908" s="115"/>
      <c r="L1908" s="169">
        <v>44816</v>
      </c>
      <c r="M1908" s="115">
        <v>3599.5</v>
      </c>
      <c r="N1908" s="115">
        <v>3694.2</v>
      </c>
      <c r="O1908" s="115">
        <v>3585</v>
      </c>
      <c r="P1908" s="115">
        <v>3670</v>
      </c>
      <c r="Q1908" s="115">
        <v>3599.5</v>
      </c>
      <c r="R1908">
        <v>235152</v>
      </c>
    </row>
    <row r="1909" spans="1:18" x14ac:dyDescent="0.25">
      <c r="A1909" s="169">
        <v>44816</v>
      </c>
      <c r="B1909" s="115">
        <v>3697.7</v>
      </c>
      <c r="C1909" s="115">
        <v>3600</v>
      </c>
      <c r="D1909" s="115">
        <v>3585.8</v>
      </c>
      <c r="E1909" s="115">
        <v>3661</v>
      </c>
      <c r="F1909" s="115">
        <v>3600</v>
      </c>
      <c r="G1909">
        <v>20163</v>
      </c>
      <c r="H1909" s="115"/>
      <c r="I1909" s="115"/>
      <c r="L1909" s="169">
        <v>44817</v>
      </c>
      <c r="M1909" s="115">
        <v>3648.45</v>
      </c>
      <c r="N1909" s="115">
        <v>3659.25</v>
      </c>
      <c r="O1909" s="115">
        <v>3610.6</v>
      </c>
      <c r="P1909" s="115">
        <v>3635</v>
      </c>
      <c r="Q1909" s="115">
        <v>3648.45</v>
      </c>
      <c r="R1909">
        <v>127215</v>
      </c>
    </row>
    <row r="1910" spans="1:18" x14ac:dyDescent="0.25">
      <c r="A1910" s="169">
        <v>44817</v>
      </c>
      <c r="B1910" s="115">
        <v>3659.8</v>
      </c>
      <c r="C1910" s="115">
        <v>3645.6</v>
      </c>
      <c r="D1910" s="115">
        <v>3611.45</v>
      </c>
      <c r="E1910" s="115">
        <v>3615.05</v>
      </c>
      <c r="F1910" s="115">
        <v>3645.6</v>
      </c>
      <c r="G1910">
        <v>9819</v>
      </c>
      <c r="H1910" s="115"/>
      <c r="I1910" s="115"/>
      <c r="L1910" s="169">
        <v>44818</v>
      </c>
      <c r="M1910" s="115">
        <v>3625.45</v>
      </c>
      <c r="N1910" s="115">
        <v>3694</v>
      </c>
      <c r="O1910" s="115">
        <v>3597.25</v>
      </c>
      <c r="P1910" s="115">
        <v>3600</v>
      </c>
      <c r="Q1910" s="115">
        <v>3625.45</v>
      </c>
      <c r="R1910">
        <v>140391</v>
      </c>
    </row>
    <row r="1911" spans="1:18" x14ac:dyDescent="0.25">
      <c r="A1911" s="169">
        <v>44818</v>
      </c>
      <c r="B1911" s="115">
        <v>3693.55</v>
      </c>
      <c r="C1911" s="115">
        <v>3628.2</v>
      </c>
      <c r="D1911" s="115">
        <v>3598</v>
      </c>
      <c r="E1911" s="115">
        <v>3650</v>
      </c>
      <c r="F1911" s="115">
        <v>3628.2</v>
      </c>
      <c r="G1911">
        <v>13375</v>
      </c>
      <c r="H1911" s="115"/>
      <c r="I1911" s="115"/>
      <c r="L1911" s="169">
        <v>44819</v>
      </c>
      <c r="M1911" s="115">
        <v>3710.1</v>
      </c>
      <c r="N1911" s="115">
        <v>3969.85</v>
      </c>
      <c r="O1911" s="115">
        <v>3654.05</v>
      </c>
      <c r="P1911" s="115">
        <v>3662.2</v>
      </c>
      <c r="Q1911" s="115">
        <v>3710.1</v>
      </c>
      <c r="R1911">
        <v>662811</v>
      </c>
    </row>
    <row r="1912" spans="1:18" x14ac:dyDescent="0.25">
      <c r="A1912" s="169">
        <v>44819</v>
      </c>
      <c r="B1912" s="115">
        <v>3968.75</v>
      </c>
      <c r="C1912" s="115">
        <v>3705.95</v>
      </c>
      <c r="D1912" s="115">
        <v>3646.6</v>
      </c>
      <c r="E1912" s="115">
        <v>3650</v>
      </c>
      <c r="F1912" s="115">
        <v>3705.95</v>
      </c>
      <c r="G1912">
        <v>38917</v>
      </c>
      <c r="H1912" s="115"/>
      <c r="I1912" s="115"/>
      <c r="L1912" s="169">
        <v>44820</v>
      </c>
      <c r="M1912" s="115">
        <v>3524.05</v>
      </c>
      <c r="N1912" s="115">
        <v>3890</v>
      </c>
      <c r="O1912" s="115">
        <v>3401</v>
      </c>
      <c r="P1912" s="115">
        <v>3755</v>
      </c>
      <c r="Q1912" s="115">
        <v>3524.05</v>
      </c>
      <c r="R1912">
        <v>1032738</v>
      </c>
    </row>
    <row r="1913" spans="1:18" x14ac:dyDescent="0.25">
      <c r="A1913" s="169">
        <v>44820</v>
      </c>
      <c r="B1913" s="115">
        <v>3890.45</v>
      </c>
      <c r="C1913" s="115">
        <v>3547.65</v>
      </c>
      <c r="D1913" s="115">
        <v>3404.05</v>
      </c>
      <c r="E1913" s="115">
        <v>3750</v>
      </c>
      <c r="F1913" s="115">
        <v>3547.65</v>
      </c>
      <c r="G1913">
        <v>34425</v>
      </c>
      <c r="H1913" s="115"/>
      <c r="I1913" s="115"/>
      <c r="L1913" s="169">
        <v>44823</v>
      </c>
      <c r="M1913" s="115">
        <v>3382.3</v>
      </c>
      <c r="N1913" s="115">
        <v>3478</v>
      </c>
      <c r="O1913" s="115">
        <v>3245.8</v>
      </c>
      <c r="P1913" s="115">
        <v>3438</v>
      </c>
      <c r="Q1913" s="115">
        <v>3382.3</v>
      </c>
      <c r="R1913">
        <v>455807</v>
      </c>
    </row>
    <row r="1914" spans="1:18" x14ac:dyDescent="0.25">
      <c r="A1914" s="169">
        <v>44823</v>
      </c>
      <c r="B1914" s="115">
        <v>3478.8</v>
      </c>
      <c r="C1914" s="115">
        <v>3381.1</v>
      </c>
      <c r="D1914" s="115">
        <v>3240.95</v>
      </c>
      <c r="E1914" s="115">
        <v>3420.5</v>
      </c>
      <c r="F1914" s="115">
        <v>3381.1</v>
      </c>
      <c r="G1914">
        <v>89384</v>
      </c>
      <c r="H1914" s="115"/>
      <c r="I1914" s="115"/>
      <c r="L1914" s="169">
        <v>44824</v>
      </c>
      <c r="M1914" s="115">
        <v>3313.45</v>
      </c>
      <c r="N1914" s="115">
        <v>3455</v>
      </c>
      <c r="O1914" s="115">
        <v>3265</v>
      </c>
      <c r="P1914" s="115">
        <v>3416</v>
      </c>
      <c r="Q1914" s="115">
        <v>3313.45</v>
      </c>
      <c r="R1914">
        <v>412901</v>
      </c>
    </row>
    <row r="1915" spans="1:18" x14ac:dyDescent="0.25">
      <c r="A1915" s="169">
        <v>44824</v>
      </c>
      <c r="B1915" s="115">
        <v>3456.15</v>
      </c>
      <c r="C1915" s="115">
        <v>3315.9</v>
      </c>
      <c r="D1915" s="115">
        <v>3265.55</v>
      </c>
      <c r="E1915" s="115">
        <v>3417</v>
      </c>
      <c r="F1915" s="115">
        <v>3315.9</v>
      </c>
      <c r="G1915">
        <v>18156</v>
      </c>
      <c r="H1915" s="115"/>
      <c r="I1915" s="115"/>
      <c r="L1915" s="169">
        <v>44825</v>
      </c>
      <c r="M1915" s="115">
        <v>3340.25</v>
      </c>
      <c r="N1915" s="115">
        <v>3449.8</v>
      </c>
      <c r="O1915" s="115">
        <v>3304.85</v>
      </c>
      <c r="P1915" s="115">
        <v>3330</v>
      </c>
      <c r="Q1915" s="115">
        <v>3340.25</v>
      </c>
      <c r="R1915">
        <v>318322</v>
      </c>
    </row>
    <row r="1916" spans="1:18" x14ac:dyDescent="0.25">
      <c r="A1916" s="169">
        <v>44825</v>
      </c>
      <c r="B1916" s="115">
        <v>3448.05</v>
      </c>
      <c r="C1916" s="115">
        <v>3343.65</v>
      </c>
      <c r="D1916" s="115">
        <v>3304.9</v>
      </c>
      <c r="E1916" s="115">
        <v>3325</v>
      </c>
      <c r="F1916" s="115">
        <v>3343.65</v>
      </c>
      <c r="G1916">
        <v>17391</v>
      </c>
      <c r="H1916" s="115"/>
      <c r="I1916" s="115"/>
      <c r="L1916" s="169">
        <v>44826</v>
      </c>
      <c r="M1916" s="115">
        <v>3326.1</v>
      </c>
      <c r="N1916" s="115">
        <v>3398</v>
      </c>
      <c r="O1916" s="115">
        <v>3265.5</v>
      </c>
      <c r="P1916" s="115">
        <v>3349.1</v>
      </c>
      <c r="Q1916" s="115">
        <v>3326.1</v>
      </c>
      <c r="R1916">
        <v>153440</v>
      </c>
    </row>
    <row r="1917" spans="1:18" x14ac:dyDescent="0.25">
      <c r="A1917" s="169">
        <v>44826</v>
      </c>
      <c r="B1917" s="115">
        <v>3396</v>
      </c>
      <c r="C1917" s="115">
        <v>3315.8</v>
      </c>
      <c r="D1917" s="115">
        <v>3267</v>
      </c>
      <c r="E1917" s="115">
        <v>3350</v>
      </c>
      <c r="F1917" s="115">
        <v>3315.8</v>
      </c>
      <c r="G1917">
        <v>12364</v>
      </c>
      <c r="H1917" s="115"/>
      <c r="I1917" s="115"/>
      <c r="L1917" s="169">
        <v>44827</v>
      </c>
      <c r="M1917" s="115">
        <v>3240.5</v>
      </c>
      <c r="N1917" s="115">
        <v>3345</v>
      </c>
      <c r="O1917" s="115">
        <v>3205</v>
      </c>
      <c r="P1917" s="115">
        <v>3345</v>
      </c>
      <c r="Q1917" s="115">
        <v>3240.5</v>
      </c>
      <c r="R1917">
        <v>174914</v>
      </c>
    </row>
    <row r="1918" spans="1:18" x14ac:dyDescent="0.25">
      <c r="A1918" s="169">
        <v>44827</v>
      </c>
      <c r="B1918" s="115">
        <v>3331.8</v>
      </c>
      <c r="C1918" s="115">
        <v>3238.2</v>
      </c>
      <c r="D1918" s="115">
        <v>3205</v>
      </c>
      <c r="E1918" s="115">
        <v>3330.4</v>
      </c>
      <c r="F1918" s="115">
        <v>3238.2</v>
      </c>
      <c r="G1918">
        <v>4896</v>
      </c>
      <c r="H1918" s="115"/>
      <c r="I1918" s="115"/>
      <c r="L1918" s="169">
        <v>44830</v>
      </c>
      <c r="M1918" s="115">
        <v>3188.6</v>
      </c>
      <c r="N1918" s="115">
        <v>3260</v>
      </c>
      <c r="O1918" s="115">
        <v>3142</v>
      </c>
      <c r="P1918" s="115">
        <v>3200.05</v>
      </c>
      <c r="Q1918" s="115">
        <v>3188.6</v>
      </c>
      <c r="R1918">
        <v>130533</v>
      </c>
    </row>
    <row r="1919" spans="1:18" x14ac:dyDescent="0.25">
      <c r="A1919" s="169">
        <v>44830</v>
      </c>
      <c r="B1919" s="115">
        <v>3257.45</v>
      </c>
      <c r="C1919" s="115">
        <v>3185.75</v>
      </c>
      <c r="D1919" s="115">
        <v>3141.65</v>
      </c>
      <c r="E1919" s="115">
        <v>3230</v>
      </c>
      <c r="F1919" s="115">
        <v>3185.75</v>
      </c>
      <c r="G1919">
        <v>6475</v>
      </c>
      <c r="H1919" s="115"/>
      <c r="I1919" s="115"/>
      <c r="L1919" s="169">
        <v>44831</v>
      </c>
      <c r="M1919" s="115">
        <v>3161.05</v>
      </c>
      <c r="N1919" s="115">
        <v>3267.45</v>
      </c>
      <c r="O1919" s="115">
        <v>3131.3</v>
      </c>
      <c r="P1919" s="115">
        <v>3243.95</v>
      </c>
      <c r="Q1919" s="115">
        <v>3161.05</v>
      </c>
      <c r="R1919">
        <v>161022</v>
      </c>
    </row>
    <row r="1920" spans="1:18" x14ac:dyDescent="0.25">
      <c r="A1920" s="169">
        <v>44831</v>
      </c>
      <c r="B1920" s="115">
        <v>3255.65</v>
      </c>
      <c r="C1920" s="115">
        <v>3160.75</v>
      </c>
      <c r="D1920" s="115">
        <v>3130.9</v>
      </c>
      <c r="E1920" s="115">
        <v>3227.25</v>
      </c>
      <c r="F1920" s="115">
        <v>3160.75</v>
      </c>
      <c r="G1920">
        <v>6220</v>
      </c>
      <c r="H1920" s="115"/>
      <c r="I1920" s="115"/>
      <c r="L1920" s="169">
        <v>44832</v>
      </c>
      <c r="M1920" s="115">
        <v>3148</v>
      </c>
      <c r="N1920" s="115">
        <v>3199</v>
      </c>
      <c r="O1920" s="115">
        <v>3121</v>
      </c>
      <c r="P1920" s="115">
        <v>3121</v>
      </c>
      <c r="Q1920" s="115">
        <v>3148</v>
      </c>
      <c r="R1920">
        <v>132010</v>
      </c>
    </row>
    <row r="1921" spans="1:18" x14ac:dyDescent="0.25">
      <c r="A1921" s="169">
        <v>44832</v>
      </c>
      <c r="B1921" s="115">
        <v>3186.4</v>
      </c>
      <c r="C1921" s="115">
        <v>3145.55</v>
      </c>
      <c r="D1921" s="115">
        <v>3130</v>
      </c>
      <c r="E1921" s="115">
        <v>3147.55</v>
      </c>
      <c r="F1921" s="115">
        <v>3145.55</v>
      </c>
      <c r="G1921">
        <v>5065</v>
      </c>
      <c r="H1921" s="115"/>
      <c r="I1921" s="115"/>
      <c r="L1921" s="169">
        <v>44833</v>
      </c>
      <c r="M1921" s="115">
        <v>3115.15</v>
      </c>
      <c r="N1921" s="115">
        <v>3227</v>
      </c>
      <c r="O1921" s="115">
        <v>3071.95</v>
      </c>
      <c r="P1921" s="115">
        <v>3190.95</v>
      </c>
      <c r="Q1921" s="115">
        <v>3115.15</v>
      </c>
      <c r="R1921">
        <v>143137</v>
      </c>
    </row>
    <row r="1922" spans="1:18" x14ac:dyDescent="0.25">
      <c r="A1922" s="169">
        <v>44833</v>
      </c>
      <c r="B1922" s="115">
        <v>3220.3</v>
      </c>
      <c r="C1922" s="115">
        <v>3114.5</v>
      </c>
      <c r="D1922" s="115">
        <v>3074.45</v>
      </c>
      <c r="E1922" s="115">
        <v>3174.55</v>
      </c>
      <c r="F1922" s="115">
        <v>3114.5</v>
      </c>
      <c r="G1922">
        <v>7975</v>
      </c>
      <c r="H1922" s="115"/>
      <c r="I1922" s="115"/>
      <c r="L1922" s="169">
        <v>44834</v>
      </c>
      <c r="M1922" s="115">
        <v>3212.35</v>
      </c>
      <c r="N1922" s="115">
        <v>3295</v>
      </c>
      <c r="O1922" s="115">
        <v>2981.35</v>
      </c>
      <c r="P1922" s="115">
        <v>3071.35</v>
      </c>
      <c r="Q1922" s="115">
        <v>3212.35</v>
      </c>
      <c r="R1922">
        <v>289718</v>
      </c>
    </row>
    <row r="1923" spans="1:18" x14ac:dyDescent="0.25">
      <c r="A1923" s="169">
        <v>44834</v>
      </c>
      <c r="B1923" s="115">
        <v>3293</v>
      </c>
      <c r="C1923" s="115">
        <v>3213.3</v>
      </c>
      <c r="D1923" s="115">
        <v>2982.05</v>
      </c>
      <c r="E1923" s="115">
        <v>3098.95</v>
      </c>
      <c r="F1923" s="115">
        <v>3213.3</v>
      </c>
      <c r="G1923">
        <v>12600</v>
      </c>
      <c r="H1923" s="115"/>
      <c r="I1923" s="115"/>
      <c r="L1923" s="169">
        <v>44837</v>
      </c>
      <c r="M1923" s="115">
        <v>3186</v>
      </c>
      <c r="N1923" s="115">
        <v>3223.15</v>
      </c>
      <c r="O1923" s="115">
        <v>3124</v>
      </c>
      <c r="P1923" s="115">
        <v>3177.4</v>
      </c>
      <c r="Q1923" s="115">
        <v>3186</v>
      </c>
      <c r="R1923">
        <v>126046</v>
      </c>
    </row>
    <row r="1924" spans="1:18" x14ac:dyDescent="0.25">
      <c r="A1924" s="169">
        <v>44837</v>
      </c>
      <c r="B1924" s="115">
        <v>3225</v>
      </c>
      <c r="C1924" s="115">
        <v>3178.7</v>
      </c>
      <c r="D1924" s="115">
        <v>3116.1</v>
      </c>
      <c r="E1924" s="115">
        <v>3170.05</v>
      </c>
      <c r="F1924" s="115">
        <v>3178.7</v>
      </c>
      <c r="G1924">
        <v>14836</v>
      </c>
      <c r="H1924" s="115"/>
      <c r="I1924" s="115"/>
      <c r="L1924" s="169">
        <v>44838</v>
      </c>
      <c r="M1924" s="115">
        <v>3278.35</v>
      </c>
      <c r="N1924" s="115">
        <v>3319.4</v>
      </c>
      <c r="O1924" s="115">
        <v>3224.95</v>
      </c>
      <c r="P1924" s="115">
        <v>3225</v>
      </c>
      <c r="Q1924" s="115">
        <v>3278.35</v>
      </c>
      <c r="R1924">
        <v>113568</v>
      </c>
    </row>
    <row r="1925" spans="1:18" x14ac:dyDescent="0.25">
      <c r="A1925" s="169">
        <v>44838</v>
      </c>
      <c r="B1925" s="115">
        <v>3319.2</v>
      </c>
      <c r="C1925" s="115">
        <v>3279.05</v>
      </c>
      <c r="D1925" s="115">
        <v>3224</v>
      </c>
      <c r="E1925" s="115">
        <v>3224</v>
      </c>
      <c r="F1925" s="115">
        <v>3279.05</v>
      </c>
      <c r="G1925">
        <v>7425</v>
      </c>
      <c r="H1925" s="115"/>
      <c r="I1925" s="115"/>
      <c r="L1925" s="169">
        <v>44840</v>
      </c>
      <c r="M1925" s="115">
        <v>3388.2</v>
      </c>
      <c r="N1925" s="115">
        <v>3419.95</v>
      </c>
      <c r="O1925" s="115">
        <v>3285</v>
      </c>
      <c r="P1925" s="115">
        <v>3285</v>
      </c>
      <c r="Q1925" s="115">
        <v>3388.2</v>
      </c>
      <c r="R1925">
        <v>129663</v>
      </c>
    </row>
    <row r="1926" spans="1:18" x14ac:dyDescent="0.25">
      <c r="A1926" s="169">
        <v>44840</v>
      </c>
      <c r="B1926" s="115">
        <v>3420</v>
      </c>
      <c r="C1926" s="115">
        <v>3393.6</v>
      </c>
      <c r="D1926" s="115">
        <v>3287.55</v>
      </c>
      <c r="E1926" s="115">
        <v>3299.95</v>
      </c>
      <c r="F1926" s="115">
        <v>3393.6</v>
      </c>
      <c r="G1926">
        <v>11234</v>
      </c>
      <c r="H1926" s="115"/>
      <c r="I1926" s="115"/>
      <c r="L1926" s="169">
        <v>44841</v>
      </c>
      <c r="M1926" s="115">
        <v>3293.85</v>
      </c>
      <c r="N1926" s="115">
        <v>3406.05</v>
      </c>
      <c r="O1926" s="115">
        <v>3265</v>
      </c>
      <c r="P1926" s="115">
        <v>3406.05</v>
      </c>
      <c r="Q1926" s="115">
        <v>3293.85</v>
      </c>
      <c r="R1926">
        <v>222605</v>
      </c>
    </row>
    <row r="1927" spans="1:18" x14ac:dyDescent="0.25">
      <c r="A1927" s="169">
        <v>44841</v>
      </c>
      <c r="B1927" s="115">
        <v>3416.75</v>
      </c>
      <c r="C1927" s="115">
        <v>3291.6</v>
      </c>
      <c r="D1927" s="115">
        <v>3265</v>
      </c>
      <c r="E1927" s="115">
        <v>3398.05</v>
      </c>
      <c r="F1927" s="115">
        <v>3291.6</v>
      </c>
      <c r="G1927">
        <v>10709</v>
      </c>
      <c r="H1927" s="115"/>
      <c r="I1927" s="115"/>
      <c r="L1927" s="169">
        <v>44844</v>
      </c>
      <c r="M1927" s="115">
        <v>3268.1</v>
      </c>
      <c r="N1927" s="115">
        <v>3300</v>
      </c>
      <c r="O1927" s="115">
        <v>3194.1</v>
      </c>
      <c r="P1927" s="115">
        <v>3239.85</v>
      </c>
      <c r="Q1927" s="115">
        <v>3268.1</v>
      </c>
      <c r="R1927">
        <v>91557</v>
      </c>
    </row>
    <row r="1928" spans="1:18" x14ac:dyDescent="0.25">
      <c r="A1928" s="169">
        <v>44844</v>
      </c>
      <c r="B1928" s="115">
        <v>3299</v>
      </c>
      <c r="C1928" s="115">
        <v>3264.9</v>
      </c>
      <c r="D1928" s="115">
        <v>3195</v>
      </c>
      <c r="E1928" s="115">
        <v>3269.95</v>
      </c>
      <c r="F1928" s="115">
        <v>3264.9</v>
      </c>
      <c r="G1928">
        <v>4028</v>
      </c>
      <c r="H1928" s="115"/>
      <c r="I1928" s="115"/>
      <c r="L1928" s="169">
        <v>44845</v>
      </c>
      <c r="M1928" s="115">
        <v>3291.9</v>
      </c>
      <c r="N1928" s="115">
        <v>3349</v>
      </c>
      <c r="O1928" s="115">
        <v>3250</v>
      </c>
      <c r="P1928" s="115">
        <v>3268.1</v>
      </c>
      <c r="Q1928" s="115">
        <v>3291.9</v>
      </c>
      <c r="R1928">
        <v>130821</v>
      </c>
    </row>
    <row r="1929" spans="1:18" x14ac:dyDescent="0.25">
      <c r="A1929" s="169">
        <v>44845</v>
      </c>
      <c r="B1929" s="115">
        <v>3347.45</v>
      </c>
      <c r="C1929" s="115">
        <v>3277.1</v>
      </c>
      <c r="D1929" s="115">
        <v>3255</v>
      </c>
      <c r="E1929" s="115">
        <v>3307</v>
      </c>
      <c r="F1929" s="115">
        <v>3277.1</v>
      </c>
      <c r="G1929">
        <v>72063</v>
      </c>
      <c r="H1929" s="115"/>
      <c r="I1929" s="115"/>
      <c r="L1929" s="169">
        <v>44846</v>
      </c>
      <c r="M1929" s="115">
        <v>3291.1</v>
      </c>
      <c r="N1929" s="115">
        <v>3333.85</v>
      </c>
      <c r="O1929" s="115">
        <v>3267.4</v>
      </c>
      <c r="P1929" s="115">
        <v>3300</v>
      </c>
      <c r="Q1929" s="115">
        <v>3291.1</v>
      </c>
      <c r="R1929">
        <v>70225</v>
      </c>
    </row>
    <row r="1930" spans="1:18" x14ac:dyDescent="0.25">
      <c r="A1930" s="169">
        <v>44846</v>
      </c>
      <c r="B1930" s="115">
        <v>3348.05</v>
      </c>
      <c r="C1930" s="115">
        <v>3288.25</v>
      </c>
      <c r="D1930" s="115">
        <v>3234</v>
      </c>
      <c r="E1930" s="115">
        <v>3348.05</v>
      </c>
      <c r="F1930" s="115">
        <v>3288.25</v>
      </c>
      <c r="G1930">
        <v>3480</v>
      </c>
      <c r="H1930" s="115"/>
      <c r="I1930" s="115"/>
      <c r="L1930" s="169">
        <v>44847</v>
      </c>
      <c r="M1930" s="115">
        <v>3300.15</v>
      </c>
      <c r="N1930" s="115">
        <v>3370.35</v>
      </c>
      <c r="O1930" s="115">
        <v>3272.05</v>
      </c>
      <c r="P1930" s="115">
        <v>3300</v>
      </c>
      <c r="Q1930" s="115">
        <v>3300.15</v>
      </c>
      <c r="R1930">
        <v>137908</v>
      </c>
    </row>
    <row r="1931" spans="1:18" x14ac:dyDescent="0.25">
      <c r="A1931" s="169">
        <v>44847</v>
      </c>
      <c r="B1931" s="115">
        <v>3369</v>
      </c>
      <c r="C1931" s="115">
        <v>3300.2</v>
      </c>
      <c r="D1931" s="115">
        <v>3261.8</v>
      </c>
      <c r="E1931" s="115">
        <v>3261.8</v>
      </c>
      <c r="F1931" s="115">
        <v>3300.2</v>
      </c>
      <c r="G1931">
        <v>4037</v>
      </c>
      <c r="H1931" s="115"/>
      <c r="I1931" s="115"/>
      <c r="L1931" s="169">
        <v>44848</v>
      </c>
      <c r="M1931" s="115">
        <v>3202.15</v>
      </c>
      <c r="N1931" s="115">
        <v>3352.45</v>
      </c>
      <c r="O1931" s="115">
        <v>3163.25</v>
      </c>
      <c r="P1931" s="115">
        <v>3340</v>
      </c>
      <c r="Q1931" s="115">
        <v>3202.15</v>
      </c>
      <c r="R1931">
        <v>173548</v>
      </c>
    </row>
    <row r="1932" spans="1:18" x14ac:dyDescent="0.25">
      <c r="A1932" s="169">
        <v>44848</v>
      </c>
      <c r="B1932" s="115">
        <v>3352.8</v>
      </c>
      <c r="C1932" s="115">
        <v>3197.35</v>
      </c>
      <c r="D1932" s="115">
        <v>3165.05</v>
      </c>
      <c r="E1932" s="115">
        <v>3305.15</v>
      </c>
      <c r="F1932" s="115">
        <v>3197.35</v>
      </c>
      <c r="G1932">
        <v>12328</v>
      </c>
      <c r="H1932" s="115"/>
      <c r="I1932" s="115"/>
      <c r="L1932" s="169">
        <v>44851</v>
      </c>
      <c r="M1932" s="115">
        <v>3285.7</v>
      </c>
      <c r="N1932" s="115">
        <v>3318.8</v>
      </c>
      <c r="O1932" s="115">
        <v>3182.95</v>
      </c>
      <c r="P1932" s="115">
        <v>3202.15</v>
      </c>
      <c r="Q1932" s="115">
        <v>3285.7</v>
      </c>
      <c r="R1932">
        <v>144689</v>
      </c>
    </row>
    <row r="1933" spans="1:18" x14ac:dyDescent="0.25">
      <c r="A1933" s="169">
        <v>44851</v>
      </c>
      <c r="B1933" s="115">
        <v>3318.1</v>
      </c>
      <c r="C1933" s="115">
        <v>3286.65</v>
      </c>
      <c r="D1933" s="115">
        <v>3182.75</v>
      </c>
      <c r="E1933" s="115">
        <v>3202.2</v>
      </c>
      <c r="F1933" s="115">
        <v>3286.65</v>
      </c>
      <c r="G1933">
        <v>75872</v>
      </c>
      <c r="H1933" s="115"/>
      <c r="I1933" s="115"/>
      <c r="L1933" s="169">
        <v>44852</v>
      </c>
      <c r="M1933" s="115">
        <v>3192.15</v>
      </c>
      <c r="N1933" s="115">
        <v>3304.75</v>
      </c>
      <c r="O1933" s="115">
        <v>3170</v>
      </c>
      <c r="P1933" s="115">
        <v>3300</v>
      </c>
      <c r="Q1933" s="115">
        <v>3192.15</v>
      </c>
      <c r="R1933">
        <v>145944</v>
      </c>
    </row>
    <row r="1934" spans="1:18" x14ac:dyDescent="0.25">
      <c r="A1934" s="169">
        <v>44852</v>
      </c>
      <c r="B1934" s="115">
        <v>3300</v>
      </c>
      <c r="C1934" s="115">
        <v>3189.5</v>
      </c>
      <c r="D1934" s="115">
        <v>3170.05</v>
      </c>
      <c r="E1934" s="115">
        <v>3296</v>
      </c>
      <c r="F1934" s="115">
        <v>3189.5</v>
      </c>
      <c r="G1934">
        <v>10481</v>
      </c>
      <c r="H1934" s="115"/>
      <c r="I1934" s="115"/>
      <c r="L1934" s="169">
        <v>44853</v>
      </c>
      <c r="M1934" s="115">
        <v>3189.05</v>
      </c>
      <c r="N1934" s="115">
        <v>3255</v>
      </c>
      <c r="O1934" s="115">
        <v>3154.85</v>
      </c>
      <c r="P1934" s="115">
        <v>3195</v>
      </c>
      <c r="Q1934" s="115">
        <v>3189.05</v>
      </c>
      <c r="R1934">
        <v>215099</v>
      </c>
    </row>
    <row r="1935" spans="1:18" x14ac:dyDescent="0.25">
      <c r="A1935" s="169">
        <v>44853</v>
      </c>
      <c r="B1935" s="115">
        <v>3251.2</v>
      </c>
      <c r="C1935" s="115">
        <v>3186.85</v>
      </c>
      <c r="D1935" s="115">
        <v>3157</v>
      </c>
      <c r="E1935" s="115">
        <v>3205</v>
      </c>
      <c r="F1935" s="115">
        <v>3186.85</v>
      </c>
      <c r="G1935">
        <v>8177</v>
      </c>
      <c r="H1935" s="115"/>
      <c r="I1935" s="115"/>
      <c r="L1935" s="169">
        <v>44854</v>
      </c>
      <c r="M1935" s="115">
        <v>2946</v>
      </c>
      <c r="N1935" s="115">
        <v>3190.95</v>
      </c>
      <c r="O1935" s="115">
        <v>2906</v>
      </c>
      <c r="P1935" s="115">
        <v>3167</v>
      </c>
      <c r="Q1935" s="115">
        <v>2946</v>
      </c>
      <c r="R1935">
        <v>348908</v>
      </c>
    </row>
    <row r="1936" spans="1:18" x14ac:dyDescent="0.25">
      <c r="A1936" s="169">
        <v>44854</v>
      </c>
      <c r="B1936" s="115">
        <v>3190</v>
      </c>
      <c r="C1936" s="115">
        <v>2948.55</v>
      </c>
      <c r="D1936" s="115">
        <v>2908.6</v>
      </c>
      <c r="E1936" s="115">
        <v>3190</v>
      </c>
      <c r="F1936" s="115">
        <v>2948.55</v>
      </c>
      <c r="G1936">
        <v>16463</v>
      </c>
      <c r="H1936" s="115"/>
      <c r="I1936" s="115"/>
      <c r="L1936" s="169">
        <v>44855</v>
      </c>
      <c r="M1936" s="115">
        <v>3047.65</v>
      </c>
      <c r="N1936" s="115">
        <v>3100</v>
      </c>
      <c r="O1936" s="115">
        <v>2913.9</v>
      </c>
      <c r="P1936" s="115">
        <v>2960</v>
      </c>
      <c r="Q1936" s="115">
        <v>3047.65</v>
      </c>
      <c r="R1936">
        <v>329939</v>
      </c>
    </row>
    <row r="1937" spans="1:18" x14ac:dyDescent="0.25">
      <c r="A1937" s="169">
        <v>44855</v>
      </c>
      <c r="B1937" s="115">
        <v>3098</v>
      </c>
      <c r="C1937" s="115">
        <v>3049</v>
      </c>
      <c r="D1937" s="115">
        <v>2912.25</v>
      </c>
      <c r="E1937" s="115">
        <v>2969.1</v>
      </c>
      <c r="F1937" s="115">
        <v>3049</v>
      </c>
      <c r="G1937">
        <v>17018</v>
      </c>
      <c r="H1937" s="115"/>
      <c r="I1937" s="115"/>
      <c r="L1937" s="169">
        <v>44858</v>
      </c>
      <c r="M1937" s="115">
        <v>3084.65</v>
      </c>
      <c r="N1937" s="115">
        <v>3100</v>
      </c>
      <c r="O1937" s="115">
        <v>3050</v>
      </c>
      <c r="P1937" s="115">
        <v>3060</v>
      </c>
      <c r="Q1937" s="115">
        <v>3084.65</v>
      </c>
      <c r="R1937">
        <v>22041</v>
      </c>
    </row>
    <row r="1938" spans="1:18" x14ac:dyDescent="0.25">
      <c r="A1938" s="169">
        <v>44858</v>
      </c>
      <c r="B1938" s="115">
        <v>3100</v>
      </c>
      <c r="C1938" s="115">
        <v>3083.9</v>
      </c>
      <c r="D1938" s="115">
        <v>3052</v>
      </c>
      <c r="E1938" s="115">
        <v>3052</v>
      </c>
      <c r="F1938" s="115">
        <v>3083.9</v>
      </c>
      <c r="G1938">
        <v>3646</v>
      </c>
      <c r="H1938" s="115"/>
      <c r="I1938" s="115"/>
      <c r="L1938" s="169">
        <v>44859</v>
      </c>
      <c r="M1938" s="115">
        <v>2961.8</v>
      </c>
      <c r="N1938" s="115">
        <v>3098.8</v>
      </c>
      <c r="O1938" s="115">
        <v>2927.05</v>
      </c>
      <c r="P1938" s="115">
        <v>3098.8</v>
      </c>
      <c r="Q1938" s="115">
        <v>2961.8</v>
      </c>
      <c r="R1938">
        <v>164692</v>
      </c>
    </row>
    <row r="1939" spans="1:18" x14ac:dyDescent="0.25">
      <c r="A1939" s="169">
        <v>44859</v>
      </c>
      <c r="B1939" s="115">
        <v>3100</v>
      </c>
      <c r="C1939" s="115">
        <v>2963.5</v>
      </c>
      <c r="D1939" s="115">
        <v>2951</v>
      </c>
      <c r="E1939" s="115">
        <v>3100</v>
      </c>
      <c r="F1939" s="115">
        <v>2963.5</v>
      </c>
      <c r="G1939">
        <v>71412</v>
      </c>
      <c r="H1939" s="115"/>
      <c r="I1939" s="115"/>
      <c r="L1939" s="169">
        <v>44861</v>
      </c>
      <c r="M1939" s="115">
        <v>2866</v>
      </c>
      <c r="N1939" s="115">
        <v>2983.65</v>
      </c>
      <c r="O1939" s="115">
        <v>2851.1</v>
      </c>
      <c r="P1939" s="115">
        <v>2974.95</v>
      </c>
      <c r="Q1939" s="115">
        <v>2866</v>
      </c>
      <c r="R1939">
        <v>154802</v>
      </c>
    </row>
    <row r="1940" spans="1:18" x14ac:dyDescent="0.25">
      <c r="A1940" s="169">
        <v>44861</v>
      </c>
      <c r="B1940" s="115">
        <v>2976.15</v>
      </c>
      <c r="C1940" s="115">
        <v>2868.5</v>
      </c>
      <c r="D1940" s="115">
        <v>2852.9</v>
      </c>
      <c r="E1940" s="115">
        <v>2963.75</v>
      </c>
      <c r="F1940" s="115">
        <v>2868.5</v>
      </c>
      <c r="G1940">
        <v>13444</v>
      </c>
      <c r="H1940" s="115"/>
      <c r="I1940" s="115"/>
      <c r="L1940" s="169">
        <v>44862</v>
      </c>
      <c r="M1940" s="115">
        <v>2736.4</v>
      </c>
      <c r="N1940" s="115">
        <v>2887.15</v>
      </c>
      <c r="O1940" s="115">
        <v>2706</v>
      </c>
      <c r="P1940" s="115">
        <v>2872</v>
      </c>
      <c r="Q1940" s="115">
        <v>2736.4</v>
      </c>
      <c r="R1940">
        <v>316472</v>
      </c>
    </row>
    <row r="1941" spans="1:18" x14ac:dyDescent="0.25">
      <c r="A1941" s="169">
        <v>44862</v>
      </c>
      <c r="B1941" s="115">
        <v>2880</v>
      </c>
      <c r="C1941" s="115">
        <v>2735.65</v>
      </c>
      <c r="D1941" s="115">
        <v>2706.05</v>
      </c>
      <c r="E1941" s="115">
        <v>2867.9</v>
      </c>
      <c r="F1941" s="115">
        <v>2735.65</v>
      </c>
      <c r="G1941">
        <v>20093</v>
      </c>
      <c r="H1941" s="115"/>
      <c r="I1941" s="115"/>
      <c r="L1941" s="169">
        <v>44865</v>
      </c>
      <c r="M1941" s="115">
        <v>2754.6</v>
      </c>
      <c r="N1941" s="115">
        <v>2794.7</v>
      </c>
      <c r="O1941" s="115">
        <v>2682.85</v>
      </c>
      <c r="P1941" s="115">
        <v>2750.1</v>
      </c>
      <c r="Q1941" s="115">
        <v>2754.6</v>
      </c>
      <c r="R1941">
        <v>221429</v>
      </c>
    </row>
    <row r="1942" spans="1:18" x14ac:dyDescent="0.25">
      <c r="A1942" s="169">
        <v>44865</v>
      </c>
      <c r="B1942" s="115">
        <v>2791.95</v>
      </c>
      <c r="C1942" s="115">
        <v>2753.75</v>
      </c>
      <c r="D1942" s="115">
        <v>2681.95</v>
      </c>
      <c r="E1942" s="115">
        <v>2730.65</v>
      </c>
      <c r="F1942" s="115">
        <v>2753.75</v>
      </c>
      <c r="G1942">
        <v>6936</v>
      </c>
      <c r="H1942" s="115"/>
      <c r="I1942" s="115"/>
      <c r="L1942" s="169">
        <v>44866</v>
      </c>
      <c r="M1942" s="115">
        <v>2807.85</v>
      </c>
      <c r="N1942" s="115">
        <v>2819.95</v>
      </c>
      <c r="O1942" s="115">
        <v>2722</v>
      </c>
      <c r="P1942" s="115">
        <v>2754.6</v>
      </c>
      <c r="Q1942" s="115">
        <v>2807.85</v>
      </c>
      <c r="R1942">
        <v>169937</v>
      </c>
    </row>
    <row r="1943" spans="1:18" x14ac:dyDescent="0.25">
      <c r="A1943" s="169">
        <v>44866</v>
      </c>
      <c r="B1943" s="115">
        <v>2819</v>
      </c>
      <c r="C1943" s="115">
        <v>2807.95</v>
      </c>
      <c r="D1943" s="115">
        <v>2725</v>
      </c>
      <c r="E1943" s="115">
        <v>2750</v>
      </c>
      <c r="F1943" s="115">
        <v>2807.95</v>
      </c>
      <c r="G1943">
        <v>5934</v>
      </c>
      <c r="H1943" s="115"/>
      <c r="I1943" s="115"/>
      <c r="L1943" s="169">
        <v>44867</v>
      </c>
      <c r="M1943" s="115">
        <v>2839.6</v>
      </c>
      <c r="N1943" s="115">
        <v>2857.45</v>
      </c>
      <c r="O1943" s="115">
        <v>2807</v>
      </c>
      <c r="P1943" s="115">
        <v>2807</v>
      </c>
      <c r="Q1943" s="115">
        <v>2839.6</v>
      </c>
      <c r="R1943">
        <v>106024</v>
      </c>
    </row>
    <row r="1944" spans="1:18" x14ac:dyDescent="0.25">
      <c r="A1944" s="169">
        <v>44867</v>
      </c>
      <c r="B1944" s="115">
        <v>2855</v>
      </c>
      <c r="C1944" s="115">
        <v>2837.6</v>
      </c>
      <c r="D1944" s="115">
        <v>2807.85</v>
      </c>
      <c r="E1944" s="115">
        <v>2807.85</v>
      </c>
      <c r="F1944" s="115">
        <v>2837.6</v>
      </c>
      <c r="G1944">
        <v>5271</v>
      </c>
      <c r="H1944" s="115"/>
      <c r="I1944" s="115"/>
      <c r="L1944" s="169">
        <v>44868</v>
      </c>
      <c r="M1944" s="115">
        <v>2822.5</v>
      </c>
      <c r="N1944" s="115">
        <v>2847.8</v>
      </c>
      <c r="O1944" s="115">
        <v>2784.6</v>
      </c>
      <c r="P1944" s="115">
        <v>2815</v>
      </c>
      <c r="Q1944" s="115">
        <v>2822.5</v>
      </c>
      <c r="R1944">
        <v>111122</v>
      </c>
    </row>
    <row r="1945" spans="1:18" x14ac:dyDescent="0.25">
      <c r="A1945" s="169">
        <v>44868</v>
      </c>
      <c r="B1945" s="115">
        <v>2832.7</v>
      </c>
      <c r="C1945" s="115">
        <v>2820.75</v>
      </c>
      <c r="D1945" s="115">
        <v>2785.7</v>
      </c>
      <c r="E1945" s="115">
        <v>2830</v>
      </c>
      <c r="F1945" s="115">
        <v>2820.75</v>
      </c>
      <c r="G1945">
        <v>3476</v>
      </c>
      <c r="H1945" s="115"/>
      <c r="I1945" s="115"/>
      <c r="L1945" s="169">
        <v>44869</v>
      </c>
      <c r="M1945" s="115">
        <v>2920.15</v>
      </c>
      <c r="N1945" s="115">
        <v>2942.45</v>
      </c>
      <c r="O1945" s="115">
        <v>2822.5</v>
      </c>
      <c r="P1945" s="115">
        <v>2822.5</v>
      </c>
      <c r="Q1945" s="115">
        <v>2920.15</v>
      </c>
      <c r="R1945">
        <v>142075</v>
      </c>
    </row>
    <row r="1946" spans="1:18" x14ac:dyDescent="0.25">
      <c r="A1946" s="169">
        <v>44869</v>
      </c>
      <c r="B1946" s="115">
        <v>2940</v>
      </c>
      <c r="C1946" s="115">
        <v>2912.75</v>
      </c>
      <c r="D1946" s="115">
        <v>2838.75</v>
      </c>
      <c r="E1946" s="115">
        <v>2838.75</v>
      </c>
      <c r="F1946" s="115">
        <v>2912.75</v>
      </c>
      <c r="G1946">
        <v>6894</v>
      </c>
      <c r="H1946" s="115"/>
      <c r="I1946" s="115"/>
      <c r="L1946" s="169">
        <v>44872</v>
      </c>
      <c r="M1946" s="115">
        <v>3011.85</v>
      </c>
      <c r="N1946" s="115">
        <v>3020</v>
      </c>
      <c r="O1946" s="115">
        <v>2921.4</v>
      </c>
      <c r="P1946" s="115">
        <v>2931.2</v>
      </c>
      <c r="Q1946" s="115">
        <v>3011.85</v>
      </c>
      <c r="R1946">
        <v>101669</v>
      </c>
    </row>
    <row r="1947" spans="1:18" x14ac:dyDescent="0.25">
      <c r="A1947" s="169">
        <v>44872</v>
      </c>
      <c r="B1947" s="115">
        <v>3019.85</v>
      </c>
      <c r="C1947" s="115">
        <v>3009.2</v>
      </c>
      <c r="D1947" s="115">
        <v>2921.05</v>
      </c>
      <c r="E1947" s="115">
        <v>2939.5</v>
      </c>
      <c r="F1947" s="115">
        <v>3009.2</v>
      </c>
      <c r="G1947">
        <v>5075</v>
      </c>
      <c r="H1947" s="115"/>
      <c r="I1947" s="115"/>
      <c r="L1947" s="169">
        <v>44874</v>
      </c>
      <c r="M1947" s="115">
        <v>2950.15</v>
      </c>
      <c r="N1947" s="115">
        <v>3046.1</v>
      </c>
      <c r="O1947" s="115">
        <v>2912</v>
      </c>
      <c r="P1947" s="115">
        <v>3046</v>
      </c>
      <c r="Q1947" s="115">
        <v>2950.15</v>
      </c>
      <c r="R1947">
        <v>122478</v>
      </c>
    </row>
    <row r="1948" spans="1:18" x14ac:dyDescent="0.25">
      <c r="A1948" s="169">
        <v>44874</v>
      </c>
      <c r="B1948" s="115">
        <v>3043.85</v>
      </c>
      <c r="C1948" s="115">
        <v>2911.45</v>
      </c>
      <c r="D1948" s="115">
        <v>2872.7</v>
      </c>
      <c r="E1948" s="115">
        <v>3032.9</v>
      </c>
      <c r="F1948" s="115">
        <v>2911.45</v>
      </c>
      <c r="G1948">
        <v>9101</v>
      </c>
      <c r="H1948" s="115"/>
      <c r="I1948" s="115"/>
      <c r="L1948" s="169">
        <v>44875</v>
      </c>
      <c r="M1948" s="115">
        <v>3020</v>
      </c>
      <c r="N1948" s="115">
        <v>3027</v>
      </c>
      <c r="O1948" s="115">
        <v>2952</v>
      </c>
      <c r="P1948" s="115">
        <v>2959.55</v>
      </c>
      <c r="Q1948" s="115">
        <v>3020</v>
      </c>
      <c r="R1948">
        <v>66898</v>
      </c>
    </row>
    <row r="1949" spans="1:18" x14ac:dyDescent="0.25">
      <c r="A1949" s="169">
        <v>44875</v>
      </c>
      <c r="B1949" s="115">
        <v>3026.35</v>
      </c>
      <c r="C1949" s="115">
        <v>3018.95</v>
      </c>
      <c r="D1949" s="115">
        <v>2950</v>
      </c>
      <c r="E1949" s="115">
        <v>2950</v>
      </c>
      <c r="F1949" s="115">
        <v>3018.95</v>
      </c>
      <c r="G1949">
        <v>3093</v>
      </c>
      <c r="H1949" s="115"/>
      <c r="I1949" s="115"/>
      <c r="L1949" s="169">
        <v>44876</v>
      </c>
      <c r="M1949" s="115">
        <v>2949.45</v>
      </c>
      <c r="N1949" s="115">
        <v>3048.3</v>
      </c>
      <c r="O1949" s="115">
        <v>2889.9</v>
      </c>
      <c r="P1949" s="115">
        <v>3030</v>
      </c>
      <c r="Q1949" s="115">
        <v>2949.45</v>
      </c>
      <c r="R1949">
        <v>162084</v>
      </c>
    </row>
    <row r="1950" spans="1:18" x14ac:dyDescent="0.25">
      <c r="A1950" s="169">
        <v>44876</v>
      </c>
      <c r="B1950" s="115">
        <v>3046.95</v>
      </c>
      <c r="C1950" s="115">
        <v>2948.25</v>
      </c>
      <c r="D1950" s="115">
        <v>2890</v>
      </c>
      <c r="E1950" s="115">
        <v>3042.65</v>
      </c>
      <c r="F1950" s="115">
        <v>2948.25</v>
      </c>
      <c r="G1950">
        <v>4769</v>
      </c>
      <c r="H1950" s="115"/>
      <c r="I1950" s="115"/>
      <c r="L1950" s="169">
        <v>44879</v>
      </c>
      <c r="M1950" s="115">
        <v>2916.4</v>
      </c>
      <c r="N1950" s="115">
        <v>2972.35</v>
      </c>
      <c r="O1950" s="115">
        <v>2887.85</v>
      </c>
      <c r="P1950" s="115">
        <v>2964.2</v>
      </c>
      <c r="Q1950" s="115">
        <v>2916.4</v>
      </c>
      <c r="R1950">
        <v>54410</v>
      </c>
    </row>
    <row r="1951" spans="1:18" x14ac:dyDescent="0.25">
      <c r="A1951" s="169">
        <v>44879</v>
      </c>
      <c r="B1951" s="115">
        <v>2968</v>
      </c>
      <c r="C1951" s="115">
        <v>2922.55</v>
      </c>
      <c r="D1951" s="115">
        <v>2889.25</v>
      </c>
      <c r="E1951" s="115">
        <v>2951.25</v>
      </c>
      <c r="F1951" s="115">
        <v>2922.55</v>
      </c>
      <c r="G1951">
        <v>3255</v>
      </c>
      <c r="H1951" s="115"/>
      <c r="I1951" s="115"/>
      <c r="L1951" s="169">
        <v>44880</v>
      </c>
      <c r="M1951" s="115">
        <v>2903.3</v>
      </c>
      <c r="N1951" s="115">
        <v>2939</v>
      </c>
      <c r="O1951" s="115">
        <v>2889.05</v>
      </c>
      <c r="P1951" s="115">
        <v>2905</v>
      </c>
      <c r="Q1951" s="115">
        <v>2903.3</v>
      </c>
      <c r="R1951">
        <v>26346</v>
      </c>
    </row>
    <row r="1952" spans="1:18" x14ac:dyDescent="0.25">
      <c r="A1952" s="169">
        <v>44880</v>
      </c>
      <c r="B1952" s="115">
        <v>2926.9</v>
      </c>
      <c r="C1952" s="115">
        <v>2906.75</v>
      </c>
      <c r="D1952" s="115">
        <v>2894.25</v>
      </c>
      <c r="E1952" s="115">
        <v>2915.3</v>
      </c>
      <c r="F1952" s="115">
        <v>2906.75</v>
      </c>
      <c r="G1952">
        <v>1925</v>
      </c>
      <c r="H1952" s="115"/>
      <c r="I1952" s="115"/>
      <c r="L1952" s="169">
        <v>44881</v>
      </c>
      <c r="M1952" s="115">
        <v>2917.45</v>
      </c>
      <c r="N1952" s="115">
        <v>2924</v>
      </c>
      <c r="O1952" s="115">
        <v>2889.6</v>
      </c>
      <c r="P1952" s="115">
        <v>2903.3</v>
      </c>
      <c r="Q1952" s="115">
        <v>2917.45</v>
      </c>
      <c r="R1952">
        <v>30770</v>
      </c>
    </row>
    <row r="1953" spans="1:18" x14ac:dyDescent="0.25">
      <c r="A1953" s="169">
        <v>44881</v>
      </c>
      <c r="B1953" s="115">
        <v>2938.95</v>
      </c>
      <c r="C1953" s="115">
        <v>2913.65</v>
      </c>
      <c r="D1953" s="115">
        <v>2887.3</v>
      </c>
      <c r="E1953" s="115">
        <v>2938.95</v>
      </c>
      <c r="F1953" s="115">
        <v>2913.65</v>
      </c>
      <c r="G1953">
        <v>3758</v>
      </c>
      <c r="H1953" s="115"/>
      <c r="I1953" s="115"/>
      <c r="L1953" s="169">
        <v>44882</v>
      </c>
      <c r="M1953" s="115">
        <v>2987.65</v>
      </c>
      <c r="N1953" s="115">
        <v>3016.45</v>
      </c>
      <c r="O1953" s="115">
        <v>2852.3</v>
      </c>
      <c r="P1953" s="115">
        <v>2910</v>
      </c>
      <c r="Q1953" s="115">
        <v>2987.65</v>
      </c>
      <c r="R1953">
        <v>186944</v>
      </c>
    </row>
    <row r="1954" spans="1:18" x14ac:dyDescent="0.25">
      <c r="A1954" s="169">
        <v>44882</v>
      </c>
      <c r="B1954" s="115">
        <v>3015</v>
      </c>
      <c r="C1954" s="115">
        <v>2985.25</v>
      </c>
      <c r="D1954" s="115">
        <v>2852.65</v>
      </c>
      <c r="E1954" s="115">
        <v>2897.1</v>
      </c>
      <c r="F1954" s="115">
        <v>2985.25</v>
      </c>
      <c r="G1954">
        <v>6973</v>
      </c>
      <c r="H1954" s="115"/>
      <c r="I1954" s="115"/>
      <c r="L1954" s="169">
        <v>44883</v>
      </c>
      <c r="M1954" s="115">
        <v>2960.35</v>
      </c>
      <c r="N1954" s="115">
        <v>3008.7</v>
      </c>
      <c r="O1954" s="115">
        <v>2917.6</v>
      </c>
      <c r="P1954" s="115">
        <v>2987.65</v>
      </c>
      <c r="Q1954" s="115">
        <v>2960.35</v>
      </c>
      <c r="R1954">
        <v>89668</v>
      </c>
    </row>
    <row r="1955" spans="1:18" x14ac:dyDescent="0.25">
      <c r="A1955" s="169">
        <v>44883</v>
      </c>
      <c r="B1955" s="115">
        <v>3003.45</v>
      </c>
      <c r="C1955" s="115">
        <v>2958.75</v>
      </c>
      <c r="D1955" s="115">
        <v>2918</v>
      </c>
      <c r="E1955" s="115">
        <v>2988</v>
      </c>
      <c r="F1955" s="115">
        <v>2958.75</v>
      </c>
      <c r="G1955">
        <v>3326</v>
      </c>
      <c r="H1955" s="115"/>
      <c r="I1955" s="115"/>
      <c r="L1955" s="169">
        <v>44886</v>
      </c>
      <c r="M1955" s="115">
        <v>3059.4</v>
      </c>
      <c r="N1955" s="115">
        <v>3093.55</v>
      </c>
      <c r="O1955" s="115">
        <v>2916.75</v>
      </c>
      <c r="P1955" s="115">
        <v>2936.35</v>
      </c>
      <c r="Q1955" s="115">
        <v>3059.4</v>
      </c>
      <c r="R1955">
        <v>281075</v>
      </c>
    </row>
    <row r="1956" spans="1:18" x14ac:dyDescent="0.25">
      <c r="A1956" s="169">
        <v>44886</v>
      </c>
      <c r="B1956" s="115">
        <v>3093.85</v>
      </c>
      <c r="C1956" s="115">
        <v>3058.8</v>
      </c>
      <c r="D1956" s="115">
        <v>2918.75</v>
      </c>
      <c r="E1956" s="115">
        <v>2998</v>
      </c>
      <c r="F1956" s="115">
        <v>3058.8</v>
      </c>
      <c r="G1956">
        <v>9365</v>
      </c>
      <c r="H1956" s="115"/>
      <c r="I1956" s="115"/>
      <c r="L1956" s="169">
        <v>44887</v>
      </c>
      <c r="M1956" s="115">
        <v>3051.75</v>
      </c>
      <c r="N1956" s="115">
        <v>3126.5</v>
      </c>
      <c r="O1956" s="115">
        <v>3025.05</v>
      </c>
      <c r="P1956" s="115">
        <v>3068</v>
      </c>
      <c r="Q1956" s="115">
        <v>3051.75</v>
      </c>
      <c r="R1956">
        <v>176874</v>
      </c>
    </row>
    <row r="1957" spans="1:18" x14ac:dyDescent="0.25">
      <c r="A1957" s="169">
        <v>44887</v>
      </c>
      <c r="B1957" s="115">
        <v>3123.55</v>
      </c>
      <c r="C1957" s="115">
        <v>3050.2</v>
      </c>
      <c r="D1957" s="115">
        <v>3026.3</v>
      </c>
      <c r="E1957" s="115">
        <v>3060</v>
      </c>
      <c r="F1957" s="115">
        <v>3050.2</v>
      </c>
      <c r="G1957">
        <v>13243</v>
      </c>
      <c r="H1957" s="115"/>
      <c r="I1957" s="115"/>
      <c r="L1957" s="169">
        <v>44888</v>
      </c>
      <c r="M1957" s="115">
        <v>2947.45</v>
      </c>
      <c r="N1957" s="115">
        <v>3084.95</v>
      </c>
      <c r="O1957" s="115">
        <v>2931</v>
      </c>
      <c r="P1957" s="115">
        <v>3068</v>
      </c>
      <c r="Q1957" s="115">
        <v>2947.45</v>
      </c>
      <c r="R1957">
        <v>94135</v>
      </c>
    </row>
    <row r="1958" spans="1:18" x14ac:dyDescent="0.25">
      <c r="A1958" s="169">
        <v>44888</v>
      </c>
      <c r="B1958" s="115">
        <v>3080.75</v>
      </c>
      <c r="C1958" s="115">
        <v>2935.35</v>
      </c>
      <c r="D1958" s="115">
        <v>2907.15</v>
      </c>
      <c r="E1958" s="115">
        <v>3050.25</v>
      </c>
      <c r="F1958" s="115">
        <v>2935.35</v>
      </c>
      <c r="G1958">
        <v>4002</v>
      </c>
      <c r="H1958" s="115"/>
      <c r="I1958" s="115"/>
      <c r="L1958" s="169">
        <v>44889</v>
      </c>
      <c r="M1958" s="115">
        <v>2984.9</v>
      </c>
      <c r="N1958" s="115">
        <v>3014</v>
      </c>
      <c r="O1958" s="115">
        <v>2941.15</v>
      </c>
      <c r="P1958" s="115">
        <v>2949.5</v>
      </c>
      <c r="Q1958" s="115">
        <v>2984.9</v>
      </c>
      <c r="R1958">
        <v>85042</v>
      </c>
    </row>
    <row r="1959" spans="1:18" x14ac:dyDescent="0.25">
      <c r="A1959" s="169">
        <v>44889</v>
      </c>
      <c r="B1959" s="115">
        <v>3010.65</v>
      </c>
      <c r="C1959" s="115">
        <v>2983.25</v>
      </c>
      <c r="D1959" s="115">
        <v>2943.6</v>
      </c>
      <c r="E1959" s="115">
        <v>2945.35</v>
      </c>
      <c r="F1959" s="115">
        <v>2983.25</v>
      </c>
      <c r="G1959">
        <v>3301</v>
      </c>
      <c r="H1959" s="115"/>
      <c r="I1959" s="115"/>
      <c r="L1959" s="169">
        <v>44890</v>
      </c>
      <c r="M1959" s="115">
        <v>2942.1</v>
      </c>
      <c r="N1959" s="115">
        <v>3017.75</v>
      </c>
      <c r="O1959" s="115">
        <v>2925.25</v>
      </c>
      <c r="P1959" s="115">
        <v>2998.75</v>
      </c>
      <c r="Q1959" s="115">
        <v>2942.1</v>
      </c>
      <c r="R1959">
        <v>35394</v>
      </c>
    </row>
    <row r="1960" spans="1:18" x14ac:dyDescent="0.25">
      <c r="A1960" s="169">
        <v>44890</v>
      </c>
      <c r="B1960" s="115">
        <v>3013</v>
      </c>
      <c r="C1960" s="115">
        <v>2941.95</v>
      </c>
      <c r="D1960" s="115">
        <v>2923.3</v>
      </c>
      <c r="E1960" s="115">
        <v>2985.15</v>
      </c>
      <c r="F1960" s="115">
        <v>2941.95</v>
      </c>
      <c r="G1960">
        <v>1754</v>
      </c>
      <c r="H1960" s="115"/>
      <c r="I1960" s="115"/>
      <c r="L1960" s="169">
        <v>44893</v>
      </c>
      <c r="M1960" s="115">
        <v>2895</v>
      </c>
      <c r="N1960" s="115">
        <v>2954.1</v>
      </c>
      <c r="O1960" s="115">
        <v>2889.65</v>
      </c>
      <c r="P1960" s="115">
        <v>2935</v>
      </c>
      <c r="Q1960" s="115">
        <v>2895</v>
      </c>
      <c r="R1960">
        <v>174603</v>
      </c>
    </row>
    <row r="1961" spans="1:18" x14ac:dyDescent="0.25">
      <c r="A1961" s="169">
        <v>44893</v>
      </c>
      <c r="B1961" s="115">
        <v>2947.35</v>
      </c>
      <c r="C1961" s="115">
        <v>2896.6</v>
      </c>
      <c r="D1961" s="115">
        <v>2889.9</v>
      </c>
      <c r="E1961" s="115">
        <v>2939.4</v>
      </c>
      <c r="F1961" s="115">
        <v>2896.6</v>
      </c>
      <c r="G1961">
        <v>5065</v>
      </c>
      <c r="H1961" s="115"/>
      <c r="I1961" s="115"/>
      <c r="L1961" s="169">
        <v>44894</v>
      </c>
      <c r="M1961" s="115">
        <v>2832.95</v>
      </c>
      <c r="N1961" s="115">
        <v>2906.7</v>
      </c>
      <c r="O1961" s="115">
        <v>2820</v>
      </c>
      <c r="P1961" s="115">
        <v>2895</v>
      </c>
      <c r="Q1961" s="115">
        <v>2832.95</v>
      </c>
      <c r="R1961">
        <v>148477</v>
      </c>
    </row>
    <row r="1962" spans="1:18" x14ac:dyDescent="0.25">
      <c r="A1962" s="169">
        <v>44894</v>
      </c>
      <c r="B1962" s="115">
        <v>2902.2</v>
      </c>
      <c r="C1962" s="115">
        <v>2830.05</v>
      </c>
      <c r="D1962" s="115">
        <v>2820</v>
      </c>
      <c r="E1962" s="115">
        <v>2895.95</v>
      </c>
      <c r="F1962" s="115">
        <v>2830.05</v>
      </c>
      <c r="G1962">
        <v>7960</v>
      </c>
      <c r="H1962" s="115"/>
      <c r="I1962" s="115"/>
      <c r="L1962" s="169">
        <v>44895</v>
      </c>
      <c r="M1962" s="115">
        <v>2675.35</v>
      </c>
      <c r="N1962" s="115">
        <v>2846.35</v>
      </c>
      <c r="O1962" s="115">
        <v>2601.15</v>
      </c>
      <c r="P1962" s="115">
        <v>2820.5</v>
      </c>
      <c r="Q1962" s="115">
        <v>2675.35</v>
      </c>
      <c r="R1962">
        <v>1613331</v>
      </c>
    </row>
    <row r="1963" spans="1:18" x14ac:dyDescent="0.25">
      <c r="A1963" s="169">
        <v>44895</v>
      </c>
      <c r="B1963" s="115">
        <v>2840</v>
      </c>
      <c r="C1963" s="115">
        <v>2676.7</v>
      </c>
      <c r="D1963" s="115">
        <v>2602.5</v>
      </c>
      <c r="E1963" s="115">
        <v>2801.05</v>
      </c>
      <c r="F1963" s="115">
        <v>2676.7</v>
      </c>
      <c r="G1963">
        <v>18576</v>
      </c>
      <c r="H1963" s="115"/>
      <c r="I1963" s="115"/>
      <c r="L1963" s="169">
        <v>44896</v>
      </c>
      <c r="M1963" s="115">
        <v>2772.7</v>
      </c>
      <c r="N1963" s="115">
        <v>2790</v>
      </c>
      <c r="O1963" s="115">
        <v>2677.6</v>
      </c>
      <c r="P1963" s="115">
        <v>2700</v>
      </c>
      <c r="Q1963" s="115">
        <v>2772.7</v>
      </c>
      <c r="R1963">
        <v>341304</v>
      </c>
    </row>
    <row r="1964" spans="1:18" x14ac:dyDescent="0.25">
      <c r="A1964" s="169">
        <v>44896</v>
      </c>
      <c r="B1964" s="115">
        <v>2789.05</v>
      </c>
      <c r="C1964" s="115">
        <v>2771.75</v>
      </c>
      <c r="D1964" s="115">
        <v>2678.9</v>
      </c>
      <c r="E1964" s="115">
        <v>2680.9</v>
      </c>
      <c r="F1964" s="115">
        <v>2771.75</v>
      </c>
      <c r="G1964">
        <v>18497</v>
      </c>
      <c r="H1964" s="115"/>
      <c r="I1964" s="115"/>
      <c r="L1964" s="169">
        <v>44897</v>
      </c>
      <c r="M1964" s="115">
        <v>2803.35</v>
      </c>
      <c r="N1964" s="115">
        <v>2824.8</v>
      </c>
      <c r="O1964" s="115">
        <v>2768.95</v>
      </c>
      <c r="P1964" s="115">
        <v>2786.6</v>
      </c>
      <c r="Q1964" s="115">
        <v>2803.35</v>
      </c>
      <c r="R1964">
        <v>126775</v>
      </c>
    </row>
    <row r="1965" spans="1:18" x14ac:dyDescent="0.25">
      <c r="A1965" s="169">
        <v>44897</v>
      </c>
      <c r="B1965" s="115">
        <v>2824.85</v>
      </c>
      <c r="C1965" s="115">
        <v>2803.4</v>
      </c>
      <c r="D1965" s="115">
        <v>2773.05</v>
      </c>
      <c r="E1965" s="115">
        <v>2803.95</v>
      </c>
      <c r="F1965" s="115">
        <v>2803.4</v>
      </c>
      <c r="G1965">
        <v>3743</v>
      </c>
      <c r="H1965" s="115"/>
      <c r="I1965" s="115"/>
      <c r="L1965" s="169">
        <v>44900</v>
      </c>
      <c r="M1965" s="115">
        <v>2736.05</v>
      </c>
      <c r="N1965" s="115">
        <v>2833.35</v>
      </c>
      <c r="O1965" s="115">
        <v>2686</v>
      </c>
      <c r="P1965" s="115">
        <v>2820.6</v>
      </c>
      <c r="Q1965" s="115">
        <v>2736.05</v>
      </c>
      <c r="R1965">
        <v>271472</v>
      </c>
    </row>
    <row r="1966" spans="1:18" x14ac:dyDescent="0.25">
      <c r="A1966" s="169">
        <v>44900</v>
      </c>
      <c r="B1966" s="115">
        <v>2833.55</v>
      </c>
      <c r="C1966" s="115">
        <v>2737.9</v>
      </c>
      <c r="D1966" s="115">
        <v>2685.85</v>
      </c>
      <c r="E1966" s="115">
        <v>2810.05</v>
      </c>
      <c r="F1966" s="115">
        <v>2737.9</v>
      </c>
      <c r="G1966">
        <v>10823</v>
      </c>
      <c r="H1966" s="115"/>
      <c r="I1966" s="115"/>
      <c r="L1966" s="169">
        <v>44901</v>
      </c>
      <c r="M1966" s="115">
        <v>2683.6</v>
      </c>
      <c r="N1966" s="115">
        <v>2724.4</v>
      </c>
      <c r="O1966" s="115">
        <v>2613.25</v>
      </c>
      <c r="P1966" s="115">
        <v>2685</v>
      </c>
      <c r="Q1966" s="115">
        <v>2683.6</v>
      </c>
      <c r="R1966">
        <v>516430</v>
      </c>
    </row>
    <row r="1967" spans="1:18" x14ac:dyDescent="0.25">
      <c r="A1967" s="169">
        <v>44901</v>
      </c>
      <c r="B1967" s="115">
        <v>2722</v>
      </c>
      <c r="C1967" s="115">
        <v>2685.25</v>
      </c>
      <c r="D1967" s="115">
        <v>2615</v>
      </c>
      <c r="E1967" s="115">
        <v>2671.15</v>
      </c>
      <c r="F1967" s="115">
        <v>2685.25</v>
      </c>
      <c r="G1967">
        <v>43305</v>
      </c>
      <c r="H1967" s="115"/>
      <c r="I1967" s="115"/>
      <c r="L1967" s="169">
        <v>44902</v>
      </c>
      <c r="M1967" s="115">
        <v>2724.25</v>
      </c>
      <c r="N1967" s="115">
        <v>2765</v>
      </c>
      <c r="O1967" s="115">
        <v>2690.05</v>
      </c>
      <c r="P1967" s="115">
        <v>2695</v>
      </c>
      <c r="Q1967" s="115">
        <v>2724.25</v>
      </c>
      <c r="R1967">
        <v>131274</v>
      </c>
    </row>
    <row r="1968" spans="1:18" x14ac:dyDescent="0.25">
      <c r="A1968" s="169">
        <v>44902</v>
      </c>
      <c r="B1968" s="115">
        <v>2763.5</v>
      </c>
      <c r="C1968" s="115">
        <v>2725.3</v>
      </c>
      <c r="D1968" s="115">
        <v>2685.25</v>
      </c>
      <c r="E1968" s="115">
        <v>2685.25</v>
      </c>
      <c r="F1968" s="115">
        <v>2725.3</v>
      </c>
      <c r="G1968">
        <v>14208</v>
      </c>
      <c r="H1968" s="115"/>
      <c r="I1968" s="115"/>
      <c r="L1968" s="169">
        <v>44903</v>
      </c>
      <c r="M1968" s="115">
        <v>2770</v>
      </c>
      <c r="N1968" s="115">
        <v>2792.85</v>
      </c>
      <c r="O1968" s="115">
        <v>2702.35</v>
      </c>
      <c r="P1968" s="115">
        <v>2725.5</v>
      </c>
      <c r="Q1968" s="115">
        <v>2770</v>
      </c>
      <c r="R1968">
        <v>137268</v>
      </c>
    </row>
    <row r="1969" spans="1:18" x14ac:dyDescent="0.25">
      <c r="A1969" s="169">
        <v>44903</v>
      </c>
      <c r="B1969" s="115">
        <v>2785</v>
      </c>
      <c r="C1969" s="115">
        <v>2772.2</v>
      </c>
      <c r="D1969" s="115">
        <v>2701.75</v>
      </c>
      <c r="E1969" s="115">
        <v>2722.15</v>
      </c>
      <c r="F1969" s="115">
        <v>2772.2</v>
      </c>
      <c r="G1969">
        <v>9899</v>
      </c>
      <c r="H1969" s="115"/>
      <c r="I1969" s="115"/>
      <c r="L1969" s="169">
        <v>44904</v>
      </c>
      <c r="M1969" s="115">
        <v>2739.75</v>
      </c>
      <c r="N1969" s="115">
        <v>2790.05</v>
      </c>
      <c r="O1969" s="115">
        <v>2727.7</v>
      </c>
      <c r="P1969" s="115">
        <v>2790</v>
      </c>
      <c r="Q1969" s="115">
        <v>2739.75</v>
      </c>
      <c r="R1969">
        <v>91974</v>
      </c>
    </row>
    <row r="1970" spans="1:18" x14ac:dyDescent="0.25">
      <c r="A1970" s="169">
        <v>44904</v>
      </c>
      <c r="B1970" s="115">
        <v>2790.95</v>
      </c>
      <c r="C1970" s="115">
        <v>2740.25</v>
      </c>
      <c r="D1970" s="115">
        <v>2729.45</v>
      </c>
      <c r="E1970" s="115">
        <v>2778.1</v>
      </c>
      <c r="F1970" s="115">
        <v>2740.25</v>
      </c>
      <c r="G1970">
        <v>5902</v>
      </c>
      <c r="H1970" s="115"/>
      <c r="I1970" s="115"/>
      <c r="L1970" s="169">
        <v>44907</v>
      </c>
      <c r="M1970" s="115">
        <v>2735.9</v>
      </c>
      <c r="N1970" s="115">
        <v>2769</v>
      </c>
      <c r="O1970" s="115">
        <v>2690.2</v>
      </c>
      <c r="P1970" s="115">
        <v>2734</v>
      </c>
      <c r="Q1970" s="115">
        <v>2735.9</v>
      </c>
      <c r="R1970">
        <v>84752</v>
      </c>
    </row>
    <row r="1971" spans="1:18" x14ac:dyDescent="0.25">
      <c r="A1971" s="169">
        <v>44907</v>
      </c>
      <c r="B1971" s="115">
        <v>2768.8</v>
      </c>
      <c r="C1971" s="115">
        <v>2736.4</v>
      </c>
      <c r="D1971" s="115">
        <v>2693.45</v>
      </c>
      <c r="E1971" s="115">
        <v>2720.05</v>
      </c>
      <c r="F1971" s="115">
        <v>2736.4</v>
      </c>
      <c r="G1971">
        <v>6148</v>
      </c>
      <c r="H1971" s="115"/>
      <c r="I1971" s="115"/>
      <c r="L1971" s="169">
        <v>44908</v>
      </c>
      <c r="M1971" s="115">
        <v>2753.05</v>
      </c>
      <c r="N1971" s="115">
        <v>2767.15</v>
      </c>
      <c r="O1971" s="115">
        <v>2711</v>
      </c>
      <c r="P1971" s="115">
        <v>2749.6</v>
      </c>
      <c r="Q1971" s="115">
        <v>2753.05</v>
      </c>
      <c r="R1971">
        <v>81209</v>
      </c>
    </row>
    <row r="1972" spans="1:18" x14ac:dyDescent="0.25">
      <c r="A1972" s="169">
        <v>44908</v>
      </c>
      <c r="B1972" s="115">
        <v>2767</v>
      </c>
      <c r="C1972" s="115">
        <v>2753.3</v>
      </c>
      <c r="D1972" s="115">
        <v>2712</v>
      </c>
      <c r="E1972" s="115">
        <v>2740.05</v>
      </c>
      <c r="F1972" s="115">
        <v>2753.3</v>
      </c>
      <c r="G1972">
        <v>5250</v>
      </c>
      <c r="H1972" s="115"/>
      <c r="I1972" s="115"/>
      <c r="L1972" s="169">
        <v>44909</v>
      </c>
      <c r="M1972" s="115">
        <v>2769.2</v>
      </c>
      <c r="N1972" s="115">
        <v>2777.3</v>
      </c>
      <c r="O1972" s="115">
        <v>2721.1</v>
      </c>
      <c r="P1972" s="115">
        <v>2733.5</v>
      </c>
      <c r="Q1972" s="115">
        <v>2769.2</v>
      </c>
      <c r="R1972">
        <v>96291</v>
      </c>
    </row>
    <row r="1973" spans="1:18" x14ac:dyDescent="0.25">
      <c r="A1973" s="169">
        <v>44909</v>
      </c>
      <c r="B1973" s="115">
        <v>2777</v>
      </c>
      <c r="C1973" s="115">
        <v>2767.5</v>
      </c>
      <c r="D1973" s="115">
        <v>2719.6</v>
      </c>
      <c r="E1973" s="115">
        <v>2720.05</v>
      </c>
      <c r="F1973" s="115">
        <v>2767.5</v>
      </c>
      <c r="G1973">
        <v>6474</v>
      </c>
      <c r="H1973" s="115"/>
      <c r="I1973" s="115"/>
      <c r="L1973" s="169">
        <v>44910</v>
      </c>
      <c r="M1973" s="115">
        <v>2762.95</v>
      </c>
      <c r="N1973" s="115">
        <v>2791.9</v>
      </c>
      <c r="O1973" s="115">
        <v>2750.1</v>
      </c>
      <c r="P1973" s="115">
        <v>2765</v>
      </c>
      <c r="Q1973" s="115">
        <v>2762.95</v>
      </c>
      <c r="R1973">
        <v>54746</v>
      </c>
    </row>
    <row r="1974" spans="1:18" x14ac:dyDescent="0.25">
      <c r="A1974" s="169">
        <v>44910</v>
      </c>
      <c r="B1974" s="115">
        <v>2790.65</v>
      </c>
      <c r="C1974" s="115">
        <v>2760.85</v>
      </c>
      <c r="D1974" s="115">
        <v>2745.4</v>
      </c>
      <c r="E1974" s="115">
        <v>2759.35</v>
      </c>
      <c r="F1974" s="115">
        <v>2760.85</v>
      </c>
      <c r="G1974">
        <v>1763</v>
      </c>
      <c r="H1974" s="115"/>
      <c r="I1974" s="115"/>
      <c r="L1974" s="169">
        <v>44911</v>
      </c>
      <c r="M1974" s="115">
        <v>2727.7</v>
      </c>
      <c r="N1974" s="115">
        <v>2754.3</v>
      </c>
      <c r="O1974" s="115">
        <v>2700</v>
      </c>
      <c r="P1974" s="115">
        <v>2742.95</v>
      </c>
      <c r="Q1974" s="115">
        <v>2727.7</v>
      </c>
      <c r="R1974">
        <v>119184</v>
      </c>
    </row>
    <row r="1975" spans="1:18" x14ac:dyDescent="0.25">
      <c r="A1975" s="169">
        <v>44911</v>
      </c>
      <c r="B1975" s="115">
        <v>2798.05</v>
      </c>
      <c r="C1975" s="115">
        <v>2726.1</v>
      </c>
      <c r="D1975" s="115">
        <v>2701.65</v>
      </c>
      <c r="E1975" s="115">
        <v>2798.05</v>
      </c>
      <c r="F1975" s="115">
        <v>2726.1</v>
      </c>
      <c r="G1975">
        <v>2786</v>
      </c>
      <c r="H1975" s="115"/>
      <c r="I1975" s="115"/>
      <c r="L1975" s="169">
        <v>44914</v>
      </c>
      <c r="M1975" s="115">
        <v>2761.4</v>
      </c>
      <c r="N1975" s="115">
        <v>2782.5</v>
      </c>
      <c r="O1975" s="115">
        <v>2691</v>
      </c>
      <c r="P1975" s="115">
        <v>2729.95</v>
      </c>
      <c r="Q1975" s="115">
        <v>2761.4</v>
      </c>
      <c r="R1975">
        <v>87667</v>
      </c>
    </row>
    <row r="1976" spans="1:18" x14ac:dyDescent="0.25">
      <c r="A1976" s="169">
        <v>44914</v>
      </c>
      <c r="B1976" s="115">
        <v>2778.65</v>
      </c>
      <c r="C1976" s="115">
        <v>2761.8</v>
      </c>
      <c r="D1976" s="115">
        <v>2691.95</v>
      </c>
      <c r="E1976" s="115">
        <v>2705.55</v>
      </c>
      <c r="F1976" s="115">
        <v>2761.8</v>
      </c>
      <c r="G1976">
        <v>3273</v>
      </c>
      <c r="H1976" s="115"/>
      <c r="I1976" s="115"/>
      <c r="L1976" s="169">
        <v>44915</v>
      </c>
      <c r="M1976" s="115">
        <v>2779.7</v>
      </c>
      <c r="N1976" s="115">
        <v>2789</v>
      </c>
      <c r="O1976" s="115">
        <v>2722.6</v>
      </c>
      <c r="P1976" s="115">
        <v>2731.05</v>
      </c>
      <c r="Q1976" s="115">
        <v>2779.7</v>
      </c>
      <c r="R1976">
        <v>84737</v>
      </c>
    </row>
    <row r="1977" spans="1:18" x14ac:dyDescent="0.25">
      <c r="A1977" s="169">
        <v>44915</v>
      </c>
      <c r="B1977" s="115">
        <v>2788.95</v>
      </c>
      <c r="C1977" s="115">
        <v>2782.25</v>
      </c>
      <c r="D1977" s="115">
        <v>2721.55</v>
      </c>
      <c r="E1977" s="115">
        <v>2721.55</v>
      </c>
      <c r="F1977" s="115">
        <v>2782.25</v>
      </c>
      <c r="G1977">
        <v>4229</v>
      </c>
      <c r="H1977" s="115"/>
      <c r="I1977" s="115"/>
      <c r="L1977" s="169">
        <v>44916</v>
      </c>
      <c r="M1977" s="115">
        <v>2710.95</v>
      </c>
      <c r="N1977" s="115">
        <v>2795</v>
      </c>
      <c r="O1977" s="115">
        <v>2678.8</v>
      </c>
      <c r="P1977" s="115">
        <v>2765.7</v>
      </c>
      <c r="Q1977" s="115">
        <v>2710.95</v>
      </c>
      <c r="R1977">
        <v>226110</v>
      </c>
    </row>
    <row r="1978" spans="1:18" x14ac:dyDescent="0.25">
      <c r="A1978" s="169">
        <v>44916</v>
      </c>
      <c r="B1978" s="115">
        <v>2793.5</v>
      </c>
      <c r="C1978" s="115">
        <v>2708.9</v>
      </c>
      <c r="D1978" s="115">
        <v>2678.55</v>
      </c>
      <c r="E1978" s="115">
        <v>2733.05</v>
      </c>
      <c r="F1978" s="115">
        <v>2708.9</v>
      </c>
      <c r="G1978">
        <v>8256</v>
      </c>
      <c r="H1978" s="115"/>
      <c r="I1978" s="115"/>
      <c r="L1978" s="169">
        <v>44917</v>
      </c>
      <c r="M1978" s="115">
        <v>2711.95</v>
      </c>
      <c r="N1978" s="115">
        <v>2748.2</v>
      </c>
      <c r="O1978" s="115">
        <v>2671.3</v>
      </c>
      <c r="P1978" s="115">
        <v>2724.55</v>
      </c>
      <c r="Q1978" s="115">
        <v>2711.95</v>
      </c>
      <c r="R1978">
        <v>88380</v>
      </c>
    </row>
    <row r="1979" spans="1:18" x14ac:dyDescent="0.25">
      <c r="A1979" s="169">
        <v>44917</v>
      </c>
      <c r="B1979" s="115">
        <v>2746.25</v>
      </c>
      <c r="C1979" s="115">
        <v>2708.5</v>
      </c>
      <c r="D1979" s="115">
        <v>2670</v>
      </c>
      <c r="E1979" s="115">
        <v>2720</v>
      </c>
      <c r="F1979" s="115">
        <v>2708.5</v>
      </c>
      <c r="G1979">
        <v>6532</v>
      </c>
      <c r="H1979" s="115"/>
      <c r="I1979" s="115"/>
      <c r="L1979" s="169">
        <v>44918</v>
      </c>
      <c r="M1979" s="115">
        <v>2710.85</v>
      </c>
      <c r="N1979" s="115">
        <v>2740.75</v>
      </c>
      <c r="O1979" s="115">
        <v>2660</v>
      </c>
      <c r="P1979" s="115">
        <v>2675.15</v>
      </c>
      <c r="Q1979" s="115">
        <v>2710.85</v>
      </c>
      <c r="R1979">
        <v>116478</v>
      </c>
    </row>
    <row r="1980" spans="1:18" x14ac:dyDescent="0.25">
      <c r="A1980" s="169">
        <v>44918</v>
      </c>
      <c r="B1980" s="115">
        <v>2736.2</v>
      </c>
      <c r="C1980" s="115">
        <v>2699.9</v>
      </c>
      <c r="D1980" s="115">
        <v>2660.1</v>
      </c>
      <c r="E1980" s="115">
        <v>2665.15</v>
      </c>
      <c r="F1980" s="115">
        <v>2699.9</v>
      </c>
      <c r="G1980">
        <v>4379</v>
      </c>
      <c r="H1980" s="115"/>
      <c r="I1980" s="115"/>
      <c r="L1980" s="169">
        <v>44921</v>
      </c>
      <c r="M1980" s="115">
        <v>2777.85</v>
      </c>
      <c r="N1980" s="115">
        <v>2793</v>
      </c>
      <c r="O1980" s="115">
        <v>2683.75</v>
      </c>
      <c r="P1980" s="115">
        <v>2685.05</v>
      </c>
      <c r="Q1980" s="115">
        <v>2777.85</v>
      </c>
      <c r="R1980">
        <v>90751</v>
      </c>
    </row>
    <row r="1981" spans="1:18" x14ac:dyDescent="0.25">
      <c r="A1981" s="169">
        <v>44921</v>
      </c>
      <c r="B1981" s="115">
        <v>2790.9</v>
      </c>
      <c r="C1981" s="115">
        <v>2774.75</v>
      </c>
      <c r="D1981" s="115">
        <v>2686.4</v>
      </c>
      <c r="E1981" s="115">
        <v>2712.95</v>
      </c>
      <c r="F1981" s="115">
        <v>2774.75</v>
      </c>
      <c r="G1981">
        <v>3792</v>
      </c>
      <c r="H1981" s="115"/>
      <c r="I1981" s="115"/>
      <c r="L1981" s="169">
        <v>44922</v>
      </c>
      <c r="M1981" s="115">
        <v>2787.25</v>
      </c>
      <c r="N1981" s="115">
        <v>2795</v>
      </c>
      <c r="O1981" s="115">
        <v>2741.5</v>
      </c>
      <c r="P1981" s="115">
        <v>2765</v>
      </c>
      <c r="Q1981" s="115">
        <v>2787.25</v>
      </c>
      <c r="R1981">
        <v>82638</v>
      </c>
    </row>
    <row r="1982" spans="1:18" x14ac:dyDescent="0.25">
      <c r="A1982" s="169">
        <v>44922</v>
      </c>
      <c r="B1982" s="115">
        <v>2796.15</v>
      </c>
      <c r="C1982" s="115">
        <v>2780.95</v>
      </c>
      <c r="D1982" s="115">
        <v>2742.05</v>
      </c>
      <c r="E1982" s="115">
        <v>2792.8</v>
      </c>
      <c r="F1982" s="115">
        <v>2780.95</v>
      </c>
      <c r="G1982">
        <v>2220</v>
      </c>
      <c r="H1982" s="115"/>
      <c r="I1982" s="115"/>
      <c r="L1982" s="169">
        <v>44923</v>
      </c>
      <c r="M1982" s="115">
        <v>2776.3</v>
      </c>
      <c r="N1982" s="115">
        <v>2796.8</v>
      </c>
      <c r="O1982" s="115">
        <v>2761</v>
      </c>
      <c r="P1982" s="115">
        <v>2774.1</v>
      </c>
      <c r="Q1982" s="115">
        <v>2776.3</v>
      </c>
      <c r="R1982">
        <v>40974</v>
      </c>
    </row>
    <row r="1983" spans="1:18" x14ac:dyDescent="0.25">
      <c r="A1983" s="169">
        <v>44923</v>
      </c>
      <c r="B1983" s="115">
        <v>2802.8</v>
      </c>
      <c r="C1983" s="115">
        <v>2774.7</v>
      </c>
      <c r="D1983" s="115">
        <v>2760.35</v>
      </c>
      <c r="E1983" s="115">
        <v>2802.8</v>
      </c>
      <c r="F1983" s="115">
        <v>2774.7</v>
      </c>
      <c r="G1983">
        <v>2300</v>
      </c>
      <c r="H1983" s="115"/>
      <c r="I1983" s="115"/>
      <c r="L1983" s="169">
        <v>44924</v>
      </c>
      <c r="M1983" s="115">
        <v>2752.05</v>
      </c>
      <c r="N1983" s="115">
        <v>2797</v>
      </c>
      <c r="O1983" s="115">
        <v>2731.55</v>
      </c>
      <c r="P1983" s="115">
        <v>2765</v>
      </c>
      <c r="Q1983" s="115">
        <v>2752.05</v>
      </c>
      <c r="R1983">
        <v>49280</v>
      </c>
    </row>
    <row r="1984" spans="1:18" x14ac:dyDescent="0.25">
      <c r="A1984" s="169">
        <v>44924</v>
      </c>
      <c r="B1984" s="115">
        <v>2796.45</v>
      </c>
      <c r="C1984" s="115">
        <v>2747.05</v>
      </c>
      <c r="D1984" s="115">
        <v>2722.05</v>
      </c>
      <c r="E1984" s="115">
        <v>2722.05</v>
      </c>
      <c r="F1984" s="115">
        <v>2747.05</v>
      </c>
      <c r="G1984">
        <v>1767</v>
      </c>
      <c r="H1984" s="115"/>
      <c r="I1984" s="115"/>
      <c r="L1984" s="169">
        <v>44925</v>
      </c>
      <c r="M1984" s="115">
        <v>2746.65</v>
      </c>
      <c r="N1984" s="115">
        <v>2777.1</v>
      </c>
      <c r="O1984" s="115">
        <v>2725</v>
      </c>
      <c r="P1984" s="115">
        <v>2751.05</v>
      </c>
      <c r="Q1984" s="115">
        <v>2746.65</v>
      </c>
      <c r="R1984">
        <v>68182</v>
      </c>
    </row>
    <row r="1985" spans="1:18" x14ac:dyDescent="0.25">
      <c r="A1985" s="169">
        <v>44925</v>
      </c>
      <c r="B1985" s="115">
        <v>2775.15</v>
      </c>
      <c r="C1985" s="115">
        <v>2744.5</v>
      </c>
      <c r="D1985" s="115">
        <v>2724.75</v>
      </c>
      <c r="E1985" s="115">
        <v>2750.1</v>
      </c>
      <c r="F1985" s="115">
        <v>2744.5</v>
      </c>
      <c r="G1985">
        <v>2478</v>
      </c>
      <c r="H1985" s="115"/>
      <c r="I1985" s="115"/>
      <c r="L1985" s="169">
        <v>44928</v>
      </c>
      <c r="M1985" s="115">
        <v>2720.7</v>
      </c>
      <c r="N1985" s="115">
        <v>2749</v>
      </c>
      <c r="O1985" s="115">
        <v>2670.05</v>
      </c>
      <c r="P1985" s="115">
        <v>2670.05</v>
      </c>
      <c r="Q1985" s="115">
        <v>2720.7</v>
      </c>
      <c r="R1985">
        <v>88440</v>
      </c>
    </row>
    <row r="1986" spans="1:18" x14ac:dyDescent="0.25">
      <c r="A1986" s="169">
        <v>44928</v>
      </c>
      <c r="B1986" s="115">
        <v>2750.25</v>
      </c>
      <c r="C1986" s="115">
        <v>2726.75</v>
      </c>
      <c r="D1986" s="115">
        <v>2697.1</v>
      </c>
      <c r="E1986" s="115">
        <v>2729.95</v>
      </c>
      <c r="F1986" s="115">
        <v>2726.75</v>
      </c>
      <c r="G1986">
        <v>2004</v>
      </c>
      <c r="H1986" s="115"/>
      <c r="I1986" s="115"/>
      <c r="L1986" s="169">
        <v>44929</v>
      </c>
      <c r="M1986" s="115">
        <v>2752.25</v>
      </c>
      <c r="N1986" s="115">
        <v>2775.95</v>
      </c>
      <c r="O1986" s="115">
        <v>2720.95</v>
      </c>
      <c r="P1986" s="115">
        <v>2720.95</v>
      </c>
      <c r="Q1986" s="115">
        <v>2752.25</v>
      </c>
      <c r="R1986">
        <v>64268</v>
      </c>
    </row>
    <row r="1987" spans="1:18" x14ac:dyDescent="0.25">
      <c r="A1987" s="169">
        <v>44929</v>
      </c>
      <c r="B1987" s="115">
        <v>2776.35</v>
      </c>
      <c r="C1987" s="115">
        <v>2757.1</v>
      </c>
      <c r="D1987" s="115">
        <v>2724.75</v>
      </c>
      <c r="E1987" s="115">
        <v>2731.8</v>
      </c>
      <c r="F1987" s="115">
        <v>2757.1</v>
      </c>
      <c r="G1987">
        <v>1697</v>
      </c>
      <c r="H1987" s="115"/>
      <c r="I1987" s="115"/>
      <c r="L1987" s="169">
        <v>44930</v>
      </c>
      <c r="M1987" s="115">
        <v>2735.15</v>
      </c>
      <c r="N1987" s="115">
        <v>2789.35</v>
      </c>
      <c r="O1987" s="115">
        <v>2716</v>
      </c>
      <c r="P1987" s="115">
        <v>2765</v>
      </c>
      <c r="Q1987" s="115">
        <v>2735.15</v>
      </c>
      <c r="R1987">
        <v>194192</v>
      </c>
    </row>
    <row r="1988" spans="1:18" x14ac:dyDescent="0.25">
      <c r="A1988" s="169">
        <v>44930</v>
      </c>
      <c r="B1988" s="115">
        <v>2786.5</v>
      </c>
      <c r="C1988" s="115">
        <v>2733.55</v>
      </c>
      <c r="D1988" s="115">
        <v>2715.2</v>
      </c>
      <c r="E1988" s="115">
        <v>2769.95</v>
      </c>
      <c r="F1988" s="115">
        <v>2733.55</v>
      </c>
      <c r="G1988">
        <v>2855</v>
      </c>
      <c r="H1988" s="115"/>
      <c r="I1988" s="115"/>
      <c r="L1988" s="169">
        <v>44931</v>
      </c>
      <c r="M1988" s="115">
        <v>2703.15</v>
      </c>
      <c r="N1988" s="115">
        <v>2734.45</v>
      </c>
      <c r="O1988" s="115">
        <v>2680.8</v>
      </c>
      <c r="P1988" s="115">
        <v>2727.5</v>
      </c>
      <c r="Q1988" s="115">
        <v>2703.15</v>
      </c>
      <c r="R1988">
        <v>115483</v>
      </c>
    </row>
    <row r="1989" spans="1:18" x14ac:dyDescent="0.25">
      <c r="A1989" s="169">
        <v>44931</v>
      </c>
      <c r="B1989" s="115">
        <v>2740</v>
      </c>
      <c r="C1989" s="115">
        <v>2699.45</v>
      </c>
      <c r="D1989" s="115">
        <v>2678.95</v>
      </c>
      <c r="E1989" s="115">
        <v>2740</v>
      </c>
      <c r="F1989" s="115">
        <v>2699.45</v>
      </c>
      <c r="G1989">
        <v>3286</v>
      </c>
      <c r="H1989" s="115"/>
      <c r="I1989" s="115"/>
      <c r="L1989" s="169">
        <v>44932</v>
      </c>
      <c r="M1989" s="115">
        <v>2688.45</v>
      </c>
      <c r="N1989" s="115">
        <v>2716.7</v>
      </c>
      <c r="O1989" s="115">
        <v>2651.5</v>
      </c>
      <c r="P1989" s="115">
        <v>2703.15</v>
      </c>
      <c r="Q1989" s="115">
        <v>2688.45</v>
      </c>
      <c r="R1989">
        <v>93027</v>
      </c>
    </row>
    <row r="1990" spans="1:18" x14ac:dyDescent="0.25">
      <c r="A1990" s="169">
        <v>44932</v>
      </c>
      <c r="B1990" s="115">
        <v>2739.9</v>
      </c>
      <c r="C1990" s="115">
        <v>2685.8</v>
      </c>
      <c r="D1990" s="115">
        <v>2650.55</v>
      </c>
      <c r="E1990" s="115">
        <v>2739.9</v>
      </c>
      <c r="F1990" s="115">
        <v>2685.8</v>
      </c>
      <c r="G1990">
        <v>3807</v>
      </c>
      <c r="H1990" s="115"/>
      <c r="I1990" s="115"/>
      <c r="L1990" s="169">
        <v>44935</v>
      </c>
      <c r="M1990" s="115">
        <v>2677</v>
      </c>
      <c r="N1990" s="115">
        <v>2721.55</v>
      </c>
      <c r="O1990" s="115">
        <v>2665.1</v>
      </c>
      <c r="P1990" s="115">
        <v>2702</v>
      </c>
      <c r="Q1990" s="115">
        <v>2677</v>
      </c>
      <c r="R1990">
        <v>28922</v>
      </c>
    </row>
    <row r="1991" spans="1:18" x14ac:dyDescent="0.25">
      <c r="A1991" s="169">
        <v>44935</v>
      </c>
      <c r="B1991" s="115">
        <v>2706.45</v>
      </c>
      <c r="C1991" s="115">
        <v>2682.85</v>
      </c>
      <c r="D1991" s="115">
        <v>2666</v>
      </c>
      <c r="E1991" s="115">
        <v>2706.45</v>
      </c>
      <c r="F1991" s="115">
        <v>2682.85</v>
      </c>
      <c r="G1991">
        <v>1060</v>
      </c>
      <c r="H1991" s="115"/>
      <c r="I1991" s="115"/>
      <c r="L1991" s="169">
        <v>44936</v>
      </c>
      <c r="M1991" s="115">
        <v>2674.9</v>
      </c>
      <c r="N1991" s="115">
        <v>2693.95</v>
      </c>
      <c r="O1991" s="115">
        <v>2641.5</v>
      </c>
      <c r="P1991" s="115">
        <v>2676</v>
      </c>
      <c r="Q1991" s="115">
        <v>2674.9</v>
      </c>
      <c r="R1991">
        <v>106690</v>
      </c>
    </row>
    <row r="1992" spans="1:18" x14ac:dyDescent="0.25">
      <c r="A1992" s="169">
        <v>44936</v>
      </c>
      <c r="B1992" s="115">
        <v>2691</v>
      </c>
      <c r="C1992" s="115">
        <v>2670.2</v>
      </c>
      <c r="D1992" s="115">
        <v>2641.85</v>
      </c>
      <c r="E1992" s="115">
        <v>2673.1</v>
      </c>
      <c r="F1992" s="115">
        <v>2670.2</v>
      </c>
      <c r="G1992">
        <v>2943</v>
      </c>
      <c r="H1992" s="115"/>
      <c r="I1992" s="115"/>
      <c r="L1992" s="169">
        <v>44937</v>
      </c>
      <c r="M1992" s="115">
        <v>2661.35</v>
      </c>
      <c r="N1992" s="115">
        <v>2688</v>
      </c>
      <c r="O1992" s="115">
        <v>2622.6</v>
      </c>
      <c r="P1992" s="115">
        <v>2688</v>
      </c>
      <c r="Q1992" s="115">
        <v>2661.35</v>
      </c>
      <c r="R1992">
        <v>105221</v>
      </c>
    </row>
    <row r="1993" spans="1:18" x14ac:dyDescent="0.25">
      <c r="A1993" s="169">
        <v>44937</v>
      </c>
      <c r="B1993" s="115">
        <v>2718.9</v>
      </c>
      <c r="C1993" s="115">
        <v>2688.2</v>
      </c>
      <c r="D1993" s="115">
        <v>2623.2</v>
      </c>
      <c r="E1993" s="115">
        <v>2626.05</v>
      </c>
      <c r="F1993" s="115">
        <v>2688.2</v>
      </c>
      <c r="G1993">
        <v>3318</v>
      </c>
      <c r="H1993" s="115"/>
      <c r="I1993" s="115"/>
      <c r="L1993" s="169">
        <v>44938</v>
      </c>
      <c r="M1993" s="115">
        <v>2706.55</v>
      </c>
      <c r="N1993" s="115">
        <v>2746.95</v>
      </c>
      <c r="O1993" s="115">
        <v>2660</v>
      </c>
      <c r="P1993" s="115">
        <v>2660</v>
      </c>
      <c r="Q1993" s="115">
        <v>2706.55</v>
      </c>
      <c r="R1993">
        <v>97305</v>
      </c>
    </row>
    <row r="1994" spans="1:18" x14ac:dyDescent="0.25">
      <c r="A1994" s="169">
        <v>44938</v>
      </c>
      <c r="B1994" s="115">
        <v>2747.75</v>
      </c>
      <c r="C1994" s="115">
        <v>2703.7</v>
      </c>
      <c r="D1994" s="115">
        <v>2656.2</v>
      </c>
      <c r="E1994" s="115">
        <v>2660.05</v>
      </c>
      <c r="F1994" s="115">
        <v>2703.7</v>
      </c>
      <c r="G1994">
        <v>4852</v>
      </c>
      <c r="H1994" s="115"/>
      <c r="I1994" s="115"/>
      <c r="L1994" s="169">
        <v>44939</v>
      </c>
      <c r="M1994" s="115">
        <v>2700.65</v>
      </c>
      <c r="N1994" s="115">
        <v>2730</v>
      </c>
      <c r="O1994" s="115">
        <v>2656</v>
      </c>
      <c r="P1994" s="115">
        <v>2719</v>
      </c>
      <c r="Q1994" s="115">
        <v>2700.65</v>
      </c>
      <c r="R1994">
        <v>115068</v>
      </c>
    </row>
    <row r="1995" spans="1:18" x14ac:dyDescent="0.25">
      <c r="A1995" s="169">
        <v>44939</v>
      </c>
      <c r="B1995" s="115">
        <v>2724.15</v>
      </c>
      <c r="C1995" s="115">
        <v>2700.3</v>
      </c>
      <c r="D1995" s="115">
        <v>2657.95</v>
      </c>
      <c r="E1995" s="115">
        <v>2724.15</v>
      </c>
      <c r="F1995" s="115">
        <v>2700.3</v>
      </c>
      <c r="G1995">
        <v>3854</v>
      </c>
      <c r="H1995" s="115"/>
      <c r="I1995" s="115"/>
      <c r="L1995" s="169">
        <v>44942</v>
      </c>
      <c r="M1995" s="115">
        <v>2716.4</v>
      </c>
      <c r="N1995" s="115">
        <v>2740</v>
      </c>
      <c r="O1995" s="115">
        <v>2685.15</v>
      </c>
      <c r="P1995" s="115">
        <v>2685.15</v>
      </c>
      <c r="Q1995" s="115">
        <v>2716.4</v>
      </c>
      <c r="R1995">
        <v>28457</v>
      </c>
    </row>
    <row r="1996" spans="1:18" x14ac:dyDescent="0.25">
      <c r="A1996" s="169">
        <v>44942</v>
      </c>
      <c r="B1996" s="115">
        <v>2734</v>
      </c>
      <c r="C1996" s="115">
        <v>2715.1</v>
      </c>
      <c r="D1996" s="115">
        <v>2680</v>
      </c>
      <c r="E1996" s="115">
        <v>2680</v>
      </c>
      <c r="F1996" s="115">
        <v>2715.1</v>
      </c>
      <c r="G1996">
        <v>793</v>
      </c>
      <c r="H1996" s="115"/>
      <c r="I1996" s="115"/>
      <c r="L1996" s="169">
        <v>44943</v>
      </c>
      <c r="M1996" s="115">
        <v>2700.4</v>
      </c>
      <c r="N1996" s="115">
        <v>2749.9</v>
      </c>
      <c r="O1996" s="115">
        <v>2695</v>
      </c>
      <c r="P1996" s="115">
        <v>2716.4</v>
      </c>
      <c r="Q1996" s="115">
        <v>2700.4</v>
      </c>
      <c r="R1996">
        <v>25539</v>
      </c>
    </row>
    <row r="1997" spans="1:18" x14ac:dyDescent="0.25">
      <c r="A1997" s="169">
        <v>44943</v>
      </c>
      <c r="B1997" s="115">
        <v>2749.55</v>
      </c>
      <c r="C1997" s="115">
        <v>2703.6</v>
      </c>
      <c r="D1997" s="115">
        <v>2693.1</v>
      </c>
      <c r="E1997" s="115">
        <v>2720.35</v>
      </c>
      <c r="F1997" s="115">
        <v>2703.6</v>
      </c>
      <c r="G1997">
        <v>927</v>
      </c>
      <c r="H1997" s="115"/>
      <c r="I1997" s="115"/>
      <c r="L1997" s="169">
        <v>44944</v>
      </c>
      <c r="M1997" s="115">
        <v>2679.95</v>
      </c>
      <c r="N1997" s="115">
        <v>2711.9</v>
      </c>
      <c r="O1997" s="115">
        <v>2651</v>
      </c>
      <c r="P1997" s="115">
        <v>2708.9</v>
      </c>
      <c r="Q1997" s="115">
        <v>2679.95</v>
      </c>
      <c r="R1997">
        <v>50660</v>
      </c>
    </row>
    <row r="1998" spans="1:18" x14ac:dyDescent="0.25">
      <c r="A1998" s="169">
        <v>44944</v>
      </c>
      <c r="B1998" s="115">
        <v>2710.95</v>
      </c>
      <c r="C1998" s="115">
        <v>2681.4</v>
      </c>
      <c r="D1998" s="115">
        <v>2649.75</v>
      </c>
      <c r="E1998" s="115">
        <v>2708.9</v>
      </c>
      <c r="F1998" s="115">
        <v>2681.4</v>
      </c>
      <c r="G1998">
        <v>2309</v>
      </c>
      <c r="H1998" s="115"/>
      <c r="I1998" s="115"/>
      <c r="L1998" s="169">
        <v>44945</v>
      </c>
      <c r="M1998" s="115">
        <v>2662.2</v>
      </c>
      <c r="N1998" s="115">
        <v>2694.4</v>
      </c>
      <c r="O1998" s="115">
        <v>2652</v>
      </c>
      <c r="P1998" s="115">
        <v>2680.9</v>
      </c>
      <c r="Q1998" s="115">
        <v>2662.2</v>
      </c>
      <c r="R1998">
        <v>21227</v>
      </c>
    </row>
    <row r="1999" spans="1:18" x14ac:dyDescent="0.25">
      <c r="A1999" s="169">
        <v>44945</v>
      </c>
      <c r="B1999" s="115">
        <v>2694.05</v>
      </c>
      <c r="C1999" s="115">
        <v>2660</v>
      </c>
      <c r="D1999" s="115">
        <v>2655</v>
      </c>
      <c r="E1999" s="115">
        <v>2676.1</v>
      </c>
      <c r="F1999" s="115">
        <v>2660</v>
      </c>
      <c r="G1999">
        <v>2069</v>
      </c>
      <c r="H1999" s="115"/>
      <c r="I1999" s="115"/>
      <c r="L1999" s="169">
        <v>44946</v>
      </c>
      <c r="M1999" s="115">
        <v>2668.7</v>
      </c>
      <c r="N1999" s="115">
        <v>2698.85</v>
      </c>
      <c r="O1999" s="115">
        <v>2660</v>
      </c>
      <c r="P1999" s="115">
        <v>2664.8</v>
      </c>
      <c r="Q1999" s="115">
        <v>2668.7</v>
      </c>
      <c r="R1999">
        <v>20715</v>
      </c>
    </row>
    <row r="2000" spans="1:18" x14ac:dyDescent="0.25">
      <c r="A2000" s="169">
        <v>44946</v>
      </c>
      <c r="B2000" s="115">
        <v>2695.95</v>
      </c>
      <c r="C2000" s="115">
        <v>2665.45</v>
      </c>
      <c r="D2000" s="115">
        <v>2652.05</v>
      </c>
      <c r="E2000" s="115">
        <v>2652.05</v>
      </c>
      <c r="F2000" s="115">
        <v>2665.45</v>
      </c>
      <c r="G2000">
        <v>399</v>
      </c>
      <c r="H2000" s="115"/>
      <c r="I2000" s="115"/>
      <c r="L2000" s="169">
        <v>44949</v>
      </c>
      <c r="M2000" s="115">
        <v>2649.65</v>
      </c>
      <c r="N2000" s="115">
        <v>2706.9</v>
      </c>
      <c r="O2000" s="115">
        <v>2641.1</v>
      </c>
      <c r="P2000" s="115">
        <v>2682.05</v>
      </c>
      <c r="Q2000" s="115">
        <v>2649.65</v>
      </c>
      <c r="R2000">
        <v>25317</v>
      </c>
    </row>
    <row r="2001" spans="1:18" x14ac:dyDescent="0.25">
      <c r="A2001" s="169">
        <v>44949</v>
      </c>
      <c r="B2001" s="115">
        <v>2702.7</v>
      </c>
      <c r="C2001" s="115">
        <v>2651.45</v>
      </c>
      <c r="D2001" s="115">
        <v>2642</v>
      </c>
      <c r="E2001" s="115">
        <v>2649.95</v>
      </c>
      <c r="F2001" s="115">
        <v>2651.45</v>
      </c>
      <c r="G2001">
        <v>942</v>
      </c>
      <c r="H2001" s="115"/>
      <c r="I2001" s="115"/>
      <c r="L2001" s="169">
        <v>44950</v>
      </c>
      <c r="M2001" s="115">
        <v>2656.6</v>
      </c>
      <c r="N2001" s="115">
        <v>2679</v>
      </c>
      <c r="O2001" s="115">
        <v>2640</v>
      </c>
      <c r="P2001" s="115">
        <v>2659.65</v>
      </c>
      <c r="Q2001" s="115">
        <v>2656.6</v>
      </c>
      <c r="R2001">
        <v>33583</v>
      </c>
    </row>
    <row r="2002" spans="1:18" x14ac:dyDescent="0.25">
      <c r="A2002" s="169">
        <v>44950</v>
      </c>
      <c r="B2002" s="115">
        <v>2679.4</v>
      </c>
      <c r="C2002" s="115">
        <v>2655</v>
      </c>
      <c r="D2002" s="115">
        <v>2637.95</v>
      </c>
      <c r="E2002" s="115">
        <v>2655.05</v>
      </c>
      <c r="F2002" s="115">
        <v>2655</v>
      </c>
      <c r="G2002">
        <v>2556</v>
      </c>
      <c r="H2002" s="115"/>
      <c r="I2002" s="115"/>
      <c r="L2002" s="169">
        <v>44951</v>
      </c>
      <c r="M2002" s="115">
        <v>2639.5</v>
      </c>
      <c r="N2002" s="115">
        <v>2660</v>
      </c>
      <c r="O2002" s="115">
        <v>2616.0500000000002</v>
      </c>
      <c r="P2002" s="115">
        <v>2660</v>
      </c>
      <c r="Q2002" s="115">
        <v>2639.5</v>
      </c>
      <c r="R2002">
        <v>44488</v>
      </c>
    </row>
    <row r="2003" spans="1:18" x14ac:dyDescent="0.25">
      <c r="A2003" s="169">
        <v>44951</v>
      </c>
      <c r="B2003" s="115">
        <v>2652.5</v>
      </c>
      <c r="C2003" s="115">
        <v>2635.55</v>
      </c>
      <c r="D2003" s="115">
        <v>2619</v>
      </c>
      <c r="E2003" s="115">
        <v>2652.5</v>
      </c>
      <c r="F2003" s="115">
        <v>2635.55</v>
      </c>
      <c r="G2003">
        <v>1767</v>
      </c>
      <c r="H2003" s="115"/>
      <c r="I2003" s="115"/>
      <c r="L2003" s="169">
        <v>44953</v>
      </c>
      <c r="M2003" s="115">
        <v>2606.85</v>
      </c>
      <c r="N2003" s="115">
        <v>2640</v>
      </c>
      <c r="O2003" s="115">
        <v>2564.8000000000002</v>
      </c>
      <c r="P2003" s="115">
        <v>2635.9</v>
      </c>
      <c r="Q2003" s="115">
        <v>2606.85</v>
      </c>
      <c r="R2003">
        <v>74688</v>
      </c>
    </row>
    <row r="2004" spans="1:18" x14ac:dyDescent="0.25">
      <c r="A2004" s="169">
        <v>44953</v>
      </c>
      <c r="B2004" s="115">
        <v>2640</v>
      </c>
      <c r="C2004" s="115">
        <v>2604.65</v>
      </c>
      <c r="D2004" s="115">
        <v>2565.4</v>
      </c>
      <c r="E2004" s="115">
        <v>2640</v>
      </c>
      <c r="F2004" s="115">
        <v>2604.65</v>
      </c>
      <c r="G2004">
        <v>3462</v>
      </c>
      <c r="H2004" s="115"/>
      <c r="I2004" s="115"/>
      <c r="L2004" s="169">
        <v>44956</v>
      </c>
      <c r="M2004" s="115">
        <v>2630.2</v>
      </c>
      <c r="N2004" s="115">
        <v>2637</v>
      </c>
      <c r="O2004" s="115">
        <v>2555.5500000000002</v>
      </c>
      <c r="P2004" s="115">
        <v>2555.5500000000002</v>
      </c>
      <c r="Q2004" s="115">
        <v>2630.2</v>
      </c>
      <c r="R2004">
        <v>40646</v>
      </c>
    </row>
    <row r="2005" spans="1:18" x14ac:dyDescent="0.25">
      <c r="A2005" s="169">
        <v>44956</v>
      </c>
      <c r="B2005" s="115">
        <v>2634</v>
      </c>
      <c r="C2005" s="115">
        <v>2629.6</v>
      </c>
      <c r="D2005" s="115">
        <v>2554.75</v>
      </c>
      <c r="E2005" s="115">
        <v>2555</v>
      </c>
      <c r="F2005" s="115">
        <v>2629.6</v>
      </c>
      <c r="G2005">
        <v>1955</v>
      </c>
      <c r="H2005" s="115"/>
      <c r="I2005" s="115"/>
      <c r="L2005" s="169">
        <v>44957</v>
      </c>
      <c r="M2005" s="115">
        <v>2691.9</v>
      </c>
      <c r="N2005" s="115">
        <v>2698.9</v>
      </c>
      <c r="O2005" s="115">
        <v>2593.6999999999998</v>
      </c>
      <c r="P2005" s="115">
        <v>2630</v>
      </c>
      <c r="Q2005" s="115">
        <v>2691.9</v>
      </c>
      <c r="R2005">
        <v>36719</v>
      </c>
    </row>
    <row r="2006" spans="1:18" x14ac:dyDescent="0.25">
      <c r="A2006" s="169">
        <v>44957</v>
      </c>
      <c r="B2006" s="115">
        <v>2697.65</v>
      </c>
      <c r="C2006" s="115">
        <v>2693.2</v>
      </c>
      <c r="D2006" s="115">
        <v>2595.0500000000002</v>
      </c>
      <c r="E2006" s="115">
        <v>2620.15</v>
      </c>
      <c r="F2006" s="115">
        <v>2693.2</v>
      </c>
      <c r="G2006">
        <v>927</v>
      </c>
      <c r="H2006" s="115"/>
      <c r="I2006" s="115"/>
      <c r="L2006" s="169">
        <v>44958</v>
      </c>
      <c r="M2006" s="115">
        <v>2672.15</v>
      </c>
      <c r="N2006" s="115">
        <v>2700</v>
      </c>
      <c r="O2006" s="115">
        <v>2641</v>
      </c>
      <c r="P2006" s="115">
        <v>2675.1</v>
      </c>
      <c r="Q2006" s="115">
        <v>2672.15</v>
      </c>
      <c r="R2006">
        <v>106870</v>
      </c>
    </row>
    <row r="2007" spans="1:18" x14ac:dyDescent="0.25">
      <c r="A2007" s="169">
        <v>44958</v>
      </c>
      <c r="B2007" s="115">
        <v>2699.45</v>
      </c>
      <c r="C2007" s="115">
        <v>2671.4</v>
      </c>
      <c r="D2007" s="115">
        <v>2641.05</v>
      </c>
      <c r="E2007" s="115">
        <v>2681.9</v>
      </c>
      <c r="F2007" s="115">
        <v>2671.4</v>
      </c>
      <c r="G2007">
        <v>4087</v>
      </c>
      <c r="H2007" s="115"/>
      <c r="I2007" s="115"/>
      <c r="L2007" s="169">
        <v>44959</v>
      </c>
      <c r="M2007" s="115">
        <v>2657.5</v>
      </c>
      <c r="N2007" s="115">
        <v>2763.9</v>
      </c>
      <c r="O2007" s="115">
        <v>2651</v>
      </c>
      <c r="P2007" s="115">
        <v>2680.5</v>
      </c>
      <c r="Q2007" s="115">
        <v>2657.5</v>
      </c>
      <c r="R2007">
        <v>76599</v>
      </c>
    </row>
    <row r="2008" spans="1:18" x14ac:dyDescent="0.25">
      <c r="A2008" s="169">
        <v>44959</v>
      </c>
      <c r="B2008" s="115">
        <v>2762.85</v>
      </c>
      <c r="C2008" s="115">
        <v>2656.55</v>
      </c>
      <c r="D2008" s="115">
        <v>2650.2</v>
      </c>
      <c r="E2008" s="115">
        <v>2687.25</v>
      </c>
      <c r="F2008" s="115">
        <v>2656.55</v>
      </c>
      <c r="G2008">
        <v>3825</v>
      </c>
      <c r="H2008" s="115"/>
      <c r="I2008" s="115"/>
      <c r="L2008" s="169">
        <v>44960</v>
      </c>
      <c r="M2008" s="115">
        <v>2584.15</v>
      </c>
      <c r="N2008" s="115">
        <v>2671.45</v>
      </c>
      <c r="O2008" s="115">
        <v>2575.0500000000002</v>
      </c>
      <c r="P2008" s="115">
        <v>2660</v>
      </c>
      <c r="Q2008" s="115">
        <v>2584.15</v>
      </c>
      <c r="R2008">
        <v>46735</v>
      </c>
    </row>
    <row r="2009" spans="1:18" x14ac:dyDescent="0.25">
      <c r="A2009" s="169">
        <v>44960</v>
      </c>
      <c r="B2009" s="115">
        <v>2669.55</v>
      </c>
      <c r="C2009" s="115">
        <v>2585.25</v>
      </c>
      <c r="D2009" s="115">
        <v>2575.1999999999998</v>
      </c>
      <c r="E2009" s="115">
        <v>2660</v>
      </c>
      <c r="F2009" s="115">
        <v>2585.25</v>
      </c>
      <c r="G2009">
        <v>2641</v>
      </c>
      <c r="H2009" s="115"/>
      <c r="I2009" s="115"/>
      <c r="L2009" s="169">
        <v>44963</v>
      </c>
      <c r="M2009" s="115">
        <v>2635.85</v>
      </c>
      <c r="N2009" s="115">
        <v>2646.55</v>
      </c>
      <c r="O2009" s="115">
        <v>2597.1</v>
      </c>
      <c r="P2009" s="115">
        <v>2597.1</v>
      </c>
      <c r="Q2009" s="115">
        <v>2635.85</v>
      </c>
      <c r="R2009">
        <v>55791</v>
      </c>
    </row>
    <row r="2010" spans="1:18" x14ac:dyDescent="0.25">
      <c r="A2010" s="169">
        <v>44963</v>
      </c>
      <c r="B2010" s="115">
        <v>2645.45</v>
      </c>
      <c r="C2010" s="115">
        <v>2636.4</v>
      </c>
      <c r="D2010" s="115">
        <v>2592.5</v>
      </c>
      <c r="E2010" s="115">
        <v>2592.5</v>
      </c>
      <c r="F2010" s="115">
        <v>2636.4</v>
      </c>
      <c r="G2010">
        <v>4046</v>
      </c>
      <c r="H2010" s="115"/>
      <c r="I2010" s="115"/>
      <c r="L2010" s="169">
        <v>44964</v>
      </c>
      <c r="M2010" s="115">
        <v>2647.9</v>
      </c>
      <c r="N2010" s="115">
        <v>2662</v>
      </c>
      <c r="O2010" s="115">
        <v>2588</v>
      </c>
      <c r="P2010" s="115">
        <v>2635.85</v>
      </c>
      <c r="Q2010" s="115">
        <v>2647.9</v>
      </c>
      <c r="R2010">
        <v>40039</v>
      </c>
    </row>
    <row r="2011" spans="1:18" x14ac:dyDescent="0.25">
      <c r="A2011" s="169">
        <v>44964</v>
      </c>
      <c r="B2011" s="115">
        <v>2660.05</v>
      </c>
      <c r="C2011" s="115">
        <v>2645</v>
      </c>
      <c r="D2011" s="115">
        <v>2588</v>
      </c>
      <c r="E2011" s="115">
        <v>2634.6</v>
      </c>
      <c r="F2011" s="115">
        <v>2645</v>
      </c>
      <c r="G2011">
        <v>2754</v>
      </c>
      <c r="H2011" s="115"/>
      <c r="I2011" s="115"/>
      <c r="L2011" s="169">
        <v>44965</v>
      </c>
      <c r="M2011" s="115">
        <v>2613.15</v>
      </c>
      <c r="N2011" s="115">
        <v>2655</v>
      </c>
      <c r="O2011" s="115">
        <v>2611</v>
      </c>
      <c r="P2011" s="115">
        <v>2635</v>
      </c>
      <c r="Q2011" s="115">
        <v>2613.15</v>
      </c>
      <c r="R2011">
        <v>17152</v>
      </c>
    </row>
    <row r="2012" spans="1:18" x14ac:dyDescent="0.25">
      <c r="A2012" s="169">
        <v>44965</v>
      </c>
      <c r="B2012" s="115">
        <v>2650.25</v>
      </c>
      <c r="C2012" s="115">
        <v>2616.85</v>
      </c>
      <c r="D2012" s="115">
        <v>2611</v>
      </c>
      <c r="E2012" s="115">
        <v>2644.95</v>
      </c>
      <c r="F2012" s="115">
        <v>2616.85</v>
      </c>
      <c r="G2012">
        <v>828</v>
      </c>
      <c r="H2012" s="115"/>
      <c r="I2012" s="115"/>
      <c r="L2012" s="169">
        <v>44966</v>
      </c>
      <c r="M2012" s="115">
        <v>2722.55</v>
      </c>
      <c r="N2012" s="115">
        <v>2752</v>
      </c>
      <c r="O2012" s="115">
        <v>2593.1</v>
      </c>
      <c r="P2012" s="115">
        <v>2613.15</v>
      </c>
      <c r="Q2012" s="115">
        <v>2722.55</v>
      </c>
      <c r="R2012">
        <v>105206</v>
      </c>
    </row>
    <row r="2013" spans="1:18" x14ac:dyDescent="0.25">
      <c r="A2013" s="169">
        <v>44966</v>
      </c>
      <c r="B2013" s="115">
        <v>2749.25</v>
      </c>
      <c r="C2013" s="115">
        <v>2721.95</v>
      </c>
      <c r="D2013" s="115">
        <v>2593.1999999999998</v>
      </c>
      <c r="E2013" s="115">
        <v>2615</v>
      </c>
      <c r="F2013" s="115">
        <v>2721.95</v>
      </c>
      <c r="G2013">
        <v>8172</v>
      </c>
      <c r="H2013" s="115"/>
      <c r="I2013" s="115"/>
      <c r="L2013" s="169">
        <v>44967</v>
      </c>
      <c r="M2013" s="115">
        <v>2739.45</v>
      </c>
      <c r="N2013" s="115">
        <v>2755</v>
      </c>
      <c r="O2013" s="115">
        <v>2704.55</v>
      </c>
      <c r="P2013" s="115">
        <v>2732.95</v>
      </c>
      <c r="Q2013" s="115">
        <v>2739.45</v>
      </c>
      <c r="R2013">
        <v>32667</v>
      </c>
    </row>
    <row r="2014" spans="1:18" x14ac:dyDescent="0.25">
      <c r="A2014" s="169">
        <v>44967</v>
      </c>
      <c r="B2014" s="115">
        <v>2751.15</v>
      </c>
      <c r="C2014" s="115">
        <v>2740.35</v>
      </c>
      <c r="D2014" s="115">
        <v>2704.1</v>
      </c>
      <c r="E2014" s="115">
        <v>2708.05</v>
      </c>
      <c r="F2014" s="115">
        <v>2740.35</v>
      </c>
      <c r="G2014">
        <v>1902</v>
      </c>
      <c r="H2014" s="115"/>
      <c r="I2014" s="115"/>
      <c r="L2014" s="169">
        <v>44970</v>
      </c>
      <c r="M2014" s="115">
        <v>2714.9</v>
      </c>
      <c r="N2014" s="115">
        <v>2753.15</v>
      </c>
      <c r="O2014" s="115">
        <v>2675</v>
      </c>
      <c r="P2014" s="115">
        <v>2753.15</v>
      </c>
      <c r="Q2014" s="115">
        <v>2714.9</v>
      </c>
      <c r="R2014">
        <v>29683</v>
      </c>
    </row>
    <row r="2015" spans="1:18" x14ac:dyDescent="0.25">
      <c r="A2015" s="169">
        <v>44970</v>
      </c>
      <c r="B2015" s="115">
        <v>2754.15</v>
      </c>
      <c r="C2015" s="115">
        <v>2717.95</v>
      </c>
      <c r="D2015" s="115">
        <v>2656</v>
      </c>
      <c r="E2015" s="115">
        <v>2749.1</v>
      </c>
      <c r="F2015" s="115">
        <v>2717.95</v>
      </c>
      <c r="G2015">
        <v>3964</v>
      </c>
      <c r="H2015" s="115"/>
      <c r="I2015" s="115"/>
      <c r="L2015" s="169">
        <v>44971</v>
      </c>
      <c r="M2015" s="115">
        <v>2687.15</v>
      </c>
      <c r="N2015" s="115">
        <v>2745</v>
      </c>
      <c r="O2015" s="115">
        <v>2681.65</v>
      </c>
      <c r="P2015" s="115">
        <v>2700</v>
      </c>
      <c r="Q2015" s="115">
        <v>2687.15</v>
      </c>
      <c r="R2015">
        <v>23158</v>
      </c>
    </row>
    <row r="2016" spans="1:18" x14ac:dyDescent="0.25">
      <c r="A2016" s="169">
        <v>44971</v>
      </c>
      <c r="B2016" s="115">
        <v>2744.15</v>
      </c>
      <c r="C2016" s="115">
        <v>2689.05</v>
      </c>
      <c r="D2016" s="115">
        <v>2645.4</v>
      </c>
      <c r="E2016" s="115">
        <v>2718</v>
      </c>
      <c r="F2016" s="115">
        <v>2689.05</v>
      </c>
      <c r="G2016">
        <v>3372</v>
      </c>
      <c r="H2016" s="115"/>
      <c r="I2016" s="115"/>
      <c r="L2016" s="169">
        <v>44972</v>
      </c>
      <c r="M2016" s="115">
        <v>2705.55</v>
      </c>
      <c r="N2016" s="115">
        <v>2730</v>
      </c>
      <c r="O2016" s="115">
        <v>2690</v>
      </c>
      <c r="P2016" s="115">
        <v>2723</v>
      </c>
      <c r="Q2016" s="115">
        <v>2705.55</v>
      </c>
      <c r="R2016">
        <v>37413</v>
      </c>
    </row>
    <row r="2017" spans="1:18" x14ac:dyDescent="0.25">
      <c r="A2017" s="169">
        <v>44972</v>
      </c>
      <c r="B2017" s="115">
        <v>2739.95</v>
      </c>
      <c r="C2017" s="115">
        <v>2708.75</v>
      </c>
      <c r="D2017" s="115">
        <v>2689.05</v>
      </c>
      <c r="E2017" s="115">
        <v>2739.95</v>
      </c>
      <c r="F2017" s="115">
        <v>2708.75</v>
      </c>
      <c r="G2017">
        <v>3180</v>
      </c>
      <c r="H2017" s="115"/>
      <c r="I2017" s="115"/>
      <c r="L2017" s="169">
        <v>44973</v>
      </c>
      <c r="M2017" s="115">
        <v>2830</v>
      </c>
      <c r="N2017" s="115">
        <v>2849.9</v>
      </c>
      <c r="O2017" s="115">
        <v>2697.6</v>
      </c>
      <c r="P2017" s="115">
        <v>2720</v>
      </c>
      <c r="Q2017" s="115">
        <v>2830</v>
      </c>
      <c r="R2017">
        <v>128906</v>
      </c>
    </row>
    <row r="2018" spans="1:18" x14ac:dyDescent="0.25">
      <c r="A2018" s="169">
        <v>44973</v>
      </c>
      <c r="B2018" s="115">
        <v>2847.95</v>
      </c>
      <c r="C2018" s="115">
        <v>2835.4</v>
      </c>
      <c r="D2018" s="115">
        <v>2699</v>
      </c>
      <c r="E2018" s="115">
        <v>2699.05</v>
      </c>
      <c r="F2018" s="115">
        <v>2835.4</v>
      </c>
      <c r="G2018">
        <v>18937</v>
      </c>
      <c r="H2018" s="115"/>
      <c r="I2018" s="115"/>
      <c r="L2018" s="169">
        <v>44974</v>
      </c>
      <c r="M2018" s="115">
        <v>2943</v>
      </c>
      <c r="N2018" s="115">
        <v>2989</v>
      </c>
      <c r="O2018" s="115">
        <v>2865.2</v>
      </c>
      <c r="P2018" s="115">
        <v>2878</v>
      </c>
      <c r="Q2018" s="115">
        <v>2943</v>
      </c>
      <c r="R2018">
        <v>830144</v>
      </c>
    </row>
    <row r="2019" spans="1:18" x14ac:dyDescent="0.25">
      <c r="A2019" s="169">
        <v>44974</v>
      </c>
      <c r="B2019" s="115">
        <v>2988</v>
      </c>
      <c r="C2019" s="115">
        <v>2943.75</v>
      </c>
      <c r="D2019" s="115">
        <v>2870</v>
      </c>
      <c r="E2019" s="115">
        <v>2888</v>
      </c>
      <c r="F2019" s="115">
        <v>2943.75</v>
      </c>
      <c r="G2019">
        <v>37679</v>
      </c>
      <c r="H2019" s="115"/>
      <c r="I2019" s="115"/>
      <c r="L2019" s="169">
        <v>44977</v>
      </c>
      <c r="M2019" s="115">
        <v>2932.65</v>
      </c>
      <c r="N2019" s="115">
        <v>2990.95</v>
      </c>
      <c r="O2019" s="115">
        <v>2915.55</v>
      </c>
      <c r="P2019" s="115">
        <v>2968</v>
      </c>
      <c r="Q2019" s="115">
        <v>2932.65</v>
      </c>
      <c r="R2019">
        <v>162566</v>
      </c>
    </row>
    <row r="2020" spans="1:18" x14ac:dyDescent="0.25">
      <c r="A2020" s="169">
        <v>44977</v>
      </c>
      <c r="B2020" s="115">
        <v>2990</v>
      </c>
      <c r="C2020" s="115">
        <v>2933.5</v>
      </c>
      <c r="D2020" s="115">
        <v>2915</v>
      </c>
      <c r="E2020" s="115">
        <v>2979.95</v>
      </c>
      <c r="F2020" s="115">
        <v>2933.5</v>
      </c>
      <c r="G2020">
        <v>10203</v>
      </c>
      <c r="H2020" s="115"/>
      <c r="I2020" s="115"/>
      <c r="L2020" s="169">
        <v>44978</v>
      </c>
      <c r="M2020" s="115">
        <v>2989.45</v>
      </c>
      <c r="N2020" s="115">
        <v>3000</v>
      </c>
      <c r="O2020" s="115">
        <v>2934.05</v>
      </c>
      <c r="P2020" s="115">
        <v>2947.35</v>
      </c>
      <c r="Q2020" s="115">
        <v>2989.45</v>
      </c>
      <c r="R2020">
        <v>206368</v>
      </c>
    </row>
    <row r="2021" spans="1:18" x14ac:dyDescent="0.25">
      <c r="A2021" s="169">
        <v>44978</v>
      </c>
      <c r="B2021" s="115">
        <v>2999</v>
      </c>
      <c r="C2021" s="115">
        <v>2989.3</v>
      </c>
      <c r="D2021" s="115">
        <v>2935.15</v>
      </c>
      <c r="E2021" s="115">
        <v>2935.15</v>
      </c>
      <c r="F2021" s="115">
        <v>2989.3</v>
      </c>
      <c r="G2021">
        <v>9252</v>
      </c>
      <c r="H2021" s="115"/>
      <c r="I2021" s="115"/>
      <c r="L2021" s="169">
        <v>44979</v>
      </c>
      <c r="M2021" s="115">
        <v>2994.95</v>
      </c>
      <c r="N2021" s="115">
        <v>3020</v>
      </c>
      <c r="O2021" s="115">
        <v>2952.6</v>
      </c>
      <c r="P2021" s="115">
        <v>3010</v>
      </c>
      <c r="Q2021" s="115">
        <v>2994.95</v>
      </c>
      <c r="R2021">
        <v>152871</v>
      </c>
    </row>
    <row r="2022" spans="1:18" x14ac:dyDescent="0.25">
      <c r="A2022" s="169">
        <v>44979</v>
      </c>
      <c r="B2022" s="115">
        <v>3018</v>
      </c>
      <c r="C2022" s="115">
        <v>2996.65</v>
      </c>
      <c r="D2022" s="115">
        <v>2952.05</v>
      </c>
      <c r="E2022" s="115">
        <v>3000</v>
      </c>
      <c r="F2022" s="115">
        <v>2996.65</v>
      </c>
      <c r="G2022">
        <v>5715</v>
      </c>
      <c r="H2022" s="115"/>
      <c r="I2022" s="115"/>
      <c r="L2022" s="169">
        <v>44980</v>
      </c>
      <c r="M2022" s="115">
        <v>2993.6</v>
      </c>
      <c r="N2022" s="115">
        <v>3039.8</v>
      </c>
      <c r="O2022" s="115">
        <v>2963.4</v>
      </c>
      <c r="P2022" s="115">
        <v>2994.95</v>
      </c>
      <c r="Q2022" s="115">
        <v>2993.6</v>
      </c>
      <c r="R2022">
        <v>100230</v>
      </c>
    </row>
    <row r="2023" spans="1:18" x14ac:dyDescent="0.25">
      <c r="A2023" s="169">
        <v>44980</v>
      </c>
      <c r="B2023" s="115">
        <v>3039</v>
      </c>
      <c r="C2023" s="115">
        <v>2989.15</v>
      </c>
      <c r="D2023" s="115">
        <v>2967.3</v>
      </c>
      <c r="E2023" s="115">
        <v>2994.15</v>
      </c>
      <c r="F2023" s="115">
        <v>2989.15</v>
      </c>
      <c r="G2023">
        <v>8885</v>
      </c>
      <c r="H2023" s="115"/>
      <c r="I2023" s="115"/>
      <c r="L2023" s="169">
        <v>44981</v>
      </c>
      <c r="M2023" s="115">
        <v>2933.2</v>
      </c>
      <c r="N2023" s="115">
        <v>3007.55</v>
      </c>
      <c r="O2023" s="115">
        <v>2893.1</v>
      </c>
      <c r="P2023" s="115">
        <v>2987</v>
      </c>
      <c r="Q2023" s="115">
        <v>2933.2</v>
      </c>
      <c r="R2023">
        <v>75279</v>
      </c>
    </row>
    <row r="2024" spans="1:18" x14ac:dyDescent="0.25">
      <c r="A2024" s="169">
        <v>44981</v>
      </c>
      <c r="B2024" s="115">
        <v>3007.55</v>
      </c>
      <c r="C2024" s="115">
        <v>2933.8</v>
      </c>
      <c r="D2024" s="115">
        <v>2901.2</v>
      </c>
      <c r="E2024" s="115">
        <v>2973.6</v>
      </c>
      <c r="F2024" s="115">
        <v>2933.8</v>
      </c>
      <c r="G2024">
        <v>3125</v>
      </c>
      <c r="H2024" s="115"/>
      <c r="I2024" s="115"/>
      <c r="L2024" s="169">
        <v>44984</v>
      </c>
      <c r="M2024" s="115">
        <v>2954.55</v>
      </c>
      <c r="N2024" s="115">
        <v>2965</v>
      </c>
      <c r="O2024" s="115">
        <v>2917.05</v>
      </c>
      <c r="P2024" s="115">
        <v>2947.9</v>
      </c>
      <c r="Q2024" s="115">
        <v>2954.55</v>
      </c>
      <c r="R2024">
        <v>88623</v>
      </c>
    </row>
    <row r="2025" spans="1:18" x14ac:dyDescent="0.25">
      <c r="A2025" s="169">
        <v>44984</v>
      </c>
      <c r="B2025" s="115">
        <v>2965.55</v>
      </c>
      <c r="C2025" s="115">
        <v>2954.35</v>
      </c>
      <c r="D2025" s="115">
        <v>2916.15</v>
      </c>
      <c r="E2025" s="115">
        <v>2935.95</v>
      </c>
      <c r="F2025" s="115">
        <v>2954.35</v>
      </c>
      <c r="G2025">
        <v>7622</v>
      </c>
      <c r="H2025" s="115"/>
      <c r="I2025" s="115"/>
      <c r="L2025" s="169">
        <v>44985</v>
      </c>
      <c r="M2025" s="115">
        <v>2981.85</v>
      </c>
      <c r="N2025" s="115">
        <v>3006</v>
      </c>
      <c r="O2025" s="115">
        <v>2944.05</v>
      </c>
      <c r="P2025" s="115">
        <v>2967</v>
      </c>
      <c r="Q2025" s="115">
        <v>2981.85</v>
      </c>
      <c r="R2025">
        <v>85873</v>
      </c>
    </row>
    <row r="2026" spans="1:18" x14ac:dyDescent="0.25">
      <c r="A2026" s="169">
        <v>44985</v>
      </c>
      <c r="B2026" s="115">
        <v>3002.9</v>
      </c>
      <c r="C2026" s="115">
        <v>2981.7</v>
      </c>
      <c r="D2026" s="115">
        <v>2941.6</v>
      </c>
      <c r="E2026" s="115">
        <v>2945.05</v>
      </c>
      <c r="F2026" s="115">
        <v>2981.7</v>
      </c>
      <c r="G2026">
        <v>1713</v>
      </c>
      <c r="H2026" s="115"/>
      <c r="I2026" s="115"/>
      <c r="L2026" s="169">
        <v>44986</v>
      </c>
      <c r="M2026" s="115">
        <v>3089.75</v>
      </c>
      <c r="N2026" s="115">
        <v>3100</v>
      </c>
      <c r="O2026" s="115">
        <v>3000</v>
      </c>
      <c r="P2026" s="115">
        <v>3003</v>
      </c>
      <c r="Q2026" s="115">
        <v>3089.75</v>
      </c>
      <c r="R2026">
        <v>231670</v>
      </c>
    </row>
    <row r="2027" spans="1:18" x14ac:dyDescent="0.25">
      <c r="A2027" s="169">
        <v>44986</v>
      </c>
      <c r="B2027" s="115">
        <v>3099.95</v>
      </c>
      <c r="C2027" s="115">
        <v>3089.5</v>
      </c>
      <c r="D2027" s="115">
        <v>2978.5</v>
      </c>
      <c r="E2027" s="115">
        <v>2978.5</v>
      </c>
      <c r="F2027" s="115">
        <v>3089.5</v>
      </c>
      <c r="G2027">
        <v>6226</v>
      </c>
      <c r="H2027" s="115"/>
      <c r="I2027" s="115"/>
      <c r="L2027" s="169">
        <v>44987</v>
      </c>
      <c r="M2027" s="115">
        <v>3064.45</v>
      </c>
      <c r="N2027" s="115">
        <v>3137.85</v>
      </c>
      <c r="O2027" s="115">
        <v>3050</v>
      </c>
      <c r="P2027" s="115">
        <v>3107.1</v>
      </c>
      <c r="Q2027" s="115">
        <v>3064.45</v>
      </c>
      <c r="R2027">
        <v>139363</v>
      </c>
    </row>
    <row r="2028" spans="1:18" x14ac:dyDescent="0.25">
      <c r="A2028" s="169">
        <v>44987</v>
      </c>
      <c r="B2028" s="115">
        <v>3135.5</v>
      </c>
      <c r="C2028" s="115">
        <v>3063.15</v>
      </c>
      <c r="D2028" s="115">
        <v>3054.55</v>
      </c>
      <c r="E2028" s="115">
        <v>3100.05</v>
      </c>
      <c r="F2028" s="115">
        <v>3063.15</v>
      </c>
      <c r="G2028">
        <v>4042</v>
      </c>
      <c r="H2028" s="115"/>
      <c r="I2028" s="115"/>
      <c r="L2028" s="169">
        <v>44988</v>
      </c>
      <c r="M2028" s="115">
        <v>2991.8</v>
      </c>
      <c r="N2028" s="115">
        <v>3087.85</v>
      </c>
      <c r="O2028" s="115">
        <v>2970</v>
      </c>
      <c r="P2028" s="115">
        <v>3065.25</v>
      </c>
      <c r="Q2028" s="115">
        <v>2991.8</v>
      </c>
      <c r="R2028">
        <v>137521</v>
      </c>
    </row>
    <row r="2029" spans="1:18" x14ac:dyDescent="0.25">
      <c r="A2029" s="169">
        <v>44988</v>
      </c>
      <c r="B2029" s="115">
        <v>3084.05</v>
      </c>
      <c r="C2029" s="115">
        <v>2993.45</v>
      </c>
      <c r="D2029" s="115">
        <v>2967.7</v>
      </c>
      <c r="E2029" s="115">
        <v>3073</v>
      </c>
      <c r="F2029" s="115">
        <v>2993.45</v>
      </c>
      <c r="G2029">
        <v>3607</v>
      </c>
      <c r="H2029" s="115"/>
      <c r="I2029" s="115"/>
      <c r="L2029" s="169">
        <v>44991</v>
      </c>
      <c r="M2029" s="115">
        <v>3007.9</v>
      </c>
      <c r="N2029" s="115">
        <v>3035.5</v>
      </c>
      <c r="O2029" s="115">
        <v>2975.05</v>
      </c>
      <c r="P2029" s="115">
        <v>3020.45</v>
      </c>
      <c r="Q2029" s="115">
        <v>3007.9</v>
      </c>
      <c r="R2029">
        <v>80702</v>
      </c>
    </row>
    <row r="2030" spans="1:18" x14ac:dyDescent="0.25">
      <c r="A2030" s="169">
        <v>44991</v>
      </c>
      <c r="B2030" s="115">
        <v>3035.55</v>
      </c>
      <c r="C2030" s="115">
        <v>2999.35</v>
      </c>
      <c r="D2030" s="115">
        <v>2972.35</v>
      </c>
      <c r="E2030" s="115">
        <v>3001.35</v>
      </c>
      <c r="F2030" s="115">
        <v>2999.35</v>
      </c>
      <c r="G2030">
        <v>4948</v>
      </c>
      <c r="H2030" s="115"/>
      <c r="I2030" s="115"/>
      <c r="L2030" s="169">
        <v>44993</v>
      </c>
      <c r="M2030" s="115">
        <v>2999.7</v>
      </c>
      <c r="N2030" s="115">
        <v>3019.8</v>
      </c>
      <c r="O2030" s="115">
        <v>2962</v>
      </c>
      <c r="P2030" s="115">
        <v>3007.9</v>
      </c>
      <c r="Q2030" s="115">
        <v>2999.7</v>
      </c>
      <c r="R2030">
        <v>85368</v>
      </c>
    </row>
    <row r="2031" spans="1:18" x14ac:dyDescent="0.25">
      <c r="A2031" s="169">
        <v>44993</v>
      </c>
      <c r="B2031" s="115">
        <v>3016.75</v>
      </c>
      <c r="C2031" s="115">
        <v>2994.6</v>
      </c>
      <c r="D2031" s="115">
        <v>2965.05</v>
      </c>
      <c r="E2031" s="115">
        <v>3006.8</v>
      </c>
      <c r="F2031" s="115">
        <v>2994.6</v>
      </c>
      <c r="G2031">
        <v>1234</v>
      </c>
      <c r="H2031" s="115"/>
      <c r="I2031" s="115"/>
      <c r="L2031" s="169">
        <v>44994</v>
      </c>
      <c r="M2031" s="115">
        <v>2968.1</v>
      </c>
      <c r="N2031" s="115">
        <v>3025</v>
      </c>
      <c r="O2031" s="115">
        <v>2955.1</v>
      </c>
      <c r="P2031" s="115">
        <v>3006</v>
      </c>
      <c r="Q2031" s="115">
        <v>2968.1</v>
      </c>
      <c r="R2031">
        <v>26884</v>
      </c>
    </row>
    <row r="2032" spans="1:18" x14ac:dyDescent="0.25">
      <c r="A2032" s="169">
        <v>44994</v>
      </c>
      <c r="B2032" s="115">
        <v>3020.9</v>
      </c>
      <c r="C2032" s="115">
        <v>2968.65</v>
      </c>
      <c r="D2032" s="115">
        <v>2953.6</v>
      </c>
      <c r="E2032" s="115">
        <v>3014.45</v>
      </c>
      <c r="F2032" s="115">
        <v>2968.65</v>
      </c>
      <c r="G2032">
        <v>936</v>
      </c>
      <c r="H2032" s="115"/>
      <c r="I2032" s="115"/>
      <c r="L2032" s="169">
        <v>44995</v>
      </c>
      <c r="M2032" s="115">
        <v>2919.8</v>
      </c>
      <c r="N2032" s="115">
        <v>2968.1</v>
      </c>
      <c r="O2032" s="115">
        <v>2900</v>
      </c>
      <c r="P2032" s="115">
        <v>2956</v>
      </c>
      <c r="Q2032" s="115">
        <v>2919.8</v>
      </c>
      <c r="R2032">
        <v>63683</v>
      </c>
    </row>
    <row r="2033" spans="1:18" x14ac:dyDescent="0.25">
      <c r="A2033" s="169">
        <v>44995</v>
      </c>
      <c r="B2033" s="115">
        <v>2961.35</v>
      </c>
      <c r="C2033" s="115">
        <v>2920.5</v>
      </c>
      <c r="D2033" s="115">
        <v>2900</v>
      </c>
      <c r="E2033" s="115">
        <v>2938.7</v>
      </c>
      <c r="F2033" s="115">
        <v>2920.5</v>
      </c>
      <c r="G2033">
        <v>5555</v>
      </c>
      <c r="H2033" s="115"/>
      <c r="I2033" s="115"/>
      <c r="L2033" s="169">
        <v>44998</v>
      </c>
      <c r="M2033" s="115">
        <v>2819.4</v>
      </c>
      <c r="N2033" s="115">
        <v>2924.35</v>
      </c>
      <c r="O2033" s="115">
        <v>2775.7</v>
      </c>
      <c r="P2033" s="115">
        <v>2924.35</v>
      </c>
      <c r="Q2033" s="115">
        <v>2819.4</v>
      </c>
      <c r="R2033">
        <v>144933</v>
      </c>
    </row>
    <row r="2034" spans="1:18" x14ac:dyDescent="0.25">
      <c r="A2034" s="169">
        <v>44998</v>
      </c>
      <c r="B2034" s="115">
        <v>2919.35</v>
      </c>
      <c r="C2034" s="115">
        <v>2815.05</v>
      </c>
      <c r="D2034" s="115">
        <v>2774.25</v>
      </c>
      <c r="E2034" s="115">
        <v>2850</v>
      </c>
      <c r="F2034" s="115">
        <v>2815.05</v>
      </c>
      <c r="G2034">
        <v>7510</v>
      </c>
      <c r="H2034" s="115"/>
      <c r="I2034" s="115"/>
      <c r="L2034" s="169">
        <v>44999</v>
      </c>
      <c r="M2034" s="115">
        <v>2790.8</v>
      </c>
      <c r="N2034" s="115">
        <v>2864.7</v>
      </c>
      <c r="O2034" s="115">
        <v>2766.3</v>
      </c>
      <c r="P2034" s="115">
        <v>2821.3</v>
      </c>
      <c r="Q2034" s="115">
        <v>2790.8</v>
      </c>
      <c r="R2034">
        <v>35421</v>
      </c>
    </row>
    <row r="2035" spans="1:18" x14ac:dyDescent="0.25">
      <c r="A2035" s="169">
        <v>44999</v>
      </c>
      <c r="B2035" s="115">
        <v>2842.1</v>
      </c>
      <c r="C2035" s="115">
        <v>2789.1</v>
      </c>
      <c r="D2035" s="115">
        <v>2768.1</v>
      </c>
      <c r="E2035" s="115">
        <v>2824.9</v>
      </c>
      <c r="F2035" s="115">
        <v>2789.1</v>
      </c>
      <c r="G2035">
        <v>1393</v>
      </c>
      <c r="H2035" s="115"/>
      <c r="I2035" s="115"/>
      <c r="L2035" s="169">
        <v>45000</v>
      </c>
      <c r="M2035" s="115">
        <v>2776.4</v>
      </c>
      <c r="N2035" s="115">
        <v>2805.4</v>
      </c>
      <c r="O2035" s="115">
        <v>2755.1</v>
      </c>
      <c r="P2035" s="115">
        <v>2799.85</v>
      </c>
      <c r="Q2035" s="115">
        <v>2776.4</v>
      </c>
      <c r="R2035">
        <v>156381</v>
      </c>
    </row>
    <row r="2036" spans="1:18" x14ac:dyDescent="0.25">
      <c r="A2036" s="169">
        <v>45000</v>
      </c>
      <c r="B2036" s="115">
        <v>2801.1</v>
      </c>
      <c r="C2036" s="115">
        <v>2774.95</v>
      </c>
      <c r="D2036" s="115">
        <v>2754.3</v>
      </c>
      <c r="E2036" s="115">
        <v>2780.1</v>
      </c>
      <c r="F2036" s="115">
        <v>2774.95</v>
      </c>
      <c r="G2036">
        <v>1095</v>
      </c>
      <c r="H2036" s="115"/>
      <c r="I2036" s="115"/>
      <c r="L2036" s="169">
        <v>45001</v>
      </c>
      <c r="M2036" s="115">
        <v>2800.25</v>
      </c>
      <c r="N2036" s="115">
        <v>2819.9</v>
      </c>
      <c r="O2036" s="115">
        <v>2760.25</v>
      </c>
      <c r="P2036" s="115">
        <v>2776.75</v>
      </c>
      <c r="Q2036" s="115">
        <v>2800.25</v>
      </c>
      <c r="R2036">
        <v>123343</v>
      </c>
    </row>
    <row r="2037" spans="1:18" x14ac:dyDescent="0.25">
      <c r="A2037" s="169">
        <v>45001</v>
      </c>
      <c r="B2037" s="115">
        <v>2813.85</v>
      </c>
      <c r="C2037" s="115">
        <v>2797.85</v>
      </c>
      <c r="D2037" s="115">
        <v>2763.05</v>
      </c>
      <c r="E2037" s="115">
        <v>2775.45</v>
      </c>
      <c r="F2037" s="115">
        <v>2797.85</v>
      </c>
      <c r="G2037">
        <v>1522</v>
      </c>
      <c r="H2037" s="115"/>
      <c r="I2037" s="115"/>
      <c r="L2037" s="169">
        <v>45002</v>
      </c>
      <c r="M2037" s="115">
        <v>2780.5</v>
      </c>
      <c r="N2037" s="115">
        <v>2848</v>
      </c>
      <c r="O2037" s="115">
        <v>2750.75</v>
      </c>
      <c r="P2037" s="115">
        <v>2820</v>
      </c>
      <c r="Q2037" s="115">
        <v>2780.5</v>
      </c>
      <c r="R2037">
        <v>82243</v>
      </c>
    </row>
    <row r="2038" spans="1:18" x14ac:dyDescent="0.25">
      <c r="A2038" s="169">
        <v>45002</v>
      </c>
      <c r="B2038" s="115">
        <v>2845.35</v>
      </c>
      <c r="C2038" s="115">
        <v>2780.25</v>
      </c>
      <c r="D2038" s="115">
        <v>2750.05</v>
      </c>
      <c r="E2038" s="115">
        <v>2829.25</v>
      </c>
      <c r="F2038" s="115">
        <v>2780.25</v>
      </c>
      <c r="G2038">
        <v>1589</v>
      </c>
      <c r="H2038" s="115"/>
      <c r="I2038" s="115"/>
      <c r="L2038" s="169">
        <v>45005</v>
      </c>
      <c r="M2038" s="115">
        <v>2751.8</v>
      </c>
      <c r="N2038" s="115">
        <v>2812.45</v>
      </c>
      <c r="O2038" s="115">
        <v>2738.45</v>
      </c>
      <c r="P2038" s="115">
        <v>2794.45</v>
      </c>
      <c r="Q2038" s="115">
        <v>2751.8</v>
      </c>
      <c r="R2038">
        <v>53377</v>
      </c>
    </row>
    <row r="2039" spans="1:18" x14ac:dyDescent="0.25">
      <c r="A2039" s="169">
        <v>45005</v>
      </c>
      <c r="B2039" s="115">
        <v>2805.5</v>
      </c>
      <c r="C2039" s="115">
        <v>2750.75</v>
      </c>
      <c r="D2039" s="115">
        <v>2743.2</v>
      </c>
      <c r="E2039" s="115">
        <v>2780.25</v>
      </c>
      <c r="F2039" s="115">
        <v>2750.75</v>
      </c>
      <c r="G2039">
        <v>2220</v>
      </c>
      <c r="H2039" s="115"/>
      <c r="I2039" s="115"/>
      <c r="L2039" s="169">
        <v>45006</v>
      </c>
      <c r="M2039" s="115">
        <v>2749.7</v>
      </c>
      <c r="N2039" s="115">
        <v>2780</v>
      </c>
      <c r="O2039" s="115">
        <v>2742.15</v>
      </c>
      <c r="P2039" s="115">
        <v>2751.8</v>
      </c>
      <c r="Q2039" s="115">
        <v>2749.7</v>
      </c>
      <c r="R2039">
        <v>74709</v>
      </c>
    </row>
    <row r="2040" spans="1:18" x14ac:dyDescent="0.25">
      <c r="A2040" s="169">
        <v>45006</v>
      </c>
      <c r="B2040" s="115">
        <v>2779.4</v>
      </c>
      <c r="C2040" s="115">
        <v>2747.7</v>
      </c>
      <c r="D2040" s="115">
        <v>2744.9</v>
      </c>
      <c r="E2040" s="115">
        <v>2756.35</v>
      </c>
      <c r="F2040" s="115">
        <v>2747.7</v>
      </c>
      <c r="G2040">
        <v>2435</v>
      </c>
      <c r="H2040" s="115"/>
      <c r="I2040" s="115"/>
      <c r="L2040" s="169">
        <v>45007</v>
      </c>
      <c r="M2040" s="115">
        <v>2765.2</v>
      </c>
      <c r="N2040" s="115">
        <v>2781.95</v>
      </c>
      <c r="O2040" s="115">
        <v>2754.05</v>
      </c>
      <c r="P2040" s="115">
        <v>2760</v>
      </c>
      <c r="Q2040" s="115">
        <v>2765.2</v>
      </c>
      <c r="R2040">
        <v>129657</v>
      </c>
    </row>
    <row r="2041" spans="1:18" x14ac:dyDescent="0.25">
      <c r="A2041" s="169">
        <v>45007</v>
      </c>
      <c r="B2041" s="115">
        <v>2780</v>
      </c>
      <c r="C2041" s="115">
        <v>2765.85</v>
      </c>
      <c r="D2041" s="115">
        <v>2758.15</v>
      </c>
      <c r="E2041" s="115">
        <v>2759</v>
      </c>
      <c r="F2041" s="115">
        <v>2765.85</v>
      </c>
      <c r="G2041">
        <v>1291</v>
      </c>
      <c r="H2041" s="115"/>
      <c r="I2041" s="115"/>
      <c r="L2041" s="169">
        <v>45008</v>
      </c>
      <c r="M2041" s="115">
        <v>2753.6</v>
      </c>
      <c r="N2041" s="115">
        <v>2787</v>
      </c>
      <c r="O2041" s="115">
        <v>2739.85</v>
      </c>
      <c r="P2041" s="115">
        <v>2771.4</v>
      </c>
      <c r="Q2041" s="115">
        <v>2753.6</v>
      </c>
      <c r="R2041">
        <v>30143</v>
      </c>
    </row>
    <row r="2042" spans="1:18" x14ac:dyDescent="0.25">
      <c r="A2042" s="169">
        <v>45008</v>
      </c>
      <c r="B2042" s="115">
        <v>2796.95</v>
      </c>
      <c r="C2042" s="115">
        <v>2757.3</v>
      </c>
      <c r="D2042" s="115">
        <v>2740</v>
      </c>
      <c r="E2042" s="115">
        <v>2796.95</v>
      </c>
      <c r="F2042" s="115">
        <v>2757.3</v>
      </c>
      <c r="G2042">
        <v>1270</v>
      </c>
      <c r="H2042" s="115"/>
      <c r="I2042" s="115"/>
      <c r="L2042" s="169">
        <v>45009</v>
      </c>
      <c r="M2042" s="115">
        <v>2787.15</v>
      </c>
      <c r="N2042" s="115">
        <v>2810</v>
      </c>
      <c r="O2042" s="115">
        <v>2742.95</v>
      </c>
      <c r="P2042" s="115">
        <v>2745</v>
      </c>
      <c r="Q2042" s="115">
        <v>2787.15</v>
      </c>
      <c r="R2042">
        <v>47600</v>
      </c>
    </row>
    <row r="2043" spans="1:18" x14ac:dyDescent="0.25">
      <c r="A2043" s="169">
        <v>45009</v>
      </c>
      <c r="B2043" s="115">
        <v>2811.85</v>
      </c>
      <c r="C2043" s="115">
        <v>2779.85</v>
      </c>
      <c r="D2043" s="115">
        <v>2745.65</v>
      </c>
      <c r="E2043" s="115">
        <v>2750</v>
      </c>
      <c r="F2043" s="115">
        <v>2779.85</v>
      </c>
      <c r="G2043">
        <v>2944</v>
      </c>
      <c r="H2043" s="115"/>
      <c r="I2043" s="115"/>
      <c r="L2043" s="169">
        <v>45012</v>
      </c>
      <c r="M2043" s="115">
        <v>2796.15</v>
      </c>
      <c r="N2043" s="115">
        <v>2856.05</v>
      </c>
      <c r="O2043" s="115">
        <v>2772.9</v>
      </c>
      <c r="P2043" s="115">
        <v>2790</v>
      </c>
      <c r="Q2043" s="115">
        <v>2796.15</v>
      </c>
      <c r="R2043">
        <v>56385</v>
      </c>
    </row>
    <row r="2044" spans="1:18" x14ac:dyDescent="0.25">
      <c r="A2044" s="169">
        <v>45012</v>
      </c>
      <c r="B2044" s="115">
        <v>2857.25</v>
      </c>
      <c r="C2044" s="115">
        <v>2799.05</v>
      </c>
      <c r="D2044" s="115">
        <v>2775</v>
      </c>
      <c r="E2044" s="115">
        <v>2775.05</v>
      </c>
      <c r="F2044" s="115">
        <v>2799.05</v>
      </c>
      <c r="G2044">
        <v>2012</v>
      </c>
      <c r="H2044" s="115"/>
      <c r="I2044" s="115"/>
      <c r="L2044" s="169">
        <v>45013</v>
      </c>
      <c r="M2044" s="115">
        <v>2831.1</v>
      </c>
      <c r="N2044" s="115">
        <v>2860</v>
      </c>
      <c r="O2044" s="115">
        <v>2797.25</v>
      </c>
      <c r="P2044" s="115">
        <v>2797.25</v>
      </c>
      <c r="Q2044" s="115">
        <v>2831.1</v>
      </c>
      <c r="R2044">
        <v>106422</v>
      </c>
    </row>
    <row r="2045" spans="1:18" x14ac:dyDescent="0.25">
      <c r="A2045" s="169">
        <v>45013</v>
      </c>
      <c r="B2045" s="115">
        <v>2849.95</v>
      </c>
      <c r="C2045" s="115">
        <v>2824.3</v>
      </c>
      <c r="D2045" s="115">
        <v>2805</v>
      </c>
      <c r="E2045" s="115">
        <v>2849.95</v>
      </c>
      <c r="F2045" s="115">
        <v>2824.3</v>
      </c>
      <c r="G2045">
        <v>2954</v>
      </c>
      <c r="H2045" s="115"/>
      <c r="I2045" s="115"/>
      <c r="L2045" s="169">
        <v>45014</v>
      </c>
      <c r="M2045" s="115">
        <v>2836.15</v>
      </c>
      <c r="N2045" s="115">
        <v>2889</v>
      </c>
      <c r="O2045" s="115">
        <v>2780</v>
      </c>
      <c r="P2045" s="115">
        <v>2845.3</v>
      </c>
      <c r="Q2045" s="115">
        <v>2836.15</v>
      </c>
      <c r="R2045">
        <v>67931</v>
      </c>
    </row>
    <row r="2046" spans="1:18" x14ac:dyDescent="0.25">
      <c r="A2046" s="169">
        <v>45014</v>
      </c>
      <c r="B2046" s="115">
        <v>2883</v>
      </c>
      <c r="C2046" s="115">
        <v>2821.55</v>
      </c>
      <c r="D2046" s="115">
        <v>2774.7</v>
      </c>
      <c r="E2046" s="115">
        <v>2844.25</v>
      </c>
      <c r="F2046" s="115">
        <v>2821.55</v>
      </c>
      <c r="G2046">
        <v>2066</v>
      </c>
      <c r="H2046" s="115"/>
      <c r="I2046" s="115"/>
      <c r="L2046" s="169">
        <v>45016</v>
      </c>
      <c r="M2046" s="115">
        <v>2867.55</v>
      </c>
      <c r="N2046" s="115">
        <v>2923</v>
      </c>
      <c r="O2046" s="115">
        <v>2785</v>
      </c>
      <c r="P2046" s="115">
        <v>2829.95</v>
      </c>
      <c r="Q2046" s="115">
        <v>2867.55</v>
      </c>
      <c r="R2046">
        <v>88839</v>
      </c>
    </row>
    <row r="2047" spans="1:18" x14ac:dyDescent="0.25">
      <c r="A2047" s="169">
        <v>45016</v>
      </c>
      <c r="B2047" s="115">
        <v>2917</v>
      </c>
      <c r="C2047" s="115">
        <v>2873.9</v>
      </c>
      <c r="D2047" s="115">
        <v>2786.45</v>
      </c>
      <c r="E2047" s="115">
        <v>2788.05</v>
      </c>
      <c r="F2047" s="115">
        <v>2873.9</v>
      </c>
      <c r="G2047">
        <v>1923</v>
      </c>
      <c r="H2047" s="115"/>
      <c r="I2047" s="115"/>
      <c r="L2047" s="169">
        <v>45019</v>
      </c>
      <c r="M2047" s="115">
        <v>2902.15</v>
      </c>
      <c r="N2047" s="115">
        <v>2914</v>
      </c>
      <c r="O2047" s="115">
        <v>2848.05</v>
      </c>
      <c r="P2047" s="115">
        <v>2881.9</v>
      </c>
      <c r="Q2047" s="115">
        <v>2902.15</v>
      </c>
      <c r="R2047">
        <v>50053</v>
      </c>
    </row>
    <row r="2048" spans="1:18" x14ac:dyDescent="0.25">
      <c r="A2048" s="169">
        <v>45019</v>
      </c>
      <c r="B2048" s="115">
        <v>2912.5</v>
      </c>
      <c r="C2048" s="115">
        <v>2898.65</v>
      </c>
      <c r="D2048" s="115">
        <v>2850</v>
      </c>
      <c r="E2048" s="115">
        <v>2895.85</v>
      </c>
      <c r="F2048" s="115">
        <v>2898.65</v>
      </c>
      <c r="G2048">
        <v>3968</v>
      </c>
      <c r="H2048" s="115"/>
      <c r="I2048" s="115"/>
      <c r="L2048" s="169">
        <v>45021</v>
      </c>
      <c r="M2048" s="115">
        <v>2953.2</v>
      </c>
      <c r="N2048" s="115">
        <v>2969</v>
      </c>
      <c r="O2048" s="115">
        <v>2864.05</v>
      </c>
      <c r="P2048" s="115">
        <v>2900</v>
      </c>
      <c r="Q2048" s="115">
        <v>2953.2</v>
      </c>
      <c r="R2048">
        <v>97123</v>
      </c>
    </row>
    <row r="2049" spans="1:18" x14ac:dyDescent="0.25">
      <c r="A2049" s="169">
        <v>45021</v>
      </c>
      <c r="B2049" s="115">
        <v>2964.9</v>
      </c>
      <c r="C2049" s="115">
        <v>2952.8</v>
      </c>
      <c r="D2049" s="115">
        <v>2862.85</v>
      </c>
      <c r="E2049" s="115">
        <v>2894.25</v>
      </c>
      <c r="F2049" s="115">
        <v>2952.8</v>
      </c>
      <c r="G2049">
        <v>1906</v>
      </c>
      <c r="H2049" s="115"/>
      <c r="I2049" s="115"/>
      <c r="L2049" s="169">
        <v>45022</v>
      </c>
      <c r="M2049" s="115">
        <v>3039.45</v>
      </c>
      <c r="N2049" s="115">
        <v>3060</v>
      </c>
      <c r="O2049" s="115">
        <v>2940</v>
      </c>
      <c r="P2049" s="115">
        <v>2968.3</v>
      </c>
      <c r="Q2049" s="115">
        <v>3039.45</v>
      </c>
      <c r="R2049">
        <v>103355</v>
      </c>
    </row>
    <row r="2050" spans="1:18" x14ac:dyDescent="0.25">
      <c r="A2050" s="169">
        <v>45022</v>
      </c>
      <c r="B2050" s="115">
        <v>3057.1</v>
      </c>
      <c r="C2050" s="115">
        <v>3044</v>
      </c>
      <c r="D2050" s="115">
        <v>2940.4</v>
      </c>
      <c r="E2050" s="115">
        <v>2983.15</v>
      </c>
      <c r="F2050" s="115">
        <v>3044</v>
      </c>
      <c r="G2050">
        <v>2770</v>
      </c>
      <c r="H2050" s="115"/>
      <c r="I2050" s="115"/>
      <c r="L2050" s="169">
        <v>45026</v>
      </c>
      <c r="M2050" s="115">
        <v>3099.15</v>
      </c>
      <c r="N2050" s="115">
        <v>3121</v>
      </c>
      <c r="O2050" s="115">
        <v>2982.2</v>
      </c>
      <c r="P2050" s="115">
        <v>3068</v>
      </c>
      <c r="Q2050" s="115">
        <v>3099.15</v>
      </c>
      <c r="R2050">
        <v>219134</v>
      </c>
    </row>
    <row r="2051" spans="1:18" x14ac:dyDescent="0.25">
      <c r="A2051" s="169">
        <v>45026</v>
      </c>
      <c r="B2051" s="115">
        <v>3121.05</v>
      </c>
      <c r="C2051" s="115">
        <v>3092.5</v>
      </c>
      <c r="D2051" s="115">
        <v>2982.8</v>
      </c>
      <c r="E2051" s="115">
        <v>3044.9</v>
      </c>
      <c r="F2051" s="115">
        <v>3092.5</v>
      </c>
      <c r="G2051">
        <v>6770</v>
      </c>
      <c r="H2051" s="115"/>
      <c r="I2051" s="115"/>
      <c r="L2051" s="169">
        <v>45027</v>
      </c>
      <c r="M2051" s="115">
        <v>3054.95</v>
      </c>
      <c r="N2051" s="115">
        <v>3099.1</v>
      </c>
      <c r="O2051" s="115">
        <v>2982.1</v>
      </c>
      <c r="P2051" s="115">
        <v>3098.95</v>
      </c>
      <c r="Q2051" s="115">
        <v>3054.95</v>
      </c>
      <c r="R2051">
        <v>138943</v>
      </c>
    </row>
    <row r="2052" spans="1:18" x14ac:dyDescent="0.25">
      <c r="A2052" s="169">
        <v>45027</v>
      </c>
      <c r="B2052" s="115">
        <v>3095.2</v>
      </c>
      <c r="C2052" s="115">
        <v>3053.2</v>
      </c>
      <c r="D2052" s="115">
        <v>2983.6</v>
      </c>
      <c r="E2052" s="115">
        <v>3049.4</v>
      </c>
      <c r="F2052" s="115">
        <v>3053.2</v>
      </c>
      <c r="G2052">
        <v>3058</v>
      </c>
      <c r="H2052" s="115"/>
      <c r="I2052" s="115"/>
      <c r="L2052" s="169">
        <v>45028</v>
      </c>
      <c r="M2052" s="115">
        <v>3021.05</v>
      </c>
      <c r="N2052" s="115">
        <v>3040.1</v>
      </c>
      <c r="O2052" s="115">
        <v>2971.5</v>
      </c>
      <c r="P2052" s="115">
        <v>3030</v>
      </c>
      <c r="Q2052" s="115">
        <v>3021.05</v>
      </c>
      <c r="R2052">
        <v>101198</v>
      </c>
    </row>
    <row r="2053" spans="1:18" x14ac:dyDescent="0.25">
      <c r="A2053" s="169">
        <v>45028</v>
      </c>
      <c r="B2053" s="115">
        <v>3038.9</v>
      </c>
      <c r="C2053" s="115">
        <v>3019.5</v>
      </c>
      <c r="D2053" s="115">
        <v>2971.7</v>
      </c>
      <c r="E2053" s="115">
        <v>3035</v>
      </c>
      <c r="F2053" s="115">
        <v>3019.5</v>
      </c>
      <c r="G2053">
        <v>2450</v>
      </c>
      <c r="H2053" s="115"/>
      <c r="I2053" s="115"/>
      <c r="L2053" s="169">
        <v>45029</v>
      </c>
      <c r="M2053" s="115">
        <v>3009.55</v>
      </c>
      <c r="N2053" s="115">
        <v>3028.75</v>
      </c>
      <c r="O2053" s="115">
        <v>2983.75</v>
      </c>
      <c r="P2053" s="115">
        <v>3012</v>
      </c>
      <c r="Q2053" s="115">
        <v>3009.55</v>
      </c>
      <c r="R2053">
        <v>110668</v>
      </c>
    </row>
    <row r="2054" spans="1:18" x14ac:dyDescent="0.25">
      <c r="A2054" s="169">
        <v>45029</v>
      </c>
      <c r="B2054" s="115">
        <v>3028.7</v>
      </c>
      <c r="C2054" s="115">
        <v>3014.3</v>
      </c>
      <c r="D2054" s="115">
        <v>2985.15</v>
      </c>
      <c r="E2054" s="115">
        <v>3000</v>
      </c>
      <c r="F2054" s="115">
        <v>3014.3</v>
      </c>
      <c r="G2054">
        <v>1124</v>
      </c>
      <c r="H2054" s="115"/>
      <c r="I2054" s="115"/>
      <c r="L2054" s="169">
        <v>45033</v>
      </c>
      <c r="M2054" s="115">
        <v>3030.8</v>
      </c>
      <c r="N2054" s="115">
        <v>3051.95</v>
      </c>
      <c r="O2054" s="115">
        <v>2988.05</v>
      </c>
      <c r="P2054" s="115">
        <v>3018.9</v>
      </c>
      <c r="Q2054" s="115">
        <v>3030.8</v>
      </c>
      <c r="R2054">
        <v>60150</v>
      </c>
    </row>
    <row r="2055" spans="1:18" x14ac:dyDescent="0.25">
      <c r="A2055" s="169">
        <v>45033</v>
      </c>
      <c r="B2055" s="115">
        <v>3045</v>
      </c>
      <c r="C2055" s="115">
        <v>3036.65</v>
      </c>
      <c r="D2055" s="115">
        <v>2991.2</v>
      </c>
      <c r="E2055" s="115">
        <v>3014.4</v>
      </c>
      <c r="F2055" s="115">
        <v>3036.65</v>
      </c>
      <c r="G2055">
        <v>2932</v>
      </c>
      <c r="H2055" s="115"/>
      <c r="I2055" s="115"/>
      <c r="L2055" s="169">
        <v>45034</v>
      </c>
      <c r="M2055" s="115">
        <v>2942.85</v>
      </c>
      <c r="N2055" s="115">
        <v>3063.15</v>
      </c>
      <c r="O2055" s="115">
        <v>2931.05</v>
      </c>
      <c r="P2055" s="115">
        <v>3044.95</v>
      </c>
      <c r="Q2055" s="115">
        <v>2942.85</v>
      </c>
      <c r="R2055">
        <v>241844</v>
      </c>
    </row>
    <row r="2056" spans="1:18" x14ac:dyDescent="0.25">
      <c r="A2056" s="169">
        <v>45034</v>
      </c>
      <c r="B2056" s="115">
        <v>3059.95</v>
      </c>
      <c r="C2056" s="115">
        <v>2935.3</v>
      </c>
      <c r="D2056" s="115">
        <v>2905.05</v>
      </c>
      <c r="E2056" s="115">
        <v>3040.05</v>
      </c>
      <c r="F2056" s="115">
        <v>2935.3</v>
      </c>
      <c r="G2056">
        <v>11705</v>
      </c>
      <c r="H2056" s="115"/>
      <c r="I2056" s="115"/>
      <c r="L2056" s="169">
        <v>45035</v>
      </c>
      <c r="M2056" s="115">
        <v>2855</v>
      </c>
      <c r="N2056" s="115">
        <v>2899.65</v>
      </c>
      <c r="O2056" s="115">
        <v>2800.05</v>
      </c>
      <c r="P2056" s="115">
        <v>2890</v>
      </c>
      <c r="Q2056" s="115">
        <v>2855</v>
      </c>
      <c r="R2056">
        <v>410974</v>
      </c>
    </row>
    <row r="2057" spans="1:18" x14ac:dyDescent="0.25">
      <c r="A2057" s="169">
        <v>45035</v>
      </c>
      <c r="B2057" s="115">
        <v>2904.95</v>
      </c>
      <c r="C2057" s="115">
        <v>2853.55</v>
      </c>
      <c r="D2057" s="115">
        <v>2800.9</v>
      </c>
      <c r="E2057" s="115">
        <v>2904.95</v>
      </c>
      <c r="F2057" s="115">
        <v>2853.55</v>
      </c>
      <c r="G2057">
        <v>3938</v>
      </c>
      <c r="H2057" s="115"/>
      <c r="I2057" s="115"/>
      <c r="L2057" s="169">
        <v>45036</v>
      </c>
      <c r="M2057" s="115">
        <v>2775.85</v>
      </c>
      <c r="N2057" s="115">
        <v>2881.95</v>
      </c>
      <c r="O2057" s="115">
        <v>2758.7</v>
      </c>
      <c r="P2057" s="115">
        <v>2815</v>
      </c>
      <c r="Q2057" s="115">
        <v>2775.85</v>
      </c>
      <c r="R2057">
        <v>257776</v>
      </c>
    </row>
    <row r="2058" spans="1:18" x14ac:dyDescent="0.25">
      <c r="A2058" s="169">
        <v>45036</v>
      </c>
      <c r="B2058" s="115">
        <v>2881.15</v>
      </c>
      <c r="C2058" s="115">
        <v>2777.6</v>
      </c>
      <c r="D2058" s="115">
        <v>2760</v>
      </c>
      <c r="E2058" s="115">
        <v>2829.9</v>
      </c>
      <c r="F2058" s="115">
        <v>2777.6</v>
      </c>
      <c r="G2058">
        <v>5596</v>
      </c>
      <c r="H2058" s="115"/>
      <c r="I2058" s="115"/>
      <c r="L2058" s="169">
        <v>45037</v>
      </c>
      <c r="M2058" s="115">
        <v>2735.75</v>
      </c>
      <c r="N2058" s="115">
        <v>2799</v>
      </c>
      <c r="O2058" s="115">
        <v>2712.1</v>
      </c>
      <c r="P2058" s="115">
        <v>2766</v>
      </c>
      <c r="Q2058" s="115">
        <v>2735.75</v>
      </c>
      <c r="R2058">
        <v>130664</v>
      </c>
    </row>
    <row r="2059" spans="1:18" x14ac:dyDescent="0.25">
      <c r="A2059" s="169">
        <v>45037</v>
      </c>
      <c r="B2059" s="115">
        <v>2800.1</v>
      </c>
      <c r="C2059" s="115">
        <v>2729.9</v>
      </c>
      <c r="D2059" s="115">
        <v>2706.5</v>
      </c>
      <c r="E2059" s="115">
        <v>2777.6</v>
      </c>
      <c r="F2059" s="115">
        <v>2729.9</v>
      </c>
      <c r="G2059">
        <v>5696</v>
      </c>
      <c r="H2059" s="115"/>
      <c r="I2059" s="115"/>
      <c r="L2059" s="169">
        <v>45040</v>
      </c>
      <c r="M2059" s="115">
        <v>2722.1</v>
      </c>
      <c r="N2059" s="115">
        <v>2760</v>
      </c>
      <c r="O2059" s="115">
        <v>2710</v>
      </c>
      <c r="P2059" s="115">
        <v>2756.35</v>
      </c>
      <c r="Q2059" s="115">
        <v>2722.1</v>
      </c>
      <c r="R2059">
        <v>186809</v>
      </c>
    </row>
    <row r="2060" spans="1:18" x14ac:dyDescent="0.25">
      <c r="A2060" s="169">
        <v>45040</v>
      </c>
      <c r="B2060" s="115">
        <v>2760</v>
      </c>
      <c r="C2060" s="115">
        <v>2721.4</v>
      </c>
      <c r="D2060" s="115">
        <v>2710.05</v>
      </c>
      <c r="E2060" s="115">
        <v>2730.15</v>
      </c>
      <c r="F2060" s="115">
        <v>2721.4</v>
      </c>
      <c r="G2060">
        <v>3938</v>
      </c>
      <c r="H2060" s="115"/>
      <c r="I2060" s="115"/>
      <c r="L2060" s="169">
        <v>45041</v>
      </c>
      <c r="M2060" s="115">
        <v>2719.6</v>
      </c>
      <c r="N2060" s="115">
        <v>2738.05</v>
      </c>
      <c r="O2060" s="115">
        <v>2696.7</v>
      </c>
      <c r="P2060" s="115">
        <v>2724</v>
      </c>
      <c r="Q2060" s="115">
        <v>2719.6</v>
      </c>
      <c r="R2060">
        <v>186408</v>
      </c>
    </row>
    <row r="2061" spans="1:18" x14ac:dyDescent="0.25">
      <c r="A2061" s="169">
        <v>45041</v>
      </c>
      <c r="B2061" s="115">
        <v>2739</v>
      </c>
      <c r="C2061" s="115">
        <v>2720.6</v>
      </c>
      <c r="D2061" s="115">
        <v>2697.95</v>
      </c>
      <c r="E2061" s="115">
        <v>2727</v>
      </c>
      <c r="F2061" s="115">
        <v>2720.6</v>
      </c>
      <c r="G2061">
        <v>3728</v>
      </c>
      <c r="H2061" s="115"/>
      <c r="I2061" s="115"/>
      <c r="L2061" s="169">
        <v>45042</v>
      </c>
      <c r="M2061" s="115">
        <v>2740.3</v>
      </c>
      <c r="N2061" s="115">
        <v>2756</v>
      </c>
      <c r="O2061" s="115">
        <v>2685</v>
      </c>
      <c r="P2061" s="115">
        <v>2720</v>
      </c>
      <c r="Q2061" s="115">
        <v>2740.3</v>
      </c>
      <c r="R2061">
        <v>316381</v>
      </c>
    </row>
    <row r="2062" spans="1:18" x14ac:dyDescent="0.25">
      <c r="A2062" s="169">
        <v>45042</v>
      </c>
      <c r="B2062" s="115">
        <v>2753</v>
      </c>
      <c r="C2062" s="115">
        <v>2744.65</v>
      </c>
      <c r="D2062" s="115">
        <v>2685.9</v>
      </c>
      <c r="E2062" s="115">
        <v>2720</v>
      </c>
      <c r="F2062" s="115">
        <v>2744.65</v>
      </c>
      <c r="G2062">
        <v>5778</v>
      </c>
      <c r="H2062" s="115"/>
      <c r="I2062" s="115"/>
      <c r="L2062" s="169">
        <v>45043</v>
      </c>
      <c r="M2062" s="115">
        <v>2802.1</v>
      </c>
      <c r="N2062" s="115">
        <v>2809.5</v>
      </c>
      <c r="O2062" s="115">
        <v>2737.55</v>
      </c>
      <c r="P2062" s="115">
        <v>2751</v>
      </c>
      <c r="Q2062" s="115">
        <v>2802.1</v>
      </c>
      <c r="R2062">
        <v>198892</v>
      </c>
    </row>
    <row r="2063" spans="1:18" x14ac:dyDescent="0.25">
      <c r="A2063" s="169">
        <v>45043</v>
      </c>
      <c r="B2063" s="115">
        <v>2809.45</v>
      </c>
      <c r="C2063" s="115">
        <v>2804.85</v>
      </c>
      <c r="D2063" s="115">
        <v>2740.4</v>
      </c>
      <c r="E2063" s="115">
        <v>2753</v>
      </c>
      <c r="F2063" s="115">
        <v>2804.85</v>
      </c>
      <c r="G2063">
        <v>3754</v>
      </c>
      <c r="H2063" s="115"/>
      <c r="I2063" s="115"/>
      <c r="L2063" s="169">
        <v>45044</v>
      </c>
      <c r="M2063" s="115">
        <v>2774.65</v>
      </c>
      <c r="N2063" s="115">
        <v>2821.45</v>
      </c>
      <c r="O2063" s="115">
        <v>2756</v>
      </c>
      <c r="P2063" s="115">
        <v>2817</v>
      </c>
      <c r="Q2063" s="115">
        <v>2774.65</v>
      </c>
      <c r="R2063">
        <v>154939</v>
      </c>
    </row>
    <row r="2064" spans="1:18" x14ac:dyDescent="0.25">
      <c r="A2064" s="169">
        <v>45044</v>
      </c>
      <c r="B2064" s="115">
        <v>2829.95</v>
      </c>
      <c r="C2064" s="115">
        <v>2773.6</v>
      </c>
      <c r="D2064" s="115">
        <v>2758.2</v>
      </c>
      <c r="E2064" s="115">
        <v>2829.95</v>
      </c>
      <c r="F2064" s="115">
        <v>2773.6</v>
      </c>
      <c r="G2064">
        <v>5910</v>
      </c>
      <c r="H2064" s="115"/>
      <c r="I2064" s="115"/>
      <c r="L2064" s="169">
        <v>45048</v>
      </c>
      <c r="M2064" s="115">
        <v>2756.6</v>
      </c>
      <c r="N2064" s="115">
        <v>2799</v>
      </c>
      <c r="O2064" s="115">
        <v>2727.7</v>
      </c>
      <c r="P2064" s="115">
        <v>2799</v>
      </c>
      <c r="Q2064" s="115">
        <v>2756.6</v>
      </c>
      <c r="R2064">
        <v>197509</v>
      </c>
    </row>
    <row r="2065" spans="1:18" x14ac:dyDescent="0.25">
      <c r="A2065" s="169">
        <v>45048</v>
      </c>
      <c r="B2065" s="115">
        <v>2798.95</v>
      </c>
      <c r="C2065" s="115">
        <v>2756.5</v>
      </c>
      <c r="D2065" s="115">
        <v>2740</v>
      </c>
      <c r="E2065" s="115">
        <v>2779.05</v>
      </c>
      <c r="F2065" s="115">
        <v>2756.5</v>
      </c>
      <c r="G2065">
        <v>3550</v>
      </c>
      <c r="H2065" s="115"/>
      <c r="I2065" s="115"/>
      <c r="L2065" s="169">
        <v>45049</v>
      </c>
      <c r="M2065" s="115">
        <v>2780.15</v>
      </c>
      <c r="N2065" s="115">
        <v>2788</v>
      </c>
      <c r="O2065" s="115">
        <v>2753.3</v>
      </c>
      <c r="P2065" s="115">
        <v>2756.6</v>
      </c>
      <c r="Q2065" s="115">
        <v>2780.15</v>
      </c>
      <c r="R2065">
        <v>113132</v>
      </c>
    </row>
    <row r="2066" spans="1:18" x14ac:dyDescent="0.25">
      <c r="A2066" s="169">
        <v>45049</v>
      </c>
      <c r="B2066" s="115">
        <v>2785.3</v>
      </c>
      <c r="C2066" s="115">
        <v>2779.3</v>
      </c>
      <c r="D2066" s="115">
        <v>2757.8</v>
      </c>
      <c r="E2066" s="115">
        <v>2758.5</v>
      </c>
      <c r="F2066" s="115">
        <v>2779.3</v>
      </c>
      <c r="G2066">
        <v>9918</v>
      </c>
      <c r="H2066" s="115"/>
      <c r="I2066" s="115"/>
      <c r="L2066" s="169">
        <v>45050</v>
      </c>
      <c r="M2066" s="115">
        <v>2850.8</v>
      </c>
      <c r="N2066" s="115">
        <v>2885.15</v>
      </c>
      <c r="O2066" s="115">
        <v>2756</v>
      </c>
      <c r="P2066" s="115">
        <v>2798.5</v>
      </c>
      <c r="Q2066" s="115">
        <v>2850.8</v>
      </c>
      <c r="R2066">
        <v>120941</v>
      </c>
    </row>
    <row r="2067" spans="1:18" x14ac:dyDescent="0.25">
      <c r="A2067" s="169">
        <v>45050</v>
      </c>
      <c r="B2067" s="115">
        <v>2884.9</v>
      </c>
      <c r="C2067" s="115">
        <v>2843.9</v>
      </c>
      <c r="D2067" s="115">
        <v>2751.05</v>
      </c>
      <c r="E2067" s="115">
        <v>2751.05</v>
      </c>
      <c r="F2067" s="115">
        <v>2843.9</v>
      </c>
      <c r="G2067">
        <v>3332</v>
      </c>
      <c r="H2067" s="115"/>
      <c r="I2067" s="115"/>
      <c r="L2067" s="169">
        <v>45051</v>
      </c>
      <c r="M2067" s="115">
        <v>2816.85</v>
      </c>
      <c r="N2067" s="115">
        <v>2865.1</v>
      </c>
      <c r="O2067" s="115">
        <v>2801.5</v>
      </c>
      <c r="P2067" s="115">
        <v>2839</v>
      </c>
      <c r="Q2067" s="115">
        <v>2816.85</v>
      </c>
      <c r="R2067">
        <v>90037</v>
      </c>
    </row>
    <row r="2068" spans="1:18" x14ac:dyDescent="0.25">
      <c r="A2068" s="169">
        <v>45051</v>
      </c>
      <c r="B2068" s="115">
        <v>2865</v>
      </c>
      <c r="C2068" s="115">
        <v>2819</v>
      </c>
      <c r="D2068" s="115">
        <v>2800.75</v>
      </c>
      <c r="E2068" s="115">
        <v>2839.8</v>
      </c>
      <c r="F2068" s="115">
        <v>2819</v>
      </c>
      <c r="G2068">
        <v>2729</v>
      </c>
      <c r="H2068" s="115"/>
      <c r="I2068" s="115"/>
      <c r="L2068" s="169">
        <v>45054</v>
      </c>
      <c r="M2068" s="115">
        <v>2859.85</v>
      </c>
      <c r="N2068" s="115">
        <v>2873.65</v>
      </c>
      <c r="O2068" s="115">
        <v>2795.05</v>
      </c>
      <c r="P2068" s="115">
        <v>2818</v>
      </c>
      <c r="Q2068" s="115">
        <v>2859.85</v>
      </c>
      <c r="R2068">
        <v>77149</v>
      </c>
    </row>
    <row r="2069" spans="1:18" x14ac:dyDescent="0.25">
      <c r="A2069" s="169">
        <v>45054</v>
      </c>
      <c r="B2069" s="115">
        <v>2870</v>
      </c>
      <c r="C2069" s="115">
        <v>2857.95</v>
      </c>
      <c r="D2069" s="115">
        <v>2762.55</v>
      </c>
      <c r="E2069" s="115">
        <v>2800.05</v>
      </c>
      <c r="F2069" s="115">
        <v>2857.95</v>
      </c>
      <c r="G2069">
        <v>41785</v>
      </c>
      <c r="H2069" s="115"/>
      <c r="I2069" s="115"/>
      <c r="L2069" s="169">
        <v>45055</v>
      </c>
      <c r="M2069" s="115">
        <v>2839.8</v>
      </c>
      <c r="N2069" s="115">
        <v>2869.65</v>
      </c>
      <c r="O2069" s="115">
        <v>2822.15</v>
      </c>
      <c r="P2069" s="115">
        <v>2869.65</v>
      </c>
      <c r="Q2069" s="115">
        <v>2839.8</v>
      </c>
      <c r="R2069">
        <v>91414</v>
      </c>
    </row>
    <row r="2070" spans="1:18" x14ac:dyDescent="0.25">
      <c r="A2070" s="169">
        <v>45055</v>
      </c>
      <c r="B2070" s="115">
        <v>2868.6</v>
      </c>
      <c r="C2070" s="115">
        <v>2841.6</v>
      </c>
      <c r="D2070" s="115">
        <v>2821.25</v>
      </c>
      <c r="E2070" s="115">
        <v>2860</v>
      </c>
      <c r="F2070" s="115">
        <v>2841.6</v>
      </c>
      <c r="G2070">
        <v>2263</v>
      </c>
      <c r="H2070" s="115"/>
      <c r="I2070" s="115"/>
      <c r="L2070" s="169">
        <v>45056</v>
      </c>
      <c r="M2070" s="115">
        <v>2824.65</v>
      </c>
      <c r="N2070" s="115">
        <v>2864.75</v>
      </c>
      <c r="O2070" s="115">
        <v>2802.05</v>
      </c>
      <c r="P2070" s="115">
        <v>2822.5</v>
      </c>
      <c r="Q2070" s="115">
        <v>2824.65</v>
      </c>
      <c r="R2070">
        <v>69312</v>
      </c>
    </row>
    <row r="2071" spans="1:18" x14ac:dyDescent="0.25">
      <c r="A2071" s="169">
        <v>45056</v>
      </c>
      <c r="B2071" s="115">
        <v>2840.2</v>
      </c>
      <c r="C2071" s="115">
        <v>2824.6</v>
      </c>
      <c r="D2071" s="115">
        <v>2801.45</v>
      </c>
      <c r="E2071" s="115">
        <v>2816.05</v>
      </c>
      <c r="F2071" s="115">
        <v>2824.6</v>
      </c>
      <c r="G2071">
        <v>2187</v>
      </c>
      <c r="H2071" s="115"/>
      <c r="I2071" s="115"/>
      <c r="L2071" s="169">
        <v>45057</v>
      </c>
      <c r="M2071" s="115">
        <v>2814.35</v>
      </c>
      <c r="N2071" s="115">
        <v>2825</v>
      </c>
      <c r="O2071" s="115">
        <v>2795</v>
      </c>
      <c r="P2071" s="115">
        <v>2813.05</v>
      </c>
      <c r="Q2071" s="115">
        <v>2814.35</v>
      </c>
      <c r="R2071">
        <v>74255</v>
      </c>
    </row>
    <row r="2072" spans="1:18" x14ac:dyDescent="0.25">
      <c r="A2072" s="169">
        <v>45057</v>
      </c>
      <c r="B2072" s="115">
        <v>2826</v>
      </c>
      <c r="C2072" s="115">
        <v>2812</v>
      </c>
      <c r="D2072" s="115">
        <v>2793.55</v>
      </c>
      <c r="E2072" s="115">
        <v>2817</v>
      </c>
      <c r="F2072" s="115">
        <v>2812</v>
      </c>
      <c r="G2072">
        <v>1669</v>
      </c>
      <c r="H2072" s="115"/>
      <c r="I2072" s="115"/>
      <c r="L2072" s="169">
        <v>45058</v>
      </c>
      <c r="M2072" s="115">
        <v>2839.8</v>
      </c>
      <c r="N2072" s="115">
        <v>2854.45</v>
      </c>
      <c r="O2072" s="115">
        <v>2805.45</v>
      </c>
      <c r="P2072" s="115">
        <v>2828</v>
      </c>
      <c r="Q2072" s="115">
        <v>2839.8</v>
      </c>
      <c r="R2072">
        <v>125735</v>
      </c>
    </row>
    <row r="2073" spans="1:18" x14ac:dyDescent="0.25">
      <c r="A2073" s="169">
        <v>45058</v>
      </c>
      <c r="B2073" s="115">
        <v>2879.95</v>
      </c>
      <c r="C2073" s="115">
        <v>2840.4</v>
      </c>
      <c r="D2073" s="115">
        <v>2808.8</v>
      </c>
      <c r="E2073" s="115">
        <v>2879.95</v>
      </c>
      <c r="F2073" s="115">
        <v>2840.4</v>
      </c>
      <c r="G2073">
        <v>668</v>
      </c>
      <c r="H2073" s="115"/>
      <c r="I2073" s="115"/>
      <c r="L2073" s="169">
        <v>45061</v>
      </c>
      <c r="M2073" s="115">
        <v>2796.9</v>
      </c>
      <c r="N2073" s="115">
        <v>2839.8</v>
      </c>
      <c r="O2073" s="115">
        <v>2785</v>
      </c>
      <c r="P2073" s="115">
        <v>2839.8</v>
      </c>
      <c r="Q2073" s="115">
        <v>2796.9</v>
      </c>
      <c r="R2073">
        <v>110248</v>
      </c>
    </row>
    <row r="2074" spans="1:18" x14ac:dyDescent="0.25">
      <c r="A2074" s="169">
        <v>45061</v>
      </c>
      <c r="B2074" s="115">
        <v>2833.55</v>
      </c>
      <c r="C2074" s="115">
        <v>2795.05</v>
      </c>
      <c r="D2074" s="115">
        <v>2786</v>
      </c>
      <c r="E2074" s="115">
        <v>2813.05</v>
      </c>
      <c r="F2074" s="115">
        <v>2795.05</v>
      </c>
      <c r="G2074">
        <v>3940</v>
      </c>
      <c r="H2074" s="115"/>
      <c r="I2074" s="115"/>
      <c r="L2074" s="169">
        <v>45062</v>
      </c>
      <c r="M2074" s="115">
        <v>2799.25</v>
      </c>
      <c r="N2074" s="115">
        <v>2812</v>
      </c>
      <c r="O2074" s="115">
        <v>2777</v>
      </c>
      <c r="P2074" s="115">
        <v>2804.8</v>
      </c>
      <c r="Q2074" s="115">
        <v>2799.25</v>
      </c>
      <c r="R2074">
        <v>114626</v>
      </c>
    </row>
    <row r="2075" spans="1:18" x14ac:dyDescent="0.25">
      <c r="A2075" s="169">
        <v>45062</v>
      </c>
      <c r="B2075" s="115">
        <v>2811.9</v>
      </c>
      <c r="C2075" s="115">
        <v>2800.45</v>
      </c>
      <c r="D2075" s="115">
        <v>2778.35</v>
      </c>
      <c r="E2075" s="115">
        <v>2795.1</v>
      </c>
      <c r="F2075" s="115">
        <v>2800.45</v>
      </c>
      <c r="G2075">
        <v>1555</v>
      </c>
      <c r="H2075" s="115"/>
      <c r="I2075" s="115"/>
      <c r="L2075" s="169">
        <v>45063</v>
      </c>
      <c r="M2075" s="115">
        <v>2808.35</v>
      </c>
      <c r="N2075" s="115">
        <v>2822.95</v>
      </c>
      <c r="O2075" s="115">
        <v>2777.7</v>
      </c>
      <c r="P2075" s="115">
        <v>2777.7</v>
      </c>
      <c r="Q2075" s="115">
        <v>2808.35</v>
      </c>
      <c r="R2075">
        <v>70611</v>
      </c>
    </row>
    <row r="2076" spans="1:18" x14ac:dyDescent="0.25">
      <c r="A2076" s="169">
        <v>45063</v>
      </c>
      <c r="B2076" s="115">
        <v>2821.5</v>
      </c>
      <c r="C2076" s="115">
        <v>2811.95</v>
      </c>
      <c r="D2076" s="115">
        <v>2786.35</v>
      </c>
      <c r="E2076" s="115">
        <v>2791.3</v>
      </c>
      <c r="F2076" s="115">
        <v>2811.95</v>
      </c>
      <c r="G2076">
        <v>2279</v>
      </c>
      <c r="H2076" s="115"/>
      <c r="I2076" s="115"/>
      <c r="L2076" s="169">
        <v>45064</v>
      </c>
      <c r="M2076" s="115">
        <v>2796.6</v>
      </c>
      <c r="N2076" s="115">
        <v>2825.2</v>
      </c>
      <c r="O2076" s="115">
        <v>2788</v>
      </c>
      <c r="P2076" s="115">
        <v>2816.8</v>
      </c>
      <c r="Q2076" s="115">
        <v>2796.6</v>
      </c>
      <c r="R2076">
        <v>81806</v>
      </c>
    </row>
    <row r="2077" spans="1:18" x14ac:dyDescent="0.25">
      <c r="A2077" s="169">
        <v>45064</v>
      </c>
      <c r="B2077" s="115">
        <v>2825.5</v>
      </c>
      <c r="C2077" s="115">
        <v>2793.2</v>
      </c>
      <c r="D2077" s="115">
        <v>2775</v>
      </c>
      <c r="E2077" s="115">
        <v>2801.05</v>
      </c>
      <c r="F2077" s="115">
        <v>2793.2</v>
      </c>
      <c r="G2077">
        <v>2309</v>
      </c>
      <c r="H2077" s="115"/>
      <c r="I2077" s="115"/>
      <c r="L2077" s="169">
        <v>45065</v>
      </c>
      <c r="M2077" s="115">
        <v>2836.55</v>
      </c>
      <c r="N2077" s="115">
        <v>2848</v>
      </c>
      <c r="O2077" s="115">
        <v>2790</v>
      </c>
      <c r="P2077" s="115">
        <v>2796.5</v>
      </c>
      <c r="Q2077" s="115">
        <v>2836.55</v>
      </c>
      <c r="R2077">
        <v>85932</v>
      </c>
    </row>
    <row r="2078" spans="1:18" x14ac:dyDescent="0.25">
      <c r="A2078" s="169">
        <v>45065</v>
      </c>
      <c r="B2078" s="115">
        <v>2849</v>
      </c>
      <c r="C2078" s="115">
        <v>2836.6</v>
      </c>
      <c r="D2078" s="115">
        <v>2790.15</v>
      </c>
      <c r="E2078" s="115">
        <v>2799.3</v>
      </c>
      <c r="F2078" s="115">
        <v>2836.6</v>
      </c>
      <c r="G2078">
        <v>973</v>
      </c>
      <c r="H2078" s="115"/>
      <c r="I2078" s="115"/>
      <c r="L2078" s="169">
        <v>45068</v>
      </c>
      <c r="M2078" s="115">
        <v>2832.85</v>
      </c>
      <c r="N2078" s="115">
        <v>2849.95</v>
      </c>
      <c r="O2078" s="115">
        <v>2805.55</v>
      </c>
      <c r="P2078" s="115">
        <v>2849.95</v>
      </c>
      <c r="Q2078" s="115">
        <v>2832.85</v>
      </c>
      <c r="R2078">
        <v>29331</v>
      </c>
    </row>
    <row r="2079" spans="1:18" x14ac:dyDescent="0.25">
      <c r="A2079" s="169">
        <v>45068</v>
      </c>
      <c r="B2079" s="115">
        <v>2859.95</v>
      </c>
      <c r="C2079" s="115">
        <v>2833.4</v>
      </c>
      <c r="D2079" s="115">
        <v>2806.05</v>
      </c>
      <c r="E2079" s="115">
        <v>2859.95</v>
      </c>
      <c r="F2079" s="115">
        <v>2833.4</v>
      </c>
      <c r="G2079">
        <v>1660</v>
      </c>
      <c r="H2079" s="115"/>
      <c r="I2079" s="115"/>
      <c r="L2079" s="169">
        <v>45069</v>
      </c>
      <c r="M2079" s="115">
        <v>2812.3</v>
      </c>
      <c r="N2079" s="115">
        <v>2844</v>
      </c>
      <c r="O2079" s="115">
        <v>2792.3</v>
      </c>
      <c r="P2079" s="115">
        <v>2844</v>
      </c>
      <c r="Q2079" s="115">
        <v>2812.3</v>
      </c>
      <c r="R2079">
        <v>84182</v>
      </c>
    </row>
    <row r="2080" spans="1:18" x14ac:dyDescent="0.25">
      <c r="A2080" s="169">
        <v>45069</v>
      </c>
      <c r="B2080" s="115">
        <v>2830.1</v>
      </c>
      <c r="C2080" s="115">
        <v>2811.25</v>
      </c>
      <c r="D2080" s="115">
        <v>2775.9</v>
      </c>
      <c r="E2080" s="115">
        <v>2829.8</v>
      </c>
      <c r="F2080" s="115">
        <v>2811.25</v>
      </c>
      <c r="G2080">
        <v>3513</v>
      </c>
      <c r="H2080" s="115"/>
      <c r="I2080" s="115"/>
      <c r="L2080" s="169">
        <v>45070</v>
      </c>
      <c r="M2080" s="115">
        <v>2806.8</v>
      </c>
      <c r="N2080" s="115">
        <v>2817.1</v>
      </c>
      <c r="O2080" s="115">
        <v>2784</v>
      </c>
      <c r="P2080" s="115">
        <v>2812.3</v>
      </c>
      <c r="Q2080" s="115">
        <v>2806.8</v>
      </c>
      <c r="R2080">
        <v>103614</v>
      </c>
    </row>
    <row r="2081" spans="1:18" x14ac:dyDescent="0.25">
      <c r="A2081" s="169">
        <v>45070</v>
      </c>
      <c r="B2081" s="115">
        <v>2814</v>
      </c>
      <c r="C2081" s="115">
        <v>2805.2</v>
      </c>
      <c r="D2081" s="115">
        <v>2700.6</v>
      </c>
      <c r="E2081" s="115">
        <v>2811.2</v>
      </c>
      <c r="F2081" s="115">
        <v>2805.2</v>
      </c>
      <c r="G2081">
        <v>985</v>
      </c>
      <c r="H2081" s="115"/>
      <c r="I2081" s="115"/>
      <c r="L2081" s="169">
        <v>45071</v>
      </c>
      <c r="M2081" s="115">
        <v>2816.45</v>
      </c>
      <c r="N2081" s="115">
        <v>2824.25</v>
      </c>
      <c r="O2081" s="115">
        <v>2801.1</v>
      </c>
      <c r="P2081" s="115">
        <v>2807</v>
      </c>
      <c r="Q2081" s="115">
        <v>2816.45</v>
      </c>
      <c r="R2081">
        <v>31683</v>
      </c>
    </row>
    <row r="2082" spans="1:18" x14ac:dyDescent="0.25">
      <c r="A2082" s="169">
        <v>45071</v>
      </c>
      <c r="B2082" s="115">
        <v>2823.3</v>
      </c>
      <c r="C2082" s="115">
        <v>2818.65</v>
      </c>
      <c r="D2082" s="115">
        <v>2803</v>
      </c>
      <c r="E2082" s="115">
        <v>2805</v>
      </c>
      <c r="F2082" s="115">
        <v>2818.65</v>
      </c>
      <c r="G2082">
        <v>587</v>
      </c>
      <c r="H2082" s="115"/>
      <c r="I2082" s="115"/>
      <c r="L2082" s="169">
        <v>45072</v>
      </c>
      <c r="M2082" s="115">
        <v>2818.15</v>
      </c>
      <c r="N2082" s="115">
        <v>2827.75</v>
      </c>
      <c r="O2082" s="115">
        <v>2803.5</v>
      </c>
      <c r="P2082" s="115">
        <v>2821.6</v>
      </c>
      <c r="Q2082" s="115">
        <v>2818.15</v>
      </c>
      <c r="R2082">
        <v>125608</v>
      </c>
    </row>
    <row r="2083" spans="1:18" x14ac:dyDescent="0.25">
      <c r="A2083" s="169">
        <v>45072</v>
      </c>
      <c r="B2083" s="115">
        <v>2826</v>
      </c>
      <c r="C2083" s="115">
        <v>2819</v>
      </c>
      <c r="D2083" s="115">
        <v>2798.45</v>
      </c>
      <c r="E2083" s="115">
        <v>2825</v>
      </c>
      <c r="F2083" s="115">
        <v>2819</v>
      </c>
      <c r="G2083">
        <v>2131</v>
      </c>
      <c r="H2083" s="115"/>
      <c r="I2083" s="115"/>
      <c r="L2083" s="169">
        <v>45075</v>
      </c>
      <c r="M2083" s="115">
        <v>2833.15</v>
      </c>
      <c r="N2083" s="115">
        <v>2852.9</v>
      </c>
      <c r="O2083" s="115">
        <v>2820</v>
      </c>
      <c r="P2083" s="115">
        <v>2849</v>
      </c>
      <c r="Q2083" s="115">
        <v>2833.15</v>
      </c>
      <c r="R2083">
        <v>42774</v>
      </c>
    </row>
    <row r="2084" spans="1:18" x14ac:dyDescent="0.25">
      <c r="A2084" s="169">
        <v>45075</v>
      </c>
      <c r="B2084" s="115">
        <v>2853.1</v>
      </c>
      <c r="C2084" s="115">
        <v>2833.3</v>
      </c>
      <c r="D2084" s="115">
        <v>2820</v>
      </c>
      <c r="E2084" s="115">
        <v>2821.65</v>
      </c>
      <c r="F2084" s="115">
        <v>2833.3</v>
      </c>
      <c r="G2084">
        <v>1717</v>
      </c>
      <c r="H2084" s="115"/>
      <c r="I2084" s="115"/>
      <c r="L2084" s="169">
        <v>45076</v>
      </c>
      <c r="M2084" s="115">
        <v>2856.5</v>
      </c>
      <c r="N2084" s="115">
        <v>2866</v>
      </c>
      <c r="O2084" s="115">
        <v>2811.8</v>
      </c>
      <c r="P2084" s="115">
        <v>2833.15</v>
      </c>
      <c r="Q2084" s="115">
        <v>2856.5</v>
      </c>
      <c r="R2084">
        <v>68138</v>
      </c>
    </row>
    <row r="2085" spans="1:18" x14ac:dyDescent="0.25">
      <c r="A2085" s="169">
        <v>45076</v>
      </c>
      <c r="B2085" s="115">
        <v>2863.6</v>
      </c>
      <c r="C2085" s="115">
        <v>2853.35</v>
      </c>
      <c r="D2085" s="115">
        <v>2817.05</v>
      </c>
      <c r="E2085" s="115">
        <v>2824.15</v>
      </c>
      <c r="F2085" s="115">
        <v>2853.35</v>
      </c>
      <c r="G2085">
        <v>3741</v>
      </c>
      <c r="H2085" s="115"/>
      <c r="I2085" s="115"/>
      <c r="L2085" s="169">
        <v>45077</v>
      </c>
      <c r="M2085" s="115">
        <v>2966.95</v>
      </c>
      <c r="N2085" s="115">
        <v>2992</v>
      </c>
      <c r="O2085" s="115">
        <v>2835.05</v>
      </c>
      <c r="P2085" s="115">
        <v>2845</v>
      </c>
      <c r="Q2085" s="115">
        <v>2966.95</v>
      </c>
      <c r="R2085">
        <v>143997</v>
      </c>
    </row>
    <row r="2086" spans="1:18" x14ac:dyDescent="0.25">
      <c r="A2086" s="169">
        <v>45077</v>
      </c>
      <c r="B2086" s="115">
        <v>2985</v>
      </c>
      <c r="C2086" s="115">
        <v>2958.45</v>
      </c>
      <c r="D2086" s="115">
        <v>2841.15</v>
      </c>
      <c r="E2086" s="115">
        <v>2841.15</v>
      </c>
      <c r="F2086" s="115">
        <v>2958.45</v>
      </c>
      <c r="G2086">
        <v>4270</v>
      </c>
      <c r="H2086" s="115"/>
      <c r="I2086" s="115"/>
      <c r="L2086" s="169">
        <v>45078</v>
      </c>
      <c r="M2086" s="115">
        <v>2956.1</v>
      </c>
      <c r="N2086" s="115">
        <v>2977.45</v>
      </c>
      <c r="O2086" s="115">
        <v>2919</v>
      </c>
      <c r="P2086" s="115">
        <v>2960</v>
      </c>
      <c r="Q2086" s="115">
        <v>2956.1</v>
      </c>
      <c r="R2086">
        <v>97667</v>
      </c>
    </row>
    <row r="2087" spans="1:18" x14ac:dyDescent="0.25">
      <c r="A2087" s="169">
        <v>45078</v>
      </c>
      <c r="B2087" s="115">
        <v>2967.75</v>
      </c>
      <c r="C2087" s="115">
        <v>2954.45</v>
      </c>
      <c r="D2087" s="115">
        <v>2922.05</v>
      </c>
      <c r="E2087" s="115">
        <v>2962.35</v>
      </c>
      <c r="F2087" s="115">
        <v>2954.45</v>
      </c>
      <c r="G2087">
        <v>2533</v>
      </c>
      <c r="H2087" s="115"/>
      <c r="I2087" s="115"/>
      <c r="L2087" s="169">
        <v>45079</v>
      </c>
      <c r="M2087" s="115">
        <v>3001.4</v>
      </c>
      <c r="N2087" s="115">
        <v>3017.85</v>
      </c>
      <c r="O2087" s="115">
        <v>2946.4</v>
      </c>
      <c r="P2087" s="115">
        <v>2969.5</v>
      </c>
      <c r="Q2087" s="115">
        <v>3001.4</v>
      </c>
      <c r="R2087">
        <v>124253</v>
      </c>
    </row>
    <row r="2088" spans="1:18" x14ac:dyDescent="0.25">
      <c r="A2088" s="169">
        <v>45079</v>
      </c>
      <c r="B2088" s="115">
        <v>3018</v>
      </c>
      <c r="C2088" s="115">
        <v>2999.75</v>
      </c>
      <c r="D2088" s="115">
        <v>2948.4</v>
      </c>
      <c r="E2088" s="115">
        <v>2957.9</v>
      </c>
      <c r="F2088" s="115">
        <v>2999.75</v>
      </c>
      <c r="G2088">
        <v>3087</v>
      </c>
      <c r="H2088" s="115"/>
      <c r="I2088" s="115"/>
      <c r="L2088" s="169">
        <v>45082</v>
      </c>
      <c r="M2088" s="115">
        <v>3006.65</v>
      </c>
      <c r="N2088" s="115">
        <v>3047</v>
      </c>
      <c r="O2088" s="115">
        <v>2986.15</v>
      </c>
      <c r="P2088" s="115">
        <v>3044.95</v>
      </c>
      <c r="Q2088" s="115">
        <v>3006.65</v>
      </c>
      <c r="R2088">
        <v>99040</v>
      </c>
    </row>
    <row r="2089" spans="1:18" x14ac:dyDescent="0.25">
      <c r="A2089" s="169">
        <v>45082</v>
      </c>
      <c r="B2089" s="115">
        <v>3044</v>
      </c>
      <c r="C2089" s="115">
        <v>3004.75</v>
      </c>
      <c r="D2089" s="115">
        <v>2986</v>
      </c>
      <c r="E2089" s="115">
        <v>3036</v>
      </c>
      <c r="F2089" s="115">
        <v>3004.75</v>
      </c>
      <c r="G2089">
        <v>2570</v>
      </c>
      <c r="H2089" s="115"/>
      <c r="I2089" s="115"/>
      <c r="L2089" s="169">
        <v>45083</v>
      </c>
      <c r="M2089" s="115">
        <v>3059.75</v>
      </c>
      <c r="N2089" s="115">
        <v>3070</v>
      </c>
      <c r="O2089" s="115">
        <v>2990</v>
      </c>
      <c r="P2089" s="115">
        <v>3008.05</v>
      </c>
      <c r="Q2089" s="115">
        <v>3059.75</v>
      </c>
      <c r="R2089">
        <v>67247</v>
      </c>
    </row>
    <row r="2090" spans="1:18" x14ac:dyDescent="0.25">
      <c r="A2090" s="169">
        <v>45083</v>
      </c>
      <c r="B2090" s="115">
        <v>3068.7</v>
      </c>
      <c r="C2090" s="115">
        <v>3056.45</v>
      </c>
      <c r="D2090" s="115">
        <v>2996.4</v>
      </c>
      <c r="E2090" s="115">
        <v>3012.95</v>
      </c>
      <c r="F2090" s="115">
        <v>3056.45</v>
      </c>
      <c r="G2090">
        <v>2645</v>
      </c>
      <c r="H2090" s="115"/>
      <c r="I2090" s="115"/>
      <c r="L2090" s="169">
        <v>45084</v>
      </c>
      <c r="M2090" s="115">
        <v>3186.7</v>
      </c>
      <c r="N2090" s="115">
        <v>3254.35</v>
      </c>
      <c r="O2090" s="115">
        <v>3056.75</v>
      </c>
      <c r="P2090" s="115">
        <v>3060</v>
      </c>
      <c r="Q2090" s="115">
        <v>3186.7</v>
      </c>
      <c r="R2090">
        <v>275978</v>
      </c>
    </row>
    <row r="2091" spans="1:18" x14ac:dyDescent="0.25">
      <c r="A2091" s="169">
        <v>45084</v>
      </c>
      <c r="B2091" s="115">
        <v>3254.85</v>
      </c>
      <c r="C2091" s="115">
        <v>3186.5</v>
      </c>
      <c r="D2091" s="115">
        <v>3056.15</v>
      </c>
      <c r="E2091" s="115">
        <v>3090.9</v>
      </c>
      <c r="F2091" s="115">
        <v>3186.5</v>
      </c>
      <c r="G2091">
        <v>12816</v>
      </c>
      <c r="H2091" s="115"/>
      <c r="I2091" s="115"/>
      <c r="L2091" s="169">
        <v>45085</v>
      </c>
      <c r="M2091" s="115">
        <v>3199.1</v>
      </c>
      <c r="N2091" s="115">
        <v>3258.7</v>
      </c>
      <c r="O2091" s="115">
        <v>3180</v>
      </c>
      <c r="P2091" s="115">
        <v>3189.95</v>
      </c>
      <c r="Q2091" s="115">
        <v>3199.1</v>
      </c>
      <c r="R2091">
        <v>139150</v>
      </c>
    </row>
    <row r="2092" spans="1:18" x14ac:dyDescent="0.25">
      <c r="A2092" s="169">
        <v>45085</v>
      </c>
      <c r="B2092" s="115">
        <v>3257.75</v>
      </c>
      <c r="C2092" s="115">
        <v>3197.7</v>
      </c>
      <c r="D2092" s="115">
        <v>3184</v>
      </c>
      <c r="E2092" s="115">
        <v>3194.95</v>
      </c>
      <c r="F2092" s="115">
        <v>3197.7</v>
      </c>
      <c r="G2092">
        <v>3992</v>
      </c>
      <c r="H2092" s="115"/>
      <c r="I2092" s="115"/>
      <c r="L2092" s="169">
        <v>45086</v>
      </c>
      <c r="M2092" s="115">
        <v>3195.45</v>
      </c>
      <c r="N2092" s="115">
        <v>3225</v>
      </c>
      <c r="O2092" s="115">
        <v>3164.1</v>
      </c>
      <c r="P2092" s="115">
        <v>3200</v>
      </c>
      <c r="Q2092" s="115">
        <v>3195.45</v>
      </c>
      <c r="R2092">
        <v>61820</v>
      </c>
    </row>
    <row r="2093" spans="1:18" x14ac:dyDescent="0.25">
      <c r="A2093" s="169">
        <v>45086</v>
      </c>
      <c r="B2093" s="115">
        <v>3225</v>
      </c>
      <c r="C2093" s="115">
        <v>3194.85</v>
      </c>
      <c r="D2093" s="115">
        <v>3166.1</v>
      </c>
      <c r="E2093" s="115">
        <v>3210.85</v>
      </c>
      <c r="F2093" s="115">
        <v>3194.85</v>
      </c>
      <c r="G2093">
        <v>2498</v>
      </c>
      <c r="H2093" s="115"/>
      <c r="I2093" s="115"/>
      <c r="L2093" s="169">
        <v>45089</v>
      </c>
      <c r="M2093" s="115">
        <v>3165.8</v>
      </c>
      <c r="N2093" s="115">
        <v>3203.8</v>
      </c>
      <c r="O2093" s="115">
        <v>3092</v>
      </c>
      <c r="P2093" s="115">
        <v>3203.8</v>
      </c>
      <c r="Q2093" s="115">
        <v>3165.8</v>
      </c>
      <c r="R2093">
        <v>105237</v>
      </c>
    </row>
    <row r="2094" spans="1:18" x14ac:dyDescent="0.25">
      <c r="A2094" s="169">
        <v>45089</v>
      </c>
      <c r="B2094" s="115">
        <v>3194.95</v>
      </c>
      <c r="C2094" s="115">
        <v>3171.4</v>
      </c>
      <c r="D2094" s="115">
        <v>3092.45</v>
      </c>
      <c r="E2094" s="115">
        <v>3194.9</v>
      </c>
      <c r="F2094" s="115">
        <v>3171.4</v>
      </c>
      <c r="G2094">
        <v>28445</v>
      </c>
      <c r="H2094" s="115"/>
      <c r="I2094" s="115"/>
      <c r="L2094" s="169">
        <v>45090</v>
      </c>
      <c r="M2094" s="115">
        <v>3100.35</v>
      </c>
      <c r="N2094" s="115">
        <v>3164.8</v>
      </c>
      <c r="O2094" s="115">
        <v>3090</v>
      </c>
      <c r="P2094" s="115">
        <v>3142</v>
      </c>
      <c r="Q2094" s="115">
        <v>3100.35</v>
      </c>
      <c r="R2094">
        <v>99797</v>
      </c>
    </row>
    <row r="2095" spans="1:18" x14ac:dyDescent="0.25">
      <c r="A2095" s="169">
        <v>45090</v>
      </c>
      <c r="B2095" s="115">
        <v>3166.2</v>
      </c>
      <c r="C2095" s="115">
        <v>3100.3</v>
      </c>
      <c r="D2095" s="115">
        <v>3092.6</v>
      </c>
      <c r="E2095" s="115">
        <v>3130.8</v>
      </c>
      <c r="F2095" s="115">
        <v>3100.3</v>
      </c>
      <c r="G2095">
        <v>5493</v>
      </c>
      <c r="H2095" s="115"/>
      <c r="I2095" s="115"/>
      <c r="L2095" s="169">
        <v>45091</v>
      </c>
      <c r="M2095" s="115">
        <v>3061.3</v>
      </c>
      <c r="N2095" s="115">
        <v>3125.95</v>
      </c>
      <c r="O2095" s="115">
        <v>3033.25</v>
      </c>
      <c r="P2095" s="115">
        <v>3125.95</v>
      </c>
      <c r="Q2095" s="115">
        <v>3061.3</v>
      </c>
      <c r="R2095">
        <v>75406</v>
      </c>
    </row>
    <row r="2096" spans="1:18" x14ac:dyDescent="0.25">
      <c r="A2096" s="169">
        <v>45091</v>
      </c>
      <c r="B2096" s="115">
        <v>3105.45</v>
      </c>
      <c r="C2096" s="115">
        <v>3062.25</v>
      </c>
      <c r="D2096" s="115">
        <v>3033.85</v>
      </c>
      <c r="E2096" s="115">
        <v>3105</v>
      </c>
      <c r="F2096" s="115">
        <v>3062.25</v>
      </c>
      <c r="G2096">
        <v>2865</v>
      </c>
      <c r="H2096" s="115"/>
      <c r="I2096" s="115"/>
      <c r="L2096" s="169">
        <v>45092</v>
      </c>
      <c r="M2096" s="115">
        <v>3033.65</v>
      </c>
      <c r="N2096" s="115">
        <v>3089.15</v>
      </c>
      <c r="O2096" s="115">
        <v>3015</v>
      </c>
      <c r="P2096" s="115">
        <v>3089.15</v>
      </c>
      <c r="Q2096" s="115">
        <v>3033.65</v>
      </c>
      <c r="R2096">
        <v>55723</v>
      </c>
    </row>
    <row r="2097" spans="1:18" x14ac:dyDescent="0.25">
      <c r="A2097" s="169">
        <v>45092</v>
      </c>
      <c r="B2097" s="115">
        <v>3085</v>
      </c>
      <c r="C2097" s="115">
        <v>3030.65</v>
      </c>
      <c r="D2097" s="115">
        <v>3015.45</v>
      </c>
      <c r="E2097" s="115">
        <v>3062.3</v>
      </c>
      <c r="F2097" s="115">
        <v>3030.65</v>
      </c>
      <c r="G2097">
        <v>5447</v>
      </c>
      <c r="H2097" s="115"/>
      <c r="I2097" s="115"/>
      <c r="L2097" s="169">
        <v>45093</v>
      </c>
      <c r="M2097" s="115">
        <v>3184.55</v>
      </c>
      <c r="N2097" s="115">
        <v>3214</v>
      </c>
      <c r="O2097" s="115">
        <v>3033</v>
      </c>
      <c r="P2097" s="115">
        <v>3055</v>
      </c>
      <c r="Q2097" s="115">
        <v>3184.55</v>
      </c>
      <c r="R2097">
        <v>379237</v>
      </c>
    </row>
    <row r="2098" spans="1:18" x14ac:dyDescent="0.25">
      <c r="A2098" s="169">
        <v>45093</v>
      </c>
      <c r="B2098" s="115">
        <v>3209.95</v>
      </c>
      <c r="C2098" s="115">
        <v>3181.9</v>
      </c>
      <c r="D2098" s="115">
        <v>3018.1</v>
      </c>
      <c r="E2098" s="115">
        <v>3018.1</v>
      </c>
      <c r="F2098" s="115">
        <v>3181.9</v>
      </c>
      <c r="G2098">
        <v>6611</v>
      </c>
      <c r="H2098" s="115"/>
      <c r="I2098" s="115"/>
      <c r="L2098" s="169">
        <v>45096</v>
      </c>
      <c r="M2098" s="115">
        <v>3177.4</v>
      </c>
      <c r="N2098" s="115">
        <v>3238.65</v>
      </c>
      <c r="O2098" s="115">
        <v>3151.3</v>
      </c>
      <c r="P2098" s="115">
        <v>3220</v>
      </c>
      <c r="Q2098" s="115">
        <v>3177.4</v>
      </c>
      <c r="R2098">
        <v>154868</v>
      </c>
    </row>
    <row r="2099" spans="1:18" x14ac:dyDescent="0.25">
      <c r="A2099" s="169">
        <v>45096</v>
      </c>
      <c r="B2099" s="115">
        <v>3230</v>
      </c>
      <c r="C2099" s="115">
        <v>3186.85</v>
      </c>
      <c r="D2099" s="115">
        <v>3152.55</v>
      </c>
      <c r="E2099" s="115">
        <v>3200.05</v>
      </c>
      <c r="F2099" s="115">
        <v>3186.85</v>
      </c>
      <c r="G2099">
        <v>4999</v>
      </c>
      <c r="H2099" s="115"/>
      <c r="I2099" s="115"/>
      <c r="L2099" s="169">
        <v>45097</v>
      </c>
      <c r="M2099" s="115">
        <v>3233.5</v>
      </c>
      <c r="N2099" s="115">
        <v>3246</v>
      </c>
      <c r="O2099" s="115">
        <v>3155</v>
      </c>
      <c r="P2099" s="115">
        <v>3155</v>
      </c>
      <c r="Q2099" s="115">
        <v>3233.5</v>
      </c>
      <c r="R2099">
        <v>123299</v>
      </c>
    </row>
    <row r="2100" spans="1:18" x14ac:dyDescent="0.25">
      <c r="A2100" s="169">
        <v>45097</v>
      </c>
      <c r="B2100" s="115">
        <v>3247.1</v>
      </c>
      <c r="C2100" s="115">
        <v>3237</v>
      </c>
      <c r="D2100" s="115">
        <v>3164.4</v>
      </c>
      <c r="E2100" s="115">
        <v>3180</v>
      </c>
      <c r="F2100" s="115">
        <v>3237</v>
      </c>
      <c r="G2100">
        <v>7173</v>
      </c>
      <c r="H2100" s="115"/>
      <c r="I2100" s="115"/>
      <c r="L2100" s="169">
        <v>45098</v>
      </c>
      <c r="M2100" s="115">
        <v>3232.6</v>
      </c>
      <c r="N2100" s="115">
        <v>3294.05</v>
      </c>
      <c r="O2100" s="115">
        <v>3204.25</v>
      </c>
      <c r="P2100" s="115">
        <v>3244.5</v>
      </c>
      <c r="Q2100" s="115">
        <v>3232.6</v>
      </c>
      <c r="R2100">
        <v>91887</v>
      </c>
    </row>
    <row r="2101" spans="1:18" x14ac:dyDescent="0.25">
      <c r="A2101" s="169">
        <v>45098</v>
      </c>
      <c r="B2101" s="115">
        <v>3293.5</v>
      </c>
      <c r="C2101" s="115">
        <v>3232.3</v>
      </c>
      <c r="D2101" s="115">
        <v>3204.25</v>
      </c>
      <c r="E2101" s="115">
        <v>3246</v>
      </c>
      <c r="F2101" s="115">
        <v>3232.3</v>
      </c>
      <c r="G2101">
        <v>5547</v>
      </c>
      <c r="H2101" s="115"/>
      <c r="I2101" s="115"/>
      <c r="L2101" s="169">
        <v>45099</v>
      </c>
      <c r="M2101" s="115">
        <v>3208.75</v>
      </c>
      <c r="N2101" s="115">
        <v>3250</v>
      </c>
      <c r="O2101" s="115">
        <v>3195</v>
      </c>
      <c r="P2101" s="115">
        <v>3242</v>
      </c>
      <c r="Q2101" s="115">
        <v>3208.75</v>
      </c>
      <c r="R2101">
        <v>46684</v>
      </c>
    </row>
    <row r="2102" spans="1:18" x14ac:dyDescent="0.25">
      <c r="A2102" s="169">
        <v>45099</v>
      </c>
      <c r="B2102" s="115">
        <v>3269.95</v>
      </c>
      <c r="C2102" s="115">
        <v>3195.1</v>
      </c>
      <c r="D2102" s="115">
        <v>3169.05</v>
      </c>
      <c r="E2102" s="115">
        <v>3269.95</v>
      </c>
      <c r="F2102" s="115">
        <v>3195.1</v>
      </c>
      <c r="G2102">
        <v>3175</v>
      </c>
      <c r="H2102" s="115"/>
      <c r="I2102" s="115"/>
      <c r="L2102" s="169">
        <v>45100</v>
      </c>
      <c r="M2102" s="115">
        <v>3204.85</v>
      </c>
      <c r="N2102" s="115">
        <v>3280</v>
      </c>
      <c r="O2102" s="115">
        <v>3166.4</v>
      </c>
      <c r="P2102" s="115">
        <v>3214</v>
      </c>
      <c r="Q2102" s="115">
        <v>3204.85</v>
      </c>
      <c r="R2102">
        <v>82291</v>
      </c>
    </row>
    <row r="2103" spans="1:18" x14ac:dyDescent="0.25">
      <c r="A2103" s="169">
        <v>45100</v>
      </c>
      <c r="B2103" s="115">
        <v>3279</v>
      </c>
      <c r="C2103" s="115">
        <v>3200.55</v>
      </c>
      <c r="D2103" s="115">
        <v>3168.9</v>
      </c>
      <c r="E2103" s="115">
        <v>3194.6</v>
      </c>
      <c r="F2103" s="115">
        <v>3200.55</v>
      </c>
      <c r="G2103">
        <v>2322</v>
      </c>
      <c r="H2103" s="115"/>
      <c r="I2103" s="115"/>
      <c r="L2103" s="169">
        <v>45103</v>
      </c>
      <c r="M2103" s="115">
        <v>3131.4</v>
      </c>
      <c r="N2103" s="115">
        <v>3229.3</v>
      </c>
      <c r="O2103" s="115">
        <v>3121.05</v>
      </c>
      <c r="P2103" s="115">
        <v>3180</v>
      </c>
      <c r="Q2103" s="115">
        <v>3131.4</v>
      </c>
      <c r="R2103">
        <v>73327</v>
      </c>
    </row>
    <row r="2104" spans="1:18" x14ac:dyDescent="0.25">
      <c r="A2104" s="169">
        <v>45103</v>
      </c>
      <c r="B2104" s="115">
        <v>3228</v>
      </c>
      <c r="C2104" s="115">
        <v>3134.8</v>
      </c>
      <c r="D2104" s="115">
        <v>3122.7</v>
      </c>
      <c r="E2104" s="115">
        <v>3193</v>
      </c>
      <c r="F2104" s="115">
        <v>3134.8</v>
      </c>
      <c r="G2104">
        <v>2368</v>
      </c>
      <c r="H2104" s="115"/>
      <c r="I2104" s="115"/>
      <c r="L2104" s="169">
        <v>45104</v>
      </c>
      <c r="M2104" s="115">
        <v>3071.45</v>
      </c>
      <c r="N2104" s="115">
        <v>3164.4</v>
      </c>
      <c r="O2104" s="115">
        <v>3062</v>
      </c>
      <c r="P2104" s="115">
        <v>3138.95</v>
      </c>
      <c r="Q2104" s="115">
        <v>3071.45</v>
      </c>
      <c r="R2104">
        <v>95356</v>
      </c>
    </row>
    <row r="2105" spans="1:18" x14ac:dyDescent="0.25">
      <c r="A2105" s="169">
        <v>45104</v>
      </c>
      <c r="B2105" s="115">
        <v>3161.4</v>
      </c>
      <c r="C2105" s="115">
        <v>3071.5</v>
      </c>
      <c r="D2105" s="115">
        <v>3062.05</v>
      </c>
      <c r="E2105" s="115">
        <v>3115.1</v>
      </c>
      <c r="F2105" s="115">
        <v>3071.5</v>
      </c>
      <c r="G2105">
        <v>4680</v>
      </c>
      <c r="H2105" s="115"/>
      <c r="I2105" s="115"/>
      <c r="L2105" s="169">
        <v>45105</v>
      </c>
      <c r="M2105" s="115">
        <v>3087.4</v>
      </c>
      <c r="N2105" s="115">
        <v>3108.95</v>
      </c>
      <c r="O2105" s="115">
        <v>3040.05</v>
      </c>
      <c r="P2105" s="115">
        <v>3094.6</v>
      </c>
      <c r="Q2105" s="115">
        <v>3087.4</v>
      </c>
      <c r="R2105">
        <v>117502</v>
      </c>
    </row>
    <row r="2106" spans="1:18" x14ac:dyDescent="0.25">
      <c r="A2106" s="169">
        <v>45105</v>
      </c>
      <c r="B2106" s="115">
        <v>3103</v>
      </c>
      <c r="C2106" s="115">
        <v>3093</v>
      </c>
      <c r="D2106" s="115">
        <v>3058.25</v>
      </c>
      <c r="E2106" s="115">
        <v>3070</v>
      </c>
      <c r="F2106" s="115">
        <v>3093</v>
      </c>
      <c r="G2106">
        <v>3104</v>
      </c>
      <c r="H2106" s="115"/>
      <c r="I2106" s="115"/>
      <c r="L2106" s="169">
        <v>45107</v>
      </c>
      <c r="M2106" s="115">
        <v>3097.55</v>
      </c>
      <c r="N2106" s="115">
        <v>3111</v>
      </c>
      <c r="O2106" s="115">
        <v>3058</v>
      </c>
      <c r="P2106" s="115">
        <v>3080.05</v>
      </c>
      <c r="Q2106" s="115">
        <v>3097.55</v>
      </c>
      <c r="R2106">
        <v>146080</v>
      </c>
    </row>
    <row r="2107" spans="1:18" x14ac:dyDescent="0.25">
      <c r="A2107" s="169">
        <v>45107</v>
      </c>
      <c r="B2107" s="115">
        <v>3110</v>
      </c>
      <c r="C2107" s="115">
        <v>3099.6</v>
      </c>
      <c r="D2107" s="115">
        <v>3058.8</v>
      </c>
      <c r="E2107" s="115">
        <v>3085.95</v>
      </c>
      <c r="F2107" s="115">
        <v>3099.6</v>
      </c>
      <c r="G2107">
        <v>3964</v>
      </c>
      <c r="H2107" s="115"/>
      <c r="I2107" s="115"/>
      <c r="L2107" s="169">
        <v>45110</v>
      </c>
      <c r="M2107" s="115">
        <v>3045.7</v>
      </c>
      <c r="N2107" s="115">
        <v>3117.25</v>
      </c>
      <c r="O2107" s="115">
        <v>3035.55</v>
      </c>
      <c r="P2107" s="115">
        <v>3111</v>
      </c>
      <c r="Q2107" s="115">
        <v>3045.7</v>
      </c>
      <c r="R2107">
        <v>96965</v>
      </c>
    </row>
    <row r="2108" spans="1:18" x14ac:dyDescent="0.25">
      <c r="A2108" s="169">
        <v>45110</v>
      </c>
      <c r="B2108" s="115">
        <v>3115.05</v>
      </c>
      <c r="C2108" s="115">
        <v>3044.35</v>
      </c>
      <c r="D2108" s="115">
        <v>3035.05</v>
      </c>
      <c r="E2108" s="115">
        <v>3103.05</v>
      </c>
      <c r="F2108" s="115">
        <v>3044.35</v>
      </c>
      <c r="G2108">
        <v>5571</v>
      </c>
      <c r="H2108" s="115"/>
      <c r="I2108" s="115"/>
      <c r="L2108" s="169">
        <v>45111</v>
      </c>
      <c r="M2108" s="115">
        <v>3050.75</v>
      </c>
      <c r="N2108" s="115">
        <v>3065</v>
      </c>
      <c r="O2108" s="115">
        <v>3022.45</v>
      </c>
      <c r="P2108" s="115">
        <v>3033</v>
      </c>
      <c r="Q2108" s="115">
        <v>3050.75</v>
      </c>
      <c r="R2108">
        <v>40367</v>
      </c>
    </row>
    <row r="2109" spans="1:18" x14ac:dyDescent="0.25">
      <c r="A2109" s="169">
        <v>45111</v>
      </c>
      <c r="B2109" s="115">
        <v>3061.55</v>
      </c>
      <c r="C2109" s="115">
        <v>3050.35</v>
      </c>
      <c r="D2109" s="115">
        <v>3021.75</v>
      </c>
      <c r="E2109" s="115">
        <v>3041.95</v>
      </c>
      <c r="F2109" s="115">
        <v>3050.35</v>
      </c>
      <c r="G2109">
        <v>2199</v>
      </c>
      <c r="H2109" s="115"/>
      <c r="I2109" s="115"/>
      <c r="L2109" s="169">
        <v>45112</v>
      </c>
      <c r="M2109" s="115">
        <v>3081.55</v>
      </c>
      <c r="N2109" s="115">
        <v>3089</v>
      </c>
      <c r="O2109" s="115">
        <v>3040.05</v>
      </c>
      <c r="P2109" s="115">
        <v>3050.75</v>
      </c>
      <c r="Q2109" s="115">
        <v>3081.55</v>
      </c>
      <c r="R2109">
        <v>32360</v>
      </c>
    </row>
    <row r="2110" spans="1:18" x14ac:dyDescent="0.25">
      <c r="A2110" s="169">
        <v>45112</v>
      </c>
      <c r="B2110" s="115">
        <v>3088.05</v>
      </c>
      <c r="C2110" s="115">
        <v>3077.5</v>
      </c>
      <c r="D2110" s="115">
        <v>3040.4</v>
      </c>
      <c r="E2110" s="115">
        <v>3040.4</v>
      </c>
      <c r="F2110" s="115">
        <v>3077.5</v>
      </c>
      <c r="G2110">
        <v>1606</v>
      </c>
      <c r="H2110" s="115"/>
      <c r="I2110" s="115"/>
      <c r="L2110" s="169">
        <v>45113</v>
      </c>
      <c r="M2110" s="115">
        <v>3096.25</v>
      </c>
      <c r="N2110" s="115">
        <v>3108</v>
      </c>
      <c r="O2110" s="115">
        <v>3062.1</v>
      </c>
      <c r="P2110" s="115">
        <v>3088.95</v>
      </c>
      <c r="Q2110" s="115">
        <v>3096.25</v>
      </c>
      <c r="R2110">
        <v>55243</v>
      </c>
    </row>
    <row r="2111" spans="1:18" x14ac:dyDescent="0.25">
      <c r="A2111" s="169">
        <v>45113</v>
      </c>
      <c r="B2111" s="115">
        <v>3108</v>
      </c>
      <c r="C2111" s="115">
        <v>3096.4</v>
      </c>
      <c r="D2111" s="115">
        <v>3064</v>
      </c>
      <c r="E2111" s="115">
        <v>3080.05</v>
      </c>
      <c r="F2111" s="115">
        <v>3096.4</v>
      </c>
      <c r="G2111">
        <v>2340</v>
      </c>
      <c r="H2111" s="115"/>
      <c r="I2111" s="115"/>
      <c r="L2111" s="169">
        <v>45114</v>
      </c>
      <c r="M2111" s="115">
        <v>3028.5</v>
      </c>
      <c r="N2111" s="115">
        <v>3105</v>
      </c>
      <c r="O2111" s="115">
        <v>3015</v>
      </c>
      <c r="P2111" s="115">
        <v>3095</v>
      </c>
      <c r="Q2111" s="115">
        <v>3028.5</v>
      </c>
      <c r="R2111">
        <v>70230</v>
      </c>
    </row>
    <row r="2112" spans="1:18" x14ac:dyDescent="0.25">
      <c r="A2112" s="169">
        <v>45114</v>
      </c>
      <c r="B2112" s="115">
        <v>3104.95</v>
      </c>
      <c r="C2112" s="115">
        <v>3028.25</v>
      </c>
      <c r="D2112" s="115">
        <v>3015</v>
      </c>
      <c r="E2112" s="115">
        <v>3097.5</v>
      </c>
      <c r="F2112" s="115">
        <v>3028.25</v>
      </c>
      <c r="G2112">
        <v>5069</v>
      </c>
      <c r="H2112" s="115"/>
      <c r="I2112" s="115"/>
      <c r="L2112" s="169">
        <v>45117</v>
      </c>
      <c r="M2112" s="115">
        <v>2983.85</v>
      </c>
      <c r="N2112" s="115">
        <v>3035.25</v>
      </c>
      <c r="O2112" s="115">
        <v>2976</v>
      </c>
      <c r="P2112" s="115">
        <v>3028.5</v>
      </c>
      <c r="Q2112" s="115">
        <v>2983.85</v>
      </c>
      <c r="R2112">
        <v>63392</v>
      </c>
    </row>
    <row r="2113" spans="1:18" x14ac:dyDescent="0.25">
      <c r="A2113" s="169">
        <v>45117</v>
      </c>
      <c r="B2113" s="115">
        <v>3079.95</v>
      </c>
      <c r="C2113" s="115">
        <v>2984.25</v>
      </c>
      <c r="D2113" s="115">
        <v>2975</v>
      </c>
      <c r="E2113" s="115">
        <v>3079.95</v>
      </c>
      <c r="F2113" s="115">
        <v>2984.25</v>
      </c>
      <c r="G2113">
        <v>1857</v>
      </c>
      <c r="H2113" s="115"/>
      <c r="I2113" s="115"/>
      <c r="L2113" s="169">
        <v>45118</v>
      </c>
      <c r="M2113" s="115">
        <v>3066.75</v>
      </c>
      <c r="N2113" s="115">
        <v>3078</v>
      </c>
      <c r="O2113" s="115">
        <v>2990.05</v>
      </c>
      <c r="P2113" s="115">
        <v>2998.8</v>
      </c>
      <c r="Q2113" s="115">
        <v>3066.75</v>
      </c>
      <c r="R2113">
        <v>72519</v>
      </c>
    </row>
    <row r="2114" spans="1:18" x14ac:dyDescent="0.25">
      <c r="A2114" s="169">
        <v>45118</v>
      </c>
      <c r="B2114" s="115">
        <v>3071</v>
      </c>
      <c r="C2114" s="115">
        <v>3065.4</v>
      </c>
      <c r="D2114" s="115">
        <v>2998.1</v>
      </c>
      <c r="E2114" s="115">
        <v>3004.7</v>
      </c>
      <c r="F2114" s="115">
        <v>3065.4</v>
      </c>
      <c r="G2114">
        <v>4650</v>
      </c>
      <c r="H2114" s="115"/>
      <c r="I2114" s="115"/>
      <c r="L2114" s="169">
        <v>45119</v>
      </c>
      <c r="M2114" s="115">
        <v>3055.35</v>
      </c>
      <c r="N2114" s="115">
        <v>3099.95</v>
      </c>
      <c r="O2114" s="115">
        <v>3032.05</v>
      </c>
      <c r="P2114" s="115">
        <v>3087</v>
      </c>
      <c r="Q2114" s="115">
        <v>3055.35</v>
      </c>
      <c r="R2114">
        <v>51067</v>
      </c>
    </row>
    <row r="2115" spans="1:18" x14ac:dyDescent="0.25">
      <c r="A2115" s="169">
        <v>45119</v>
      </c>
      <c r="B2115" s="115">
        <v>3099.95</v>
      </c>
      <c r="C2115" s="115">
        <v>3058.25</v>
      </c>
      <c r="D2115" s="115">
        <v>3036.95</v>
      </c>
      <c r="E2115" s="115">
        <v>3088.8</v>
      </c>
      <c r="F2115" s="115">
        <v>3058.25</v>
      </c>
      <c r="G2115">
        <v>1873</v>
      </c>
      <c r="H2115" s="115"/>
      <c r="I2115" s="115"/>
      <c r="L2115" s="169">
        <v>45120</v>
      </c>
      <c r="M2115" s="115">
        <v>3091.6</v>
      </c>
      <c r="N2115" s="115">
        <v>3148</v>
      </c>
      <c r="O2115" s="115">
        <v>3050.7</v>
      </c>
      <c r="P2115" s="115">
        <v>3081.3</v>
      </c>
      <c r="Q2115" s="115">
        <v>3091.6</v>
      </c>
      <c r="R2115">
        <v>87112</v>
      </c>
    </row>
    <row r="2116" spans="1:18" x14ac:dyDescent="0.25">
      <c r="A2116" s="169">
        <v>45120</v>
      </c>
      <c r="B2116" s="115">
        <v>3145</v>
      </c>
      <c r="C2116" s="115">
        <v>3089.55</v>
      </c>
      <c r="D2116" s="115">
        <v>3050.55</v>
      </c>
      <c r="E2116" s="115">
        <v>3070</v>
      </c>
      <c r="F2116" s="115">
        <v>3089.55</v>
      </c>
      <c r="G2116">
        <v>4095</v>
      </c>
      <c r="H2116" s="115"/>
      <c r="I2116" s="115"/>
      <c r="L2116" s="169">
        <v>45121</v>
      </c>
      <c r="M2116" s="115">
        <v>3100.3</v>
      </c>
      <c r="N2116" s="115">
        <v>3150.2</v>
      </c>
      <c r="O2116" s="115">
        <v>3088.5</v>
      </c>
      <c r="P2116" s="115">
        <v>3107</v>
      </c>
      <c r="Q2116" s="115">
        <v>3100.3</v>
      </c>
      <c r="R2116">
        <v>40003</v>
      </c>
    </row>
    <row r="2117" spans="1:18" x14ac:dyDescent="0.25">
      <c r="A2117" s="169">
        <v>45121</v>
      </c>
      <c r="B2117" s="115">
        <v>3143.65</v>
      </c>
      <c r="C2117" s="115">
        <v>3101.35</v>
      </c>
      <c r="D2117" s="115">
        <v>3091.6</v>
      </c>
      <c r="E2117" s="115">
        <v>3143.65</v>
      </c>
      <c r="F2117" s="115">
        <v>3101.35</v>
      </c>
      <c r="G2117">
        <v>1714</v>
      </c>
      <c r="H2117" s="115"/>
      <c r="I2117" s="115"/>
      <c r="L2117" s="169">
        <v>45124</v>
      </c>
      <c r="M2117" s="115">
        <v>3165.15</v>
      </c>
      <c r="N2117" s="115">
        <v>3169.95</v>
      </c>
      <c r="O2117" s="115">
        <v>3100.55</v>
      </c>
      <c r="P2117" s="115">
        <v>3115.8</v>
      </c>
      <c r="Q2117" s="115">
        <v>3165.15</v>
      </c>
      <c r="R2117">
        <v>73779</v>
      </c>
    </row>
    <row r="2118" spans="1:18" x14ac:dyDescent="0.25">
      <c r="A2118" s="169">
        <v>45124</v>
      </c>
      <c r="B2118" s="115">
        <v>3170</v>
      </c>
      <c r="C2118" s="115">
        <v>3164.25</v>
      </c>
      <c r="D2118" s="115">
        <v>3100.05</v>
      </c>
      <c r="E2118" s="115">
        <v>3100.05</v>
      </c>
      <c r="F2118" s="115">
        <v>3164.25</v>
      </c>
      <c r="G2118">
        <v>6408</v>
      </c>
      <c r="H2118" s="115"/>
      <c r="I2118" s="115"/>
      <c r="L2118" s="169">
        <v>45125</v>
      </c>
      <c r="M2118" s="115">
        <v>3157.8</v>
      </c>
      <c r="N2118" s="115">
        <v>3209.55</v>
      </c>
      <c r="O2118" s="115">
        <v>3120</v>
      </c>
      <c r="P2118" s="115">
        <v>3188</v>
      </c>
      <c r="Q2118" s="115">
        <v>3157.8</v>
      </c>
      <c r="R2118">
        <v>49565</v>
      </c>
    </row>
    <row r="2119" spans="1:18" x14ac:dyDescent="0.25">
      <c r="A2119" s="169">
        <v>45125</v>
      </c>
      <c r="B2119" s="115">
        <v>3204</v>
      </c>
      <c r="C2119" s="115">
        <v>3159.1</v>
      </c>
      <c r="D2119" s="115">
        <v>3124</v>
      </c>
      <c r="E2119" s="115">
        <v>3189.95</v>
      </c>
      <c r="F2119" s="115">
        <v>3159.1</v>
      </c>
      <c r="G2119">
        <v>1451</v>
      </c>
      <c r="H2119" s="115"/>
      <c r="I2119" s="115"/>
      <c r="L2119" s="169">
        <v>45126</v>
      </c>
      <c r="M2119" s="115">
        <v>3134.5</v>
      </c>
      <c r="N2119" s="115">
        <v>3180</v>
      </c>
      <c r="O2119" s="115">
        <v>3113.05</v>
      </c>
      <c r="P2119" s="115">
        <v>3170</v>
      </c>
      <c r="Q2119" s="115">
        <v>3134.5</v>
      </c>
      <c r="R2119">
        <v>24298</v>
      </c>
    </row>
    <row r="2120" spans="1:18" x14ac:dyDescent="0.25">
      <c r="A2120" s="169">
        <v>45126</v>
      </c>
      <c r="B2120" s="115">
        <v>3171</v>
      </c>
      <c r="C2120" s="115">
        <v>3136.35</v>
      </c>
      <c r="D2120" s="115">
        <v>3115.85</v>
      </c>
      <c r="E2120" s="115">
        <v>3159.05</v>
      </c>
      <c r="F2120" s="115">
        <v>3136.35</v>
      </c>
      <c r="G2120">
        <v>2493</v>
      </c>
      <c r="H2120" s="115"/>
      <c r="I2120" s="115"/>
      <c r="L2120" s="169">
        <v>45127</v>
      </c>
      <c r="M2120" s="115">
        <v>3082.55</v>
      </c>
      <c r="N2120" s="115">
        <v>3161.55</v>
      </c>
      <c r="O2120" s="115">
        <v>3076</v>
      </c>
      <c r="P2120" s="115">
        <v>3129.9</v>
      </c>
      <c r="Q2120" s="115">
        <v>3082.55</v>
      </c>
      <c r="R2120">
        <v>53391</v>
      </c>
    </row>
    <row r="2121" spans="1:18" x14ac:dyDescent="0.25">
      <c r="A2121" s="169">
        <v>45127</v>
      </c>
      <c r="B2121" s="115">
        <v>3139.1</v>
      </c>
      <c r="C2121" s="115">
        <v>3082.4</v>
      </c>
      <c r="D2121" s="115">
        <v>3075.35</v>
      </c>
      <c r="E2121" s="115">
        <v>3111</v>
      </c>
      <c r="F2121" s="115">
        <v>3082.4</v>
      </c>
      <c r="G2121">
        <v>4612</v>
      </c>
      <c r="H2121" s="115"/>
      <c r="I2121" s="115"/>
      <c r="L2121" s="169">
        <v>45128</v>
      </c>
      <c r="M2121" s="115">
        <v>3092.45</v>
      </c>
      <c r="N2121" s="115">
        <v>3117.35</v>
      </c>
      <c r="O2121" s="115">
        <v>3046.5</v>
      </c>
      <c r="P2121" s="115">
        <v>3082.55</v>
      </c>
      <c r="Q2121" s="115">
        <v>3092.45</v>
      </c>
      <c r="R2121">
        <v>58881</v>
      </c>
    </row>
    <row r="2122" spans="1:18" x14ac:dyDescent="0.25">
      <c r="A2122" s="169">
        <v>45128</v>
      </c>
      <c r="B2122" s="115">
        <v>3115</v>
      </c>
      <c r="C2122" s="115">
        <v>3090.8</v>
      </c>
      <c r="D2122" s="115">
        <v>3048</v>
      </c>
      <c r="E2122" s="115">
        <v>3086.6</v>
      </c>
      <c r="F2122" s="115">
        <v>3090.8</v>
      </c>
      <c r="G2122">
        <v>2446</v>
      </c>
      <c r="H2122" s="115"/>
      <c r="I2122" s="115"/>
      <c r="L2122" s="169">
        <v>45131</v>
      </c>
      <c r="M2122" s="115">
        <v>3171.95</v>
      </c>
      <c r="N2122" s="115">
        <v>3194.05</v>
      </c>
      <c r="O2122" s="115">
        <v>3118.95</v>
      </c>
      <c r="P2122" s="115">
        <v>3118.95</v>
      </c>
      <c r="Q2122" s="115">
        <v>3171.95</v>
      </c>
      <c r="R2122">
        <v>95059</v>
      </c>
    </row>
    <row r="2123" spans="1:18" x14ac:dyDescent="0.25">
      <c r="A2123" s="169">
        <v>45131</v>
      </c>
      <c r="B2123" s="115">
        <v>3190.9</v>
      </c>
      <c r="C2123" s="115">
        <v>3175.7</v>
      </c>
      <c r="D2123" s="115">
        <v>3112</v>
      </c>
      <c r="E2123" s="115">
        <v>3112</v>
      </c>
      <c r="F2123" s="115">
        <v>3175.7</v>
      </c>
      <c r="G2123">
        <v>5648</v>
      </c>
      <c r="H2123" s="115"/>
      <c r="I2123" s="115"/>
      <c r="L2123" s="169">
        <v>45132</v>
      </c>
      <c r="M2123" s="115">
        <v>3167.25</v>
      </c>
      <c r="N2123" s="115">
        <v>3230</v>
      </c>
      <c r="O2123" s="115">
        <v>3150</v>
      </c>
      <c r="P2123" s="115">
        <v>3200</v>
      </c>
      <c r="Q2123" s="115">
        <v>3167.25</v>
      </c>
      <c r="R2123">
        <v>138905</v>
      </c>
    </row>
    <row r="2124" spans="1:18" x14ac:dyDescent="0.25">
      <c r="A2124" s="169">
        <v>45132</v>
      </c>
      <c r="B2124" s="115">
        <v>3229.15</v>
      </c>
      <c r="C2124" s="115">
        <v>3163.95</v>
      </c>
      <c r="D2124" s="115">
        <v>3143.25</v>
      </c>
      <c r="E2124" s="115">
        <v>3214.9</v>
      </c>
      <c r="F2124" s="115">
        <v>3163.95</v>
      </c>
      <c r="G2124">
        <v>7059</v>
      </c>
      <c r="H2124" s="115"/>
      <c r="I2124" s="115"/>
      <c r="L2124" s="169">
        <v>45133</v>
      </c>
      <c r="M2124" s="115">
        <v>3187.65</v>
      </c>
      <c r="N2124" s="115">
        <v>3200</v>
      </c>
      <c r="O2124" s="115">
        <v>3140.5</v>
      </c>
      <c r="P2124" s="115">
        <v>3199</v>
      </c>
      <c r="Q2124" s="115">
        <v>3187.65</v>
      </c>
      <c r="R2124">
        <v>43969</v>
      </c>
    </row>
    <row r="2125" spans="1:18" x14ac:dyDescent="0.25">
      <c r="A2125" s="169">
        <v>45133</v>
      </c>
      <c r="B2125" s="115">
        <v>3200.25</v>
      </c>
      <c r="C2125" s="115">
        <v>3185.75</v>
      </c>
      <c r="D2125" s="115">
        <v>3142.2</v>
      </c>
      <c r="E2125" s="115">
        <v>3167.25</v>
      </c>
      <c r="F2125" s="115">
        <v>3185.75</v>
      </c>
      <c r="G2125">
        <v>2702</v>
      </c>
      <c r="H2125" s="115"/>
      <c r="I2125" s="115"/>
      <c r="L2125" s="169">
        <v>45134</v>
      </c>
      <c r="M2125" s="115">
        <v>3084.7</v>
      </c>
      <c r="N2125" s="115">
        <v>3205</v>
      </c>
      <c r="O2125" s="115">
        <v>3050</v>
      </c>
      <c r="P2125" s="115">
        <v>3205</v>
      </c>
      <c r="Q2125" s="115">
        <v>3084.7</v>
      </c>
      <c r="R2125">
        <v>215186</v>
      </c>
    </row>
    <row r="2126" spans="1:18" x14ac:dyDescent="0.25">
      <c r="A2126" s="169">
        <v>45134</v>
      </c>
      <c r="B2126" s="115">
        <v>3249.85</v>
      </c>
      <c r="C2126" s="115">
        <v>3088.35</v>
      </c>
      <c r="D2126" s="115">
        <v>3050</v>
      </c>
      <c r="E2126" s="115">
        <v>3249.85</v>
      </c>
      <c r="F2126" s="115">
        <v>3088.35</v>
      </c>
      <c r="G2126">
        <v>8263</v>
      </c>
      <c r="H2126" s="115"/>
      <c r="I2126" s="115"/>
      <c r="L2126" s="169">
        <v>45135</v>
      </c>
      <c r="M2126" s="115">
        <v>3075.2</v>
      </c>
      <c r="N2126" s="115">
        <v>3129.9</v>
      </c>
      <c r="O2126" s="115">
        <v>3059</v>
      </c>
      <c r="P2126" s="115">
        <v>3104</v>
      </c>
      <c r="Q2126" s="115">
        <v>3075.2</v>
      </c>
      <c r="R2126">
        <v>210900</v>
      </c>
    </row>
    <row r="2127" spans="1:18" x14ac:dyDescent="0.25">
      <c r="A2127" s="169">
        <v>45135</v>
      </c>
      <c r="B2127" s="115">
        <v>3128.7</v>
      </c>
      <c r="C2127" s="115">
        <v>3080.3</v>
      </c>
      <c r="D2127" s="115">
        <v>3061</v>
      </c>
      <c r="E2127" s="115">
        <v>3110.4</v>
      </c>
      <c r="F2127" s="115">
        <v>3080.3</v>
      </c>
      <c r="G2127">
        <v>4632</v>
      </c>
      <c r="H2127" s="115"/>
      <c r="I2127" s="115"/>
      <c r="L2127" s="169">
        <v>45138</v>
      </c>
      <c r="M2127" s="115">
        <v>3120.8</v>
      </c>
      <c r="N2127" s="115">
        <v>3145</v>
      </c>
      <c r="O2127" s="115">
        <v>3067.3</v>
      </c>
      <c r="P2127" s="115">
        <v>3089</v>
      </c>
      <c r="Q2127" s="115">
        <v>3120.8</v>
      </c>
      <c r="R2127">
        <v>51730</v>
      </c>
    </row>
    <row r="2128" spans="1:18" x14ac:dyDescent="0.25">
      <c r="A2128" s="169">
        <v>45138</v>
      </c>
      <c r="B2128" s="115">
        <v>3144.8</v>
      </c>
      <c r="C2128" s="115">
        <v>3121.45</v>
      </c>
      <c r="D2128" s="115">
        <v>3068.05</v>
      </c>
      <c r="E2128" s="115">
        <v>3080.35</v>
      </c>
      <c r="F2128" s="115">
        <v>3121.45</v>
      </c>
      <c r="G2128">
        <v>6149</v>
      </c>
      <c r="H2128" s="115"/>
      <c r="I2128" s="115"/>
      <c r="L2128" s="169">
        <v>45139</v>
      </c>
      <c r="M2128" s="115">
        <v>3104</v>
      </c>
      <c r="N2128" s="115">
        <v>3146.8</v>
      </c>
      <c r="O2128" s="115">
        <v>3095.05</v>
      </c>
      <c r="P2128" s="115">
        <v>3145.9</v>
      </c>
      <c r="Q2128" s="115">
        <v>3104</v>
      </c>
      <c r="R2128">
        <v>80592</v>
      </c>
    </row>
    <row r="2129" spans="1:18" x14ac:dyDescent="0.25">
      <c r="A2129" s="169">
        <v>45139</v>
      </c>
      <c r="B2129" s="115">
        <v>3180</v>
      </c>
      <c r="C2129" s="115">
        <v>3124.25</v>
      </c>
      <c r="D2129" s="115">
        <v>3095</v>
      </c>
      <c r="E2129" s="115">
        <v>3125</v>
      </c>
      <c r="F2129" s="115">
        <v>3124.25</v>
      </c>
      <c r="G2129">
        <v>3790</v>
      </c>
      <c r="H2129" s="115"/>
      <c r="I2129" s="115"/>
      <c r="L2129" s="169">
        <v>45140</v>
      </c>
      <c r="M2129" s="115">
        <v>3060.65</v>
      </c>
      <c r="N2129" s="115">
        <v>3107.15</v>
      </c>
      <c r="O2129" s="115">
        <v>3050</v>
      </c>
      <c r="P2129" s="115">
        <v>3100</v>
      </c>
      <c r="Q2129" s="115">
        <v>3060.65</v>
      </c>
      <c r="R2129">
        <v>39556</v>
      </c>
    </row>
    <row r="2130" spans="1:18" x14ac:dyDescent="0.25">
      <c r="A2130" s="169">
        <v>45140</v>
      </c>
      <c r="B2130" s="115">
        <v>3107.4</v>
      </c>
      <c r="C2130" s="115">
        <v>3060.65</v>
      </c>
      <c r="D2130" s="115">
        <v>3050.1</v>
      </c>
      <c r="E2130" s="115">
        <v>3100</v>
      </c>
      <c r="F2130" s="115">
        <v>3060.65</v>
      </c>
      <c r="G2130">
        <v>3876</v>
      </c>
      <c r="H2130" s="115"/>
      <c r="I2130" s="115"/>
      <c r="L2130" s="169">
        <v>45141</v>
      </c>
      <c r="M2130" s="115">
        <v>3034.7</v>
      </c>
      <c r="N2130" s="115">
        <v>3086.05</v>
      </c>
      <c r="O2130" s="115">
        <v>3030.05</v>
      </c>
      <c r="P2130" s="115">
        <v>3055</v>
      </c>
      <c r="Q2130" s="115">
        <v>3034.7</v>
      </c>
      <c r="R2130">
        <v>84699</v>
      </c>
    </row>
    <row r="2131" spans="1:18" x14ac:dyDescent="0.25">
      <c r="A2131" s="169">
        <v>45141</v>
      </c>
      <c r="B2131" s="115">
        <v>3077.25</v>
      </c>
      <c r="C2131" s="115">
        <v>3036.85</v>
      </c>
      <c r="D2131" s="115">
        <v>3030.05</v>
      </c>
      <c r="E2131" s="115">
        <v>3060</v>
      </c>
      <c r="F2131" s="115">
        <v>3036.85</v>
      </c>
      <c r="G2131">
        <v>3515</v>
      </c>
      <c r="H2131" s="115"/>
      <c r="I2131" s="115"/>
      <c r="L2131" s="169">
        <v>45142</v>
      </c>
      <c r="M2131" s="115">
        <v>3057.4</v>
      </c>
      <c r="N2131" s="115">
        <v>3084.3</v>
      </c>
      <c r="O2131" s="115">
        <v>3029.2</v>
      </c>
      <c r="P2131" s="115">
        <v>3041</v>
      </c>
      <c r="Q2131" s="115">
        <v>3057.4</v>
      </c>
      <c r="R2131">
        <v>187799</v>
      </c>
    </row>
    <row r="2132" spans="1:18" x14ac:dyDescent="0.25">
      <c r="A2132" s="169">
        <v>45142</v>
      </c>
      <c r="B2132" s="115">
        <v>3082.2</v>
      </c>
      <c r="C2132" s="115">
        <v>3057.05</v>
      </c>
      <c r="D2132" s="115">
        <v>3029.6</v>
      </c>
      <c r="E2132" s="115">
        <v>3043.3</v>
      </c>
      <c r="F2132" s="115">
        <v>3057.05</v>
      </c>
      <c r="G2132">
        <v>2196</v>
      </c>
      <c r="H2132" s="115"/>
      <c r="I2132" s="115"/>
      <c r="L2132" s="169">
        <v>45145</v>
      </c>
      <c r="M2132" s="115">
        <v>3042</v>
      </c>
      <c r="N2132" s="115">
        <v>3091.05</v>
      </c>
      <c r="O2132" s="115">
        <v>3033.3</v>
      </c>
      <c r="P2132" s="115">
        <v>3058</v>
      </c>
      <c r="Q2132" s="115">
        <v>3042</v>
      </c>
      <c r="R2132">
        <v>20425</v>
      </c>
    </row>
    <row r="2133" spans="1:18" x14ac:dyDescent="0.25">
      <c r="A2133" s="169">
        <v>45145</v>
      </c>
      <c r="B2133" s="115">
        <v>3090</v>
      </c>
      <c r="C2133" s="115">
        <v>3042.65</v>
      </c>
      <c r="D2133" s="115">
        <v>3031.3</v>
      </c>
      <c r="E2133" s="115">
        <v>3057.05</v>
      </c>
      <c r="F2133" s="115">
        <v>3042.65</v>
      </c>
      <c r="G2133">
        <v>1769</v>
      </c>
      <c r="H2133" s="115"/>
      <c r="I2133" s="115"/>
      <c r="L2133" s="169">
        <v>45146</v>
      </c>
      <c r="M2133" s="115">
        <v>3025.05</v>
      </c>
      <c r="N2133" s="115">
        <v>3056</v>
      </c>
      <c r="O2133" s="115">
        <v>3001.2</v>
      </c>
      <c r="P2133" s="115">
        <v>3054.9</v>
      </c>
      <c r="Q2133" s="115">
        <v>3025.05</v>
      </c>
      <c r="R2133">
        <v>62305</v>
      </c>
    </row>
    <row r="2134" spans="1:18" x14ac:dyDescent="0.25">
      <c r="A2134" s="169">
        <v>45146</v>
      </c>
      <c r="B2134" s="115">
        <v>3055</v>
      </c>
      <c r="C2134" s="115">
        <v>3015.7</v>
      </c>
      <c r="D2134" s="115">
        <v>3001</v>
      </c>
      <c r="E2134" s="115">
        <v>3038.6</v>
      </c>
      <c r="F2134" s="115">
        <v>3015.7</v>
      </c>
      <c r="G2134">
        <v>1670</v>
      </c>
      <c r="H2134" s="115"/>
      <c r="I2134" s="115"/>
      <c r="L2134" s="169">
        <v>45147</v>
      </c>
      <c r="M2134" s="115">
        <v>3040.75</v>
      </c>
      <c r="N2134" s="115">
        <v>3048</v>
      </c>
      <c r="O2134" s="115">
        <v>2996</v>
      </c>
      <c r="P2134" s="115">
        <v>3025.05</v>
      </c>
      <c r="Q2134" s="115">
        <v>3040.75</v>
      </c>
      <c r="R2134">
        <v>33610</v>
      </c>
    </row>
    <row r="2135" spans="1:18" x14ac:dyDescent="0.25">
      <c r="A2135" s="169">
        <v>45147</v>
      </c>
      <c r="B2135" s="115">
        <v>3046</v>
      </c>
      <c r="C2135" s="115">
        <v>3035.45</v>
      </c>
      <c r="D2135" s="115">
        <v>2994.35</v>
      </c>
      <c r="E2135" s="115">
        <v>3017.65</v>
      </c>
      <c r="F2135" s="115">
        <v>3035.45</v>
      </c>
      <c r="G2135">
        <v>1424</v>
      </c>
      <c r="H2135" s="115"/>
      <c r="I2135" s="115"/>
      <c r="L2135" s="169">
        <v>45148</v>
      </c>
      <c r="M2135" s="115">
        <v>3014.55</v>
      </c>
      <c r="N2135" s="115">
        <v>3049</v>
      </c>
      <c r="O2135" s="115">
        <v>3003</v>
      </c>
      <c r="P2135" s="115">
        <v>3040</v>
      </c>
      <c r="Q2135" s="115">
        <v>3014.55</v>
      </c>
      <c r="R2135">
        <v>26811</v>
      </c>
    </row>
    <row r="2136" spans="1:18" x14ac:dyDescent="0.25">
      <c r="A2136" s="169">
        <v>45148</v>
      </c>
      <c r="B2136" s="115">
        <v>3199.85</v>
      </c>
      <c r="C2136" s="115">
        <v>3008.85</v>
      </c>
      <c r="D2136" s="115">
        <v>3001.25</v>
      </c>
      <c r="E2136" s="115">
        <v>3199.8</v>
      </c>
      <c r="F2136" s="115">
        <v>3008.85</v>
      </c>
      <c r="G2136">
        <v>618</v>
      </c>
      <c r="H2136" s="115"/>
      <c r="I2136" s="115"/>
      <c r="L2136" s="169">
        <v>45149</v>
      </c>
      <c r="M2136" s="115">
        <v>3047.3</v>
      </c>
      <c r="N2136" s="115">
        <v>3060</v>
      </c>
      <c r="O2136" s="115">
        <v>3012</v>
      </c>
      <c r="P2136" s="115">
        <v>3012</v>
      </c>
      <c r="Q2136" s="115">
        <v>3047.3</v>
      </c>
      <c r="R2136">
        <v>32783</v>
      </c>
    </row>
    <row r="2137" spans="1:18" x14ac:dyDescent="0.25">
      <c r="A2137" s="169">
        <v>45149</v>
      </c>
      <c r="B2137" s="115">
        <v>3056.9</v>
      </c>
      <c r="C2137" s="115">
        <v>3044.2</v>
      </c>
      <c r="D2137" s="115">
        <v>3019.95</v>
      </c>
      <c r="E2137" s="115">
        <v>3043.65</v>
      </c>
      <c r="F2137" s="115">
        <v>3044.2</v>
      </c>
      <c r="G2137">
        <v>698</v>
      </c>
      <c r="H2137" s="115"/>
      <c r="I2137" s="115"/>
      <c r="L2137" s="169">
        <v>45152</v>
      </c>
      <c r="M2137" s="115">
        <v>3009.45</v>
      </c>
      <c r="N2137" s="115">
        <v>3047.3</v>
      </c>
      <c r="O2137" s="115">
        <v>3001</v>
      </c>
      <c r="P2137" s="115">
        <v>3045</v>
      </c>
      <c r="Q2137" s="115">
        <v>3009.45</v>
      </c>
      <c r="R2137">
        <v>38002</v>
      </c>
    </row>
    <row r="2138" spans="1:18" x14ac:dyDescent="0.25">
      <c r="A2138" s="169">
        <v>45152</v>
      </c>
      <c r="B2138" s="115">
        <v>3035</v>
      </c>
      <c r="C2138" s="115">
        <v>3009.15</v>
      </c>
      <c r="D2138" s="115">
        <v>3004.1</v>
      </c>
      <c r="E2138" s="115">
        <v>3011.4</v>
      </c>
      <c r="F2138" s="115">
        <v>3009.15</v>
      </c>
      <c r="G2138">
        <v>1122</v>
      </c>
      <c r="H2138" s="115"/>
      <c r="I2138" s="115"/>
      <c r="L2138" s="169">
        <v>45154</v>
      </c>
      <c r="M2138" s="115">
        <v>2944.5</v>
      </c>
      <c r="N2138" s="115">
        <v>3024.5</v>
      </c>
      <c r="O2138" s="115">
        <v>2912.55</v>
      </c>
      <c r="P2138" s="115">
        <v>3009.45</v>
      </c>
      <c r="Q2138" s="115">
        <v>2944.5</v>
      </c>
      <c r="R2138">
        <v>68264</v>
      </c>
    </row>
    <row r="2139" spans="1:18" x14ac:dyDescent="0.25">
      <c r="A2139" s="169">
        <v>45154</v>
      </c>
      <c r="B2139" s="115">
        <v>3020.95</v>
      </c>
      <c r="C2139" s="115">
        <v>2941.7</v>
      </c>
      <c r="D2139" s="115">
        <v>2930</v>
      </c>
      <c r="E2139" s="115">
        <v>3011.2</v>
      </c>
      <c r="F2139" s="115">
        <v>2941.7</v>
      </c>
      <c r="G2139">
        <v>1248</v>
      </c>
      <c r="H2139" s="115"/>
      <c r="I2139" s="115"/>
      <c r="L2139" s="169">
        <v>45155</v>
      </c>
      <c r="M2139" s="115">
        <v>3000.6</v>
      </c>
      <c r="N2139" s="115">
        <v>3033</v>
      </c>
      <c r="O2139" s="115">
        <v>2929.15</v>
      </c>
      <c r="P2139" s="115">
        <v>2946</v>
      </c>
      <c r="Q2139" s="115">
        <v>3000.6</v>
      </c>
      <c r="R2139">
        <v>86882</v>
      </c>
    </row>
    <row r="2140" spans="1:18" x14ac:dyDescent="0.25">
      <c r="A2140" s="169">
        <v>45155</v>
      </c>
      <c r="B2140" s="115">
        <v>3028.1</v>
      </c>
      <c r="C2140" s="115">
        <v>3001.05</v>
      </c>
      <c r="D2140" s="115">
        <v>2938</v>
      </c>
      <c r="E2140" s="115">
        <v>2938.05</v>
      </c>
      <c r="F2140" s="115">
        <v>3001.05</v>
      </c>
      <c r="G2140">
        <v>616</v>
      </c>
      <c r="H2140" s="115"/>
      <c r="I2140" s="115"/>
      <c r="L2140" s="169">
        <v>45156</v>
      </c>
      <c r="M2140" s="115">
        <v>2988.95</v>
      </c>
      <c r="N2140" s="115">
        <v>3030</v>
      </c>
      <c r="O2140" s="115">
        <v>2950.05</v>
      </c>
      <c r="P2140" s="115">
        <v>3000</v>
      </c>
      <c r="Q2140" s="115">
        <v>2988.95</v>
      </c>
      <c r="R2140">
        <v>56499</v>
      </c>
    </row>
    <row r="2141" spans="1:18" x14ac:dyDescent="0.25">
      <c r="A2141" s="169">
        <v>45156</v>
      </c>
      <c r="B2141" s="115">
        <v>3006.65</v>
      </c>
      <c r="C2141" s="115">
        <v>2988.15</v>
      </c>
      <c r="D2141" s="115">
        <v>2954</v>
      </c>
      <c r="E2141" s="115">
        <v>2997.85</v>
      </c>
      <c r="F2141" s="115">
        <v>2988.15</v>
      </c>
      <c r="G2141">
        <v>2602</v>
      </c>
      <c r="H2141" s="115"/>
      <c r="I2141" s="115"/>
      <c r="L2141" s="169">
        <v>45159</v>
      </c>
      <c r="M2141" s="115">
        <v>2954.65</v>
      </c>
      <c r="N2141" s="115">
        <v>3004</v>
      </c>
      <c r="O2141" s="115">
        <v>2935</v>
      </c>
      <c r="P2141" s="115">
        <v>2999.7</v>
      </c>
      <c r="Q2141" s="115">
        <v>2954.65</v>
      </c>
      <c r="R2141">
        <v>58389</v>
      </c>
    </row>
    <row r="2142" spans="1:18" x14ac:dyDescent="0.25">
      <c r="A2142" s="169">
        <v>45159</v>
      </c>
      <c r="B2142" s="115">
        <v>3004.95</v>
      </c>
      <c r="C2142" s="115">
        <v>2951.05</v>
      </c>
      <c r="D2142" s="115">
        <v>2928.4</v>
      </c>
      <c r="E2142" s="115">
        <v>2928.4</v>
      </c>
      <c r="F2142" s="115">
        <v>2951.05</v>
      </c>
      <c r="G2142">
        <v>1429</v>
      </c>
      <c r="H2142" s="115"/>
      <c r="I2142" s="115"/>
      <c r="L2142" s="169">
        <v>45160</v>
      </c>
      <c r="M2142" s="115">
        <v>2960.45</v>
      </c>
      <c r="N2142" s="115">
        <v>2986.85</v>
      </c>
      <c r="O2142" s="115">
        <v>2947.8</v>
      </c>
      <c r="P2142" s="115">
        <v>2955.85</v>
      </c>
      <c r="Q2142" s="115">
        <v>2960.45</v>
      </c>
      <c r="R2142">
        <v>55102</v>
      </c>
    </row>
    <row r="2143" spans="1:18" x14ac:dyDescent="0.25">
      <c r="A2143" s="169">
        <v>45160</v>
      </c>
      <c r="B2143" s="115">
        <v>2973.2</v>
      </c>
      <c r="C2143" s="115">
        <v>2963.4</v>
      </c>
      <c r="D2143" s="115">
        <v>2951</v>
      </c>
      <c r="E2143" s="115">
        <v>2951.5</v>
      </c>
      <c r="F2143" s="115">
        <v>2963.4</v>
      </c>
      <c r="G2143">
        <v>1110</v>
      </c>
      <c r="H2143" s="115"/>
      <c r="I2143" s="115"/>
      <c r="L2143" s="169">
        <v>45161</v>
      </c>
      <c r="M2143" s="115">
        <v>3027.7</v>
      </c>
      <c r="N2143" s="115">
        <v>3050</v>
      </c>
      <c r="O2143" s="115">
        <v>2960.9</v>
      </c>
      <c r="P2143" s="115">
        <v>2960.9</v>
      </c>
      <c r="Q2143" s="115">
        <v>3027.7</v>
      </c>
      <c r="R2143">
        <v>123208</v>
      </c>
    </row>
    <row r="2144" spans="1:18" x14ac:dyDescent="0.25">
      <c r="A2144" s="169">
        <v>45161</v>
      </c>
      <c r="B2144" s="115">
        <v>3050</v>
      </c>
      <c r="C2144" s="115">
        <v>3028.95</v>
      </c>
      <c r="D2144" s="115">
        <v>2970.35</v>
      </c>
      <c r="E2144" s="115">
        <v>2975</v>
      </c>
      <c r="F2144" s="115">
        <v>3028.95</v>
      </c>
      <c r="G2144">
        <v>4151</v>
      </c>
      <c r="H2144" s="115"/>
      <c r="I2144" s="115"/>
      <c r="L2144" s="169">
        <v>45162</v>
      </c>
      <c r="M2144" s="115">
        <v>3032.8</v>
      </c>
      <c r="N2144" s="115">
        <v>3050</v>
      </c>
      <c r="O2144" s="115">
        <v>3014.6</v>
      </c>
      <c r="P2144" s="115">
        <v>3050</v>
      </c>
      <c r="Q2144" s="115">
        <v>3032.8</v>
      </c>
      <c r="R2144">
        <v>31802</v>
      </c>
    </row>
    <row r="2145" spans="1:18" x14ac:dyDescent="0.25">
      <c r="A2145" s="169">
        <v>45162</v>
      </c>
      <c r="B2145" s="115">
        <v>3050</v>
      </c>
      <c r="C2145" s="115">
        <v>3033.25</v>
      </c>
      <c r="D2145" s="115">
        <v>3006.05</v>
      </c>
      <c r="E2145" s="115">
        <v>3006.05</v>
      </c>
      <c r="F2145" s="115">
        <v>3033.25</v>
      </c>
      <c r="G2145">
        <v>2112</v>
      </c>
      <c r="H2145" s="115"/>
      <c r="I2145" s="115"/>
      <c r="L2145" s="169">
        <v>45163</v>
      </c>
      <c r="M2145" s="115">
        <v>3020.5</v>
      </c>
      <c r="N2145" s="115">
        <v>3063.6</v>
      </c>
      <c r="O2145" s="115">
        <v>3003.25</v>
      </c>
      <c r="P2145" s="115">
        <v>3024</v>
      </c>
      <c r="Q2145" s="115">
        <v>3020.5</v>
      </c>
      <c r="R2145">
        <v>29091</v>
      </c>
    </row>
    <row r="2146" spans="1:18" x14ac:dyDescent="0.25">
      <c r="A2146" s="169">
        <v>45163</v>
      </c>
      <c r="B2146" s="115">
        <v>3065</v>
      </c>
      <c r="C2146" s="115">
        <v>3018.5</v>
      </c>
      <c r="D2146" s="115">
        <v>3008.25</v>
      </c>
      <c r="E2146" s="115">
        <v>3024.95</v>
      </c>
      <c r="F2146" s="115">
        <v>3018.5</v>
      </c>
      <c r="G2146">
        <v>1908</v>
      </c>
      <c r="H2146" s="115"/>
      <c r="I2146" s="115"/>
      <c r="L2146" s="169">
        <v>45166</v>
      </c>
      <c r="M2146" s="115">
        <v>3029.45</v>
      </c>
      <c r="N2146" s="115">
        <v>3046.55</v>
      </c>
      <c r="O2146" s="115">
        <v>3006</v>
      </c>
      <c r="P2146" s="115">
        <v>3014.4</v>
      </c>
      <c r="Q2146" s="115">
        <v>3029.45</v>
      </c>
      <c r="R2146">
        <v>57933</v>
      </c>
    </row>
    <row r="2147" spans="1:18" x14ac:dyDescent="0.25">
      <c r="A2147" s="169">
        <v>45166</v>
      </c>
      <c r="B2147" s="115">
        <v>3041.65</v>
      </c>
      <c r="C2147" s="115">
        <v>3026</v>
      </c>
      <c r="D2147" s="115">
        <v>2975.05</v>
      </c>
      <c r="E2147" s="115">
        <v>2975.05</v>
      </c>
      <c r="F2147" s="115">
        <v>3026</v>
      </c>
      <c r="G2147">
        <v>774</v>
      </c>
      <c r="H2147" s="115"/>
      <c r="I2147" s="115"/>
      <c r="L2147" s="169">
        <v>45167</v>
      </c>
      <c r="M2147" s="115">
        <v>3079.7</v>
      </c>
      <c r="N2147" s="115">
        <v>3119.45</v>
      </c>
      <c r="O2147" s="115">
        <v>3046</v>
      </c>
      <c r="P2147" s="115">
        <v>3049.95</v>
      </c>
      <c r="Q2147" s="115">
        <v>3079.7</v>
      </c>
      <c r="R2147">
        <v>55611</v>
      </c>
    </row>
    <row r="2148" spans="1:18" x14ac:dyDescent="0.25">
      <c r="A2148" s="169">
        <v>45167</v>
      </c>
      <c r="B2148" s="115">
        <v>3115.9</v>
      </c>
      <c r="C2148" s="115">
        <v>3076.15</v>
      </c>
      <c r="D2148" s="115">
        <v>3045</v>
      </c>
      <c r="E2148" s="115">
        <v>3059.95</v>
      </c>
      <c r="F2148" s="115">
        <v>3076.15</v>
      </c>
      <c r="G2148">
        <v>4241</v>
      </c>
      <c r="H2148" s="115"/>
      <c r="I2148" s="115"/>
      <c r="L2148" s="169">
        <v>45168</v>
      </c>
      <c r="M2148" s="115">
        <v>3107.65</v>
      </c>
      <c r="N2148" s="115">
        <v>3114</v>
      </c>
      <c r="O2148" s="115">
        <v>3051</v>
      </c>
      <c r="P2148" s="115">
        <v>3100</v>
      </c>
      <c r="Q2148" s="115">
        <v>3107.65</v>
      </c>
      <c r="R2148">
        <v>33456</v>
      </c>
    </row>
    <row r="2149" spans="1:18" x14ac:dyDescent="0.25">
      <c r="A2149" s="169">
        <v>45168</v>
      </c>
      <c r="B2149" s="115">
        <v>3111.1</v>
      </c>
      <c r="C2149" s="115">
        <v>3109.55</v>
      </c>
      <c r="D2149" s="115">
        <v>3053.7</v>
      </c>
      <c r="E2149" s="115">
        <v>3099.9</v>
      </c>
      <c r="F2149" s="115">
        <v>3109.55</v>
      </c>
      <c r="G2149">
        <v>1606</v>
      </c>
      <c r="H2149" s="115"/>
      <c r="I2149" s="115"/>
      <c r="L2149" s="169">
        <v>45169</v>
      </c>
      <c r="M2149" s="115">
        <v>3052.3</v>
      </c>
      <c r="N2149" s="115">
        <v>3137.65</v>
      </c>
      <c r="O2149" s="115">
        <v>3042.7</v>
      </c>
      <c r="P2149" s="115">
        <v>3137.65</v>
      </c>
      <c r="Q2149" s="115">
        <v>3052.3</v>
      </c>
      <c r="R2149">
        <v>29653</v>
      </c>
    </row>
    <row r="2150" spans="1:18" x14ac:dyDescent="0.25">
      <c r="A2150" s="169">
        <v>45169</v>
      </c>
      <c r="B2150" s="115">
        <v>3133</v>
      </c>
      <c r="C2150" s="115">
        <v>3051.55</v>
      </c>
      <c r="D2150" s="115">
        <v>3047.5</v>
      </c>
      <c r="E2150" s="115">
        <v>3105.05</v>
      </c>
      <c r="F2150" s="115">
        <v>3051.55</v>
      </c>
      <c r="G2150">
        <v>1852</v>
      </c>
      <c r="H2150" s="115"/>
      <c r="I2150" s="115"/>
      <c r="L2150" s="169">
        <v>45170</v>
      </c>
      <c r="M2150" s="115">
        <v>3157.6</v>
      </c>
      <c r="N2150" s="115">
        <v>3166.95</v>
      </c>
      <c r="O2150" s="115">
        <v>3052.3</v>
      </c>
      <c r="P2150" s="115">
        <v>3065</v>
      </c>
      <c r="Q2150" s="115">
        <v>3157.6</v>
      </c>
      <c r="R2150">
        <v>231502</v>
      </c>
    </row>
    <row r="2151" spans="1:18" x14ac:dyDescent="0.25">
      <c r="A2151" s="169">
        <v>45170</v>
      </c>
      <c r="B2151" s="115">
        <v>3166.7</v>
      </c>
      <c r="C2151" s="115">
        <v>3158.2</v>
      </c>
      <c r="D2151" s="115">
        <v>3065.45</v>
      </c>
      <c r="E2151" s="115">
        <v>3109.95</v>
      </c>
      <c r="F2151" s="115">
        <v>3158.2</v>
      </c>
      <c r="G2151">
        <v>5165</v>
      </c>
      <c r="H2151" s="115"/>
      <c r="I2151" s="115"/>
      <c r="L2151" s="169">
        <v>45173</v>
      </c>
      <c r="M2151" s="115">
        <v>3246.85</v>
      </c>
      <c r="N2151" s="115">
        <v>3260</v>
      </c>
      <c r="O2151" s="115">
        <v>3165.8</v>
      </c>
      <c r="P2151" s="115">
        <v>3185</v>
      </c>
      <c r="Q2151" s="115">
        <v>3246.85</v>
      </c>
      <c r="R2151">
        <v>204038</v>
      </c>
    </row>
    <row r="2152" spans="1:18" x14ac:dyDescent="0.25">
      <c r="A2152" s="169">
        <v>45173</v>
      </c>
      <c r="B2152" s="115">
        <v>3260</v>
      </c>
      <c r="C2152" s="115">
        <v>3247.7</v>
      </c>
      <c r="D2152" s="115">
        <v>3160.4</v>
      </c>
      <c r="E2152" s="115">
        <v>3171.6</v>
      </c>
      <c r="F2152" s="115">
        <v>3247.7</v>
      </c>
      <c r="G2152">
        <v>10722</v>
      </c>
      <c r="H2152" s="115"/>
      <c r="I2152" s="115"/>
      <c r="L2152" s="169">
        <v>45174</v>
      </c>
      <c r="M2152" s="115">
        <v>3371.7</v>
      </c>
      <c r="N2152" s="115">
        <v>3400</v>
      </c>
      <c r="O2152" s="115">
        <v>3210.05</v>
      </c>
      <c r="P2152" s="115">
        <v>3260</v>
      </c>
      <c r="Q2152" s="115">
        <v>3371.7</v>
      </c>
      <c r="R2152">
        <v>269851</v>
      </c>
    </row>
    <row r="2153" spans="1:18" x14ac:dyDescent="0.25">
      <c r="A2153" s="169">
        <v>45174</v>
      </c>
      <c r="B2153" s="115">
        <v>3404.45</v>
      </c>
      <c r="C2153" s="115">
        <v>3380.45</v>
      </c>
      <c r="D2153" s="115">
        <v>3215.6</v>
      </c>
      <c r="E2153" s="115">
        <v>3247</v>
      </c>
      <c r="F2153" s="115">
        <v>3380.45</v>
      </c>
      <c r="G2153">
        <v>17045</v>
      </c>
      <c r="H2153" s="115"/>
      <c r="I2153" s="115"/>
      <c r="L2153" s="169">
        <v>45175</v>
      </c>
      <c r="M2153" s="115">
        <v>3422.95</v>
      </c>
      <c r="N2153" s="115">
        <v>3487</v>
      </c>
      <c r="O2153" s="115">
        <v>3372</v>
      </c>
      <c r="P2153" s="115">
        <v>3390</v>
      </c>
      <c r="Q2153" s="115">
        <v>3422.95</v>
      </c>
      <c r="R2153">
        <v>261398</v>
      </c>
    </row>
    <row r="2154" spans="1:18" x14ac:dyDescent="0.25">
      <c r="A2154" s="169">
        <v>45175</v>
      </c>
      <c r="B2154" s="115">
        <v>3481</v>
      </c>
      <c r="C2154" s="115">
        <v>3419.45</v>
      </c>
      <c r="D2154" s="115">
        <v>3370.65</v>
      </c>
      <c r="E2154" s="115">
        <v>3401.55</v>
      </c>
      <c r="F2154" s="115">
        <v>3419.45</v>
      </c>
      <c r="G2154">
        <v>18394</v>
      </c>
      <c r="H2154" s="115"/>
      <c r="I2154" s="115"/>
      <c r="L2154" s="169">
        <v>45176</v>
      </c>
      <c r="M2154" s="115">
        <v>3495.15</v>
      </c>
      <c r="N2154" s="115">
        <v>3505.9</v>
      </c>
      <c r="O2154" s="115">
        <v>3388.1</v>
      </c>
      <c r="P2154" s="115">
        <v>3410</v>
      </c>
      <c r="Q2154" s="115">
        <v>3495.15</v>
      </c>
      <c r="R2154">
        <v>111239</v>
      </c>
    </row>
    <row r="2155" spans="1:18" x14ac:dyDescent="0.25">
      <c r="A2155" s="169">
        <v>45176</v>
      </c>
      <c r="B2155" s="115">
        <v>3505.65</v>
      </c>
      <c r="C2155" s="115">
        <v>3494.65</v>
      </c>
      <c r="D2155" s="115">
        <v>3323</v>
      </c>
      <c r="E2155" s="115">
        <v>3323</v>
      </c>
      <c r="F2155" s="115">
        <v>3494.65</v>
      </c>
      <c r="G2155">
        <v>6234</v>
      </c>
      <c r="H2155" s="115"/>
      <c r="I2155" s="115"/>
      <c r="L2155" s="169">
        <v>45177</v>
      </c>
      <c r="M2155" s="115">
        <v>3575.75</v>
      </c>
      <c r="N2155" s="115">
        <v>3625</v>
      </c>
      <c r="O2155" s="115">
        <v>3499.05</v>
      </c>
      <c r="P2155" s="115">
        <v>3535</v>
      </c>
      <c r="Q2155" s="115">
        <v>3575.75</v>
      </c>
      <c r="R2155">
        <v>250672</v>
      </c>
    </row>
    <row r="2156" spans="1:18" x14ac:dyDescent="0.25">
      <c r="A2156" s="169">
        <v>45177</v>
      </c>
      <c r="B2156" s="115">
        <v>3625</v>
      </c>
      <c r="C2156" s="115">
        <v>3582.05</v>
      </c>
      <c r="D2156" s="115">
        <v>3519.95</v>
      </c>
      <c r="E2156" s="115">
        <v>3548.95</v>
      </c>
      <c r="F2156" s="115">
        <v>3582.05</v>
      </c>
      <c r="G2156">
        <v>7112</v>
      </c>
      <c r="H2156" s="115"/>
      <c r="I2156" s="115"/>
      <c r="L2156" s="169">
        <v>45180</v>
      </c>
      <c r="M2156" s="115">
        <v>3687.4</v>
      </c>
      <c r="N2156" s="115">
        <v>3719</v>
      </c>
      <c r="O2156" s="115">
        <v>3590</v>
      </c>
      <c r="P2156" s="115">
        <v>3662.6</v>
      </c>
      <c r="Q2156" s="115">
        <v>3687.4</v>
      </c>
      <c r="R2156">
        <v>228600</v>
      </c>
    </row>
    <row r="2157" spans="1:18" x14ac:dyDescent="0.25">
      <c r="A2157" s="169">
        <v>45180</v>
      </c>
      <c r="B2157" s="115">
        <v>3719.2</v>
      </c>
      <c r="C2157" s="115">
        <v>3695.65</v>
      </c>
      <c r="D2157" s="115">
        <v>3590.05</v>
      </c>
      <c r="E2157" s="115">
        <v>3650</v>
      </c>
      <c r="F2157" s="115">
        <v>3695.65</v>
      </c>
      <c r="G2157">
        <v>10151</v>
      </c>
      <c r="H2157" s="115"/>
      <c r="I2157" s="115"/>
      <c r="L2157" s="169">
        <v>45181</v>
      </c>
      <c r="M2157" s="115">
        <v>3438.4</v>
      </c>
      <c r="N2157" s="115">
        <v>3726.05</v>
      </c>
      <c r="O2157" s="115">
        <v>3375.55</v>
      </c>
      <c r="P2157" s="115">
        <v>3725</v>
      </c>
      <c r="Q2157" s="115">
        <v>3438.4</v>
      </c>
      <c r="R2157">
        <v>226491</v>
      </c>
    </row>
    <row r="2158" spans="1:18" x14ac:dyDescent="0.25">
      <c r="A2158" s="169">
        <v>45181</v>
      </c>
      <c r="B2158" s="115">
        <v>3718.45</v>
      </c>
      <c r="C2158" s="115">
        <v>3439.25</v>
      </c>
      <c r="D2158" s="115">
        <v>3366.95</v>
      </c>
      <c r="E2158" s="115">
        <v>3713.65</v>
      </c>
      <c r="F2158" s="115">
        <v>3439.25</v>
      </c>
      <c r="G2158">
        <v>19600</v>
      </c>
      <c r="H2158" s="115"/>
      <c r="I2158" s="115"/>
      <c r="L2158" s="169">
        <v>45182</v>
      </c>
      <c r="M2158" s="115">
        <v>3295.7</v>
      </c>
      <c r="N2158" s="115">
        <v>3478</v>
      </c>
      <c r="O2158" s="115">
        <v>3260</v>
      </c>
      <c r="P2158" s="115">
        <v>3471.4</v>
      </c>
      <c r="Q2158" s="115">
        <v>3295.7</v>
      </c>
      <c r="R2158">
        <v>189419</v>
      </c>
    </row>
    <row r="2159" spans="1:18" x14ac:dyDescent="0.25">
      <c r="A2159" s="169">
        <v>45182</v>
      </c>
      <c r="B2159" s="115">
        <v>3476.2</v>
      </c>
      <c r="C2159" s="115">
        <v>3294.65</v>
      </c>
      <c r="D2159" s="115">
        <v>3259</v>
      </c>
      <c r="E2159" s="115">
        <v>3400.05</v>
      </c>
      <c r="F2159" s="115">
        <v>3294.65</v>
      </c>
      <c r="G2159">
        <v>11726</v>
      </c>
      <c r="H2159" s="115"/>
      <c r="I2159" s="115"/>
      <c r="L2159" s="169">
        <v>45183</v>
      </c>
      <c r="M2159" s="115">
        <v>3365.3</v>
      </c>
      <c r="N2159" s="115">
        <v>3419.35</v>
      </c>
      <c r="O2159" s="115">
        <v>3303</v>
      </c>
      <c r="P2159" s="115">
        <v>3329.9</v>
      </c>
      <c r="Q2159" s="115">
        <v>3365.3</v>
      </c>
      <c r="R2159">
        <v>144898</v>
      </c>
    </row>
    <row r="2160" spans="1:18" x14ac:dyDescent="0.25">
      <c r="A2160" s="169">
        <v>45183</v>
      </c>
      <c r="B2160" s="115">
        <v>3412.75</v>
      </c>
      <c r="C2160" s="115">
        <v>3372.6</v>
      </c>
      <c r="D2160" s="115">
        <v>3300.05</v>
      </c>
      <c r="E2160" s="115">
        <v>3300.05</v>
      </c>
      <c r="F2160" s="115">
        <v>3372.6</v>
      </c>
      <c r="G2160">
        <v>3221</v>
      </c>
      <c r="H2160" s="115"/>
      <c r="I2160" s="115"/>
      <c r="L2160" s="169">
        <v>45184</v>
      </c>
      <c r="M2160" s="115">
        <v>3314.4</v>
      </c>
      <c r="N2160" s="115">
        <v>3460</v>
      </c>
      <c r="O2160" s="115">
        <v>3275.55</v>
      </c>
      <c r="P2160" s="115">
        <v>3400.45</v>
      </c>
      <c r="Q2160" s="115">
        <v>3314.4</v>
      </c>
      <c r="R2160">
        <v>170772</v>
      </c>
    </row>
    <row r="2161" spans="1:18" x14ac:dyDescent="0.25">
      <c r="A2161" s="169">
        <v>45184</v>
      </c>
      <c r="B2161" s="115">
        <v>3462.95</v>
      </c>
      <c r="C2161" s="115">
        <v>3321.3</v>
      </c>
      <c r="D2161" s="115">
        <v>3274.7</v>
      </c>
      <c r="E2161" s="115">
        <v>3387.5</v>
      </c>
      <c r="F2161" s="115">
        <v>3321.3</v>
      </c>
      <c r="G2161">
        <v>5611</v>
      </c>
      <c r="H2161" s="115"/>
      <c r="I2161" s="115"/>
      <c r="L2161" s="169">
        <v>45187</v>
      </c>
      <c r="M2161" s="115">
        <v>3226.35</v>
      </c>
      <c r="N2161" s="115">
        <v>3314</v>
      </c>
      <c r="O2161" s="115">
        <v>3210.1</v>
      </c>
      <c r="P2161" s="115">
        <v>3314</v>
      </c>
      <c r="Q2161" s="115">
        <v>3226.35</v>
      </c>
      <c r="R2161">
        <v>99245</v>
      </c>
    </row>
    <row r="2162" spans="1:18" x14ac:dyDescent="0.25">
      <c r="A2162" s="169">
        <v>45187</v>
      </c>
      <c r="B2162" s="115">
        <v>3318.7</v>
      </c>
      <c r="C2162" s="115">
        <v>3229.5</v>
      </c>
      <c r="D2162" s="115">
        <v>3210</v>
      </c>
      <c r="E2162" s="115">
        <v>3266.05</v>
      </c>
      <c r="F2162" s="115">
        <v>3229.5</v>
      </c>
      <c r="G2162">
        <v>7319</v>
      </c>
      <c r="H2162" s="115"/>
      <c r="I2162" s="115"/>
      <c r="L2162" s="169">
        <v>45189</v>
      </c>
      <c r="M2162" s="115">
        <v>3179.55</v>
      </c>
      <c r="N2162" s="115">
        <v>3254.6</v>
      </c>
      <c r="O2162" s="115">
        <v>3162</v>
      </c>
      <c r="P2162" s="115">
        <v>3212</v>
      </c>
      <c r="Q2162" s="115">
        <v>3179.55</v>
      </c>
      <c r="R2162">
        <v>67481</v>
      </c>
    </row>
    <row r="2163" spans="1:18" x14ac:dyDescent="0.25">
      <c r="A2163" s="169">
        <v>45189</v>
      </c>
      <c r="B2163" s="115">
        <v>3250</v>
      </c>
      <c r="C2163" s="115">
        <v>3180.45</v>
      </c>
      <c r="D2163" s="115">
        <v>3160</v>
      </c>
      <c r="E2163" s="115">
        <v>3209.75</v>
      </c>
      <c r="F2163" s="115">
        <v>3180.45</v>
      </c>
      <c r="G2163">
        <v>6336</v>
      </c>
      <c r="H2163" s="115"/>
      <c r="I2163" s="115"/>
      <c r="L2163" s="169">
        <v>45190</v>
      </c>
      <c r="M2163" s="115">
        <v>3171.2</v>
      </c>
      <c r="N2163" s="115">
        <v>3187.8</v>
      </c>
      <c r="O2163" s="115">
        <v>3110</v>
      </c>
      <c r="P2163" s="115">
        <v>3177.35</v>
      </c>
      <c r="Q2163" s="115">
        <v>3171.2</v>
      </c>
      <c r="R2163">
        <v>54593</v>
      </c>
    </row>
    <row r="2164" spans="1:18" x14ac:dyDescent="0.25">
      <c r="A2164" s="169">
        <v>45190</v>
      </c>
      <c r="B2164" s="115">
        <v>3185</v>
      </c>
      <c r="C2164" s="115">
        <v>3173.05</v>
      </c>
      <c r="D2164" s="115">
        <v>3110.1</v>
      </c>
      <c r="E2164" s="115">
        <v>3165.05</v>
      </c>
      <c r="F2164" s="115">
        <v>3173.05</v>
      </c>
      <c r="G2164">
        <v>3328</v>
      </c>
      <c r="H2164" s="115"/>
      <c r="I2164" s="115"/>
      <c r="L2164" s="169">
        <v>45191</v>
      </c>
      <c r="M2164" s="115">
        <v>3119.95</v>
      </c>
      <c r="N2164" s="115">
        <v>3187.1</v>
      </c>
      <c r="O2164" s="115">
        <v>3110.1</v>
      </c>
      <c r="P2164" s="115">
        <v>3170.15</v>
      </c>
      <c r="Q2164" s="115">
        <v>3119.95</v>
      </c>
      <c r="R2164">
        <v>45360</v>
      </c>
    </row>
    <row r="2165" spans="1:18" x14ac:dyDescent="0.25">
      <c r="A2165" s="169">
        <v>45191</v>
      </c>
      <c r="B2165" s="115">
        <v>3188.45</v>
      </c>
      <c r="C2165" s="115">
        <v>3123.7</v>
      </c>
      <c r="D2165" s="115">
        <v>3110</v>
      </c>
      <c r="E2165" s="115">
        <v>3188.45</v>
      </c>
      <c r="F2165" s="115">
        <v>3123.7</v>
      </c>
      <c r="G2165">
        <v>4554</v>
      </c>
      <c r="H2165" s="115"/>
      <c r="I2165" s="115"/>
      <c r="L2165" s="169">
        <v>45194</v>
      </c>
      <c r="M2165" s="115">
        <v>3081</v>
      </c>
      <c r="N2165" s="115">
        <v>3135.95</v>
      </c>
      <c r="O2165" s="115">
        <v>3060.05</v>
      </c>
      <c r="P2165" s="115">
        <v>3134.65</v>
      </c>
      <c r="Q2165" s="115">
        <v>3081</v>
      </c>
      <c r="R2165">
        <v>82706</v>
      </c>
    </row>
    <row r="2166" spans="1:18" x14ac:dyDescent="0.25">
      <c r="A2166" s="169">
        <v>45194</v>
      </c>
      <c r="B2166" s="115">
        <v>3133.55</v>
      </c>
      <c r="C2166" s="115">
        <v>3081.25</v>
      </c>
      <c r="D2166" s="115">
        <v>3065</v>
      </c>
      <c r="E2166" s="115">
        <v>3106.4</v>
      </c>
      <c r="F2166" s="115">
        <v>3081.25</v>
      </c>
      <c r="G2166">
        <v>7133</v>
      </c>
      <c r="H2166" s="115"/>
      <c r="I2166" s="115"/>
      <c r="L2166" s="169">
        <v>45195</v>
      </c>
      <c r="M2166" s="115">
        <v>3070.85</v>
      </c>
      <c r="N2166" s="115">
        <v>3103.55</v>
      </c>
      <c r="O2166" s="115">
        <v>3055</v>
      </c>
      <c r="P2166" s="115">
        <v>3096.4</v>
      </c>
      <c r="Q2166" s="115">
        <v>3070.85</v>
      </c>
      <c r="R2166">
        <v>73992</v>
      </c>
    </row>
    <row r="2167" spans="1:18" x14ac:dyDescent="0.25">
      <c r="A2167" s="169">
        <v>45195</v>
      </c>
      <c r="B2167" s="115">
        <v>3105.05</v>
      </c>
      <c r="C2167" s="115">
        <v>3068.4</v>
      </c>
      <c r="D2167" s="115">
        <v>3055</v>
      </c>
      <c r="E2167" s="115">
        <v>3083.8</v>
      </c>
      <c r="F2167" s="115">
        <v>3068.4</v>
      </c>
      <c r="G2167">
        <v>4229</v>
      </c>
      <c r="H2167" s="115"/>
      <c r="I2167" s="115"/>
      <c r="L2167" s="169">
        <v>45196</v>
      </c>
      <c r="M2167" s="115">
        <v>3241.85</v>
      </c>
      <c r="N2167" s="115">
        <v>3268.95</v>
      </c>
      <c r="O2167" s="115">
        <v>3065.15</v>
      </c>
      <c r="P2167" s="115">
        <v>3069.9</v>
      </c>
      <c r="Q2167" s="115">
        <v>3241.85</v>
      </c>
      <c r="R2167">
        <v>141521</v>
      </c>
    </row>
    <row r="2168" spans="1:18" x14ac:dyDescent="0.25">
      <c r="A2168" s="169">
        <v>45196</v>
      </c>
      <c r="B2168" s="115">
        <v>3268</v>
      </c>
      <c r="C2168" s="115">
        <v>3248.6</v>
      </c>
      <c r="D2168" s="115">
        <v>3079.75</v>
      </c>
      <c r="E2168" s="115">
        <v>3079.95</v>
      </c>
      <c r="F2168" s="115">
        <v>3248.6</v>
      </c>
      <c r="G2168">
        <v>4341</v>
      </c>
      <c r="H2168" s="115"/>
      <c r="I2168" s="115"/>
      <c r="L2168" s="169">
        <v>45197</v>
      </c>
      <c r="M2168" s="115">
        <v>3269.95</v>
      </c>
      <c r="N2168" s="115">
        <v>3314</v>
      </c>
      <c r="O2168" s="115">
        <v>3211</v>
      </c>
      <c r="P2168" s="115">
        <v>3278.7</v>
      </c>
      <c r="Q2168" s="115">
        <v>3269.95</v>
      </c>
      <c r="R2168">
        <v>132025</v>
      </c>
    </row>
    <row r="2169" spans="1:18" x14ac:dyDescent="0.25">
      <c r="A2169" s="169">
        <v>45197</v>
      </c>
      <c r="B2169" s="115">
        <v>3311</v>
      </c>
      <c r="C2169" s="115">
        <v>3268.3</v>
      </c>
      <c r="D2169" s="115">
        <v>3209.65</v>
      </c>
      <c r="E2169" s="115">
        <v>3294.95</v>
      </c>
      <c r="F2169" s="115">
        <v>3268.3</v>
      </c>
      <c r="G2169">
        <v>8078</v>
      </c>
      <c r="H2169" s="115"/>
      <c r="I2169" s="115"/>
      <c r="L2169" s="169">
        <v>45198</v>
      </c>
      <c r="M2169" s="115">
        <v>3314.9</v>
      </c>
      <c r="N2169" s="115">
        <v>3330.5</v>
      </c>
      <c r="O2169" s="115">
        <v>3265</v>
      </c>
      <c r="P2169" s="115">
        <v>3265</v>
      </c>
      <c r="Q2169" s="115">
        <v>3314.9</v>
      </c>
      <c r="R2169">
        <v>63344</v>
      </c>
    </row>
    <row r="2170" spans="1:18" x14ac:dyDescent="0.25">
      <c r="A2170" s="169">
        <v>45198</v>
      </c>
      <c r="B2170" s="115">
        <v>3330</v>
      </c>
      <c r="C2170" s="115">
        <v>3313.95</v>
      </c>
      <c r="D2170" s="115">
        <v>3211.05</v>
      </c>
      <c r="E2170" s="115">
        <v>3211.05</v>
      </c>
      <c r="F2170" s="115">
        <v>3313.95</v>
      </c>
      <c r="G2170">
        <v>2381</v>
      </c>
      <c r="H2170" s="115"/>
      <c r="I2170" s="115"/>
      <c r="L2170" s="169">
        <v>45202</v>
      </c>
      <c r="M2170" s="115">
        <v>3281.9</v>
      </c>
      <c r="N2170" s="115">
        <v>3335</v>
      </c>
      <c r="O2170" s="115">
        <v>3220</v>
      </c>
      <c r="P2170" s="115">
        <v>3335</v>
      </c>
      <c r="Q2170" s="115">
        <v>3281.9</v>
      </c>
      <c r="R2170">
        <v>61912</v>
      </c>
    </row>
    <row r="2171" spans="1:18" x14ac:dyDescent="0.25">
      <c r="A2171" s="169">
        <v>45202</v>
      </c>
      <c r="B2171" s="115">
        <v>3335.7</v>
      </c>
      <c r="C2171" s="115">
        <v>3278.45</v>
      </c>
      <c r="D2171" s="115">
        <v>3220</v>
      </c>
      <c r="E2171" s="115">
        <v>3335.7</v>
      </c>
      <c r="F2171" s="115">
        <v>3278.45</v>
      </c>
      <c r="G2171">
        <v>1201</v>
      </c>
      <c r="H2171" s="115"/>
      <c r="I2171" s="115"/>
      <c r="L2171" s="169">
        <v>45203</v>
      </c>
      <c r="M2171" s="115">
        <v>3216.45</v>
      </c>
      <c r="N2171" s="115">
        <v>3281.85</v>
      </c>
      <c r="O2171" s="115">
        <v>3190</v>
      </c>
      <c r="P2171" s="115">
        <v>3251</v>
      </c>
      <c r="Q2171" s="115">
        <v>3216.45</v>
      </c>
      <c r="R2171">
        <v>137776</v>
      </c>
    </row>
    <row r="2172" spans="1:18" x14ac:dyDescent="0.25">
      <c r="A2172" s="169">
        <v>45203</v>
      </c>
      <c r="B2172" s="115">
        <v>3272.05</v>
      </c>
      <c r="C2172" s="115">
        <v>3216.35</v>
      </c>
      <c r="D2172" s="115">
        <v>3191.55</v>
      </c>
      <c r="E2172" s="115">
        <v>3264.95</v>
      </c>
      <c r="F2172" s="115">
        <v>3216.35</v>
      </c>
      <c r="G2172">
        <v>21473</v>
      </c>
      <c r="H2172" s="115"/>
      <c r="I2172" s="115"/>
      <c r="L2172" s="169">
        <v>45204</v>
      </c>
      <c r="M2172" s="115">
        <v>3189.35</v>
      </c>
      <c r="N2172" s="115">
        <v>3281</v>
      </c>
      <c r="O2172" s="115">
        <v>3182.1</v>
      </c>
      <c r="P2172" s="115">
        <v>3225.1</v>
      </c>
      <c r="Q2172" s="115">
        <v>3189.35</v>
      </c>
      <c r="R2172">
        <v>58340</v>
      </c>
    </row>
    <row r="2173" spans="1:18" x14ac:dyDescent="0.25">
      <c r="A2173" s="169">
        <v>45204</v>
      </c>
      <c r="B2173" s="115">
        <v>3280.6</v>
      </c>
      <c r="C2173" s="115">
        <v>3190.6</v>
      </c>
      <c r="D2173" s="115">
        <v>3183.45</v>
      </c>
      <c r="E2173" s="115">
        <v>3210</v>
      </c>
      <c r="F2173" s="115">
        <v>3190.6</v>
      </c>
      <c r="G2173">
        <v>1438</v>
      </c>
      <c r="H2173" s="115"/>
      <c r="I2173" s="115"/>
      <c r="L2173" s="169">
        <v>45205</v>
      </c>
      <c r="M2173" s="115">
        <v>3220.95</v>
      </c>
      <c r="N2173" s="115">
        <v>3244.6</v>
      </c>
      <c r="O2173" s="115">
        <v>3172.05</v>
      </c>
      <c r="P2173" s="115">
        <v>3172.05</v>
      </c>
      <c r="Q2173" s="115">
        <v>3220.95</v>
      </c>
      <c r="R2173">
        <v>24779</v>
      </c>
    </row>
    <row r="2174" spans="1:18" x14ac:dyDescent="0.25">
      <c r="A2174" s="169">
        <v>45205</v>
      </c>
      <c r="B2174" s="115">
        <v>3243.95</v>
      </c>
      <c r="C2174" s="115">
        <v>3218.15</v>
      </c>
      <c r="D2174" s="115">
        <v>3184.35</v>
      </c>
      <c r="E2174" s="115">
        <v>3192</v>
      </c>
      <c r="F2174" s="115">
        <v>3218.15</v>
      </c>
      <c r="G2174">
        <v>1948</v>
      </c>
      <c r="H2174" s="115"/>
      <c r="I2174" s="115"/>
      <c r="L2174" s="169">
        <v>45208</v>
      </c>
      <c r="M2174" s="115">
        <v>3113</v>
      </c>
      <c r="N2174" s="115">
        <v>3232</v>
      </c>
      <c r="O2174" s="115">
        <v>3101</v>
      </c>
      <c r="P2174" s="115">
        <v>3174</v>
      </c>
      <c r="Q2174" s="115">
        <v>3113</v>
      </c>
      <c r="R2174">
        <v>80850</v>
      </c>
    </row>
    <row r="2175" spans="1:18" x14ac:dyDescent="0.25">
      <c r="A2175" s="169">
        <v>45208</v>
      </c>
      <c r="B2175" s="115">
        <v>3229.75</v>
      </c>
      <c r="C2175" s="115">
        <v>3110.4</v>
      </c>
      <c r="D2175" s="115">
        <v>3099.8</v>
      </c>
      <c r="E2175" s="115">
        <v>3155.05</v>
      </c>
      <c r="F2175" s="115">
        <v>3110.4</v>
      </c>
      <c r="G2175">
        <v>1551</v>
      </c>
      <c r="H2175" s="115"/>
      <c r="I2175" s="115"/>
      <c r="L2175" s="169">
        <v>45209</v>
      </c>
      <c r="M2175" s="115">
        <v>3114.95</v>
      </c>
      <c r="N2175" s="115">
        <v>3153.5</v>
      </c>
      <c r="O2175" s="115">
        <v>3104.6</v>
      </c>
      <c r="P2175" s="115">
        <v>3125.25</v>
      </c>
      <c r="Q2175" s="115">
        <v>3114.95</v>
      </c>
      <c r="R2175">
        <v>50249</v>
      </c>
    </row>
    <row r="2176" spans="1:18" x14ac:dyDescent="0.25">
      <c r="A2176" s="169">
        <v>45209</v>
      </c>
      <c r="B2176" s="115">
        <v>3156.2</v>
      </c>
      <c r="C2176" s="115">
        <v>3114.9</v>
      </c>
      <c r="D2176" s="115">
        <v>3103.5</v>
      </c>
      <c r="E2176" s="115">
        <v>3130.05</v>
      </c>
      <c r="F2176" s="115">
        <v>3114.9</v>
      </c>
      <c r="G2176">
        <v>1986</v>
      </c>
      <c r="H2176" s="115"/>
      <c r="I2176" s="115"/>
      <c r="L2176" s="169">
        <v>45210</v>
      </c>
      <c r="M2176" s="115">
        <v>3131.15</v>
      </c>
      <c r="N2176" s="115">
        <v>3149.65</v>
      </c>
      <c r="O2176" s="115">
        <v>3105.05</v>
      </c>
      <c r="P2176" s="115">
        <v>3129</v>
      </c>
      <c r="Q2176" s="115">
        <v>3131.15</v>
      </c>
      <c r="R2176">
        <v>77651</v>
      </c>
    </row>
    <row r="2177" spans="1:18" x14ac:dyDescent="0.25">
      <c r="A2177" s="169">
        <v>45210</v>
      </c>
      <c r="B2177" s="115">
        <v>3203.7</v>
      </c>
      <c r="C2177" s="115">
        <v>3123.7</v>
      </c>
      <c r="D2177" s="115">
        <v>3105</v>
      </c>
      <c r="E2177" s="115">
        <v>3154.4</v>
      </c>
      <c r="F2177" s="115">
        <v>3123.7</v>
      </c>
      <c r="G2177">
        <v>2312</v>
      </c>
      <c r="H2177" s="115"/>
      <c r="I2177" s="115"/>
      <c r="L2177" s="169">
        <v>45211</v>
      </c>
      <c r="M2177" s="115">
        <v>3152.5</v>
      </c>
      <c r="N2177" s="115">
        <v>3165</v>
      </c>
      <c r="O2177" s="115">
        <v>3134.95</v>
      </c>
      <c r="P2177" s="115">
        <v>3134.95</v>
      </c>
      <c r="Q2177" s="115">
        <v>3152.5</v>
      </c>
      <c r="R2177">
        <v>28374</v>
      </c>
    </row>
    <row r="2178" spans="1:18" x14ac:dyDescent="0.25">
      <c r="A2178" s="169">
        <v>45211</v>
      </c>
      <c r="B2178" s="115">
        <v>3165.95</v>
      </c>
      <c r="C2178" s="115">
        <v>3152.5</v>
      </c>
      <c r="D2178" s="115">
        <v>3115.05</v>
      </c>
      <c r="E2178" s="115">
        <v>3115.05</v>
      </c>
      <c r="F2178" s="115">
        <v>3152.5</v>
      </c>
      <c r="G2178">
        <v>368</v>
      </c>
      <c r="H2178" s="115"/>
      <c r="I2178" s="115"/>
      <c r="L2178" s="169">
        <v>45212</v>
      </c>
      <c r="M2178" s="115">
        <v>3110.5</v>
      </c>
      <c r="N2178" s="115">
        <v>3162.95</v>
      </c>
      <c r="O2178" s="115">
        <v>3100</v>
      </c>
      <c r="P2178" s="115">
        <v>3135.3</v>
      </c>
      <c r="Q2178" s="115">
        <v>3110.5</v>
      </c>
      <c r="R2178">
        <v>32564</v>
      </c>
    </row>
    <row r="2179" spans="1:18" x14ac:dyDescent="0.25">
      <c r="A2179" s="169">
        <v>45212</v>
      </c>
      <c r="B2179" s="115">
        <v>3157.2</v>
      </c>
      <c r="C2179" s="115">
        <v>3108.35</v>
      </c>
      <c r="D2179" s="115">
        <v>3102.2</v>
      </c>
      <c r="E2179" s="115">
        <v>3139.6</v>
      </c>
      <c r="F2179" s="115">
        <v>3108.35</v>
      </c>
      <c r="G2179">
        <v>1668</v>
      </c>
      <c r="H2179" s="115"/>
      <c r="I2179" s="115"/>
      <c r="L2179" s="169">
        <v>45215</v>
      </c>
      <c r="M2179" s="115">
        <v>3098.35</v>
      </c>
      <c r="N2179" s="115">
        <v>3125</v>
      </c>
      <c r="O2179" s="115">
        <v>3085.9</v>
      </c>
      <c r="P2179" s="115">
        <v>3125</v>
      </c>
      <c r="Q2179" s="115">
        <v>3098.35</v>
      </c>
      <c r="R2179">
        <v>33601</v>
      </c>
    </row>
    <row r="2180" spans="1:18" x14ac:dyDescent="0.25">
      <c r="A2180" s="169">
        <v>45215</v>
      </c>
      <c r="B2180" s="115">
        <v>3110</v>
      </c>
      <c r="C2180" s="115">
        <v>3096.25</v>
      </c>
      <c r="D2180" s="115">
        <v>3090</v>
      </c>
      <c r="E2180" s="115">
        <v>3110</v>
      </c>
      <c r="F2180" s="115">
        <v>3096.25</v>
      </c>
      <c r="G2180">
        <v>642</v>
      </c>
      <c r="H2180" s="115"/>
      <c r="I2180" s="115"/>
      <c r="L2180" s="169">
        <v>45216</v>
      </c>
      <c r="M2180" s="115">
        <v>3091.2</v>
      </c>
      <c r="N2180" s="115">
        <v>3131.25</v>
      </c>
      <c r="O2180" s="115">
        <v>3062.2</v>
      </c>
      <c r="P2180" s="115">
        <v>3113.85</v>
      </c>
      <c r="Q2180" s="115">
        <v>3091.2</v>
      </c>
      <c r="R2180">
        <v>73286</v>
      </c>
    </row>
    <row r="2181" spans="1:18" x14ac:dyDescent="0.25">
      <c r="A2181" s="169">
        <v>45216</v>
      </c>
      <c r="B2181" s="115">
        <v>3120.15</v>
      </c>
      <c r="C2181" s="115">
        <v>3078.05</v>
      </c>
      <c r="D2181" s="115">
        <v>3054.8</v>
      </c>
      <c r="E2181" s="115">
        <v>3096.3</v>
      </c>
      <c r="F2181" s="115">
        <v>3078.05</v>
      </c>
      <c r="G2181">
        <v>1805</v>
      </c>
      <c r="H2181" s="115"/>
      <c r="I2181" s="115"/>
      <c r="L2181" s="169">
        <v>45217</v>
      </c>
      <c r="M2181" s="115">
        <v>3095.85</v>
      </c>
      <c r="N2181" s="115">
        <v>3110</v>
      </c>
      <c r="O2181" s="115">
        <v>3069.25</v>
      </c>
      <c r="P2181" s="115">
        <v>3090</v>
      </c>
      <c r="Q2181" s="115">
        <v>3095.85</v>
      </c>
      <c r="R2181">
        <v>40496</v>
      </c>
    </row>
    <row r="2182" spans="1:18" x14ac:dyDescent="0.25">
      <c r="A2182" s="169">
        <v>45217</v>
      </c>
      <c r="B2182" s="115">
        <v>3159.65</v>
      </c>
      <c r="C2182" s="115">
        <v>3095</v>
      </c>
      <c r="D2182" s="115">
        <v>3069.65</v>
      </c>
      <c r="E2182" s="115">
        <v>3159.65</v>
      </c>
      <c r="F2182" s="115">
        <v>3095</v>
      </c>
      <c r="G2182">
        <v>1016</v>
      </c>
      <c r="H2182" s="115"/>
      <c r="I2182" s="115"/>
      <c r="L2182" s="169">
        <v>45218</v>
      </c>
      <c r="M2182" s="115">
        <v>3071.5</v>
      </c>
      <c r="N2182" s="115">
        <v>3090.65</v>
      </c>
      <c r="O2182" s="115">
        <v>3063.75</v>
      </c>
      <c r="P2182" s="115">
        <v>3089.95</v>
      </c>
      <c r="Q2182" s="115">
        <v>3071.5</v>
      </c>
      <c r="R2182">
        <v>36268</v>
      </c>
    </row>
    <row r="2183" spans="1:18" x14ac:dyDescent="0.25">
      <c r="A2183" s="169">
        <v>45218</v>
      </c>
      <c r="B2183" s="115">
        <v>3091.4</v>
      </c>
      <c r="C2183" s="115">
        <v>3075.15</v>
      </c>
      <c r="D2183" s="115">
        <v>3041.05</v>
      </c>
      <c r="E2183" s="115">
        <v>3041.05</v>
      </c>
      <c r="F2183" s="115">
        <v>3075.15</v>
      </c>
      <c r="G2183">
        <v>338</v>
      </c>
      <c r="H2183" s="115"/>
      <c r="I2183" s="115"/>
      <c r="L2183" s="169">
        <v>45219</v>
      </c>
      <c r="M2183" s="115">
        <v>3082.9</v>
      </c>
      <c r="N2183" s="115">
        <v>3108.8</v>
      </c>
      <c r="O2183" s="115">
        <v>3060.6</v>
      </c>
      <c r="P2183" s="115">
        <v>3072</v>
      </c>
      <c r="Q2183" s="115">
        <v>3082.9</v>
      </c>
      <c r="R2183">
        <v>46356</v>
      </c>
    </row>
    <row r="2184" spans="1:18" x14ac:dyDescent="0.25">
      <c r="A2184" s="169">
        <v>45219</v>
      </c>
      <c r="B2184" s="115">
        <v>3110</v>
      </c>
      <c r="C2184" s="115">
        <v>3079.65</v>
      </c>
      <c r="D2184" s="115">
        <v>3066.55</v>
      </c>
      <c r="E2184" s="115">
        <v>3075</v>
      </c>
      <c r="F2184" s="115">
        <v>3079.65</v>
      </c>
      <c r="G2184">
        <v>38515</v>
      </c>
      <c r="H2184" s="115"/>
      <c r="I2184" s="115"/>
      <c r="L2184" s="169">
        <v>45222</v>
      </c>
      <c r="M2184" s="115">
        <v>2965</v>
      </c>
      <c r="N2184" s="115">
        <v>3099</v>
      </c>
      <c r="O2184" s="115">
        <v>2936</v>
      </c>
      <c r="P2184" s="115">
        <v>3082.9</v>
      </c>
      <c r="Q2184" s="115">
        <v>2965</v>
      </c>
      <c r="R2184">
        <v>54810</v>
      </c>
    </row>
    <row r="2185" spans="1:18" x14ac:dyDescent="0.25">
      <c r="A2185" s="169">
        <v>45222</v>
      </c>
      <c r="B2185" s="115">
        <v>3089.05</v>
      </c>
      <c r="C2185" s="115">
        <v>2964.85</v>
      </c>
      <c r="D2185" s="115">
        <v>2940</v>
      </c>
      <c r="E2185" s="115">
        <v>3085.95</v>
      </c>
      <c r="F2185" s="115">
        <v>2964.85</v>
      </c>
      <c r="G2185">
        <v>1645</v>
      </c>
      <c r="H2185" s="115"/>
      <c r="I2185" s="115"/>
      <c r="L2185" s="169">
        <v>45224</v>
      </c>
      <c r="M2185" s="115">
        <v>2981.65</v>
      </c>
      <c r="N2185" s="115">
        <v>3027</v>
      </c>
      <c r="O2185" s="115">
        <v>2952.05</v>
      </c>
      <c r="P2185" s="115">
        <v>2970</v>
      </c>
      <c r="Q2185" s="115">
        <v>2981.65</v>
      </c>
      <c r="R2185">
        <v>41319</v>
      </c>
    </row>
    <row r="2186" spans="1:18" x14ac:dyDescent="0.25">
      <c r="A2186" s="169">
        <v>45224</v>
      </c>
      <c r="B2186" s="115">
        <v>3025.05</v>
      </c>
      <c r="C2186" s="115">
        <v>2985.6</v>
      </c>
      <c r="D2186" s="115">
        <v>2953.8</v>
      </c>
      <c r="E2186" s="115">
        <v>2977.95</v>
      </c>
      <c r="F2186" s="115">
        <v>2985.6</v>
      </c>
      <c r="G2186">
        <v>1366</v>
      </c>
      <c r="H2186" s="115"/>
      <c r="I2186" s="115"/>
      <c r="L2186" s="169">
        <v>45225</v>
      </c>
      <c r="M2186" s="115">
        <v>2972.25</v>
      </c>
      <c r="N2186" s="115">
        <v>2992.45</v>
      </c>
      <c r="O2186" s="115">
        <v>2940.65</v>
      </c>
      <c r="P2186" s="115">
        <v>2991.25</v>
      </c>
      <c r="Q2186" s="115">
        <v>2972.25</v>
      </c>
      <c r="R2186">
        <v>29398</v>
      </c>
    </row>
    <row r="2187" spans="1:18" x14ac:dyDescent="0.25">
      <c r="A2187" s="169">
        <v>45225</v>
      </c>
      <c r="B2187" s="115">
        <v>3025.3</v>
      </c>
      <c r="C2187" s="115">
        <v>2974.25</v>
      </c>
      <c r="D2187" s="115">
        <v>2942</v>
      </c>
      <c r="E2187" s="115">
        <v>3025.3</v>
      </c>
      <c r="F2187" s="115">
        <v>2974.25</v>
      </c>
      <c r="G2187">
        <v>2545</v>
      </c>
      <c r="H2187" s="115"/>
      <c r="I2187" s="115"/>
      <c r="L2187" s="169">
        <v>45226</v>
      </c>
      <c r="M2187" s="115">
        <v>2992.5</v>
      </c>
      <c r="N2187" s="115">
        <v>3049.7</v>
      </c>
      <c r="O2187" s="115">
        <v>2958.9</v>
      </c>
      <c r="P2187" s="115">
        <v>3019</v>
      </c>
      <c r="Q2187" s="115">
        <v>2992.5</v>
      </c>
      <c r="R2187">
        <v>112014</v>
      </c>
    </row>
    <row r="2188" spans="1:18" x14ac:dyDescent="0.25">
      <c r="A2188" s="169">
        <v>45226</v>
      </c>
      <c r="B2188" s="115">
        <v>3046.2</v>
      </c>
      <c r="C2188" s="115">
        <v>2991.4</v>
      </c>
      <c r="D2188" s="115">
        <v>2962</v>
      </c>
      <c r="E2188" s="115">
        <v>3011.05</v>
      </c>
      <c r="F2188" s="115">
        <v>2991.4</v>
      </c>
      <c r="G2188">
        <v>4224</v>
      </c>
      <c r="H2188" s="115"/>
      <c r="I2188" s="115"/>
      <c r="L2188" s="169">
        <v>45229</v>
      </c>
      <c r="M2188" s="115">
        <v>2859.95</v>
      </c>
      <c r="N2188" s="115">
        <v>3000</v>
      </c>
      <c r="O2188" s="115">
        <v>2843.6</v>
      </c>
      <c r="P2188" s="115">
        <v>2992</v>
      </c>
      <c r="Q2188" s="115">
        <v>2859.95</v>
      </c>
      <c r="R2188">
        <v>225534</v>
      </c>
    </row>
    <row r="2189" spans="1:18" x14ac:dyDescent="0.25">
      <c r="A2189" s="169">
        <v>45229</v>
      </c>
      <c r="B2189" s="115">
        <v>2995</v>
      </c>
      <c r="C2189" s="115">
        <v>2868.85</v>
      </c>
      <c r="D2189" s="115">
        <v>2846.05</v>
      </c>
      <c r="E2189" s="115">
        <v>2995</v>
      </c>
      <c r="F2189" s="115">
        <v>2868.85</v>
      </c>
      <c r="G2189">
        <v>1792</v>
      </c>
      <c r="H2189" s="115"/>
      <c r="I2189" s="115"/>
      <c r="L2189" s="169">
        <v>45230</v>
      </c>
      <c r="M2189" s="115">
        <v>2817.4</v>
      </c>
      <c r="N2189" s="115">
        <v>2906.15</v>
      </c>
      <c r="O2189" s="115">
        <v>2795.5</v>
      </c>
      <c r="P2189" s="115">
        <v>2896.35</v>
      </c>
      <c r="Q2189" s="115">
        <v>2817.4</v>
      </c>
      <c r="R2189">
        <v>208474</v>
      </c>
    </row>
    <row r="2190" spans="1:18" x14ac:dyDescent="0.25">
      <c r="A2190" s="169">
        <v>45230</v>
      </c>
      <c r="B2190" s="115">
        <v>2923.95</v>
      </c>
      <c r="C2190" s="115">
        <v>2816.35</v>
      </c>
      <c r="D2190" s="115">
        <v>2795</v>
      </c>
      <c r="E2190" s="115">
        <v>2923.95</v>
      </c>
      <c r="F2190" s="115">
        <v>2816.35</v>
      </c>
      <c r="G2190">
        <v>11782</v>
      </c>
      <c r="H2190" s="115"/>
      <c r="I2190" s="115"/>
      <c r="L2190" s="169">
        <v>45231</v>
      </c>
      <c r="M2190" s="115">
        <v>2739.2</v>
      </c>
      <c r="N2190" s="115">
        <v>2850</v>
      </c>
      <c r="O2190" s="115">
        <v>2728.55</v>
      </c>
      <c r="P2190" s="115">
        <v>2809</v>
      </c>
      <c r="Q2190" s="115">
        <v>2739.2</v>
      </c>
      <c r="R2190">
        <v>167504</v>
      </c>
    </row>
    <row r="2191" spans="1:18" x14ac:dyDescent="0.25">
      <c r="A2191" s="169">
        <v>45231</v>
      </c>
      <c r="B2191" s="115">
        <v>2820.05</v>
      </c>
      <c r="C2191" s="115">
        <v>2738.35</v>
      </c>
      <c r="D2191" s="115">
        <v>2730.9</v>
      </c>
      <c r="E2191" s="115">
        <v>2805</v>
      </c>
      <c r="F2191" s="115">
        <v>2738.35</v>
      </c>
      <c r="G2191">
        <v>2136</v>
      </c>
      <c r="H2191" s="115"/>
      <c r="I2191" s="115"/>
      <c r="L2191" s="169">
        <v>45232</v>
      </c>
      <c r="M2191" s="115">
        <v>2651</v>
      </c>
      <c r="N2191" s="115">
        <v>2777.25</v>
      </c>
      <c r="O2191" s="115">
        <v>2612.1999999999998</v>
      </c>
      <c r="P2191" s="115">
        <v>2756</v>
      </c>
      <c r="Q2191" s="115">
        <v>2651</v>
      </c>
      <c r="R2191">
        <v>234360</v>
      </c>
    </row>
    <row r="2192" spans="1:18" x14ac:dyDescent="0.25">
      <c r="A2192" s="169">
        <v>45232</v>
      </c>
      <c r="B2192" s="115">
        <v>2776.4</v>
      </c>
      <c r="C2192" s="115">
        <v>2647.8</v>
      </c>
      <c r="D2192" s="115">
        <v>2616.0500000000002</v>
      </c>
      <c r="E2192" s="115">
        <v>2765.65</v>
      </c>
      <c r="F2192" s="115">
        <v>2647.8</v>
      </c>
      <c r="G2192">
        <v>6394</v>
      </c>
      <c r="H2192" s="115"/>
      <c r="I2192" s="115"/>
      <c r="L2192" s="169">
        <v>45233</v>
      </c>
      <c r="M2192" s="115">
        <v>2737.6</v>
      </c>
      <c r="N2192" s="115">
        <v>2772.95</v>
      </c>
      <c r="O2192" s="115">
        <v>2665.65</v>
      </c>
      <c r="P2192" s="115">
        <v>2680</v>
      </c>
      <c r="Q2192" s="115">
        <v>2737.6</v>
      </c>
      <c r="R2192">
        <v>100414</v>
      </c>
    </row>
    <row r="2193" spans="1:18" x14ac:dyDescent="0.25">
      <c r="A2193" s="169">
        <v>45233</v>
      </c>
      <c r="B2193" s="115">
        <v>2772</v>
      </c>
      <c r="C2193" s="115">
        <v>2741.75</v>
      </c>
      <c r="D2193" s="115">
        <v>2665.4</v>
      </c>
      <c r="E2193" s="115">
        <v>2665.4</v>
      </c>
      <c r="F2193" s="115">
        <v>2741.75</v>
      </c>
      <c r="G2193">
        <v>3799</v>
      </c>
      <c r="H2193" s="115"/>
      <c r="I2193" s="115"/>
      <c r="L2193" s="169">
        <v>45236</v>
      </c>
      <c r="M2193" s="115">
        <v>2741.75</v>
      </c>
      <c r="N2193" s="115">
        <v>2795.85</v>
      </c>
      <c r="O2193" s="115">
        <v>2720</v>
      </c>
      <c r="P2193" s="115">
        <v>2782</v>
      </c>
      <c r="Q2193" s="115">
        <v>2741.75</v>
      </c>
      <c r="R2193">
        <v>129091</v>
      </c>
    </row>
    <row r="2194" spans="1:18" x14ac:dyDescent="0.25">
      <c r="A2194" s="169">
        <v>45236</v>
      </c>
      <c r="B2194" s="115">
        <v>2794.7</v>
      </c>
      <c r="C2194" s="115">
        <v>2745.15</v>
      </c>
      <c r="D2194" s="115">
        <v>2721</v>
      </c>
      <c r="E2194" s="115">
        <v>2791.95</v>
      </c>
      <c r="F2194" s="115">
        <v>2745.15</v>
      </c>
      <c r="G2194">
        <v>6080</v>
      </c>
      <c r="H2194" s="115"/>
      <c r="I2194" s="115"/>
      <c r="L2194" s="169">
        <v>45237</v>
      </c>
      <c r="M2194" s="115">
        <v>2770.25</v>
      </c>
      <c r="N2194" s="115">
        <v>2778</v>
      </c>
      <c r="O2194" s="115">
        <v>2731.6</v>
      </c>
      <c r="P2194" s="115">
        <v>2755.5</v>
      </c>
      <c r="Q2194" s="115">
        <v>2770.25</v>
      </c>
      <c r="R2194">
        <v>143769</v>
      </c>
    </row>
    <row r="2195" spans="1:18" x14ac:dyDescent="0.25">
      <c r="A2195" s="169">
        <v>45237</v>
      </c>
      <c r="B2195" s="115">
        <v>2777.25</v>
      </c>
      <c r="C2195" s="115">
        <v>2770.95</v>
      </c>
      <c r="D2195" s="115">
        <v>2727.85</v>
      </c>
      <c r="E2195" s="115">
        <v>2759.95</v>
      </c>
      <c r="F2195" s="115">
        <v>2770.95</v>
      </c>
      <c r="G2195">
        <v>3361</v>
      </c>
      <c r="H2195" s="115"/>
      <c r="I2195" s="115"/>
      <c r="L2195" s="169">
        <v>45238</v>
      </c>
      <c r="M2195" s="115">
        <v>2760.95</v>
      </c>
      <c r="N2195" s="115">
        <v>2792</v>
      </c>
      <c r="O2195" s="115">
        <v>2723</v>
      </c>
      <c r="P2195" s="115">
        <v>2792</v>
      </c>
      <c r="Q2195" s="115">
        <v>2760.95</v>
      </c>
      <c r="R2195">
        <v>210259</v>
      </c>
    </row>
    <row r="2196" spans="1:18" x14ac:dyDescent="0.25">
      <c r="A2196" s="169">
        <v>45238</v>
      </c>
      <c r="B2196" s="115">
        <v>2795.2</v>
      </c>
      <c r="C2196" s="115">
        <v>2760.55</v>
      </c>
      <c r="D2196" s="115">
        <v>2723.45</v>
      </c>
      <c r="E2196" s="115">
        <v>2785</v>
      </c>
      <c r="F2196" s="115">
        <v>2760.55</v>
      </c>
      <c r="G2196">
        <v>3314</v>
      </c>
      <c r="H2196" s="115"/>
      <c r="I2196" s="115"/>
      <c r="L2196" s="169">
        <v>45239</v>
      </c>
      <c r="M2196" s="115">
        <v>2773.4</v>
      </c>
      <c r="N2196" s="115">
        <v>2820</v>
      </c>
      <c r="O2196" s="115">
        <v>2762.45</v>
      </c>
      <c r="P2196" s="115">
        <v>2774.8</v>
      </c>
      <c r="Q2196" s="115">
        <v>2773.4</v>
      </c>
      <c r="R2196">
        <v>83922</v>
      </c>
    </row>
    <row r="2197" spans="1:18" x14ac:dyDescent="0.25">
      <c r="A2197" s="169">
        <v>45239</v>
      </c>
      <c r="B2197" s="115">
        <v>2820</v>
      </c>
      <c r="C2197" s="115">
        <v>2778.25</v>
      </c>
      <c r="D2197" s="115">
        <v>2765</v>
      </c>
      <c r="E2197" s="115">
        <v>2780</v>
      </c>
      <c r="F2197" s="115">
        <v>2778.25</v>
      </c>
      <c r="G2197">
        <v>1226</v>
      </c>
      <c r="H2197" s="115"/>
      <c r="I2197" s="115"/>
      <c r="L2197" s="169">
        <v>45240</v>
      </c>
      <c r="M2197" s="115">
        <v>2748.45</v>
      </c>
      <c r="N2197" s="115">
        <v>2797.15</v>
      </c>
      <c r="O2197" s="115">
        <v>2723.05</v>
      </c>
      <c r="P2197" s="115">
        <v>2779.65</v>
      </c>
      <c r="Q2197" s="115">
        <v>2748.45</v>
      </c>
      <c r="R2197">
        <v>234460</v>
      </c>
    </row>
    <row r="2198" spans="1:18" x14ac:dyDescent="0.25">
      <c r="A2198" s="169">
        <v>45240</v>
      </c>
      <c r="B2198" s="115">
        <v>2787.75</v>
      </c>
      <c r="C2198" s="115">
        <v>2746.95</v>
      </c>
      <c r="D2198" s="115">
        <v>2723</v>
      </c>
      <c r="E2198" s="115">
        <v>2779.95</v>
      </c>
      <c r="F2198" s="115">
        <v>2746.95</v>
      </c>
      <c r="G2198">
        <v>3161</v>
      </c>
      <c r="H2198" s="115"/>
      <c r="I2198" s="115"/>
      <c r="L2198" s="169">
        <v>45242</v>
      </c>
      <c r="M2198" s="115">
        <v>2787.05</v>
      </c>
      <c r="N2198" s="115">
        <v>2810</v>
      </c>
      <c r="O2198" s="115">
        <v>2781</v>
      </c>
      <c r="P2198" s="115">
        <v>2800</v>
      </c>
      <c r="Q2198" s="115">
        <v>2787.05</v>
      </c>
      <c r="R2198">
        <v>11083</v>
      </c>
    </row>
    <row r="2199" spans="1:18" x14ac:dyDescent="0.25">
      <c r="A2199" s="169">
        <v>45242</v>
      </c>
      <c r="B2199" s="115">
        <v>2808.15</v>
      </c>
      <c r="C2199" s="115">
        <v>2787.25</v>
      </c>
      <c r="D2199" s="115">
        <v>2782</v>
      </c>
      <c r="E2199" s="115">
        <v>2808.15</v>
      </c>
      <c r="F2199" s="115">
        <v>2787.25</v>
      </c>
      <c r="G2199">
        <v>857</v>
      </c>
      <c r="H2199" s="115"/>
      <c r="I2199" s="115"/>
      <c r="L2199" s="169">
        <v>45243</v>
      </c>
      <c r="M2199" s="115">
        <v>2732.25</v>
      </c>
      <c r="N2199" s="115">
        <v>2792.95</v>
      </c>
      <c r="O2199" s="115">
        <v>2721.8</v>
      </c>
      <c r="P2199" s="115">
        <v>2774</v>
      </c>
      <c r="Q2199" s="115">
        <v>2732.25</v>
      </c>
      <c r="R2199">
        <v>296411</v>
      </c>
    </row>
    <row r="2200" spans="1:18" x14ac:dyDescent="0.25">
      <c r="A2200" s="169">
        <v>45243</v>
      </c>
      <c r="B2200" s="115">
        <v>2794.6</v>
      </c>
      <c r="C2200" s="115">
        <v>2733.8</v>
      </c>
      <c r="D2200" s="115">
        <v>2721.9</v>
      </c>
      <c r="E2200" s="115">
        <v>2794.6</v>
      </c>
      <c r="F2200" s="115">
        <v>2733.8</v>
      </c>
      <c r="G2200">
        <v>7446</v>
      </c>
      <c r="H2200" s="115"/>
      <c r="I2200" s="115"/>
      <c r="L2200" s="169">
        <v>45245</v>
      </c>
      <c r="M2200" s="115">
        <v>2754.5</v>
      </c>
      <c r="N2200" s="115">
        <v>2775.8</v>
      </c>
      <c r="O2200" s="115">
        <v>2728.45</v>
      </c>
      <c r="P2200" s="115">
        <v>2775</v>
      </c>
      <c r="Q2200" s="115">
        <v>2754.5</v>
      </c>
      <c r="R2200">
        <v>73881</v>
      </c>
    </row>
    <row r="2201" spans="1:18" x14ac:dyDescent="0.25">
      <c r="A2201" s="169">
        <v>45245</v>
      </c>
      <c r="B2201" s="115">
        <v>2786.65</v>
      </c>
      <c r="C2201" s="115">
        <v>2760.7</v>
      </c>
      <c r="D2201" s="115">
        <v>2729.05</v>
      </c>
      <c r="E2201" s="115">
        <v>2765</v>
      </c>
      <c r="F2201" s="115">
        <v>2760.7</v>
      </c>
      <c r="G2201">
        <v>3519</v>
      </c>
      <c r="H2201" s="115"/>
      <c r="I2201" s="115"/>
      <c r="L2201" s="169">
        <v>45246</v>
      </c>
      <c r="M2201" s="115">
        <v>2747.25</v>
      </c>
      <c r="N2201" s="115">
        <v>2785</v>
      </c>
      <c r="O2201" s="115">
        <v>2739.95</v>
      </c>
      <c r="P2201" s="115">
        <v>2757.95</v>
      </c>
      <c r="Q2201" s="115">
        <v>2747.25</v>
      </c>
      <c r="R2201">
        <v>86879</v>
      </c>
    </row>
    <row r="2202" spans="1:18" x14ac:dyDescent="0.25">
      <c r="A2202" s="169">
        <v>45246</v>
      </c>
      <c r="B2202" s="115">
        <v>2784.9</v>
      </c>
      <c r="C2202" s="115">
        <v>2747.75</v>
      </c>
      <c r="D2202" s="115">
        <v>2740.05</v>
      </c>
      <c r="E2202" s="115">
        <v>2760</v>
      </c>
      <c r="F2202" s="115">
        <v>2747.75</v>
      </c>
      <c r="G2202">
        <v>3116</v>
      </c>
      <c r="H2202" s="115"/>
      <c r="I2202" s="115"/>
      <c r="L2202" s="169">
        <v>45247</v>
      </c>
      <c r="M2202" s="115">
        <v>2711.3</v>
      </c>
      <c r="N2202" s="115">
        <v>2767.4</v>
      </c>
      <c r="O2202" s="115">
        <v>2705</v>
      </c>
      <c r="P2202" s="115">
        <v>2750.7</v>
      </c>
      <c r="Q2202" s="115">
        <v>2711.3</v>
      </c>
      <c r="R2202">
        <v>70208</v>
      </c>
    </row>
    <row r="2203" spans="1:18" x14ac:dyDescent="0.25">
      <c r="A2203" s="169">
        <v>45247</v>
      </c>
      <c r="B2203" s="115">
        <v>2779.95</v>
      </c>
      <c r="C2203" s="115">
        <v>2709.95</v>
      </c>
      <c r="D2203" s="115">
        <v>2705.4</v>
      </c>
      <c r="E2203" s="115">
        <v>2779.95</v>
      </c>
      <c r="F2203" s="115">
        <v>2709.95</v>
      </c>
      <c r="G2203">
        <v>4789</v>
      </c>
      <c r="H2203" s="115"/>
      <c r="I2203" s="115"/>
      <c r="L2203" s="169">
        <v>45250</v>
      </c>
      <c r="M2203" s="115">
        <v>2756.45</v>
      </c>
      <c r="N2203" s="115">
        <v>2765</v>
      </c>
      <c r="O2203" s="115">
        <v>2702.3</v>
      </c>
      <c r="P2203" s="115">
        <v>2710</v>
      </c>
      <c r="Q2203" s="115">
        <v>2756.45</v>
      </c>
      <c r="R2203">
        <v>99269</v>
      </c>
    </row>
    <row r="2204" spans="1:18" x14ac:dyDescent="0.25">
      <c r="A2204" s="169">
        <v>45250</v>
      </c>
      <c r="B2204" s="115">
        <v>2762</v>
      </c>
      <c r="C2204" s="115">
        <v>2759.35</v>
      </c>
      <c r="D2204" s="115">
        <v>2703.15</v>
      </c>
      <c r="E2204" s="115">
        <v>2705.05</v>
      </c>
      <c r="F2204" s="115">
        <v>2759.35</v>
      </c>
      <c r="G2204">
        <v>2223</v>
      </c>
      <c r="H2204" s="115"/>
      <c r="I2204" s="115"/>
      <c r="L2204" s="169">
        <v>45251</v>
      </c>
      <c r="M2204" s="115">
        <v>2770.2</v>
      </c>
      <c r="N2204" s="115">
        <v>2775</v>
      </c>
      <c r="O2204" s="115">
        <v>2748.95</v>
      </c>
      <c r="P2204" s="115">
        <v>2756.05</v>
      </c>
      <c r="Q2204" s="115">
        <v>2770.2</v>
      </c>
      <c r="R2204">
        <v>38627</v>
      </c>
    </row>
    <row r="2205" spans="1:18" x14ac:dyDescent="0.25">
      <c r="A2205" s="169">
        <v>45251</v>
      </c>
      <c r="B2205" s="115">
        <v>2772.75</v>
      </c>
      <c r="C2205" s="115">
        <v>2770.4</v>
      </c>
      <c r="D2205" s="115">
        <v>2742.8</v>
      </c>
      <c r="E2205" s="115">
        <v>2769.95</v>
      </c>
      <c r="F2205" s="115">
        <v>2770.4</v>
      </c>
      <c r="G2205">
        <v>3567</v>
      </c>
      <c r="H2205" s="115"/>
      <c r="I2205" s="115"/>
      <c r="L2205" s="169">
        <v>45252</v>
      </c>
      <c r="M2205" s="115">
        <v>2811.85</v>
      </c>
      <c r="N2205" s="115">
        <v>2859</v>
      </c>
      <c r="O2205" s="115">
        <v>2750.2</v>
      </c>
      <c r="P2205" s="115">
        <v>2775</v>
      </c>
      <c r="Q2205" s="115">
        <v>2811.85</v>
      </c>
      <c r="R2205">
        <v>325805</v>
      </c>
    </row>
    <row r="2206" spans="1:18" x14ac:dyDescent="0.25">
      <c r="A2206" s="169">
        <v>45252</v>
      </c>
      <c r="B2206" s="115">
        <v>2860</v>
      </c>
      <c r="C2206" s="115">
        <v>2815.5</v>
      </c>
      <c r="D2206" s="115">
        <v>2750</v>
      </c>
      <c r="E2206" s="115">
        <v>2782.7</v>
      </c>
      <c r="F2206" s="115">
        <v>2815.5</v>
      </c>
      <c r="G2206">
        <v>9778</v>
      </c>
      <c r="H2206" s="115"/>
      <c r="I2206" s="115"/>
      <c r="L2206" s="169">
        <v>45253</v>
      </c>
      <c r="M2206" s="115">
        <v>2842.65</v>
      </c>
      <c r="N2206" s="115">
        <v>2888.15</v>
      </c>
      <c r="O2206" s="115">
        <v>2821.1</v>
      </c>
      <c r="P2206" s="115">
        <v>2844</v>
      </c>
      <c r="Q2206" s="115">
        <v>2842.65</v>
      </c>
      <c r="R2206">
        <v>136061</v>
      </c>
    </row>
    <row r="2207" spans="1:18" x14ac:dyDescent="0.25">
      <c r="A2207" s="169">
        <v>45253</v>
      </c>
      <c r="B2207" s="115">
        <v>2889.85</v>
      </c>
      <c r="C2207" s="115">
        <v>2841.05</v>
      </c>
      <c r="D2207" s="115">
        <v>2821.3</v>
      </c>
      <c r="E2207" s="115">
        <v>2858.9</v>
      </c>
      <c r="F2207" s="115">
        <v>2841.05</v>
      </c>
      <c r="G2207">
        <v>5930</v>
      </c>
      <c r="H2207" s="115"/>
      <c r="I2207" s="115"/>
      <c r="L2207" s="169">
        <v>45254</v>
      </c>
      <c r="M2207" s="115">
        <v>2794.95</v>
      </c>
      <c r="N2207" s="115">
        <v>2864.95</v>
      </c>
      <c r="O2207" s="115">
        <v>2786.3</v>
      </c>
      <c r="P2207" s="115">
        <v>2850</v>
      </c>
      <c r="Q2207" s="115">
        <v>2794.95</v>
      </c>
      <c r="R2207">
        <v>73829</v>
      </c>
    </row>
    <row r="2208" spans="1:18" x14ac:dyDescent="0.25">
      <c r="A2208" s="169">
        <v>45254</v>
      </c>
      <c r="B2208" s="115">
        <v>2853.85</v>
      </c>
      <c r="C2208" s="115">
        <v>2794.4</v>
      </c>
      <c r="D2208" s="115">
        <v>2790.15</v>
      </c>
      <c r="E2208" s="115">
        <v>2853.85</v>
      </c>
      <c r="F2208" s="115">
        <v>2794.4</v>
      </c>
      <c r="G2208">
        <v>2948</v>
      </c>
      <c r="H2208" s="115"/>
      <c r="I2208" s="115"/>
      <c r="L2208" s="169">
        <v>45258</v>
      </c>
      <c r="M2208" s="115">
        <v>2770.45</v>
      </c>
      <c r="N2208" s="115">
        <v>2840</v>
      </c>
      <c r="O2208" s="115">
        <v>2763.9</v>
      </c>
      <c r="P2208" s="115">
        <v>2820</v>
      </c>
      <c r="Q2208" s="115">
        <v>2770.45</v>
      </c>
      <c r="R2208">
        <v>53168</v>
      </c>
    </row>
    <row r="2209" spans="1:18" x14ac:dyDescent="0.25">
      <c r="A2209" s="169">
        <v>45258</v>
      </c>
      <c r="B2209" s="115">
        <v>2840.45</v>
      </c>
      <c r="C2209" s="115">
        <v>2769.95</v>
      </c>
      <c r="D2209" s="115">
        <v>2766</v>
      </c>
      <c r="E2209" s="115">
        <v>2800</v>
      </c>
      <c r="F2209" s="115">
        <v>2769.95</v>
      </c>
      <c r="G2209">
        <v>1381</v>
      </c>
      <c r="H2209" s="115"/>
      <c r="I2209" s="115"/>
      <c r="L2209" s="169">
        <v>45259</v>
      </c>
      <c r="M2209" s="115">
        <v>2823.75</v>
      </c>
      <c r="N2209" s="115">
        <v>2833.95</v>
      </c>
      <c r="O2209" s="115">
        <v>2727</v>
      </c>
      <c r="P2209" s="115">
        <v>2770.75</v>
      </c>
      <c r="Q2209" s="115">
        <v>2823.75</v>
      </c>
      <c r="R2209">
        <v>220636</v>
      </c>
    </row>
    <row r="2210" spans="1:18" x14ac:dyDescent="0.25">
      <c r="A2210" s="169">
        <v>45259</v>
      </c>
      <c r="B2210" s="115">
        <v>2830.25</v>
      </c>
      <c r="C2210" s="115">
        <v>2820.05</v>
      </c>
      <c r="D2210" s="115">
        <v>2730.65</v>
      </c>
      <c r="E2210" s="115">
        <v>2792.5</v>
      </c>
      <c r="F2210" s="115">
        <v>2820.05</v>
      </c>
      <c r="G2210">
        <v>7162</v>
      </c>
      <c r="H2210" s="115"/>
      <c r="I2210" s="115"/>
      <c r="L2210" s="169">
        <v>45260</v>
      </c>
      <c r="M2210" s="115">
        <v>2838.1</v>
      </c>
      <c r="N2210" s="115">
        <v>2842</v>
      </c>
      <c r="O2210" s="115">
        <v>2811.6</v>
      </c>
      <c r="P2210" s="115">
        <v>2836.9</v>
      </c>
      <c r="Q2210" s="115">
        <v>2838.1</v>
      </c>
      <c r="R2210">
        <v>136680</v>
      </c>
    </row>
    <row r="2211" spans="1:18" x14ac:dyDescent="0.25">
      <c r="A2211" s="169">
        <v>45260</v>
      </c>
      <c r="B2211" s="115">
        <v>2844.95</v>
      </c>
      <c r="C2211" s="115">
        <v>2836.45</v>
      </c>
      <c r="D2211" s="115">
        <v>2822.55</v>
      </c>
      <c r="E2211" s="115">
        <v>2844.95</v>
      </c>
      <c r="F2211" s="115">
        <v>2836.45</v>
      </c>
      <c r="G2211">
        <v>1831</v>
      </c>
      <c r="H2211" s="115"/>
      <c r="I2211" s="115"/>
      <c r="L2211" s="169">
        <v>45261</v>
      </c>
      <c r="M2211" s="115">
        <v>2867.6</v>
      </c>
      <c r="N2211" s="115">
        <v>2874.95</v>
      </c>
      <c r="O2211" s="115">
        <v>2840.45</v>
      </c>
      <c r="P2211" s="115">
        <v>2848</v>
      </c>
      <c r="Q2211" s="115">
        <v>2867.6</v>
      </c>
      <c r="R2211">
        <v>46215</v>
      </c>
    </row>
    <row r="2212" spans="1:18" x14ac:dyDescent="0.25">
      <c r="A2212" s="169">
        <v>45261</v>
      </c>
      <c r="B2212" s="115">
        <v>2882.35</v>
      </c>
      <c r="C2212" s="115">
        <v>2868.2</v>
      </c>
      <c r="D2212" s="115">
        <v>2836</v>
      </c>
      <c r="E2212" s="115">
        <v>2836</v>
      </c>
      <c r="F2212" s="115">
        <v>2868.2</v>
      </c>
      <c r="G2212">
        <v>3323</v>
      </c>
      <c r="H2212" s="115"/>
      <c r="I2212" s="115"/>
      <c r="L2212" s="169">
        <v>45264</v>
      </c>
      <c r="M2212" s="115">
        <v>2940.55</v>
      </c>
      <c r="N2212" s="115">
        <v>2945</v>
      </c>
      <c r="O2212" s="115">
        <v>2881.55</v>
      </c>
      <c r="P2212" s="115">
        <v>2903.85</v>
      </c>
      <c r="Q2212" s="115">
        <v>2940.55</v>
      </c>
      <c r="R2212">
        <v>71367</v>
      </c>
    </row>
    <row r="2213" spans="1:18" x14ac:dyDescent="0.25">
      <c r="A2213" s="169">
        <v>45264</v>
      </c>
      <c r="B2213" s="115">
        <v>2944.9</v>
      </c>
      <c r="C2213" s="115">
        <v>2936.75</v>
      </c>
      <c r="D2213" s="115">
        <v>2870.05</v>
      </c>
      <c r="E2213" s="115">
        <v>2870.05</v>
      </c>
      <c r="F2213" s="115">
        <v>2936.75</v>
      </c>
      <c r="G2213">
        <v>6712</v>
      </c>
      <c r="H2213" s="115"/>
      <c r="I2213" s="115"/>
      <c r="L2213" s="169">
        <v>45265</v>
      </c>
      <c r="M2213" s="115">
        <v>2973.2</v>
      </c>
      <c r="N2213" s="115">
        <v>2979</v>
      </c>
      <c r="O2213" s="115">
        <v>2922.1</v>
      </c>
      <c r="P2213" s="115">
        <v>2940</v>
      </c>
      <c r="Q2213" s="115">
        <v>2973.2</v>
      </c>
      <c r="R2213">
        <v>73077</v>
      </c>
    </row>
    <row r="2214" spans="1:18" x14ac:dyDescent="0.25">
      <c r="A2214" s="169">
        <v>45265</v>
      </c>
      <c r="B2214" s="115">
        <v>2979.35</v>
      </c>
      <c r="C2214" s="115">
        <v>2971.5</v>
      </c>
      <c r="D2214" s="115">
        <v>2924.5</v>
      </c>
      <c r="E2214" s="115">
        <v>2941</v>
      </c>
      <c r="F2214" s="115">
        <v>2971.5</v>
      </c>
      <c r="G2214">
        <v>7468</v>
      </c>
      <c r="H2214" s="115"/>
      <c r="I2214" s="115"/>
      <c r="L2214" s="169">
        <v>45266</v>
      </c>
      <c r="M2214" s="115">
        <v>3008.85</v>
      </c>
      <c r="N2214" s="115">
        <v>3025</v>
      </c>
      <c r="O2214" s="115">
        <v>2945</v>
      </c>
      <c r="P2214" s="115">
        <v>2990</v>
      </c>
      <c r="Q2214" s="115">
        <v>3008.85</v>
      </c>
      <c r="R2214">
        <v>61091</v>
      </c>
    </row>
    <row r="2215" spans="1:18" x14ac:dyDescent="0.25">
      <c r="A2215" s="169">
        <v>45266</v>
      </c>
      <c r="B2215" s="115">
        <v>3025.1</v>
      </c>
      <c r="C2215" s="115">
        <v>3008.85</v>
      </c>
      <c r="D2215" s="115">
        <v>2946</v>
      </c>
      <c r="E2215" s="115">
        <v>3005.95</v>
      </c>
      <c r="F2215" s="115">
        <v>3008.85</v>
      </c>
      <c r="G2215">
        <v>2244</v>
      </c>
      <c r="H2215" s="115"/>
      <c r="I2215" s="115"/>
      <c r="L2215" s="169">
        <v>45267</v>
      </c>
      <c r="M2215" s="115">
        <v>3027.05</v>
      </c>
      <c r="N2215" s="115">
        <v>3064.35</v>
      </c>
      <c r="O2215" s="115">
        <v>3006.75</v>
      </c>
      <c r="P2215" s="115">
        <v>3035.45</v>
      </c>
      <c r="Q2215" s="115">
        <v>3027.05</v>
      </c>
      <c r="R2215">
        <v>73810</v>
      </c>
    </row>
    <row r="2216" spans="1:18" x14ac:dyDescent="0.25">
      <c r="A2216" s="169">
        <v>45267</v>
      </c>
      <c r="B2216" s="115">
        <v>3063.65</v>
      </c>
      <c r="C2216" s="115">
        <v>3025.15</v>
      </c>
      <c r="D2216" s="115">
        <v>3004.9</v>
      </c>
      <c r="E2216" s="115">
        <v>3054.9</v>
      </c>
      <c r="F2216" s="115">
        <v>3025.15</v>
      </c>
      <c r="G2216">
        <v>6168</v>
      </c>
      <c r="H2216" s="115"/>
      <c r="I2216" s="115"/>
      <c r="L2216" s="169">
        <v>45268</v>
      </c>
      <c r="M2216" s="115">
        <v>3037.3</v>
      </c>
      <c r="N2216" s="115">
        <v>3044.65</v>
      </c>
      <c r="O2216" s="115">
        <v>3005.1</v>
      </c>
      <c r="P2216" s="115">
        <v>3037</v>
      </c>
      <c r="Q2216" s="115">
        <v>3037.3</v>
      </c>
      <c r="R2216">
        <v>86589</v>
      </c>
    </row>
    <row r="2217" spans="1:18" x14ac:dyDescent="0.25">
      <c r="A2217" s="169">
        <v>45268</v>
      </c>
      <c r="B2217" s="115">
        <v>3042.95</v>
      </c>
      <c r="C2217" s="115">
        <v>3036.85</v>
      </c>
      <c r="D2217" s="115">
        <v>3006.95</v>
      </c>
      <c r="E2217" s="115">
        <v>3025.15</v>
      </c>
      <c r="F2217" s="115">
        <v>3036.85</v>
      </c>
      <c r="G2217">
        <v>2214</v>
      </c>
      <c r="H2217" s="115"/>
      <c r="I2217" s="115"/>
      <c r="L2217" s="169">
        <v>45271</v>
      </c>
      <c r="M2217" s="115">
        <v>3076.95</v>
      </c>
      <c r="N2217" s="115">
        <v>3085</v>
      </c>
      <c r="O2217" s="115">
        <v>3032</v>
      </c>
      <c r="P2217" s="115">
        <v>3036.3</v>
      </c>
      <c r="Q2217" s="115">
        <v>3076.95</v>
      </c>
      <c r="R2217">
        <v>83887</v>
      </c>
    </row>
    <row r="2218" spans="1:18" x14ac:dyDescent="0.25">
      <c r="A2218" s="169">
        <v>45271</v>
      </c>
      <c r="B2218" s="115">
        <v>3084.95</v>
      </c>
      <c r="C2218" s="115">
        <v>3078.35</v>
      </c>
      <c r="D2218" s="115">
        <v>3035.5</v>
      </c>
      <c r="E2218" s="115">
        <v>3072.2</v>
      </c>
      <c r="F2218" s="115">
        <v>3078.35</v>
      </c>
      <c r="G2218">
        <v>1503</v>
      </c>
      <c r="H2218" s="115"/>
      <c r="I2218" s="115"/>
      <c r="L2218" s="169">
        <v>45272</v>
      </c>
      <c r="M2218" s="115">
        <v>3049.8</v>
      </c>
      <c r="N2218" s="115">
        <v>3085</v>
      </c>
      <c r="O2218" s="115">
        <v>3014.6</v>
      </c>
      <c r="P2218" s="115">
        <v>3084.05</v>
      </c>
      <c r="Q2218" s="115">
        <v>3049.8</v>
      </c>
      <c r="R2218">
        <v>83880</v>
      </c>
    </row>
    <row r="2219" spans="1:18" x14ac:dyDescent="0.25">
      <c r="A2219" s="169">
        <v>45272</v>
      </c>
      <c r="B2219" s="115">
        <v>3081.8</v>
      </c>
      <c r="C2219" s="115">
        <v>3047.9</v>
      </c>
      <c r="D2219" s="115">
        <v>3010.8</v>
      </c>
      <c r="E2219" s="115">
        <v>3081.8</v>
      </c>
      <c r="F2219" s="115">
        <v>3047.9</v>
      </c>
      <c r="G2219">
        <v>4160</v>
      </c>
      <c r="H2219" s="115"/>
      <c r="I2219" s="115"/>
      <c r="L2219" s="169">
        <v>45273</v>
      </c>
      <c r="M2219" s="115">
        <v>3034.4</v>
      </c>
      <c r="N2219" s="115">
        <v>3065.05</v>
      </c>
      <c r="O2219" s="115">
        <v>2960</v>
      </c>
      <c r="P2219" s="115">
        <v>3049.8</v>
      </c>
      <c r="Q2219" s="115">
        <v>3034.4</v>
      </c>
      <c r="R2219">
        <v>43367</v>
      </c>
    </row>
    <row r="2220" spans="1:18" x14ac:dyDescent="0.25">
      <c r="A2220" s="169">
        <v>45273</v>
      </c>
      <c r="B2220" s="115">
        <v>3058</v>
      </c>
      <c r="C2220" s="115">
        <v>3010.9</v>
      </c>
      <c r="D2220" s="115">
        <v>2988.7</v>
      </c>
      <c r="E2220" s="115">
        <v>3047.1</v>
      </c>
      <c r="F2220" s="115">
        <v>3010.9</v>
      </c>
      <c r="G2220">
        <v>1615</v>
      </c>
      <c r="H2220" s="115"/>
      <c r="I2220" s="115"/>
      <c r="L2220" s="169">
        <v>45274</v>
      </c>
      <c r="M2220" s="115">
        <v>3065.4</v>
      </c>
      <c r="N2220" s="115">
        <v>3075.25</v>
      </c>
      <c r="O2220" s="115">
        <v>3040</v>
      </c>
      <c r="P2220" s="115">
        <v>3053</v>
      </c>
      <c r="Q2220" s="115">
        <v>3065.4</v>
      </c>
      <c r="R2220">
        <v>47733</v>
      </c>
    </row>
    <row r="2221" spans="1:18" x14ac:dyDescent="0.25">
      <c r="A2221" s="169">
        <v>45274</v>
      </c>
      <c r="B2221" s="115">
        <v>3076</v>
      </c>
      <c r="C2221" s="115">
        <v>3065.6</v>
      </c>
      <c r="D2221" s="115">
        <v>3055.95</v>
      </c>
      <c r="E2221" s="115">
        <v>3069.9</v>
      </c>
      <c r="F2221" s="115">
        <v>3065.6</v>
      </c>
      <c r="G2221">
        <v>927</v>
      </c>
      <c r="H2221" s="115"/>
      <c r="I2221" s="115"/>
      <c r="L2221" s="169">
        <v>45275</v>
      </c>
      <c r="M2221" s="115">
        <v>3052.35</v>
      </c>
      <c r="N2221" s="115">
        <v>3080.7</v>
      </c>
      <c r="O2221" s="115">
        <v>3045.05</v>
      </c>
      <c r="P2221" s="115">
        <v>3080.7</v>
      </c>
      <c r="Q2221" s="115">
        <v>3052.35</v>
      </c>
      <c r="R2221">
        <v>59678</v>
      </c>
    </row>
    <row r="2222" spans="1:18" x14ac:dyDescent="0.25">
      <c r="A2222" s="169">
        <v>45275</v>
      </c>
      <c r="B2222" s="115">
        <v>3077.45</v>
      </c>
      <c r="C2222" s="115">
        <v>3050.35</v>
      </c>
      <c r="D2222" s="115">
        <v>3039.1</v>
      </c>
      <c r="E2222" s="115">
        <v>3065.6</v>
      </c>
      <c r="F2222" s="115">
        <v>3050.35</v>
      </c>
      <c r="G2222">
        <v>2812</v>
      </c>
      <c r="H2222" s="115"/>
      <c r="I2222" s="115"/>
      <c r="L2222" s="169">
        <v>45278</v>
      </c>
      <c r="M2222" s="115">
        <v>3070.15</v>
      </c>
      <c r="N2222" s="115">
        <v>3078.2</v>
      </c>
      <c r="O2222" s="115">
        <v>3040</v>
      </c>
      <c r="P2222" s="115">
        <v>3052.35</v>
      </c>
      <c r="Q2222" s="115">
        <v>3070.15</v>
      </c>
      <c r="R2222">
        <v>36464</v>
      </c>
    </row>
    <row r="2223" spans="1:18" x14ac:dyDescent="0.25">
      <c r="A2223" s="169">
        <v>45278</v>
      </c>
      <c r="B2223" s="115">
        <v>3077</v>
      </c>
      <c r="C2223" s="115">
        <v>3069.4</v>
      </c>
      <c r="D2223" s="115">
        <v>3039.05</v>
      </c>
      <c r="E2223" s="115">
        <v>3039.05</v>
      </c>
      <c r="F2223" s="115">
        <v>3069.4</v>
      </c>
      <c r="G2223">
        <v>1580</v>
      </c>
      <c r="H2223" s="115"/>
      <c r="I2223" s="115"/>
      <c r="L2223" s="169">
        <v>45279</v>
      </c>
      <c r="M2223" s="115">
        <v>3049.55</v>
      </c>
      <c r="N2223" s="115">
        <v>3090</v>
      </c>
      <c r="O2223" s="115">
        <v>3041.45</v>
      </c>
      <c r="P2223" s="115">
        <v>3087</v>
      </c>
      <c r="Q2223" s="115">
        <v>3049.55</v>
      </c>
      <c r="R2223">
        <v>26172</v>
      </c>
    </row>
    <row r="2224" spans="1:18" x14ac:dyDescent="0.25">
      <c r="A2224" s="169">
        <v>45279</v>
      </c>
      <c r="B2224" s="115">
        <v>3073.25</v>
      </c>
      <c r="C2224" s="115">
        <v>3048.2</v>
      </c>
      <c r="D2224" s="115">
        <v>3043.45</v>
      </c>
      <c r="E2224" s="115">
        <v>3073.25</v>
      </c>
      <c r="F2224" s="115">
        <v>3048.2</v>
      </c>
      <c r="G2224">
        <v>1189</v>
      </c>
      <c r="H2224" s="115"/>
      <c r="I2224" s="115"/>
      <c r="L2224" s="169">
        <v>45280</v>
      </c>
      <c r="M2224" s="115">
        <v>3069.4</v>
      </c>
      <c r="N2224" s="115">
        <v>3124</v>
      </c>
      <c r="O2224" s="115">
        <v>3046.55</v>
      </c>
      <c r="P2224" s="115">
        <v>3050</v>
      </c>
      <c r="Q2224" s="115">
        <v>3069.4</v>
      </c>
      <c r="R2224">
        <v>218413</v>
      </c>
    </row>
    <row r="2225" spans="1:18" x14ac:dyDescent="0.25">
      <c r="A2225" s="169">
        <v>45280</v>
      </c>
      <c r="B2225" s="115">
        <v>3125.2</v>
      </c>
      <c r="C2225" s="115">
        <v>3041.95</v>
      </c>
      <c r="D2225" s="115">
        <v>3007.85</v>
      </c>
      <c r="E2225" s="115">
        <v>3048.2</v>
      </c>
      <c r="F2225" s="115">
        <v>3041.95</v>
      </c>
      <c r="G2225">
        <v>4057</v>
      </c>
      <c r="H2225" s="115"/>
      <c r="I2225" s="115"/>
      <c r="L2225" s="169">
        <v>45281</v>
      </c>
      <c r="M2225" s="115">
        <v>3126.1</v>
      </c>
      <c r="N2225" s="115">
        <v>3192.8</v>
      </c>
      <c r="O2225" s="115">
        <v>3011.2</v>
      </c>
      <c r="P2225" s="115">
        <v>3050.1</v>
      </c>
      <c r="Q2225" s="115">
        <v>3126.1</v>
      </c>
      <c r="R2225">
        <v>155043</v>
      </c>
    </row>
    <row r="2226" spans="1:18" x14ac:dyDescent="0.25">
      <c r="A2226" s="169">
        <v>45281</v>
      </c>
      <c r="B2226" s="115">
        <v>3190</v>
      </c>
      <c r="C2226" s="115">
        <v>3122.4</v>
      </c>
      <c r="D2226" s="115">
        <v>3036.55</v>
      </c>
      <c r="E2226" s="115">
        <v>3051.95</v>
      </c>
      <c r="F2226" s="115">
        <v>3122.4</v>
      </c>
      <c r="G2226">
        <v>4935</v>
      </c>
      <c r="H2226" s="115"/>
      <c r="I2226" s="115"/>
      <c r="L2226" s="169">
        <v>45282</v>
      </c>
      <c r="M2226" s="115">
        <v>3176.7</v>
      </c>
      <c r="N2226" s="115">
        <v>3188</v>
      </c>
      <c r="O2226" s="115">
        <v>3122.45</v>
      </c>
      <c r="P2226" s="115">
        <v>3174</v>
      </c>
      <c r="Q2226" s="115">
        <v>3176.7</v>
      </c>
      <c r="R2226">
        <v>121518</v>
      </c>
    </row>
    <row r="2227" spans="1:18" x14ac:dyDescent="0.25">
      <c r="A2227" s="169">
        <v>45282</v>
      </c>
      <c r="B2227" s="115">
        <v>3187</v>
      </c>
      <c r="C2227" s="115">
        <v>3176.25</v>
      </c>
      <c r="D2227" s="115">
        <v>3102.55</v>
      </c>
      <c r="E2227" s="115">
        <v>3102.55</v>
      </c>
      <c r="F2227" s="115">
        <v>3176.25</v>
      </c>
      <c r="G2227">
        <v>1693</v>
      </c>
      <c r="H2227" s="115"/>
      <c r="I2227" s="115"/>
      <c r="L2227" s="169">
        <v>45286</v>
      </c>
      <c r="M2227" s="115">
        <v>3200.8</v>
      </c>
      <c r="N2227" s="115">
        <v>3215</v>
      </c>
      <c r="O2227" s="115">
        <v>3156.05</v>
      </c>
      <c r="P2227" s="115">
        <v>3180</v>
      </c>
      <c r="Q2227" s="115">
        <v>3200.8</v>
      </c>
      <c r="R2227">
        <v>46463</v>
      </c>
    </row>
    <row r="2228" spans="1:18" x14ac:dyDescent="0.25">
      <c r="A2228" s="169">
        <v>45286</v>
      </c>
      <c r="B2228" s="115">
        <v>3210</v>
      </c>
      <c r="C2228" s="115">
        <v>3200.7</v>
      </c>
      <c r="D2228" s="115">
        <v>3161.35</v>
      </c>
      <c r="E2228" s="115">
        <v>3196.4</v>
      </c>
      <c r="F2228" s="115">
        <v>3200.7</v>
      </c>
      <c r="G2228">
        <v>1255</v>
      </c>
      <c r="H2228" s="115"/>
      <c r="I2228" s="115"/>
      <c r="L2228" s="169">
        <v>45287</v>
      </c>
      <c r="M2228" s="115">
        <v>3220.2</v>
      </c>
      <c r="N2228" s="115">
        <v>3235.45</v>
      </c>
      <c r="O2228" s="115">
        <v>3186.8</v>
      </c>
      <c r="P2228" s="115">
        <v>3211.15</v>
      </c>
      <c r="Q2228" s="115">
        <v>3220.2</v>
      </c>
      <c r="R2228">
        <v>54793</v>
      </c>
    </row>
    <row r="2229" spans="1:18" x14ac:dyDescent="0.25">
      <c r="A2229" s="169">
        <v>45287</v>
      </c>
      <c r="B2229" s="115">
        <v>3246.75</v>
      </c>
      <c r="C2229" s="115">
        <v>3221.5</v>
      </c>
      <c r="D2229" s="115">
        <v>3195.15</v>
      </c>
      <c r="E2229" s="115">
        <v>3246.75</v>
      </c>
      <c r="F2229" s="115">
        <v>3221.5</v>
      </c>
      <c r="G2229">
        <v>2517</v>
      </c>
      <c r="H2229" s="115"/>
      <c r="I2229" s="115"/>
      <c r="L2229" s="169">
        <v>45288</v>
      </c>
      <c r="M2229" s="115">
        <v>3211.75</v>
      </c>
      <c r="N2229" s="115">
        <v>3230.65</v>
      </c>
      <c r="O2229" s="115">
        <v>3186.15</v>
      </c>
      <c r="P2229" s="115">
        <v>3228</v>
      </c>
      <c r="Q2229" s="115">
        <v>3211.75</v>
      </c>
      <c r="R2229">
        <v>64836</v>
      </c>
    </row>
    <row r="2230" spans="1:18" x14ac:dyDescent="0.25">
      <c r="A2230" s="169">
        <v>45288</v>
      </c>
      <c r="B2230" s="115">
        <v>3228.75</v>
      </c>
      <c r="C2230" s="115">
        <v>3207.55</v>
      </c>
      <c r="D2230" s="115">
        <v>3184.7</v>
      </c>
      <c r="E2230" s="115">
        <v>3207.1</v>
      </c>
      <c r="F2230" s="115">
        <v>3207.55</v>
      </c>
      <c r="G2230">
        <v>4281</v>
      </c>
      <c r="H2230" s="115"/>
      <c r="I2230" s="115"/>
      <c r="L2230" s="169">
        <v>45289</v>
      </c>
      <c r="M2230" s="115">
        <v>3203</v>
      </c>
      <c r="N2230" s="115">
        <v>3219</v>
      </c>
      <c r="O2230" s="115">
        <v>3117.95</v>
      </c>
      <c r="P2230" s="115">
        <v>3219</v>
      </c>
      <c r="Q2230" s="115">
        <v>3203</v>
      </c>
      <c r="R2230">
        <v>39480</v>
      </c>
    </row>
    <row r="2231" spans="1:18" x14ac:dyDescent="0.25">
      <c r="A2231" s="169">
        <v>45289</v>
      </c>
      <c r="B2231" s="115">
        <v>3214.1</v>
      </c>
      <c r="C2231" s="115">
        <v>3202.2</v>
      </c>
      <c r="D2231" s="115">
        <v>3117.45</v>
      </c>
      <c r="E2231" s="115">
        <v>3207.55</v>
      </c>
      <c r="F2231" s="115">
        <v>3202.2</v>
      </c>
      <c r="G2231">
        <v>1711</v>
      </c>
      <c r="H2231" s="115"/>
      <c r="I2231" s="115"/>
      <c r="L2231" s="169">
        <v>45292</v>
      </c>
      <c r="M2231" s="115">
        <v>3210.2</v>
      </c>
      <c r="N2231" s="115">
        <v>3224.25</v>
      </c>
      <c r="O2231" s="115">
        <v>3152</v>
      </c>
      <c r="P2231" s="115">
        <v>3209.1</v>
      </c>
      <c r="Q2231" s="115">
        <v>3210.2</v>
      </c>
      <c r="R2231">
        <v>25957</v>
      </c>
    </row>
    <row r="2232" spans="1:18" x14ac:dyDescent="0.25">
      <c r="A2232" s="169">
        <v>45292</v>
      </c>
      <c r="B2232" s="115">
        <v>3221.05</v>
      </c>
      <c r="C2232" s="115">
        <v>3211.4</v>
      </c>
      <c r="D2232" s="115">
        <v>3168</v>
      </c>
      <c r="E2232" s="115">
        <v>3180.05</v>
      </c>
      <c r="F2232" s="115">
        <v>3211.4</v>
      </c>
      <c r="G2232">
        <v>707</v>
      </c>
      <c r="H2232" s="115"/>
      <c r="I2232" s="115"/>
      <c r="L2232" s="169">
        <v>45293</v>
      </c>
      <c r="M2232" s="115">
        <v>3191</v>
      </c>
      <c r="N2232" s="115">
        <v>3224</v>
      </c>
      <c r="O2232" s="115">
        <v>3161.55</v>
      </c>
      <c r="P2232" s="115">
        <v>3221.55</v>
      </c>
      <c r="Q2232" s="115">
        <v>3191</v>
      </c>
      <c r="R2232">
        <v>26219</v>
      </c>
    </row>
    <row r="2233" spans="1:18" x14ac:dyDescent="0.25">
      <c r="A2233" s="169">
        <v>45293</v>
      </c>
      <c r="B2233" s="115">
        <v>3220.8</v>
      </c>
      <c r="C2233" s="115">
        <v>3190.5</v>
      </c>
      <c r="D2233" s="115">
        <v>3161</v>
      </c>
      <c r="E2233" s="115">
        <v>3215</v>
      </c>
      <c r="F2233" s="115">
        <v>3190.5</v>
      </c>
      <c r="G2233">
        <v>2531</v>
      </c>
      <c r="H2233" s="115"/>
      <c r="I2233" s="115"/>
      <c r="L2233" s="169">
        <v>45294</v>
      </c>
      <c r="M2233" s="115">
        <v>3107.4</v>
      </c>
      <c r="N2233" s="115">
        <v>3199</v>
      </c>
      <c r="O2233" s="115">
        <v>3100</v>
      </c>
      <c r="P2233" s="115">
        <v>3185</v>
      </c>
      <c r="Q2233" s="115">
        <v>3107.4</v>
      </c>
      <c r="R2233">
        <v>62765</v>
      </c>
    </row>
    <row r="2234" spans="1:18" x14ac:dyDescent="0.25">
      <c r="A2234" s="169">
        <v>45294</v>
      </c>
      <c r="B2234" s="115">
        <v>3199.1</v>
      </c>
      <c r="C2234" s="115">
        <v>3109.15</v>
      </c>
      <c r="D2234" s="115">
        <v>3101</v>
      </c>
      <c r="E2234" s="115">
        <v>3188.2</v>
      </c>
      <c r="F2234" s="115">
        <v>3109.15</v>
      </c>
      <c r="G2234">
        <v>1771</v>
      </c>
      <c r="H2234" s="115"/>
      <c r="I2234" s="115"/>
      <c r="L2234" s="169">
        <v>45295</v>
      </c>
      <c r="M2234" s="115">
        <v>3114.1</v>
      </c>
      <c r="N2234" s="115">
        <v>3131.35</v>
      </c>
      <c r="O2234" s="115">
        <v>3050.05</v>
      </c>
      <c r="P2234" s="115">
        <v>3116.1</v>
      </c>
      <c r="Q2234" s="115">
        <v>3114.1</v>
      </c>
      <c r="R2234">
        <v>68246</v>
      </c>
    </row>
    <row r="2235" spans="1:18" x14ac:dyDescent="0.25">
      <c r="A2235" s="169">
        <v>45295</v>
      </c>
      <c r="B2235" s="115">
        <v>3190</v>
      </c>
      <c r="C2235" s="115">
        <v>3109.6</v>
      </c>
      <c r="D2235" s="115">
        <v>3050</v>
      </c>
      <c r="E2235" s="115">
        <v>3080.15</v>
      </c>
      <c r="F2235" s="115">
        <v>3109.6</v>
      </c>
      <c r="G2235">
        <v>4738</v>
      </c>
      <c r="H2235" s="115"/>
      <c r="I2235" s="115"/>
      <c r="L2235" s="169">
        <v>45296</v>
      </c>
      <c r="M2235" s="115">
        <v>3225.95</v>
      </c>
      <c r="N2235" s="115">
        <v>3249.95</v>
      </c>
      <c r="O2235" s="115">
        <v>3108</v>
      </c>
      <c r="P2235" s="115">
        <v>3108</v>
      </c>
      <c r="Q2235" s="115">
        <v>3225.95</v>
      </c>
      <c r="R2235">
        <v>106367</v>
      </c>
    </row>
    <row r="2236" spans="1:18" x14ac:dyDescent="0.25">
      <c r="A2236" s="169">
        <v>45296</v>
      </c>
      <c r="B2236" s="115">
        <v>3247.95</v>
      </c>
      <c r="C2236" s="115">
        <v>3225.6</v>
      </c>
      <c r="D2236" s="115">
        <v>3081.05</v>
      </c>
      <c r="E2236" s="115">
        <v>3081.05</v>
      </c>
      <c r="F2236" s="115">
        <v>3225.6</v>
      </c>
      <c r="G2236">
        <v>1738</v>
      </c>
      <c r="H2236" s="115"/>
      <c r="I2236" s="115"/>
      <c r="L2236" s="169">
        <v>45299</v>
      </c>
      <c r="M2236" s="115">
        <v>3165.5</v>
      </c>
      <c r="N2236" s="115">
        <v>3300</v>
      </c>
      <c r="O2236" s="115">
        <v>3150</v>
      </c>
      <c r="P2236" s="115">
        <v>3290</v>
      </c>
      <c r="Q2236" s="115">
        <v>3165.5</v>
      </c>
      <c r="R2236">
        <v>96138</v>
      </c>
    </row>
    <row r="2237" spans="1:18" x14ac:dyDescent="0.25">
      <c r="A2237" s="169">
        <v>45299</v>
      </c>
      <c r="B2237" s="115">
        <v>3299.6</v>
      </c>
      <c r="C2237" s="115">
        <v>3166</v>
      </c>
      <c r="D2237" s="115">
        <v>3155.55</v>
      </c>
      <c r="E2237" s="115">
        <v>3290.15</v>
      </c>
      <c r="F2237" s="115">
        <v>3166</v>
      </c>
      <c r="G2237">
        <v>2816</v>
      </c>
      <c r="H2237" s="115"/>
      <c r="I2237" s="115"/>
      <c r="L2237" s="169">
        <v>45300</v>
      </c>
      <c r="M2237" s="115">
        <v>3203.4</v>
      </c>
      <c r="N2237" s="115">
        <v>3226.9</v>
      </c>
      <c r="O2237" s="115">
        <v>3178.2</v>
      </c>
      <c r="P2237" s="115">
        <v>3207.95</v>
      </c>
      <c r="Q2237" s="115">
        <v>3203.4</v>
      </c>
      <c r="R2237">
        <v>29154</v>
      </c>
    </row>
    <row r="2238" spans="1:18" x14ac:dyDescent="0.25">
      <c r="A2238" s="169">
        <v>45300</v>
      </c>
      <c r="B2238" s="115">
        <v>3225.2</v>
      </c>
      <c r="C2238" s="115">
        <v>3202.25</v>
      </c>
      <c r="D2238" s="115">
        <v>3176.65</v>
      </c>
      <c r="E2238" s="115">
        <v>3212.3</v>
      </c>
      <c r="F2238" s="115">
        <v>3202.25</v>
      </c>
      <c r="G2238">
        <v>2412</v>
      </c>
      <c r="H2238" s="115"/>
      <c r="I2238" s="115"/>
      <c r="L2238" s="169">
        <v>45301</v>
      </c>
      <c r="M2238" s="115">
        <v>3269.75</v>
      </c>
      <c r="N2238" s="115">
        <v>3280</v>
      </c>
      <c r="O2238" s="115">
        <v>3186.4</v>
      </c>
      <c r="P2238" s="115">
        <v>3229.75</v>
      </c>
      <c r="Q2238" s="115">
        <v>3269.75</v>
      </c>
      <c r="R2238">
        <v>66911</v>
      </c>
    </row>
    <row r="2239" spans="1:18" x14ac:dyDescent="0.25">
      <c r="A2239" s="169">
        <v>45301</v>
      </c>
      <c r="B2239" s="115">
        <v>3280</v>
      </c>
      <c r="C2239" s="115">
        <v>3269.05</v>
      </c>
      <c r="D2239" s="115">
        <v>3190.25</v>
      </c>
      <c r="E2239" s="115">
        <v>3204.9</v>
      </c>
      <c r="F2239" s="115">
        <v>3269.05</v>
      </c>
      <c r="G2239">
        <v>1001</v>
      </c>
      <c r="H2239" s="115"/>
      <c r="I2239" s="115"/>
      <c r="L2239" s="169">
        <v>45302</v>
      </c>
      <c r="M2239" s="115">
        <v>3303.75</v>
      </c>
      <c r="N2239" s="115">
        <v>3334.95</v>
      </c>
      <c r="O2239" s="115">
        <v>3247.75</v>
      </c>
      <c r="P2239" s="115">
        <v>3298.3</v>
      </c>
      <c r="Q2239" s="115">
        <v>3303.75</v>
      </c>
      <c r="R2239">
        <v>147311</v>
      </c>
    </row>
    <row r="2240" spans="1:18" x14ac:dyDescent="0.25">
      <c r="A2240" s="169">
        <v>45302</v>
      </c>
      <c r="B2240" s="115">
        <v>3335.65</v>
      </c>
      <c r="C2240" s="115">
        <v>3307.8</v>
      </c>
      <c r="D2240" s="115">
        <v>3249.6</v>
      </c>
      <c r="E2240" s="115">
        <v>3269</v>
      </c>
      <c r="F2240" s="115">
        <v>3307.8</v>
      </c>
      <c r="G2240">
        <v>1967</v>
      </c>
      <c r="H2240" s="115"/>
      <c r="I2240" s="115"/>
      <c r="L2240" s="169">
        <v>45303</v>
      </c>
      <c r="M2240" s="115">
        <v>3356.2</v>
      </c>
      <c r="N2240" s="115">
        <v>3365</v>
      </c>
      <c r="O2240" s="115">
        <v>3282</v>
      </c>
      <c r="P2240" s="115">
        <v>3303.7</v>
      </c>
      <c r="Q2240" s="115">
        <v>3356.2</v>
      </c>
      <c r="R2240">
        <v>42516</v>
      </c>
    </row>
    <row r="2241" spans="1:18" x14ac:dyDescent="0.25">
      <c r="A2241" s="169">
        <v>45303</v>
      </c>
      <c r="B2241" s="115">
        <v>3365</v>
      </c>
      <c r="C2241" s="115">
        <v>3344.75</v>
      </c>
      <c r="D2241" s="115">
        <v>3280.95</v>
      </c>
      <c r="E2241" s="115">
        <v>3299.7</v>
      </c>
      <c r="F2241" s="115">
        <v>3344.75</v>
      </c>
      <c r="G2241">
        <v>5171</v>
      </c>
      <c r="H2241" s="115"/>
      <c r="I2241" s="115"/>
      <c r="L2241" s="169">
        <v>45306</v>
      </c>
      <c r="M2241" s="115">
        <v>3389</v>
      </c>
      <c r="N2241" s="115">
        <v>3411.35</v>
      </c>
      <c r="O2241" s="115">
        <v>3303.15</v>
      </c>
      <c r="P2241" s="115">
        <v>3375</v>
      </c>
      <c r="Q2241" s="115">
        <v>3389</v>
      </c>
      <c r="R2241">
        <v>44092</v>
      </c>
    </row>
    <row r="2242" spans="1:18" x14ac:dyDescent="0.25">
      <c r="A2242" s="169">
        <v>45306</v>
      </c>
      <c r="B2242" s="115">
        <v>3405.95</v>
      </c>
      <c r="C2242" s="115">
        <v>3379.95</v>
      </c>
      <c r="D2242" s="115">
        <v>3303.65</v>
      </c>
      <c r="E2242" s="115">
        <v>3370.45</v>
      </c>
      <c r="F2242" s="115">
        <v>3379.95</v>
      </c>
      <c r="G2242">
        <v>4187</v>
      </c>
      <c r="H2242" s="115"/>
      <c r="I2242" s="115"/>
      <c r="L2242" s="169">
        <v>45307</v>
      </c>
      <c r="M2242" s="115">
        <v>3319.55</v>
      </c>
      <c r="N2242" s="115">
        <v>3434</v>
      </c>
      <c r="O2242" s="115">
        <v>3274.8</v>
      </c>
      <c r="P2242" s="115">
        <v>3389</v>
      </c>
      <c r="Q2242" s="115">
        <v>3319.55</v>
      </c>
      <c r="R2242">
        <v>36484</v>
      </c>
    </row>
    <row r="2243" spans="1:18" x14ac:dyDescent="0.25">
      <c r="A2243" s="169">
        <v>45307</v>
      </c>
      <c r="B2243" s="115">
        <v>3433.85</v>
      </c>
      <c r="C2243" s="115">
        <v>3310.55</v>
      </c>
      <c r="D2243" s="115">
        <v>3291.95</v>
      </c>
      <c r="E2243" s="115">
        <v>3399.85</v>
      </c>
      <c r="F2243" s="115">
        <v>3310.55</v>
      </c>
      <c r="G2243">
        <v>2177</v>
      </c>
      <c r="H2243" s="115"/>
      <c r="I2243" s="115"/>
      <c r="L2243" s="169">
        <v>45308</v>
      </c>
      <c r="M2243" s="115">
        <v>3324.9</v>
      </c>
      <c r="N2243" s="115">
        <v>3358</v>
      </c>
      <c r="O2243" s="115">
        <v>3291.8</v>
      </c>
      <c r="P2243" s="115">
        <v>3318</v>
      </c>
      <c r="Q2243" s="115">
        <v>3324.9</v>
      </c>
      <c r="R2243">
        <v>81955</v>
      </c>
    </row>
    <row r="2244" spans="1:18" x14ac:dyDescent="0.25">
      <c r="A2244" s="169">
        <v>45308</v>
      </c>
      <c r="B2244" s="115">
        <v>3362.15</v>
      </c>
      <c r="C2244" s="115">
        <v>3332.45</v>
      </c>
      <c r="D2244" s="115">
        <v>3307.4</v>
      </c>
      <c r="E2244" s="115">
        <v>3307.4</v>
      </c>
      <c r="F2244" s="115">
        <v>3332.45</v>
      </c>
      <c r="G2244">
        <v>895</v>
      </c>
      <c r="H2244" s="115"/>
      <c r="I2244" s="115"/>
      <c r="L2244" s="169">
        <v>45309</v>
      </c>
      <c r="M2244" s="115">
        <v>3285</v>
      </c>
      <c r="N2244" s="115">
        <v>3318.9</v>
      </c>
      <c r="O2244" s="115">
        <v>3174.05</v>
      </c>
      <c r="P2244" s="115">
        <v>3318.9</v>
      </c>
      <c r="Q2244" s="115">
        <v>3285</v>
      </c>
      <c r="R2244">
        <v>35720</v>
      </c>
    </row>
    <row r="2245" spans="1:18" x14ac:dyDescent="0.25">
      <c r="A2245" s="169">
        <v>45309</v>
      </c>
      <c r="B2245" s="115">
        <v>3315.7</v>
      </c>
      <c r="C2245" s="115">
        <v>3265.85</v>
      </c>
      <c r="D2245" s="115">
        <v>3174.45</v>
      </c>
      <c r="E2245" s="115">
        <v>3295.15</v>
      </c>
      <c r="F2245" s="115">
        <v>3265.85</v>
      </c>
      <c r="G2245">
        <v>4926</v>
      </c>
      <c r="H2245" s="115"/>
      <c r="I2245" s="115"/>
      <c r="L2245" s="169">
        <v>45310</v>
      </c>
      <c r="M2245" s="115">
        <v>3250.9</v>
      </c>
      <c r="N2245" s="115">
        <v>3320.15</v>
      </c>
      <c r="O2245" s="115">
        <v>3230.05</v>
      </c>
      <c r="P2245" s="115">
        <v>3320.15</v>
      </c>
      <c r="Q2245" s="115">
        <v>3250.9</v>
      </c>
      <c r="R2245">
        <v>35397</v>
      </c>
    </row>
    <row r="2246" spans="1:18" x14ac:dyDescent="0.25">
      <c r="A2246" s="169">
        <v>45310</v>
      </c>
      <c r="B2246" s="115">
        <v>3310</v>
      </c>
      <c r="C2246" s="115">
        <v>3250.75</v>
      </c>
      <c r="D2246" s="115">
        <v>3230.1</v>
      </c>
      <c r="E2246" s="115">
        <v>3310</v>
      </c>
      <c r="F2246" s="115">
        <v>3250.75</v>
      </c>
      <c r="G2246">
        <v>1119</v>
      </c>
      <c r="H2246" s="115"/>
      <c r="I2246" s="115"/>
      <c r="L2246" s="169">
        <v>45311</v>
      </c>
      <c r="M2246" s="115">
        <v>3270.95</v>
      </c>
      <c r="N2246" s="115">
        <v>3322.55</v>
      </c>
      <c r="O2246" s="115">
        <v>3256.35</v>
      </c>
      <c r="P2246" s="115">
        <v>3300</v>
      </c>
      <c r="Q2246" s="115">
        <v>3270.95</v>
      </c>
      <c r="R2246">
        <v>6033</v>
      </c>
    </row>
    <row r="2247" spans="1:18" x14ac:dyDescent="0.25">
      <c r="A2247" s="169">
        <v>45311</v>
      </c>
      <c r="B2247" s="115">
        <v>3300</v>
      </c>
      <c r="C2247" s="115">
        <v>3268.8</v>
      </c>
      <c r="D2247" s="115">
        <v>3259.05</v>
      </c>
      <c r="E2247" s="115">
        <v>3300</v>
      </c>
      <c r="F2247" s="115">
        <v>3268.8</v>
      </c>
      <c r="G2247">
        <v>360</v>
      </c>
      <c r="H2247" s="115"/>
      <c r="I2247" s="115"/>
      <c r="L2247" s="169">
        <v>45314</v>
      </c>
      <c r="M2247" s="115">
        <v>3112.05</v>
      </c>
      <c r="N2247" s="115">
        <v>3299.6</v>
      </c>
      <c r="O2247" s="115">
        <v>3085.05</v>
      </c>
      <c r="P2247" s="115">
        <v>3299.55</v>
      </c>
      <c r="Q2247" s="115">
        <v>3112.05</v>
      </c>
      <c r="R2247">
        <v>58093</v>
      </c>
    </row>
    <row r="2248" spans="1:18" x14ac:dyDescent="0.25">
      <c r="A2248" s="169">
        <v>45314</v>
      </c>
      <c r="B2248" s="115">
        <v>3280</v>
      </c>
      <c r="C2248" s="115">
        <v>3110.15</v>
      </c>
      <c r="D2248" s="115">
        <v>3084.05</v>
      </c>
      <c r="E2248" s="115">
        <v>3266.1</v>
      </c>
      <c r="F2248" s="115">
        <v>3110.15</v>
      </c>
      <c r="G2248">
        <v>1194</v>
      </c>
      <c r="H2248" s="115"/>
      <c r="I2248" s="115"/>
      <c r="L2248" s="169">
        <v>45315</v>
      </c>
      <c r="M2248" s="115">
        <v>3131.35</v>
      </c>
      <c r="N2248" s="115">
        <v>3160</v>
      </c>
      <c r="O2248" s="115">
        <v>3041.9</v>
      </c>
      <c r="P2248" s="115">
        <v>3109</v>
      </c>
      <c r="Q2248" s="115">
        <v>3131.35</v>
      </c>
      <c r="R2248">
        <v>55109</v>
      </c>
    </row>
    <row r="2249" spans="1:18" x14ac:dyDescent="0.25">
      <c r="A2249" s="169">
        <v>45315</v>
      </c>
      <c r="B2249" s="115">
        <v>3155</v>
      </c>
      <c r="C2249" s="115">
        <v>3121.4</v>
      </c>
      <c r="D2249" s="115">
        <v>3040.75</v>
      </c>
      <c r="E2249" s="115">
        <v>3086.15</v>
      </c>
      <c r="F2249" s="115">
        <v>3121.4</v>
      </c>
      <c r="G2249">
        <v>16126</v>
      </c>
      <c r="H2249" s="115"/>
      <c r="I2249" s="115"/>
      <c r="L2249" s="169">
        <v>45316</v>
      </c>
      <c r="M2249" s="115">
        <v>3110.1</v>
      </c>
      <c r="N2249" s="115">
        <v>3154.8</v>
      </c>
      <c r="O2249" s="115">
        <v>3087.3</v>
      </c>
      <c r="P2249" s="115">
        <v>3118</v>
      </c>
      <c r="Q2249" s="115">
        <v>3110.1</v>
      </c>
      <c r="R2249">
        <v>43917</v>
      </c>
    </row>
    <row r="2250" spans="1:18" x14ac:dyDescent="0.25">
      <c r="A2250" s="169">
        <v>45316</v>
      </c>
      <c r="B2250" s="115">
        <v>3155.05</v>
      </c>
      <c r="C2250" s="115">
        <v>3112.3</v>
      </c>
      <c r="D2250" s="115">
        <v>3085.9</v>
      </c>
      <c r="E2250" s="115">
        <v>3121.4</v>
      </c>
      <c r="F2250" s="115">
        <v>3112.3</v>
      </c>
      <c r="G2250">
        <v>78018</v>
      </c>
      <c r="H2250" s="115"/>
      <c r="I2250" s="115"/>
      <c r="L2250" s="169">
        <v>45320</v>
      </c>
      <c r="M2250" s="115">
        <v>3101.55</v>
      </c>
      <c r="N2250" s="115">
        <v>3145.8</v>
      </c>
      <c r="O2250" s="115">
        <v>3090.2</v>
      </c>
      <c r="P2250" s="115">
        <v>3110.2</v>
      </c>
      <c r="Q2250" s="115">
        <v>3101.55</v>
      </c>
      <c r="R2250">
        <v>27329</v>
      </c>
    </row>
    <row r="2251" spans="1:18" x14ac:dyDescent="0.25">
      <c r="A2251" s="169">
        <v>45320</v>
      </c>
      <c r="B2251" s="115">
        <v>3143.25</v>
      </c>
      <c r="C2251" s="115">
        <v>3099</v>
      </c>
      <c r="D2251" s="115">
        <v>3088.05</v>
      </c>
      <c r="E2251" s="115">
        <v>3114.85</v>
      </c>
      <c r="F2251" s="115">
        <v>3099</v>
      </c>
      <c r="G2251">
        <v>2947</v>
      </c>
      <c r="H2251" s="115"/>
      <c r="I2251" s="115"/>
      <c r="L2251" s="169">
        <v>45321</v>
      </c>
      <c r="M2251" s="115">
        <v>3109</v>
      </c>
      <c r="N2251" s="115">
        <v>3171.85</v>
      </c>
      <c r="O2251" s="115">
        <v>3100</v>
      </c>
      <c r="P2251" s="115">
        <v>3110.8</v>
      </c>
      <c r="Q2251" s="115">
        <v>3109</v>
      </c>
      <c r="R2251">
        <v>41462</v>
      </c>
    </row>
    <row r="2252" spans="1:18" x14ac:dyDescent="0.25">
      <c r="A2252" s="169">
        <v>45321</v>
      </c>
      <c r="B2252" s="115">
        <v>3168.7</v>
      </c>
      <c r="C2252" s="115">
        <v>3106.45</v>
      </c>
      <c r="D2252" s="115">
        <v>3080.15</v>
      </c>
      <c r="E2252" s="115">
        <v>3080.15</v>
      </c>
      <c r="F2252" s="115">
        <v>3106.45</v>
      </c>
      <c r="G2252">
        <v>1063</v>
      </c>
      <c r="H2252" s="115"/>
      <c r="I2252" s="115"/>
      <c r="L2252" s="169">
        <v>45322</v>
      </c>
      <c r="M2252" s="115">
        <v>3131.2</v>
      </c>
      <c r="N2252" s="115">
        <v>3141.9</v>
      </c>
      <c r="O2252" s="115">
        <v>3062.8</v>
      </c>
      <c r="P2252" s="115">
        <v>3102.15</v>
      </c>
      <c r="Q2252" s="115">
        <v>3131.2</v>
      </c>
      <c r="R2252">
        <v>32779</v>
      </c>
    </row>
    <row r="2253" spans="1:18" x14ac:dyDescent="0.25">
      <c r="A2253" s="169">
        <v>45322</v>
      </c>
      <c r="B2253" s="115">
        <v>3140</v>
      </c>
      <c r="C2253" s="115">
        <v>3125.85</v>
      </c>
      <c r="D2253" s="115">
        <v>3069.2</v>
      </c>
      <c r="E2253" s="115">
        <v>3109.75</v>
      </c>
      <c r="F2253" s="115">
        <v>3125.85</v>
      </c>
      <c r="G2253">
        <v>503</v>
      </c>
      <c r="H2253" s="115"/>
      <c r="I2253" s="115"/>
      <c r="L2253" s="169">
        <v>45323</v>
      </c>
      <c r="M2253" s="115">
        <v>3113.45</v>
      </c>
      <c r="N2253" s="115">
        <v>3158.2</v>
      </c>
      <c r="O2253" s="115">
        <v>3102.1</v>
      </c>
      <c r="P2253" s="115">
        <v>3117.3</v>
      </c>
      <c r="Q2253" s="115">
        <v>3113.45</v>
      </c>
      <c r="R2253">
        <v>33149</v>
      </c>
    </row>
    <row r="2254" spans="1:18" x14ac:dyDescent="0.25">
      <c r="A2254" s="169">
        <v>45323</v>
      </c>
      <c r="B2254" s="115">
        <v>3145.4</v>
      </c>
      <c r="C2254" s="115">
        <v>3113.2</v>
      </c>
      <c r="D2254" s="115">
        <v>3100.05</v>
      </c>
      <c r="E2254" s="115">
        <v>3100.05</v>
      </c>
      <c r="F2254" s="115">
        <v>3113.2</v>
      </c>
      <c r="G2254">
        <v>640</v>
      </c>
      <c r="H2254" s="115"/>
      <c r="I2254" s="115"/>
      <c r="L2254" s="169">
        <v>45324</v>
      </c>
      <c r="M2254" s="115">
        <v>3131.2</v>
      </c>
      <c r="N2254" s="115">
        <v>3149.95</v>
      </c>
      <c r="O2254" s="115">
        <v>3100</v>
      </c>
      <c r="P2254" s="115">
        <v>3100</v>
      </c>
      <c r="Q2254" s="115">
        <v>3131.2</v>
      </c>
      <c r="R2254">
        <v>100744</v>
      </c>
    </row>
    <row r="2255" spans="1:18" x14ac:dyDescent="0.25">
      <c r="A2255" s="169">
        <v>45324</v>
      </c>
      <c r="B2255" s="115">
        <v>3147.9</v>
      </c>
      <c r="C2255" s="115">
        <v>3122.5</v>
      </c>
      <c r="D2255" s="115">
        <v>3067.35</v>
      </c>
      <c r="E2255" s="115">
        <v>3067.35</v>
      </c>
      <c r="F2255" s="115">
        <v>3122.5</v>
      </c>
      <c r="G2255">
        <v>543</v>
      </c>
      <c r="H2255" s="115"/>
      <c r="I2255" s="115"/>
      <c r="L2255" s="169">
        <v>45327</v>
      </c>
      <c r="M2255" s="115">
        <v>3061.7</v>
      </c>
      <c r="N2255" s="115">
        <v>3179.9</v>
      </c>
      <c r="O2255" s="115">
        <v>3044.95</v>
      </c>
      <c r="P2255" s="115">
        <v>3131.2</v>
      </c>
      <c r="Q2255" s="115">
        <v>3061.7</v>
      </c>
      <c r="R2255">
        <v>95104</v>
      </c>
    </row>
    <row r="2256" spans="1:18" x14ac:dyDescent="0.25">
      <c r="A2256" s="169">
        <v>45327</v>
      </c>
      <c r="B2256" s="115">
        <v>3175.85</v>
      </c>
      <c r="C2256" s="115">
        <v>3058.75</v>
      </c>
      <c r="D2256" s="115">
        <v>3050.55</v>
      </c>
      <c r="E2256" s="115">
        <v>3126.1</v>
      </c>
      <c r="F2256" s="115">
        <v>3058.75</v>
      </c>
      <c r="G2256">
        <v>1090</v>
      </c>
      <c r="H2256" s="115"/>
      <c r="I2256" s="115"/>
      <c r="L2256" s="169">
        <v>45328</v>
      </c>
      <c r="M2256" s="115">
        <v>3115.7</v>
      </c>
      <c r="N2256" s="115">
        <v>3141.95</v>
      </c>
      <c r="O2256" s="115">
        <v>3027.05</v>
      </c>
      <c r="P2256" s="115">
        <v>3064.7</v>
      </c>
      <c r="Q2256" s="115">
        <v>3115.7</v>
      </c>
      <c r="R2256">
        <v>61581</v>
      </c>
    </row>
    <row r="2257" spans="1:18" x14ac:dyDescent="0.25">
      <c r="A2257" s="169">
        <v>45328</v>
      </c>
      <c r="B2257" s="115">
        <v>3137.35</v>
      </c>
      <c r="C2257" s="115">
        <v>3112.5</v>
      </c>
      <c r="D2257" s="115">
        <v>3030.35</v>
      </c>
      <c r="E2257" s="115">
        <v>3055.05</v>
      </c>
      <c r="F2257" s="115">
        <v>3112.5</v>
      </c>
      <c r="G2257">
        <v>955</v>
      </c>
      <c r="H2257" s="115"/>
      <c r="I2257" s="115"/>
      <c r="L2257" s="169">
        <v>45329</v>
      </c>
      <c r="M2257" s="115">
        <v>3072.25</v>
      </c>
      <c r="N2257" s="115">
        <v>3157</v>
      </c>
      <c r="O2257" s="115">
        <v>3061.05</v>
      </c>
      <c r="P2257" s="115">
        <v>3115.7</v>
      </c>
      <c r="Q2257" s="115">
        <v>3072.25</v>
      </c>
      <c r="R2257">
        <v>78605</v>
      </c>
    </row>
    <row r="2258" spans="1:18" x14ac:dyDescent="0.25">
      <c r="A2258" s="169">
        <v>45329</v>
      </c>
      <c r="B2258" s="115">
        <v>3152.05</v>
      </c>
      <c r="C2258" s="115">
        <v>3068.8</v>
      </c>
      <c r="D2258" s="115">
        <v>3061.1</v>
      </c>
      <c r="E2258" s="115">
        <v>3061.35</v>
      </c>
      <c r="F2258" s="115">
        <v>3068.8</v>
      </c>
      <c r="G2258">
        <v>846</v>
      </c>
      <c r="H2258" s="115"/>
      <c r="I2258" s="115"/>
      <c r="L2258" s="169">
        <v>45330</v>
      </c>
      <c r="M2258" s="115">
        <v>3017.85</v>
      </c>
      <c r="N2258" s="115">
        <v>3086.95</v>
      </c>
      <c r="O2258" s="115">
        <v>3010.25</v>
      </c>
      <c r="P2258" s="115">
        <v>3072.25</v>
      </c>
      <c r="Q2258" s="115">
        <v>3017.85</v>
      </c>
      <c r="R2258">
        <v>31202</v>
      </c>
    </row>
    <row r="2259" spans="1:18" x14ac:dyDescent="0.25">
      <c r="A2259" s="169">
        <v>45330</v>
      </c>
      <c r="B2259" s="115">
        <v>3092.65</v>
      </c>
      <c r="C2259" s="115">
        <v>3043.5</v>
      </c>
      <c r="D2259" s="115">
        <v>3009.1</v>
      </c>
      <c r="E2259" s="115">
        <v>3086.3</v>
      </c>
      <c r="F2259" s="115">
        <v>3043.5</v>
      </c>
      <c r="G2259">
        <v>927</v>
      </c>
      <c r="H2259" s="115"/>
      <c r="I2259" s="115"/>
      <c r="L2259" s="169">
        <v>45331</v>
      </c>
      <c r="M2259" s="115">
        <v>3016.85</v>
      </c>
      <c r="N2259" s="115">
        <v>3040.5</v>
      </c>
      <c r="O2259" s="115">
        <v>2980</v>
      </c>
      <c r="P2259" s="115">
        <v>3023.85</v>
      </c>
      <c r="Q2259" s="115">
        <v>3016.85</v>
      </c>
      <c r="R2259">
        <v>24315</v>
      </c>
    </row>
    <row r="2260" spans="1:18" x14ac:dyDescent="0.25">
      <c r="A2260" s="169">
        <v>45331</v>
      </c>
      <c r="B2260" s="115">
        <v>3046.85</v>
      </c>
      <c r="C2260" s="115">
        <v>3016.65</v>
      </c>
      <c r="D2260" s="115">
        <v>2979.85</v>
      </c>
      <c r="E2260" s="115">
        <v>3027.3</v>
      </c>
      <c r="F2260" s="115">
        <v>3016.65</v>
      </c>
      <c r="G2260">
        <v>1923</v>
      </c>
      <c r="H2260" s="115"/>
      <c r="I2260" s="115"/>
      <c r="L2260" s="169">
        <v>45334</v>
      </c>
      <c r="M2260" s="115">
        <v>3005.5</v>
      </c>
      <c r="N2260" s="115">
        <v>3056.85</v>
      </c>
      <c r="O2260" s="115">
        <v>2981.35</v>
      </c>
      <c r="P2260" s="115">
        <v>3021.05</v>
      </c>
      <c r="Q2260" s="115">
        <v>3005.5</v>
      </c>
      <c r="R2260">
        <v>83968</v>
      </c>
    </row>
    <row r="2261" spans="1:18" x14ac:dyDescent="0.25">
      <c r="A2261" s="169">
        <v>45334</v>
      </c>
      <c r="B2261" s="115">
        <v>3056.2</v>
      </c>
      <c r="C2261" s="115">
        <v>3004.8</v>
      </c>
      <c r="D2261" s="115">
        <v>2989.25</v>
      </c>
      <c r="E2261" s="115">
        <v>3024.65</v>
      </c>
      <c r="F2261" s="115">
        <v>3004.8</v>
      </c>
      <c r="G2261">
        <v>822</v>
      </c>
      <c r="H2261" s="115"/>
      <c r="I2261" s="115"/>
      <c r="L2261" s="169">
        <v>45335</v>
      </c>
      <c r="M2261" s="115">
        <v>2956.45</v>
      </c>
      <c r="N2261" s="115">
        <v>3005.3</v>
      </c>
      <c r="O2261" s="115">
        <v>2947.45</v>
      </c>
      <c r="P2261" s="115">
        <v>2990</v>
      </c>
      <c r="Q2261" s="115">
        <v>2956.45</v>
      </c>
      <c r="R2261">
        <v>20961</v>
      </c>
    </row>
    <row r="2262" spans="1:18" x14ac:dyDescent="0.25">
      <c r="A2262" s="169">
        <v>45335</v>
      </c>
      <c r="B2262" s="115">
        <v>3064.9</v>
      </c>
      <c r="C2262" s="115">
        <v>2958.85</v>
      </c>
      <c r="D2262" s="115">
        <v>2945.85</v>
      </c>
      <c r="E2262" s="115">
        <v>3064.9</v>
      </c>
      <c r="F2262" s="115">
        <v>2958.85</v>
      </c>
      <c r="G2262">
        <v>1221</v>
      </c>
      <c r="H2262" s="115"/>
      <c r="I2262" s="115"/>
      <c r="L2262" s="169">
        <v>45336</v>
      </c>
      <c r="M2262" s="115">
        <v>2978.3</v>
      </c>
      <c r="N2262" s="115">
        <v>2996.8</v>
      </c>
      <c r="O2262" s="115">
        <v>2932</v>
      </c>
      <c r="P2262" s="115">
        <v>2932</v>
      </c>
      <c r="Q2262" s="115">
        <v>2978.3</v>
      </c>
      <c r="R2262">
        <v>13168</v>
      </c>
    </row>
    <row r="2263" spans="1:18" x14ac:dyDescent="0.25">
      <c r="A2263" s="169">
        <v>45336</v>
      </c>
      <c r="B2263" s="115">
        <v>2998.5</v>
      </c>
      <c r="C2263" s="115">
        <v>2978.55</v>
      </c>
      <c r="D2263" s="115">
        <v>2930</v>
      </c>
      <c r="E2263" s="115">
        <v>2930</v>
      </c>
      <c r="F2263" s="115">
        <v>2978.55</v>
      </c>
      <c r="G2263">
        <v>2800</v>
      </c>
      <c r="H2263" s="115"/>
      <c r="I2263" s="115"/>
      <c r="L2263" s="169">
        <v>45337</v>
      </c>
      <c r="M2263" s="115">
        <v>3022.6</v>
      </c>
      <c r="N2263" s="115">
        <v>3094</v>
      </c>
      <c r="O2263" s="115">
        <v>2962</v>
      </c>
      <c r="P2263" s="115">
        <v>2978.3</v>
      </c>
      <c r="Q2263" s="115">
        <v>3022.6</v>
      </c>
      <c r="R2263">
        <v>74756</v>
      </c>
    </row>
    <row r="2264" spans="1:18" x14ac:dyDescent="0.25">
      <c r="A2264" s="169">
        <v>45337</v>
      </c>
      <c r="B2264" s="115">
        <v>3088</v>
      </c>
      <c r="C2264" s="115">
        <v>3031.1</v>
      </c>
      <c r="D2264" s="115">
        <v>2981.95</v>
      </c>
      <c r="E2264" s="115">
        <v>2981.95</v>
      </c>
      <c r="F2264" s="115">
        <v>3031.1</v>
      </c>
      <c r="G2264">
        <v>3254</v>
      </c>
      <c r="H2264" s="115"/>
      <c r="I2264" s="115"/>
      <c r="L2264" s="169">
        <v>45338</v>
      </c>
      <c r="M2264" s="115">
        <v>3064.15</v>
      </c>
      <c r="N2264" s="115">
        <v>3097.25</v>
      </c>
      <c r="O2264" s="115">
        <v>3050</v>
      </c>
      <c r="P2264" s="115">
        <v>3085</v>
      </c>
      <c r="Q2264" s="115">
        <v>3064.15</v>
      </c>
      <c r="R2264">
        <v>26483</v>
      </c>
    </row>
    <row r="2265" spans="1:18" x14ac:dyDescent="0.25">
      <c r="A2265" s="169">
        <v>45338</v>
      </c>
      <c r="B2265" s="115">
        <v>3100</v>
      </c>
      <c r="C2265" s="115">
        <v>3062.25</v>
      </c>
      <c r="D2265" s="115">
        <v>3040.1</v>
      </c>
      <c r="E2265" s="115">
        <v>3040.1</v>
      </c>
      <c r="F2265" s="115">
        <v>3062.25</v>
      </c>
      <c r="G2265">
        <v>2599</v>
      </c>
      <c r="H2265" s="115"/>
      <c r="I2265" s="115"/>
      <c r="L2265" s="169">
        <v>45341</v>
      </c>
      <c r="M2265" s="115">
        <v>3011.85</v>
      </c>
      <c r="N2265" s="115">
        <v>3063.85</v>
      </c>
      <c r="O2265" s="115">
        <v>2951</v>
      </c>
      <c r="P2265" s="115">
        <v>2979</v>
      </c>
      <c r="Q2265" s="115">
        <v>3011.85</v>
      </c>
      <c r="R2265">
        <v>358971</v>
      </c>
    </row>
    <row r="2266" spans="1:18" x14ac:dyDescent="0.25">
      <c r="A2266" s="169">
        <v>45341</v>
      </c>
      <c r="B2266" s="115">
        <v>3052</v>
      </c>
      <c r="C2266" s="115">
        <v>3015.9</v>
      </c>
      <c r="D2266" s="115">
        <v>2951</v>
      </c>
      <c r="E2266" s="115">
        <v>3052</v>
      </c>
      <c r="F2266" s="115">
        <v>3015.9</v>
      </c>
      <c r="G2266">
        <v>4088</v>
      </c>
      <c r="H2266" s="115"/>
      <c r="I2266" s="115"/>
      <c r="L2266" s="169">
        <v>45342</v>
      </c>
      <c r="M2266" s="115">
        <v>2905.5</v>
      </c>
      <c r="N2266" s="115">
        <v>3044.75</v>
      </c>
      <c r="O2266" s="115">
        <v>2886</v>
      </c>
      <c r="P2266" s="115">
        <v>3022.45</v>
      </c>
      <c r="Q2266" s="115">
        <v>2905.5</v>
      </c>
      <c r="R2266">
        <v>75232</v>
      </c>
    </row>
    <row r="2267" spans="1:18" x14ac:dyDescent="0.25">
      <c r="A2267" s="169">
        <v>45342</v>
      </c>
      <c r="B2267" s="115">
        <v>3034.05</v>
      </c>
      <c r="C2267" s="115">
        <v>2904.5</v>
      </c>
      <c r="D2267" s="115">
        <v>2897.05</v>
      </c>
      <c r="E2267" s="115">
        <v>3028.9</v>
      </c>
      <c r="F2267" s="115">
        <v>2904.5</v>
      </c>
      <c r="G2267">
        <v>7147</v>
      </c>
      <c r="H2267" s="115"/>
      <c r="I2267" s="115"/>
      <c r="L2267" s="169">
        <v>45343</v>
      </c>
      <c r="M2267" s="115">
        <v>2868.2</v>
      </c>
      <c r="N2267" s="115">
        <v>2938.85</v>
      </c>
      <c r="O2267" s="115">
        <v>2850.4</v>
      </c>
      <c r="P2267" s="115">
        <v>2930</v>
      </c>
      <c r="Q2267" s="115">
        <v>2868.2</v>
      </c>
      <c r="R2267">
        <v>149588</v>
      </c>
    </row>
    <row r="2268" spans="1:18" x14ac:dyDescent="0.25">
      <c r="A2268" s="169">
        <v>45343</v>
      </c>
      <c r="B2268" s="115">
        <v>2937</v>
      </c>
      <c r="C2268" s="115">
        <v>2869.95</v>
      </c>
      <c r="D2268" s="115">
        <v>2851</v>
      </c>
      <c r="E2268" s="115">
        <v>2922.55</v>
      </c>
      <c r="F2268" s="115">
        <v>2869.95</v>
      </c>
      <c r="G2268">
        <v>3295</v>
      </c>
      <c r="H2268" s="115"/>
      <c r="I2268" s="115"/>
      <c r="L2268" s="169">
        <v>45344</v>
      </c>
      <c r="M2268" s="115">
        <v>2885.85</v>
      </c>
      <c r="N2268" s="115">
        <v>2902.6</v>
      </c>
      <c r="O2268" s="115">
        <v>2830</v>
      </c>
      <c r="P2268" s="115">
        <v>2894.75</v>
      </c>
      <c r="Q2268" s="115">
        <v>2885.85</v>
      </c>
      <c r="R2268">
        <v>45816</v>
      </c>
    </row>
    <row r="2269" spans="1:18" x14ac:dyDescent="0.25">
      <c r="A2269" s="169">
        <v>45344</v>
      </c>
      <c r="B2269" s="115">
        <v>2901.2</v>
      </c>
      <c r="C2269" s="115">
        <v>2887.55</v>
      </c>
      <c r="D2269" s="115">
        <v>2831</v>
      </c>
      <c r="E2269" s="115">
        <v>2872</v>
      </c>
      <c r="F2269" s="115">
        <v>2887.55</v>
      </c>
      <c r="G2269">
        <v>2692</v>
      </c>
      <c r="H2269" s="115"/>
      <c r="I2269" s="115"/>
      <c r="L2269" s="169">
        <v>45345</v>
      </c>
      <c r="M2269" s="115">
        <v>2922.65</v>
      </c>
      <c r="N2269" s="115">
        <v>2954</v>
      </c>
      <c r="O2269" s="115">
        <v>2870</v>
      </c>
      <c r="P2269" s="115">
        <v>2882.25</v>
      </c>
      <c r="Q2269" s="115">
        <v>2922.65</v>
      </c>
      <c r="R2269">
        <v>28765</v>
      </c>
    </row>
    <row r="2270" spans="1:18" x14ac:dyDescent="0.25">
      <c r="A2270" s="169">
        <v>45345</v>
      </c>
      <c r="B2270" s="115">
        <v>2954.9</v>
      </c>
      <c r="C2270" s="115">
        <v>2922.7</v>
      </c>
      <c r="D2270" s="115">
        <v>2853.3</v>
      </c>
      <c r="E2270" s="115">
        <v>2853.3</v>
      </c>
      <c r="F2270" s="115">
        <v>2922.7</v>
      </c>
      <c r="G2270">
        <v>3479</v>
      </c>
      <c r="H2270" s="115"/>
      <c r="I2270" s="115"/>
      <c r="L2270" s="169">
        <v>45348</v>
      </c>
      <c r="M2270" s="115">
        <v>2930.15</v>
      </c>
      <c r="N2270" s="115">
        <v>2953.1</v>
      </c>
      <c r="O2270" s="115">
        <v>2902</v>
      </c>
      <c r="P2270" s="115">
        <v>2930.6</v>
      </c>
      <c r="Q2270" s="115">
        <v>2930.15</v>
      </c>
      <c r="R2270">
        <v>46085</v>
      </c>
    </row>
    <row r="2271" spans="1:18" x14ac:dyDescent="0.25">
      <c r="A2271" s="169">
        <v>45348</v>
      </c>
      <c r="B2271" s="115">
        <v>2952</v>
      </c>
      <c r="C2271" s="115">
        <v>2928.5</v>
      </c>
      <c r="D2271" s="115">
        <v>2900</v>
      </c>
      <c r="E2271" s="115">
        <v>2927.05</v>
      </c>
      <c r="F2271" s="115">
        <v>2928.5</v>
      </c>
      <c r="G2271">
        <v>4523</v>
      </c>
      <c r="H2271" s="115"/>
      <c r="I2271" s="115"/>
      <c r="L2271" s="169">
        <v>45349</v>
      </c>
      <c r="M2271" s="115">
        <v>2928.55</v>
      </c>
      <c r="N2271" s="115">
        <v>2959</v>
      </c>
      <c r="O2271" s="115">
        <v>2874.1</v>
      </c>
      <c r="P2271" s="115">
        <v>2920.05</v>
      </c>
      <c r="Q2271" s="115">
        <v>2928.55</v>
      </c>
      <c r="R2271">
        <v>83745</v>
      </c>
    </row>
    <row r="2272" spans="1:18" x14ac:dyDescent="0.25">
      <c r="A2272" s="169">
        <v>45349</v>
      </c>
      <c r="B2272" s="115">
        <v>2956.7</v>
      </c>
      <c r="C2272" s="115">
        <v>2931.15</v>
      </c>
      <c r="D2272" s="115">
        <v>2880</v>
      </c>
      <c r="E2272" s="115">
        <v>2920</v>
      </c>
      <c r="F2272" s="115">
        <v>2931.15</v>
      </c>
      <c r="G2272">
        <v>3617</v>
      </c>
      <c r="H2272" s="115"/>
      <c r="I2272" s="115"/>
      <c r="L2272" s="169">
        <v>45350</v>
      </c>
      <c r="M2272" s="115">
        <v>2888.4</v>
      </c>
      <c r="N2272" s="115">
        <v>2930</v>
      </c>
      <c r="O2272" s="115">
        <v>2880.05</v>
      </c>
      <c r="P2272" s="115">
        <v>2930</v>
      </c>
      <c r="Q2272" s="115">
        <v>2888.4</v>
      </c>
      <c r="R2272">
        <v>42857</v>
      </c>
    </row>
    <row r="2273" spans="1:18" x14ac:dyDescent="0.25">
      <c r="A2273" s="169">
        <v>45350</v>
      </c>
      <c r="B2273" s="115">
        <v>2932</v>
      </c>
      <c r="C2273" s="115">
        <v>2889.1</v>
      </c>
      <c r="D2273" s="115">
        <v>2881</v>
      </c>
      <c r="E2273" s="115">
        <v>2932</v>
      </c>
      <c r="F2273" s="115">
        <v>2889.1</v>
      </c>
      <c r="G2273">
        <v>1462</v>
      </c>
      <c r="H2273" s="115"/>
      <c r="I2273" s="115"/>
      <c r="L2273" s="169">
        <v>45351</v>
      </c>
      <c r="M2273" s="115">
        <v>2892.8</v>
      </c>
      <c r="N2273" s="115">
        <v>2899.8</v>
      </c>
      <c r="O2273" s="115">
        <v>2852.05</v>
      </c>
      <c r="P2273" s="115">
        <v>2852.05</v>
      </c>
      <c r="Q2273" s="115">
        <v>2892.8</v>
      </c>
      <c r="R2273">
        <v>81629</v>
      </c>
    </row>
    <row r="2274" spans="1:18" x14ac:dyDescent="0.25">
      <c r="A2274" s="169">
        <v>45351</v>
      </c>
      <c r="B2274" s="115">
        <v>2900</v>
      </c>
      <c r="C2274" s="115">
        <v>2892.15</v>
      </c>
      <c r="D2274" s="115">
        <v>2860</v>
      </c>
      <c r="E2274" s="115">
        <v>2878</v>
      </c>
      <c r="F2274" s="115">
        <v>2892.15</v>
      </c>
      <c r="G2274">
        <v>2216</v>
      </c>
      <c r="H2274" s="115"/>
      <c r="I2274" s="115"/>
      <c r="L2274" s="169">
        <v>45352</v>
      </c>
      <c r="M2274" s="115">
        <v>2921.7</v>
      </c>
      <c r="N2274" s="115">
        <v>2944.65</v>
      </c>
      <c r="O2274" s="115">
        <v>2887</v>
      </c>
      <c r="P2274" s="115">
        <v>2912.45</v>
      </c>
      <c r="Q2274" s="115">
        <v>2921.7</v>
      </c>
      <c r="R2274">
        <v>32039</v>
      </c>
    </row>
    <row r="2275" spans="1:18" x14ac:dyDescent="0.25">
      <c r="A2275" s="169">
        <v>45352</v>
      </c>
      <c r="B2275" s="115">
        <v>2941</v>
      </c>
      <c r="C2275" s="115">
        <v>2916.2</v>
      </c>
      <c r="D2275" s="115">
        <v>2887.5</v>
      </c>
      <c r="E2275" s="115">
        <v>2898.05</v>
      </c>
      <c r="F2275" s="115">
        <v>2916.2</v>
      </c>
      <c r="G2275">
        <v>2231</v>
      </c>
      <c r="H2275" s="115"/>
      <c r="I2275" s="115"/>
      <c r="L2275" s="169">
        <v>45353</v>
      </c>
      <c r="M2275" s="115">
        <v>2907.05</v>
      </c>
      <c r="N2275" s="115">
        <v>2939.95</v>
      </c>
      <c r="O2275" s="115">
        <v>2896</v>
      </c>
      <c r="P2275" s="115">
        <v>2925</v>
      </c>
      <c r="Q2275" s="115">
        <v>2907.05</v>
      </c>
      <c r="R2275">
        <v>1933</v>
      </c>
    </row>
    <row r="2276" spans="1:18" x14ac:dyDescent="0.25">
      <c r="A2276" s="169">
        <v>45353</v>
      </c>
      <c r="B2276" s="115">
        <v>2933.3</v>
      </c>
      <c r="C2276" s="115">
        <v>2915</v>
      </c>
      <c r="D2276" s="115">
        <v>2915</v>
      </c>
      <c r="E2276" s="115">
        <v>2922.1</v>
      </c>
      <c r="F2276" s="115">
        <v>2915</v>
      </c>
      <c r="G2276">
        <v>15</v>
      </c>
      <c r="H2276" s="115"/>
      <c r="I2276" s="115"/>
      <c r="L2276" s="169">
        <v>45355</v>
      </c>
      <c r="M2276" s="115">
        <v>2870.65</v>
      </c>
      <c r="N2276" s="115">
        <v>2921.55</v>
      </c>
      <c r="O2276" s="115">
        <v>2851.35</v>
      </c>
      <c r="P2276" s="115">
        <v>2904.65</v>
      </c>
      <c r="Q2276" s="115">
        <v>2870.65</v>
      </c>
      <c r="R2276">
        <v>71590</v>
      </c>
    </row>
    <row r="2277" spans="1:18" x14ac:dyDescent="0.25">
      <c r="A2277" s="169">
        <v>45355</v>
      </c>
      <c r="B2277" s="115">
        <v>2923.15</v>
      </c>
      <c r="C2277" s="115">
        <v>2865.6</v>
      </c>
      <c r="D2277" s="115">
        <v>2850.6</v>
      </c>
      <c r="E2277" s="115">
        <v>2872.25</v>
      </c>
      <c r="F2277" s="115">
        <v>2865.6</v>
      </c>
      <c r="G2277">
        <v>2243</v>
      </c>
      <c r="H2277" s="115"/>
      <c r="I2277" s="115"/>
      <c r="L2277" s="169">
        <v>45356</v>
      </c>
      <c r="M2277" s="115">
        <v>2862.1</v>
      </c>
      <c r="N2277" s="115">
        <v>2870</v>
      </c>
      <c r="O2277" s="115">
        <v>2839</v>
      </c>
      <c r="P2277" s="115">
        <v>2869.95</v>
      </c>
      <c r="Q2277" s="115">
        <v>2862.1</v>
      </c>
      <c r="R2277">
        <v>52207</v>
      </c>
    </row>
    <row r="2278" spans="1:18" x14ac:dyDescent="0.25">
      <c r="A2278" s="169">
        <v>45356</v>
      </c>
      <c r="B2278" s="115">
        <v>2868.5</v>
      </c>
      <c r="C2278" s="115">
        <v>2861.45</v>
      </c>
      <c r="D2278" s="115">
        <v>2840</v>
      </c>
      <c r="E2278" s="115">
        <v>2860</v>
      </c>
      <c r="F2278" s="115">
        <v>2861.45</v>
      </c>
      <c r="G2278">
        <v>622</v>
      </c>
      <c r="H2278" s="115"/>
      <c r="I2278" s="115"/>
      <c r="L2278" s="169">
        <v>45357</v>
      </c>
      <c r="M2278" s="115">
        <v>2849.3</v>
      </c>
      <c r="N2278" s="115">
        <v>2886.65</v>
      </c>
      <c r="O2278" s="115">
        <v>2826.1</v>
      </c>
      <c r="P2278" s="115">
        <v>2876.45</v>
      </c>
      <c r="Q2278" s="115">
        <v>2849.3</v>
      </c>
      <c r="R2278">
        <v>44695</v>
      </c>
    </row>
    <row r="2279" spans="1:18" x14ac:dyDescent="0.25">
      <c r="A2279" s="169">
        <v>45357</v>
      </c>
      <c r="B2279" s="115">
        <v>2880</v>
      </c>
      <c r="C2279" s="115">
        <v>2843</v>
      </c>
      <c r="D2279" s="115">
        <v>2822.8</v>
      </c>
      <c r="E2279" s="115">
        <v>2865.05</v>
      </c>
      <c r="F2279" s="115">
        <v>2843</v>
      </c>
      <c r="G2279">
        <v>1850</v>
      </c>
      <c r="H2279" s="115"/>
      <c r="I2279" s="115"/>
      <c r="L2279" s="169">
        <v>45358</v>
      </c>
      <c r="M2279" s="115">
        <v>2853.8</v>
      </c>
      <c r="N2279" s="115">
        <v>2894.95</v>
      </c>
      <c r="O2279" s="115">
        <v>2842</v>
      </c>
      <c r="P2279" s="115">
        <v>2854.9</v>
      </c>
      <c r="Q2279" s="115">
        <v>2853.8</v>
      </c>
      <c r="R2279">
        <v>36500</v>
      </c>
    </row>
    <row r="2280" spans="1:18" x14ac:dyDescent="0.25">
      <c r="A2280" s="169">
        <v>45358</v>
      </c>
      <c r="B2280" s="115">
        <v>2894.6</v>
      </c>
      <c r="C2280" s="115">
        <v>2856.3</v>
      </c>
      <c r="D2280" s="115">
        <v>2842.9</v>
      </c>
      <c r="E2280" s="115">
        <v>2857.25</v>
      </c>
      <c r="F2280" s="115">
        <v>2856.3</v>
      </c>
      <c r="G2280">
        <v>379</v>
      </c>
      <c r="H2280" s="115"/>
      <c r="I2280" s="115"/>
      <c r="L2280" s="169">
        <v>45362</v>
      </c>
      <c r="M2280" s="115">
        <v>2872.3</v>
      </c>
      <c r="N2280" s="115">
        <v>2897</v>
      </c>
      <c r="O2280" s="115">
        <v>2844.5</v>
      </c>
      <c r="P2280" s="115">
        <v>2877</v>
      </c>
      <c r="Q2280" s="115">
        <v>2872.3</v>
      </c>
      <c r="R2280">
        <v>23642</v>
      </c>
    </row>
    <row r="2281" spans="1:18" x14ac:dyDescent="0.25">
      <c r="A2281" s="169">
        <v>45362</v>
      </c>
      <c r="B2281" s="115">
        <v>2897.1</v>
      </c>
      <c r="C2281" s="115">
        <v>2860.1</v>
      </c>
      <c r="D2281" s="115">
        <v>2842.8</v>
      </c>
      <c r="E2281" s="115">
        <v>2888.75</v>
      </c>
      <c r="F2281" s="115">
        <v>2860.1</v>
      </c>
      <c r="G2281">
        <v>3427</v>
      </c>
      <c r="H2281" s="115"/>
      <c r="I2281" s="115"/>
      <c r="L2281" s="169">
        <v>45363</v>
      </c>
      <c r="M2281" s="115">
        <v>2813.2</v>
      </c>
      <c r="N2281" s="115">
        <v>2868.95</v>
      </c>
      <c r="O2281" s="115">
        <v>2780</v>
      </c>
      <c r="P2281" s="115">
        <v>2850</v>
      </c>
      <c r="Q2281" s="115">
        <v>2813.2</v>
      </c>
      <c r="R2281">
        <v>48788</v>
      </c>
    </row>
    <row r="2282" spans="1:18" x14ac:dyDescent="0.25">
      <c r="A2282" s="169">
        <v>45363</v>
      </c>
      <c r="B2282" s="115">
        <v>2860</v>
      </c>
      <c r="C2282" s="115">
        <v>2807.95</v>
      </c>
      <c r="D2282" s="115">
        <v>2798</v>
      </c>
      <c r="E2282" s="115">
        <v>2852.65</v>
      </c>
      <c r="F2282" s="115">
        <v>2807.95</v>
      </c>
      <c r="G2282">
        <v>814</v>
      </c>
      <c r="H2282" s="115"/>
      <c r="I2282" s="115"/>
      <c r="L2282" s="169">
        <v>45364</v>
      </c>
      <c r="M2282" s="115">
        <v>2769.4</v>
      </c>
      <c r="N2282" s="115">
        <v>2847.85</v>
      </c>
      <c r="O2282" s="115">
        <v>2746.65</v>
      </c>
      <c r="P2282" s="115">
        <v>2825</v>
      </c>
      <c r="Q2282" s="115">
        <v>2769.4</v>
      </c>
      <c r="R2282">
        <v>83732</v>
      </c>
    </row>
    <row r="2283" spans="1:18" x14ac:dyDescent="0.25">
      <c r="A2283" s="169">
        <v>45364</v>
      </c>
      <c r="B2283" s="115">
        <v>2839.3</v>
      </c>
      <c r="C2283" s="115">
        <v>2764.2</v>
      </c>
      <c r="D2283" s="115">
        <v>2749.2</v>
      </c>
      <c r="E2283" s="115">
        <v>2813.2</v>
      </c>
      <c r="F2283" s="115">
        <v>2764.2</v>
      </c>
      <c r="G2283">
        <v>5916</v>
      </c>
      <c r="H2283" s="115"/>
      <c r="I2283" s="115"/>
      <c r="L2283" s="169">
        <v>45365</v>
      </c>
      <c r="M2283" s="115">
        <v>2834.35</v>
      </c>
      <c r="N2283" s="115">
        <v>2842.4</v>
      </c>
      <c r="O2283" s="115">
        <v>2743.5</v>
      </c>
      <c r="P2283" s="115">
        <v>2769.4</v>
      </c>
      <c r="Q2283" s="115">
        <v>2834.35</v>
      </c>
      <c r="R2283">
        <v>37595</v>
      </c>
    </row>
    <row r="2284" spans="1:18" x14ac:dyDescent="0.25">
      <c r="A2284" s="169">
        <v>45365</v>
      </c>
      <c r="B2284" s="115">
        <v>2842.75</v>
      </c>
      <c r="C2284" s="115">
        <v>2828.8</v>
      </c>
      <c r="D2284" s="115">
        <v>2739.35</v>
      </c>
      <c r="E2284" s="115">
        <v>2819.5</v>
      </c>
      <c r="F2284" s="115">
        <v>2828.8</v>
      </c>
      <c r="G2284">
        <v>1084</v>
      </c>
      <c r="H2284" s="115"/>
      <c r="I2284" s="115"/>
      <c r="L2284" s="169">
        <v>45366</v>
      </c>
      <c r="M2284" s="115">
        <v>2901.85</v>
      </c>
      <c r="N2284" s="115">
        <v>2935</v>
      </c>
      <c r="O2284" s="115">
        <v>2840.3</v>
      </c>
      <c r="P2284" s="115">
        <v>2848.45</v>
      </c>
      <c r="Q2284" s="115">
        <v>2901.85</v>
      </c>
      <c r="R2284">
        <v>207738</v>
      </c>
    </row>
    <row r="2285" spans="1:18" x14ac:dyDescent="0.25">
      <c r="A2285" s="169">
        <v>45366</v>
      </c>
      <c r="B2285" s="115">
        <v>2935</v>
      </c>
      <c r="C2285" s="115">
        <v>2899.55</v>
      </c>
      <c r="D2285" s="115">
        <v>2875.4</v>
      </c>
      <c r="E2285" s="115">
        <v>2891.9</v>
      </c>
      <c r="F2285" s="115">
        <v>2899.55</v>
      </c>
      <c r="G2285">
        <v>1892</v>
      </c>
      <c r="H2285" s="115"/>
      <c r="I2285" s="115"/>
      <c r="L2285" s="169">
        <v>45369</v>
      </c>
      <c r="M2285" s="115">
        <v>2892.7</v>
      </c>
      <c r="N2285" s="115">
        <v>2936</v>
      </c>
      <c r="O2285" s="115">
        <v>2864.05</v>
      </c>
      <c r="P2285" s="115">
        <v>2888</v>
      </c>
      <c r="Q2285" s="115">
        <v>2892.7</v>
      </c>
      <c r="R2285">
        <v>141990</v>
      </c>
    </row>
    <row r="2286" spans="1:18" x14ac:dyDescent="0.25">
      <c r="A2286" s="169">
        <v>45369</v>
      </c>
      <c r="B2286" s="115">
        <v>2948.25</v>
      </c>
      <c r="C2286" s="115">
        <v>2892.55</v>
      </c>
      <c r="D2286" s="115">
        <v>2865.05</v>
      </c>
      <c r="E2286" s="115">
        <v>2948.25</v>
      </c>
      <c r="F2286" s="115">
        <v>2892.55</v>
      </c>
      <c r="G2286">
        <v>618</v>
      </c>
      <c r="H2286" s="115"/>
      <c r="I2286" s="115"/>
      <c r="L2286" s="169">
        <v>45370</v>
      </c>
      <c r="M2286" s="115">
        <v>2912.05</v>
      </c>
      <c r="N2286" s="115">
        <v>2923.25</v>
      </c>
      <c r="O2286" s="115">
        <v>2896.5</v>
      </c>
      <c r="P2286" s="115">
        <v>2899.25</v>
      </c>
      <c r="Q2286" s="115">
        <v>2912.05</v>
      </c>
      <c r="R2286">
        <v>21278</v>
      </c>
    </row>
    <row r="2287" spans="1:18" x14ac:dyDescent="0.25">
      <c r="A2287" s="169">
        <v>45370</v>
      </c>
      <c r="B2287" s="115">
        <v>2923.35</v>
      </c>
      <c r="C2287" s="115">
        <v>2907.55</v>
      </c>
      <c r="D2287" s="115">
        <v>2897.45</v>
      </c>
      <c r="E2287" s="115">
        <v>2902</v>
      </c>
      <c r="F2287" s="115">
        <v>2907.55</v>
      </c>
      <c r="G2287">
        <v>512</v>
      </c>
      <c r="H2287" s="115"/>
      <c r="I2287" s="115"/>
      <c r="L2287" s="169">
        <v>45371</v>
      </c>
      <c r="M2287" s="115">
        <v>2899.45</v>
      </c>
      <c r="N2287" s="115">
        <v>2970</v>
      </c>
      <c r="O2287" s="115">
        <v>2855</v>
      </c>
      <c r="P2287" s="115">
        <v>2941.15</v>
      </c>
      <c r="Q2287" s="115">
        <v>2899.45</v>
      </c>
      <c r="R2287">
        <v>51765</v>
      </c>
    </row>
    <row r="2288" spans="1:18" x14ac:dyDescent="0.25">
      <c r="A2288" s="169">
        <v>45371</v>
      </c>
      <c r="B2288" s="115">
        <v>2963.7</v>
      </c>
      <c r="C2288" s="115">
        <v>2892.55</v>
      </c>
      <c r="D2288" s="115">
        <v>2853.8</v>
      </c>
      <c r="E2288" s="115">
        <v>2955.4</v>
      </c>
      <c r="F2288" s="115">
        <v>2892.55</v>
      </c>
      <c r="G2288">
        <v>3026</v>
      </c>
      <c r="H2288" s="115"/>
      <c r="I2288" s="115"/>
      <c r="L2288" s="169">
        <v>45372</v>
      </c>
      <c r="M2288" s="115">
        <v>2960.6</v>
      </c>
      <c r="N2288" s="115">
        <v>2986</v>
      </c>
      <c r="O2288" s="115">
        <v>2895.25</v>
      </c>
      <c r="P2288" s="115">
        <v>2906.7</v>
      </c>
      <c r="Q2288" s="115">
        <v>2960.6</v>
      </c>
      <c r="R2288">
        <v>33959</v>
      </c>
    </row>
    <row r="2289" spans="1:18" x14ac:dyDescent="0.25">
      <c r="A2289" s="169">
        <v>45372</v>
      </c>
      <c r="B2289" s="115">
        <v>2989.9</v>
      </c>
      <c r="C2289" s="115">
        <v>2958.95</v>
      </c>
      <c r="D2289" s="115">
        <v>2896</v>
      </c>
      <c r="E2289" s="115">
        <v>2900.2</v>
      </c>
      <c r="F2289" s="115">
        <v>2958.95</v>
      </c>
      <c r="G2289">
        <v>865</v>
      </c>
      <c r="H2289" s="115"/>
      <c r="I2289" s="115"/>
      <c r="L2289" s="169">
        <v>45373</v>
      </c>
      <c r="M2289" s="115">
        <v>2944.5</v>
      </c>
      <c r="N2289" s="115">
        <v>2988.05</v>
      </c>
      <c r="O2289" s="115">
        <v>2918.2</v>
      </c>
      <c r="P2289" s="115">
        <v>2977.9</v>
      </c>
      <c r="Q2289" s="115">
        <v>2944.5</v>
      </c>
      <c r="R2289">
        <v>16878</v>
      </c>
    </row>
    <row r="2290" spans="1:18" x14ac:dyDescent="0.25">
      <c r="A2290" s="169">
        <v>45373</v>
      </c>
      <c r="B2290" s="115">
        <v>2979.85</v>
      </c>
      <c r="C2290" s="115">
        <v>2946.2</v>
      </c>
      <c r="D2290" s="115">
        <v>2920.05</v>
      </c>
      <c r="E2290" s="115">
        <v>2958</v>
      </c>
      <c r="F2290" s="115">
        <v>2946.2</v>
      </c>
      <c r="G2290">
        <v>573</v>
      </c>
      <c r="H2290" s="115"/>
      <c r="I2290" s="115"/>
      <c r="L2290" s="169">
        <v>45377</v>
      </c>
      <c r="M2290" s="115">
        <v>2886.45</v>
      </c>
      <c r="N2290" s="115">
        <v>2959.25</v>
      </c>
      <c r="O2290" s="115">
        <v>2751</v>
      </c>
      <c r="P2290" s="115">
        <v>2751</v>
      </c>
      <c r="Q2290" s="115">
        <v>2886.45</v>
      </c>
      <c r="R2290">
        <v>93451</v>
      </c>
    </row>
    <row r="2291" spans="1:18" x14ac:dyDescent="0.25">
      <c r="A2291" s="169">
        <v>45377</v>
      </c>
      <c r="B2291" s="115">
        <v>2962.2</v>
      </c>
      <c r="C2291" s="115">
        <v>2882.35</v>
      </c>
      <c r="D2291" s="115">
        <v>2699.55</v>
      </c>
      <c r="E2291" s="115">
        <v>2699.55</v>
      </c>
      <c r="F2291" s="115">
        <v>2882.35</v>
      </c>
      <c r="G2291">
        <v>4280</v>
      </c>
      <c r="H2291" s="115"/>
      <c r="I2291" s="115"/>
      <c r="L2291" s="169">
        <v>45378</v>
      </c>
      <c r="M2291" s="115">
        <v>2867.5</v>
      </c>
      <c r="N2291" s="115">
        <v>2912</v>
      </c>
      <c r="O2291" s="115">
        <v>2812</v>
      </c>
      <c r="P2291" s="115">
        <v>2886.45</v>
      </c>
      <c r="Q2291" s="115">
        <v>2867.5</v>
      </c>
      <c r="R2291">
        <v>34274</v>
      </c>
    </row>
    <row r="2292" spans="1:18" x14ac:dyDescent="0.25">
      <c r="A2292" s="169">
        <v>45378</v>
      </c>
      <c r="B2292" s="115">
        <v>2906.6</v>
      </c>
      <c r="C2292" s="115">
        <v>2860.7</v>
      </c>
      <c r="D2292" s="115">
        <v>2828</v>
      </c>
      <c r="E2292" s="115">
        <v>2875</v>
      </c>
      <c r="F2292" s="115">
        <v>2860.7</v>
      </c>
      <c r="G2292">
        <v>1114</v>
      </c>
      <c r="H2292" s="115"/>
      <c r="I2292" s="115"/>
      <c r="L2292" s="169">
        <v>45379</v>
      </c>
      <c r="M2292" s="115">
        <v>2811.35</v>
      </c>
      <c r="N2292" s="115">
        <v>2881.75</v>
      </c>
      <c r="O2292" s="115">
        <v>2782.15</v>
      </c>
      <c r="P2292" s="115">
        <v>2870</v>
      </c>
      <c r="Q2292" s="115">
        <v>2811.35</v>
      </c>
      <c r="R2292">
        <v>48793</v>
      </c>
    </row>
    <row r="2293" spans="1:18" x14ac:dyDescent="0.25">
      <c r="A2293" s="169">
        <v>45379</v>
      </c>
      <c r="B2293" s="115">
        <v>2880.6</v>
      </c>
      <c r="C2293" s="115">
        <v>2812.3</v>
      </c>
      <c r="D2293" s="115">
        <v>2789.05</v>
      </c>
      <c r="E2293" s="115">
        <v>2874.7</v>
      </c>
      <c r="F2293" s="115">
        <v>2812.3</v>
      </c>
      <c r="G2293">
        <v>1329</v>
      </c>
      <c r="H2293" s="115"/>
      <c r="I2293" s="115"/>
      <c r="L2293" s="169">
        <v>45383</v>
      </c>
      <c r="M2293" s="115">
        <v>2979.6</v>
      </c>
      <c r="N2293" s="115">
        <v>3000</v>
      </c>
      <c r="O2293" s="115">
        <v>2823.35</v>
      </c>
      <c r="P2293" s="115">
        <v>2853.5</v>
      </c>
      <c r="Q2293" s="115">
        <v>2979.6</v>
      </c>
      <c r="R2293">
        <v>56649</v>
      </c>
    </row>
    <row r="2294" spans="1:18" x14ac:dyDescent="0.25">
      <c r="A2294" s="169">
        <v>45383</v>
      </c>
      <c r="B2294" s="115">
        <v>2980</v>
      </c>
      <c r="C2294" s="115">
        <v>2975.65</v>
      </c>
      <c r="D2294" s="115">
        <v>2840</v>
      </c>
      <c r="E2294" s="115">
        <v>2840</v>
      </c>
      <c r="F2294" s="115">
        <v>2975.65</v>
      </c>
      <c r="G2294">
        <v>5272</v>
      </c>
      <c r="H2294" s="115"/>
      <c r="I2294" s="115"/>
      <c r="L2294" s="169">
        <v>45384</v>
      </c>
      <c r="M2294" s="115">
        <v>3095.5</v>
      </c>
      <c r="N2294" s="115">
        <v>3110</v>
      </c>
      <c r="O2294" s="115">
        <v>2942.85</v>
      </c>
      <c r="P2294" s="115">
        <v>2961</v>
      </c>
      <c r="Q2294" s="115">
        <v>3095.5</v>
      </c>
      <c r="R2294">
        <v>117480</v>
      </c>
    </row>
    <row r="2295" spans="1:18" x14ac:dyDescent="0.25">
      <c r="A2295" s="169">
        <v>45384</v>
      </c>
      <c r="B2295" s="115">
        <v>3107.55</v>
      </c>
      <c r="C2295" s="115">
        <v>3096.65</v>
      </c>
      <c r="D2295" s="115">
        <v>2952.55</v>
      </c>
      <c r="E2295" s="115">
        <v>2974.95</v>
      </c>
      <c r="F2295" s="115">
        <v>3096.65</v>
      </c>
      <c r="G2295">
        <v>3391</v>
      </c>
      <c r="H2295" s="115"/>
      <c r="I2295" s="115"/>
      <c r="L2295" s="169">
        <v>45385</v>
      </c>
      <c r="M2295" s="115">
        <v>3221.85</v>
      </c>
      <c r="N2295" s="115">
        <v>3268</v>
      </c>
      <c r="O2295" s="115">
        <v>3065</v>
      </c>
      <c r="P2295" s="115">
        <v>3095.5</v>
      </c>
      <c r="Q2295" s="115">
        <v>3221.85</v>
      </c>
      <c r="R2295">
        <v>148400</v>
      </c>
    </row>
    <row r="2296" spans="1:18" x14ac:dyDescent="0.25">
      <c r="A2296" s="169">
        <v>45385</v>
      </c>
      <c r="B2296" s="115">
        <v>3262</v>
      </c>
      <c r="C2296" s="115">
        <v>3224.1</v>
      </c>
      <c r="D2296" s="115">
        <v>3055.3</v>
      </c>
      <c r="E2296" s="115">
        <v>3099.15</v>
      </c>
      <c r="F2296" s="115">
        <v>3224.1</v>
      </c>
      <c r="G2296">
        <v>11355</v>
      </c>
      <c r="H2296" s="115"/>
      <c r="I2296" s="115"/>
      <c r="L2296" s="169">
        <v>45386</v>
      </c>
      <c r="M2296" s="115">
        <v>3293.35</v>
      </c>
      <c r="N2296" s="115">
        <v>3309.95</v>
      </c>
      <c r="O2296" s="115">
        <v>3195.85</v>
      </c>
      <c r="P2296" s="115">
        <v>3219.05</v>
      </c>
      <c r="Q2296" s="115">
        <v>3293.35</v>
      </c>
      <c r="R2296">
        <v>83876</v>
      </c>
    </row>
    <row r="2297" spans="1:18" x14ac:dyDescent="0.25">
      <c r="A2297" s="169">
        <v>45386</v>
      </c>
      <c r="B2297" s="115">
        <v>3307.5</v>
      </c>
      <c r="C2297" s="115">
        <v>3290.2</v>
      </c>
      <c r="D2297" s="115">
        <v>3198.25</v>
      </c>
      <c r="E2297" s="115">
        <v>3228.95</v>
      </c>
      <c r="F2297" s="115">
        <v>3290.2</v>
      </c>
      <c r="G2297">
        <v>7115</v>
      </c>
      <c r="H2297" s="115"/>
      <c r="I2297" s="115"/>
      <c r="L2297" s="169">
        <v>45387</v>
      </c>
      <c r="M2297" s="115">
        <v>3318.9</v>
      </c>
      <c r="N2297" s="115">
        <v>3372.55</v>
      </c>
      <c r="O2297" s="115">
        <v>3250</v>
      </c>
      <c r="P2297" s="115">
        <v>3279</v>
      </c>
      <c r="Q2297" s="115">
        <v>3318.9</v>
      </c>
      <c r="R2297">
        <v>91169</v>
      </c>
    </row>
    <row r="2298" spans="1:18" x14ac:dyDescent="0.25">
      <c r="A2298" s="169">
        <v>45387</v>
      </c>
      <c r="B2298" s="115">
        <v>3370.25</v>
      </c>
      <c r="C2298" s="115">
        <v>3319.9</v>
      </c>
      <c r="D2298" s="115">
        <v>3260</v>
      </c>
      <c r="E2298" s="115">
        <v>3295</v>
      </c>
      <c r="F2298" s="115">
        <v>3319.9</v>
      </c>
      <c r="G2298">
        <v>3057</v>
      </c>
      <c r="H2298" s="115"/>
      <c r="I2298" s="115"/>
      <c r="L2298" s="169">
        <v>45390</v>
      </c>
      <c r="M2298" s="115">
        <v>3230.55</v>
      </c>
      <c r="N2298" s="115">
        <v>3382.8</v>
      </c>
      <c r="O2298" s="115">
        <v>3195.05</v>
      </c>
      <c r="P2298" s="115">
        <v>3366.95</v>
      </c>
      <c r="Q2298" s="115">
        <v>3230.55</v>
      </c>
      <c r="R2298">
        <v>128431</v>
      </c>
    </row>
    <row r="2299" spans="1:18" x14ac:dyDescent="0.25">
      <c r="A2299" s="169">
        <v>45390</v>
      </c>
      <c r="B2299" s="115">
        <v>3375.25</v>
      </c>
      <c r="C2299" s="115">
        <v>3230.15</v>
      </c>
      <c r="D2299" s="115">
        <v>3192.4</v>
      </c>
      <c r="E2299" s="115">
        <v>3353.5</v>
      </c>
      <c r="F2299" s="115">
        <v>3230.15</v>
      </c>
      <c r="G2299">
        <v>5150</v>
      </c>
      <c r="H2299" s="115"/>
      <c r="I2299" s="115"/>
      <c r="L2299" s="169">
        <v>45391</v>
      </c>
      <c r="M2299" s="115">
        <v>3213.4</v>
      </c>
      <c r="N2299" s="115">
        <v>3268.1</v>
      </c>
      <c r="O2299" s="115">
        <v>3182.35</v>
      </c>
      <c r="P2299" s="115">
        <v>3182.35</v>
      </c>
      <c r="Q2299" s="115">
        <v>3213.4</v>
      </c>
      <c r="R2299">
        <v>22999</v>
      </c>
    </row>
    <row r="2300" spans="1:18" x14ac:dyDescent="0.25">
      <c r="A2300" s="169">
        <v>45391</v>
      </c>
      <c r="B2300" s="115">
        <v>3270.85</v>
      </c>
      <c r="C2300" s="115">
        <v>3207.3</v>
      </c>
      <c r="D2300" s="115">
        <v>3198.7</v>
      </c>
      <c r="E2300" s="115">
        <v>3247.25</v>
      </c>
      <c r="F2300" s="115">
        <v>3207.3</v>
      </c>
      <c r="G2300">
        <v>2468</v>
      </c>
      <c r="H2300" s="115"/>
      <c r="I2300" s="115"/>
      <c r="L2300" s="169">
        <v>45392</v>
      </c>
      <c r="M2300" s="115">
        <v>3213.55</v>
      </c>
      <c r="N2300" s="115">
        <v>3243.4</v>
      </c>
      <c r="O2300" s="115">
        <v>3176.5</v>
      </c>
      <c r="P2300" s="115">
        <v>3243.4</v>
      </c>
      <c r="Q2300" s="115">
        <v>3213.55</v>
      </c>
      <c r="R2300">
        <v>49106</v>
      </c>
    </row>
    <row r="2301" spans="1:18" x14ac:dyDescent="0.25">
      <c r="A2301" s="169">
        <v>45392</v>
      </c>
      <c r="B2301" s="115">
        <v>3233.25</v>
      </c>
      <c r="C2301" s="115">
        <v>3210.35</v>
      </c>
      <c r="D2301" s="115">
        <v>3180</v>
      </c>
      <c r="E2301" s="115">
        <v>3229.05</v>
      </c>
      <c r="F2301" s="115">
        <v>3210.35</v>
      </c>
      <c r="G2301">
        <v>1614</v>
      </c>
      <c r="H2301" s="115"/>
      <c r="I2301" s="115"/>
      <c r="L2301" s="169">
        <v>45394</v>
      </c>
      <c r="M2301" s="115">
        <v>3268.35</v>
      </c>
      <c r="N2301" s="115">
        <v>3319.9</v>
      </c>
      <c r="O2301" s="115">
        <v>3210.05</v>
      </c>
      <c r="P2301" s="115">
        <v>3225</v>
      </c>
      <c r="Q2301" s="115">
        <v>3268.35</v>
      </c>
      <c r="R2301">
        <v>66008</v>
      </c>
    </row>
    <row r="2302" spans="1:18" x14ac:dyDescent="0.25">
      <c r="A2302" s="169">
        <v>45394</v>
      </c>
      <c r="B2302" s="115">
        <v>3318.7</v>
      </c>
      <c r="C2302" s="115">
        <v>3269.25</v>
      </c>
      <c r="D2302" s="115">
        <v>3224.95</v>
      </c>
      <c r="E2302" s="115">
        <v>3241.95</v>
      </c>
      <c r="F2302" s="115">
        <v>3269.25</v>
      </c>
      <c r="G2302">
        <v>2508</v>
      </c>
      <c r="H2302" s="115"/>
      <c r="I2302" s="115"/>
      <c r="L2302" s="169">
        <v>45397</v>
      </c>
      <c r="M2302" s="115">
        <v>3224.05</v>
      </c>
      <c r="N2302" s="115">
        <v>3268.35</v>
      </c>
      <c r="O2302" s="115">
        <v>3163.45</v>
      </c>
      <c r="P2302" s="115">
        <v>3268.35</v>
      </c>
      <c r="Q2302" s="115">
        <v>3224.05</v>
      </c>
      <c r="R2302">
        <v>38158</v>
      </c>
    </row>
    <row r="2303" spans="1:18" x14ac:dyDescent="0.25">
      <c r="A2303" s="169">
        <v>45397</v>
      </c>
      <c r="B2303" s="115">
        <v>3269.65</v>
      </c>
      <c r="C2303" s="115">
        <v>3221.75</v>
      </c>
      <c r="D2303" s="115">
        <v>3160.65</v>
      </c>
      <c r="E2303" s="115">
        <v>3210.05</v>
      </c>
      <c r="F2303" s="115">
        <v>3221.75</v>
      </c>
      <c r="G2303">
        <v>3853</v>
      </c>
      <c r="H2303" s="115"/>
      <c r="I2303" s="115"/>
      <c r="L2303" s="169">
        <v>45398</v>
      </c>
      <c r="M2303" s="115">
        <v>3214.15</v>
      </c>
      <c r="N2303" s="115">
        <v>3270.15</v>
      </c>
      <c r="O2303" s="115">
        <v>3162.55</v>
      </c>
      <c r="P2303" s="115">
        <v>3189.75</v>
      </c>
      <c r="Q2303" s="115">
        <v>3214.15</v>
      </c>
      <c r="R2303">
        <v>78947</v>
      </c>
    </row>
    <row r="2304" spans="1:18" x14ac:dyDescent="0.25">
      <c r="A2304" s="169">
        <v>45398</v>
      </c>
      <c r="B2304" s="115">
        <v>3267.85</v>
      </c>
      <c r="C2304" s="115">
        <v>3212.1</v>
      </c>
      <c r="D2304" s="115">
        <v>3147.55</v>
      </c>
      <c r="E2304" s="115">
        <v>3264</v>
      </c>
      <c r="F2304" s="115">
        <v>3212.1</v>
      </c>
      <c r="G2304">
        <v>5680</v>
      </c>
      <c r="H2304" s="115"/>
      <c r="I2304" s="115"/>
      <c r="L2304" s="169">
        <v>45400</v>
      </c>
      <c r="M2304" s="115">
        <v>3257.6</v>
      </c>
      <c r="N2304" s="115">
        <v>3275</v>
      </c>
      <c r="O2304" s="115">
        <v>3194</v>
      </c>
      <c r="P2304" s="115">
        <v>3226.3</v>
      </c>
      <c r="Q2304" s="115">
        <v>3257.6</v>
      </c>
      <c r="R2304">
        <v>81936</v>
      </c>
    </row>
    <row r="2305" spans="1:18" x14ac:dyDescent="0.25">
      <c r="A2305" s="169">
        <v>45400</v>
      </c>
      <c r="B2305" s="115">
        <v>3275.75</v>
      </c>
      <c r="C2305" s="115">
        <v>3257.45</v>
      </c>
      <c r="D2305" s="115">
        <v>3196.25</v>
      </c>
      <c r="E2305" s="115">
        <v>3222.25</v>
      </c>
      <c r="F2305" s="115">
        <v>3257.45</v>
      </c>
      <c r="G2305">
        <v>1500</v>
      </c>
      <c r="H2305" s="115"/>
      <c r="I2305" s="115"/>
      <c r="L2305" s="169">
        <v>45401</v>
      </c>
      <c r="M2305" s="115">
        <v>3275.7</v>
      </c>
      <c r="N2305" s="115">
        <v>3317.6</v>
      </c>
      <c r="O2305" s="115">
        <v>3183.8</v>
      </c>
      <c r="P2305" s="115">
        <v>3254.9</v>
      </c>
      <c r="Q2305" s="115">
        <v>3275.7</v>
      </c>
      <c r="R2305">
        <v>40175</v>
      </c>
    </row>
    <row r="2306" spans="1:18" x14ac:dyDescent="0.25">
      <c r="A2306" s="169">
        <v>45401</v>
      </c>
      <c r="B2306" s="115">
        <v>3314.2</v>
      </c>
      <c r="C2306" s="115">
        <v>3273.65</v>
      </c>
      <c r="D2306" s="115">
        <v>3190.1</v>
      </c>
      <c r="E2306" s="115">
        <v>3257.6</v>
      </c>
      <c r="F2306" s="115">
        <v>3273.65</v>
      </c>
      <c r="G2306">
        <v>2801</v>
      </c>
      <c r="H2306" s="115"/>
      <c r="I2306" s="115"/>
      <c r="L2306" s="169">
        <v>45404</v>
      </c>
      <c r="M2306" s="115">
        <v>3235.3</v>
      </c>
      <c r="N2306" s="115">
        <v>3316</v>
      </c>
      <c r="O2306" s="115">
        <v>3230</v>
      </c>
      <c r="P2306" s="115">
        <v>3294</v>
      </c>
      <c r="Q2306" s="115">
        <v>3235.3</v>
      </c>
      <c r="R2306">
        <v>22901</v>
      </c>
    </row>
    <row r="2307" spans="1:18" x14ac:dyDescent="0.25">
      <c r="A2307" s="169">
        <v>45404</v>
      </c>
      <c r="B2307" s="115">
        <v>3315.5</v>
      </c>
      <c r="C2307" s="115">
        <v>3236.45</v>
      </c>
      <c r="D2307" s="115">
        <v>3209.1</v>
      </c>
      <c r="E2307" s="115">
        <v>3209.1</v>
      </c>
      <c r="F2307" s="115">
        <v>3236.45</v>
      </c>
      <c r="G2307">
        <v>16588</v>
      </c>
      <c r="H2307" s="115"/>
      <c r="I2307" s="115"/>
      <c r="L2307" s="169">
        <v>45405</v>
      </c>
      <c r="M2307" s="115">
        <v>3279.75</v>
      </c>
      <c r="N2307" s="115">
        <v>3315</v>
      </c>
      <c r="O2307" s="115">
        <v>3186</v>
      </c>
      <c r="P2307" s="115">
        <v>3258.7</v>
      </c>
      <c r="Q2307" s="115">
        <v>3279.75</v>
      </c>
      <c r="R2307">
        <v>160482</v>
      </c>
    </row>
    <row r="2308" spans="1:18" x14ac:dyDescent="0.25">
      <c r="A2308" s="169">
        <v>45405</v>
      </c>
      <c r="B2308" s="115">
        <v>3315.8</v>
      </c>
      <c r="C2308" s="115">
        <v>3280.25</v>
      </c>
      <c r="D2308" s="115">
        <v>3223.95</v>
      </c>
      <c r="E2308" s="115">
        <v>3235</v>
      </c>
      <c r="F2308" s="115">
        <v>3280.25</v>
      </c>
      <c r="G2308">
        <v>3964</v>
      </c>
      <c r="H2308" s="115"/>
      <c r="I2308" s="115"/>
      <c r="L2308" s="169">
        <v>45406</v>
      </c>
      <c r="M2308" s="115">
        <v>3293.5</v>
      </c>
      <c r="N2308" s="115">
        <v>3344.8</v>
      </c>
      <c r="O2308" s="115">
        <v>3280</v>
      </c>
      <c r="P2308" s="115">
        <v>3310</v>
      </c>
      <c r="Q2308" s="115">
        <v>3293.5</v>
      </c>
      <c r="R2308">
        <v>95025</v>
      </c>
    </row>
    <row r="2309" spans="1:18" x14ac:dyDescent="0.25">
      <c r="A2309" s="169">
        <v>45406</v>
      </c>
      <c r="B2309" s="115">
        <v>3339</v>
      </c>
      <c r="C2309" s="115">
        <v>3290.75</v>
      </c>
      <c r="D2309" s="115">
        <v>3210</v>
      </c>
      <c r="E2309" s="115">
        <v>3284.2</v>
      </c>
      <c r="F2309" s="115">
        <v>3290.75</v>
      </c>
      <c r="G2309">
        <v>2796</v>
      </c>
      <c r="H2309" s="115"/>
      <c r="I2309" s="115"/>
      <c r="L2309" s="169">
        <v>45407</v>
      </c>
      <c r="M2309" s="115">
        <v>3276.75</v>
      </c>
      <c r="N2309" s="115">
        <v>3349.5</v>
      </c>
      <c r="O2309" s="115">
        <v>3266</v>
      </c>
      <c r="P2309" s="115">
        <v>3349.5</v>
      </c>
      <c r="Q2309" s="115">
        <v>3276.75</v>
      </c>
      <c r="R2309">
        <v>27875</v>
      </c>
    </row>
    <row r="2310" spans="1:18" x14ac:dyDescent="0.25">
      <c r="A2310" s="169">
        <v>45407</v>
      </c>
      <c r="B2310" s="115">
        <v>3339.8</v>
      </c>
      <c r="C2310" s="115">
        <v>3273.3</v>
      </c>
      <c r="D2310" s="115">
        <v>3268.5</v>
      </c>
      <c r="E2310" s="115">
        <v>3333.7</v>
      </c>
      <c r="F2310" s="115">
        <v>3273.3</v>
      </c>
      <c r="G2310">
        <v>1138</v>
      </c>
      <c r="H2310" s="115"/>
      <c r="I2310" s="115"/>
      <c r="L2310" s="169">
        <v>45408</v>
      </c>
      <c r="M2310" s="115">
        <v>3337</v>
      </c>
      <c r="N2310" s="115">
        <v>3443</v>
      </c>
      <c r="O2310" s="115">
        <v>3175</v>
      </c>
      <c r="P2310" s="115">
        <v>3225.05</v>
      </c>
      <c r="Q2310" s="115">
        <v>3337</v>
      </c>
      <c r="R2310">
        <v>274785</v>
      </c>
    </row>
    <row r="2311" spans="1:18" x14ac:dyDescent="0.25">
      <c r="A2311" s="169">
        <v>45408</v>
      </c>
      <c r="B2311" s="115">
        <v>3443.45</v>
      </c>
      <c r="C2311" s="115">
        <v>3334.9</v>
      </c>
      <c r="D2311" s="115">
        <v>3175</v>
      </c>
      <c r="E2311" s="115">
        <v>3249.95</v>
      </c>
      <c r="F2311" s="115">
        <v>3334.9</v>
      </c>
      <c r="G2311">
        <v>7307</v>
      </c>
      <c r="H2311" s="115"/>
      <c r="I2311" s="115"/>
      <c r="L2311" s="169">
        <v>45411</v>
      </c>
      <c r="M2311" s="115">
        <v>3477.9</v>
      </c>
      <c r="N2311" s="115">
        <v>3499</v>
      </c>
      <c r="O2311" s="115">
        <v>3340</v>
      </c>
      <c r="P2311" s="115">
        <v>3353</v>
      </c>
      <c r="Q2311" s="115">
        <v>3477.9</v>
      </c>
      <c r="R2311">
        <v>180738</v>
      </c>
    </row>
    <row r="2312" spans="1:18" x14ac:dyDescent="0.25">
      <c r="A2312" s="169">
        <v>45411</v>
      </c>
      <c r="B2312" s="115">
        <v>3498.9</v>
      </c>
      <c r="C2312" s="115">
        <v>3479.65</v>
      </c>
      <c r="D2312" s="115">
        <v>3340.45</v>
      </c>
      <c r="E2312" s="115">
        <v>3360</v>
      </c>
      <c r="F2312" s="115">
        <v>3479.65</v>
      </c>
      <c r="G2312">
        <v>3672</v>
      </c>
      <c r="H2312" s="115"/>
      <c r="I2312" s="115"/>
      <c r="L2312" s="169">
        <v>45412</v>
      </c>
      <c r="M2312" s="115">
        <v>3689.85</v>
      </c>
      <c r="N2312" s="115">
        <v>3879</v>
      </c>
      <c r="O2312" s="115">
        <v>3485</v>
      </c>
      <c r="P2312" s="115">
        <v>3520</v>
      </c>
      <c r="Q2312" s="115">
        <v>3689.85</v>
      </c>
      <c r="R2312">
        <v>756729</v>
      </c>
    </row>
    <row r="2313" spans="1:18" x14ac:dyDescent="0.25">
      <c r="A2313" s="169">
        <v>45412</v>
      </c>
      <c r="B2313" s="115">
        <v>3876.5</v>
      </c>
      <c r="C2313" s="115">
        <v>3687</v>
      </c>
      <c r="D2313" s="115">
        <v>3495.9</v>
      </c>
      <c r="E2313" s="115">
        <v>3495.9</v>
      </c>
      <c r="F2313" s="115">
        <v>3687</v>
      </c>
      <c r="G2313">
        <v>40736</v>
      </c>
      <c r="H2313" s="115"/>
      <c r="I2313" s="115"/>
      <c r="L2313" s="169">
        <v>45414</v>
      </c>
      <c r="M2313" s="115">
        <v>3749.1</v>
      </c>
      <c r="N2313" s="115">
        <v>3771.95</v>
      </c>
      <c r="O2313" s="115">
        <v>3630.65</v>
      </c>
      <c r="P2313" s="115">
        <v>3678.05</v>
      </c>
      <c r="Q2313" s="115">
        <v>3749.1</v>
      </c>
      <c r="R2313">
        <v>215745</v>
      </c>
    </row>
    <row r="2314" spans="1:18" x14ac:dyDescent="0.25">
      <c r="A2314" s="169">
        <v>45414</v>
      </c>
      <c r="B2314" s="115">
        <v>3765.15</v>
      </c>
      <c r="C2314" s="115">
        <v>3747.8</v>
      </c>
      <c r="D2314" s="115">
        <v>3666.65</v>
      </c>
      <c r="E2314" s="115">
        <v>3686.85</v>
      </c>
      <c r="F2314" s="115">
        <v>3747.8</v>
      </c>
      <c r="G2314">
        <v>4713</v>
      </c>
      <c r="H2314" s="115"/>
      <c r="I2314" s="115"/>
      <c r="L2314" s="169">
        <v>45415</v>
      </c>
      <c r="M2314" s="115">
        <v>3776.1</v>
      </c>
      <c r="N2314" s="115">
        <v>3839.8</v>
      </c>
      <c r="O2314" s="115">
        <v>3728.45</v>
      </c>
      <c r="P2314" s="115">
        <v>3738</v>
      </c>
      <c r="Q2314" s="115">
        <v>3776.1</v>
      </c>
      <c r="R2314">
        <v>115060</v>
      </c>
    </row>
    <row r="2315" spans="1:18" x14ac:dyDescent="0.25">
      <c r="A2315" s="169">
        <v>45415</v>
      </c>
      <c r="B2315" s="115">
        <v>3838</v>
      </c>
      <c r="C2315" s="115">
        <v>3771.95</v>
      </c>
      <c r="D2315" s="115">
        <v>3734.1</v>
      </c>
      <c r="E2315" s="115">
        <v>3740</v>
      </c>
      <c r="F2315" s="115">
        <v>3771.95</v>
      </c>
      <c r="G2315">
        <v>4940</v>
      </c>
      <c r="H2315" s="115"/>
      <c r="I2315" s="115"/>
      <c r="L2315" s="169">
        <v>45418</v>
      </c>
      <c r="M2315" s="115">
        <v>3850.15</v>
      </c>
      <c r="N2315" s="115">
        <v>3937.8</v>
      </c>
      <c r="O2315" s="115">
        <v>3785</v>
      </c>
      <c r="P2315" s="115">
        <v>3819.85</v>
      </c>
      <c r="Q2315" s="115">
        <v>3850.15</v>
      </c>
      <c r="R2315">
        <v>153353</v>
      </c>
    </row>
    <row r="2316" spans="1:18" x14ac:dyDescent="0.25">
      <c r="A2316" s="169">
        <v>45418</v>
      </c>
      <c r="B2316" s="115">
        <v>3918.9</v>
      </c>
      <c r="C2316" s="115">
        <v>3850.05</v>
      </c>
      <c r="D2316" s="115">
        <v>3787.55</v>
      </c>
      <c r="E2316" s="115">
        <v>3839</v>
      </c>
      <c r="F2316" s="115">
        <v>3850.05</v>
      </c>
      <c r="G2316">
        <v>3626</v>
      </c>
      <c r="H2316" s="115"/>
      <c r="I2316" s="115"/>
      <c r="L2316" s="169">
        <v>45419</v>
      </c>
      <c r="M2316" s="115">
        <v>3821.6</v>
      </c>
      <c r="N2316" s="115">
        <v>3980</v>
      </c>
      <c r="O2316" s="115">
        <v>3802</v>
      </c>
      <c r="P2316" s="115">
        <v>3857.85</v>
      </c>
      <c r="Q2316" s="115">
        <v>3821.6</v>
      </c>
      <c r="R2316">
        <v>177511</v>
      </c>
    </row>
    <row r="2317" spans="1:18" x14ac:dyDescent="0.25">
      <c r="A2317" s="169">
        <v>45419</v>
      </c>
      <c r="B2317" s="115">
        <v>3985</v>
      </c>
      <c r="C2317" s="115">
        <v>3820.5</v>
      </c>
      <c r="D2317" s="115">
        <v>3805</v>
      </c>
      <c r="E2317" s="115">
        <v>3914.95</v>
      </c>
      <c r="F2317" s="115">
        <v>3820.5</v>
      </c>
      <c r="G2317">
        <v>6258</v>
      </c>
      <c r="H2317" s="115"/>
      <c r="I2317" s="115"/>
      <c r="L2317" s="169">
        <v>45420</v>
      </c>
      <c r="M2317" s="115">
        <v>3836.4</v>
      </c>
      <c r="N2317" s="115">
        <v>3900</v>
      </c>
      <c r="O2317" s="115">
        <v>3780.05</v>
      </c>
      <c r="P2317" s="115">
        <v>3824.9</v>
      </c>
      <c r="Q2317" s="115">
        <v>3836.4</v>
      </c>
      <c r="R2317">
        <v>138001</v>
      </c>
    </row>
    <row r="2318" spans="1:18" x14ac:dyDescent="0.25">
      <c r="A2318" s="169">
        <v>45420</v>
      </c>
      <c r="B2318" s="115">
        <v>3899.95</v>
      </c>
      <c r="C2318" s="115">
        <v>3848.9</v>
      </c>
      <c r="D2318" s="115">
        <v>3784.8</v>
      </c>
      <c r="E2318" s="115">
        <v>3821.05</v>
      </c>
      <c r="F2318" s="115">
        <v>3848.9</v>
      </c>
      <c r="G2318">
        <v>2650</v>
      </c>
      <c r="H2318" s="115"/>
      <c r="I2318" s="115"/>
      <c r="L2318" s="169">
        <v>45421</v>
      </c>
      <c r="M2318" s="115">
        <v>3793.15</v>
      </c>
      <c r="N2318" s="115">
        <v>4019.9</v>
      </c>
      <c r="O2318" s="115">
        <v>3760.2</v>
      </c>
      <c r="P2318" s="115">
        <v>3851.35</v>
      </c>
      <c r="Q2318" s="115">
        <v>3793.15</v>
      </c>
      <c r="R2318">
        <v>188273</v>
      </c>
    </row>
    <row r="2319" spans="1:18" x14ac:dyDescent="0.25">
      <c r="A2319" s="169">
        <v>45421</v>
      </c>
      <c r="B2319" s="115">
        <v>4020</v>
      </c>
      <c r="C2319" s="115">
        <v>3792.35</v>
      </c>
      <c r="D2319" s="115">
        <v>3707.8</v>
      </c>
      <c r="E2319" s="115">
        <v>3885</v>
      </c>
      <c r="F2319" s="115">
        <v>3792.35</v>
      </c>
      <c r="G2319">
        <v>9502</v>
      </c>
      <c r="H2319" s="115"/>
      <c r="I2319" s="115"/>
      <c r="L2319" s="169">
        <v>45422</v>
      </c>
      <c r="M2319" s="115">
        <v>3791.95</v>
      </c>
      <c r="N2319" s="115">
        <v>3854.85</v>
      </c>
      <c r="O2319" s="115">
        <v>3775.05</v>
      </c>
      <c r="P2319" s="115">
        <v>3799.75</v>
      </c>
      <c r="Q2319" s="115">
        <v>3791.95</v>
      </c>
      <c r="R2319">
        <v>47355</v>
      </c>
    </row>
    <row r="2320" spans="1:18" x14ac:dyDescent="0.25">
      <c r="A2320" s="169">
        <v>45422</v>
      </c>
      <c r="B2320" s="115">
        <v>3857</v>
      </c>
      <c r="C2320" s="115">
        <v>3791.35</v>
      </c>
      <c r="D2320" s="115">
        <v>3770.05</v>
      </c>
      <c r="E2320" s="115">
        <v>3770.05</v>
      </c>
      <c r="F2320" s="115">
        <v>3791.35</v>
      </c>
      <c r="G2320">
        <v>1515</v>
      </c>
      <c r="H2320" s="115"/>
      <c r="I2320" s="115"/>
      <c r="L2320" s="169">
        <v>45425</v>
      </c>
      <c r="M2320" s="115">
        <v>3786.8</v>
      </c>
      <c r="N2320" s="115">
        <v>3881.3</v>
      </c>
      <c r="O2320" s="115">
        <v>3769.9</v>
      </c>
      <c r="P2320" s="115">
        <v>3824.35</v>
      </c>
      <c r="Q2320" s="115">
        <v>3786.8</v>
      </c>
      <c r="R2320">
        <v>77073</v>
      </c>
    </row>
    <row r="2321" spans="1:18" x14ac:dyDescent="0.25">
      <c r="A2321" s="169">
        <v>45425</v>
      </c>
      <c r="B2321" s="115">
        <v>3899.85</v>
      </c>
      <c r="C2321" s="115">
        <v>3788.2</v>
      </c>
      <c r="D2321" s="115">
        <v>3770</v>
      </c>
      <c r="E2321" s="115">
        <v>3899.85</v>
      </c>
      <c r="F2321" s="115">
        <v>3788.2</v>
      </c>
      <c r="G2321">
        <v>2540</v>
      </c>
      <c r="H2321" s="115"/>
      <c r="I2321" s="115"/>
      <c r="L2321" s="169">
        <v>45426</v>
      </c>
      <c r="M2321" s="115">
        <v>3828.4</v>
      </c>
      <c r="N2321" s="115">
        <v>3914.75</v>
      </c>
      <c r="O2321" s="115">
        <v>3789</v>
      </c>
      <c r="P2321" s="115">
        <v>3798.15</v>
      </c>
      <c r="Q2321" s="115">
        <v>3828.4</v>
      </c>
      <c r="R2321">
        <v>388467</v>
      </c>
    </row>
    <row r="2322" spans="1:18" x14ac:dyDescent="0.25">
      <c r="A2322" s="169">
        <v>45426</v>
      </c>
      <c r="B2322" s="115">
        <v>3913.35</v>
      </c>
      <c r="C2322" s="115">
        <v>3825.25</v>
      </c>
      <c r="D2322" s="115">
        <v>3770.05</v>
      </c>
      <c r="E2322" s="115">
        <v>3770.05</v>
      </c>
      <c r="F2322" s="115">
        <v>3825.25</v>
      </c>
      <c r="G2322">
        <v>4592</v>
      </c>
      <c r="H2322" s="115"/>
      <c r="I2322" s="115"/>
      <c r="L2322" s="169">
        <v>45427</v>
      </c>
      <c r="M2322" s="115">
        <v>3927.3</v>
      </c>
      <c r="N2322" s="115">
        <v>4010</v>
      </c>
      <c r="O2322" s="115">
        <v>3829</v>
      </c>
      <c r="P2322" s="115">
        <v>3829</v>
      </c>
      <c r="Q2322" s="115">
        <v>3927.3</v>
      </c>
      <c r="R2322">
        <v>310933</v>
      </c>
    </row>
    <row r="2323" spans="1:18" x14ac:dyDescent="0.25">
      <c r="A2323" s="169">
        <v>45427</v>
      </c>
      <c r="B2323" s="115">
        <v>4005</v>
      </c>
      <c r="C2323" s="115">
        <v>3920.25</v>
      </c>
      <c r="D2323" s="115">
        <v>3830</v>
      </c>
      <c r="E2323" s="115">
        <v>3949.95</v>
      </c>
      <c r="F2323" s="115">
        <v>3920.25</v>
      </c>
      <c r="G2323">
        <v>2650</v>
      </c>
      <c r="H2323" s="115"/>
      <c r="I2323" s="115"/>
      <c r="L2323" s="169">
        <v>45428</v>
      </c>
      <c r="M2323" s="115">
        <v>4209.8500000000004</v>
      </c>
      <c r="N2323" s="115">
        <v>4250</v>
      </c>
      <c r="O2323" s="115">
        <v>3927.3</v>
      </c>
      <c r="P2323" s="115">
        <v>3927.3</v>
      </c>
      <c r="Q2323" s="115">
        <v>4209.8500000000004</v>
      </c>
      <c r="R2323">
        <v>488844</v>
      </c>
    </row>
    <row r="2324" spans="1:18" x14ac:dyDescent="0.25">
      <c r="A2324" s="169">
        <v>45428</v>
      </c>
      <c r="B2324" s="115">
        <v>4250</v>
      </c>
      <c r="C2324" s="115">
        <v>4217.1000000000004</v>
      </c>
      <c r="D2324" s="115">
        <v>3920.25</v>
      </c>
      <c r="E2324" s="115">
        <v>3951</v>
      </c>
      <c r="F2324" s="115">
        <v>4217.1000000000004</v>
      </c>
      <c r="G2324">
        <v>15557</v>
      </c>
      <c r="H2324" s="115"/>
      <c r="I2324" s="115"/>
      <c r="L2324" s="169">
        <v>45429</v>
      </c>
      <c r="M2324" s="115">
        <v>4311.6499999999996</v>
      </c>
      <c r="N2324" s="115">
        <v>4591</v>
      </c>
      <c r="O2324" s="115">
        <v>4225.1499999999996</v>
      </c>
      <c r="P2324" s="115">
        <v>4249.45</v>
      </c>
      <c r="Q2324" s="115">
        <v>4311.6499999999996</v>
      </c>
      <c r="R2324">
        <v>553403</v>
      </c>
    </row>
    <row r="2325" spans="1:18" x14ac:dyDescent="0.25">
      <c r="A2325" s="169">
        <v>45429</v>
      </c>
      <c r="B2325" s="115">
        <v>4594.1000000000004</v>
      </c>
      <c r="C2325" s="115">
        <v>4318.3500000000004</v>
      </c>
      <c r="D2325" s="115">
        <v>4242</v>
      </c>
      <c r="E2325" s="115">
        <v>4253.95</v>
      </c>
      <c r="F2325" s="115">
        <v>4318.3500000000004</v>
      </c>
      <c r="G2325">
        <v>20684</v>
      </c>
      <c r="H2325" s="115"/>
      <c r="I2325" s="115"/>
      <c r="L2325" s="169">
        <v>45430</v>
      </c>
      <c r="M2325" s="115">
        <v>4382.45</v>
      </c>
      <c r="N2325" s="115">
        <v>4450</v>
      </c>
      <c r="O2325" s="115">
        <v>4361.5</v>
      </c>
      <c r="P2325" s="115">
        <v>4422.45</v>
      </c>
      <c r="Q2325" s="115">
        <v>4382.45</v>
      </c>
      <c r="R2325">
        <v>8043</v>
      </c>
    </row>
    <row r="2326" spans="1:18" x14ac:dyDescent="0.25">
      <c r="A2326" s="169">
        <v>45430</v>
      </c>
      <c r="B2326" s="115">
        <v>4450</v>
      </c>
      <c r="C2326" s="115">
        <v>4377.55</v>
      </c>
      <c r="D2326" s="115">
        <v>4345</v>
      </c>
      <c r="E2326" s="115">
        <v>4345</v>
      </c>
      <c r="F2326" s="115">
        <v>4377.55</v>
      </c>
      <c r="G2326">
        <v>1920</v>
      </c>
      <c r="H2326" s="115"/>
      <c r="I2326" s="115"/>
      <c r="L2326" s="169">
        <v>45433</v>
      </c>
      <c r="M2326" s="115">
        <v>4292.1000000000004</v>
      </c>
      <c r="N2326" s="115">
        <v>4459.1499999999996</v>
      </c>
      <c r="O2326" s="115">
        <v>4275</v>
      </c>
      <c r="P2326" s="115">
        <v>4419.55</v>
      </c>
      <c r="Q2326" s="115">
        <v>4292.1000000000004</v>
      </c>
      <c r="R2326">
        <v>171324</v>
      </c>
    </row>
    <row r="2327" spans="1:18" x14ac:dyDescent="0.25">
      <c r="A2327" s="169">
        <v>45433</v>
      </c>
      <c r="B2327" s="115">
        <v>4451.8999999999996</v>
      </c>
      <c r="C2327" s="115">
        <v>4292.6499999999996</v>
      </c>
      <c r="D2327" s="115">
        <v>4278.7</v>
      </c>
      <c r="E2327" s="115">
        <v>4351</v>
      </c>
      <c r="F2327" s="115">
        <v>4292.6499999999996</v>
      </c>
      <c r="G2327">
        <v>6054</v>
      </c>
      <c r="H2327" s="115"/>
      <c r="I2327" s="115"/>
      <c r="L2327" s="169">
        <v>45434</v>
      </c>
      <c r="M2327" s="115">
        <v>4499.6000000000004</v>
      </c>
      <c r="N2327" s="115">
        <v>4523.1000000000004</v>
      </c>
      <c r="O2327" s="115">
        <v>4307.8999999999996</v>
      </c>
      <c r="P2327" s="115">
        <v>4347.8</v>
      </c>
      <c r="Q2327" s="115">
        <v>4499.6000000000004</v>
      </c>
      <c r="R2327">
        <v>316321</v>
      </c>
    </row>
    <row r="2328" spans="1:18" x14ac:dyDescent="0.25">
      <c r="A2328" s="169">
        <v>45434</v>
      </c>
      <c r="B2328" s="115">
        <v>4520</v>
      </c>
      <c r="C2328" s="115">
        <v>4499.3500000000004</v>
      </c>
      <c r="D2328" s="115">
        <v>4290</v>
      </c>
      <c r="E2328" s="115">
        <v>4290</v>
      </c>
      <c r="F2328" s="115">
        <v>4499.3500000000004</v>
      </c>
      <c r="G2328">
        <v>10406</v>
      </c>
      <c r="H2328" s="115"/>
      <c r="I2328" s="115"/>
      <c r="L2328" s="169">
        <v>45435</v>
      </c>
      <c r="M2328" s="115">
        <v>4600.3500000000004</v>
      </c>
      <c r="N2328" s="115">
        <v>4696.3</v>
      </c>
      <c r="O2328" s="115">
        <v>4537.8999999999996</v>
      </c>
      <c r="P2328" s="115">
        <v>4544.05</v>
      </c>
      <c r="Q2328" s="115">
        <v>4600.3500000000004</v>
      </c>
      <c r="R2328">
        <v>196642</v>
      </c>
    </row>
    <row r="2329" spans="1:18" x14ac:dyDescent="0.25">
      <c r="A2329" s="169">
        <v>45435</v>
      </c>
      <c r="B2329" s="115">
        <v>4691.95</v>
      </c>
      <c r="C2329" s="115">
        <v>4599.6000000000004</v>
      </c>
      <c r="D2329" s="115">
        <v>4499.45</v>
      </c>
      <c r="E2329" s="115">
        <v>4499.45</v>
      </c>
      <c r="F2329" s="115">
        <v>4599.6000000000004</v>
      </c>
      <c r="G2329">
        <v>3631</v>
      </c>
      <c r="H2329" s="115"/>
      <c r="I2329" s="115"/>
      <c r="L2329" s="169">
        <v>45436</v>
      </c>
      <c r="M2329" s="115">
        <v>4616.8999999999996</v>
      </c>
      <c r="N2329" s="115">
        <v>4642.5</v>
      </c>
      <c r="O2329" s="115">
        <v>4577.75</v>
      </c>
      <c r="P2329" s="115">
        <v>4633</v>
      </c>
      <c r="Q2329" s="115">
        <v>4616.8999999999996</v>
      </c>
      <c r="R2329">
        <v>191791</v>
      </c>
    </row>
    <row r="2330" spans="1:18" x14ac:dyDescent="0.25">
      <c r="A2330" s="169">
        <v>45436</v>
      </c>
      <c r="B2330" s="115">
        <v>4649.8500000000004</v>
      </c>
      <c r="C2330" s="115">
        <v>4614.75</v>
      </c>
      <c r="D2330" s="115">
        <v>4579.25</v>
      </c>
      <c r="E2330" s="115">
        <v>4649.8500000000004</v>
      </c>
      <c r="F2330" s="115">
        <v>4614.75</v>
      </c>
      <c r="G2330">
        <v>4569</v>
      </c>
      <c r="H2330" s="115"/>
      <c r="I2330" s="115"/>
      <c r="L2330" s="169">
        <v>45439</v>
      </c>
      <c r="M2330" s="115">
        <v>4588.45</v>
      </c>
      <c r="N2330" s="115">
        <v>4745</v>
      </c>
      <c r="O2330" s="115">
        <v>4533.3</v>
      </c>
      <c r="P2330" s="115">
        <v>4679.1000000000004</v>
      </c>
      <c r="Q2330" s="115">
        <v>4588.45</v>
      </c>
      <c r="R2330">
        <v>190215</v>
      </c>
    </row>
    <row r="2331" spans="1:18" x14ac:dyDescent="0.25">
      <c r="A2331" s="169">
        <v>45439</v>
      </c>
      <c r="B2331" s="115">
        <v>4745.95</v>
      </c>
      <c r="C2331" s="115">
        <v>4586.8500000000004</v>
      </c>
      <c r="D2331" s="115">
        <v>4534.25</v>
      </c>
      <c r="E2331" s="115">
        <v>4699.95</v>
      </c>
      <c r="F2331" s="115">
        <v>4586.8500000000004</v>
      </c>
      <c r="G2331">
        <v>6215</v>
      </c>
      <c r="H2331" s="115"/>
      <c r="I2331" s="115"/>
      <c r="L2331" s="169">
        <v>45440</v>
      </c>
      <c r="M2331" s="115">
        <v>4576.6000000000004</v>
      </c>
      <c r="N2331" s="115">
        <v>4631.1499999999996</v>
      </c>
      <c r="O2331" s="115">
        <v>4504.3</v>
      </c>
      <c r="P2331" s="115">
        <v>4609</v>
      </c>
      <c r="Q2331" s="115">
        <v>4576.6000000000004</v>
      </c>
      <c r="R2331">
        <v>217903</v>
      </c>
    </row>
    <row r="2332" spans="1:18" x14ac:dyDescent="0.25">
      <c r="A2332" s="169">
        <v>45440</v>
      </c>
      <c r="B2332" s="115">
        <v>4749.3</v>
      </c>
      <c r="C2332" s="115">
        <v>4584.8999999999996</v>
      </c>
      <c r="D2332" s="115">
        <v>4503.6499999999996</v>
      </c>
      <c r="E2332" s="115">
        <v>4749.3</v>
      </c>
      <c r="F2332" s="115">
        <v>4584.8999999999996</v>
      </c>
      <c r="G2332">
        <v>4622</v>
      </c>
      <c r="H2332" s="115"/>
      <c r="I2332" s="115"/>
      <c r="L2332" s="169">
        <v>45441</v>
      </c>
      <c r="M2332" s="115">
        <v>4481.5</v>
      </c>
      <c r="N2332" s="115">
        <v>4650</v>
      </c>
      <c r="O2332" s="115">
        <v>4444.05</v>
      </c>
      <c r="P2332" s="115">
        <v>4594.7</v>
      </c>
      <c r="Q2332" s="115">
        <v>4481.5</v>
      </c>
      <c r="R2332">
        <v>85328</v>
      </c>
    </row>
    <row r="2333" spans="1:18" x14ac:dyDescent="0.25">
      <c r="A2333" s="169">
        <v>45441</v>
      </c>
      <c r="B2333" s="115">
        <v>4654.1499999999996</v>
      </c>
      <c r="C2333" s="115">
        <v>4474.8500000000004</v>
      </c>
      <c r="D2333" s="115">
        <v>4446</v>
      </c>
      <c r="E2333" s="115">
        <v>4630.95</v>
      </c>
      <c r="F2333" s="115">
        <v>4474.8500000000004</v>
      </c>
      <c r="G2333">
        <v>4658</v>
      </c>
      <c r="H2333" s="115"/>
      <c r="I2333" s="115"/>
      <c r="L2333" s="169">
        <v>45442</v>
      </c>
      <c r="M2333" s="115">
        <v>4349.8999999999996</v>
      </c>
      <c r="N2333" s="115">
        <v>4562.95</v>
      </c>
      <c r="O2333" s="115">
        <v>4336.95</v>
      </c>
      <c r="P2333" s="115">
        <v>4474.05</v>
      </c>
      <c r="Q2333" s="115">
        <v>4349.8999999999996</v>
      </c>
      <c r="R2333">
        <v>84097</v>
      </c>
    </row>
    <row r="2334" spans="1:18" x14ac:dyDescent="0.25">
      <c r="A2334" s="169">
        <v>45442</v>
      </c>
      <c r="B2334" s="115">
        <v>4558.45</v>
      </c>
      <c r="C2334" s="115">
        <v>4351.75</v>
      </c>
      <c r="D2334" s="115">
        <v>4340</v>
      </c>
      <c r="E2334" s="115">
        <v>4502.95</v>
      </c>
      <c r="F2334" s="115">
        <v>4351.75</v>
      </c>
      <c r="G2334">
        <v>5559</v>
      </c>
      <c r="H2334" s="115"/>
      <c r="I2334" s="115"/>
      <c r="L2334" s="169">
        <v>45443</v>
      </c>
      <c r="M2334" s="115">
        <v>4241.5</v>
      </c>
      <c r="N2334" s="115">
        <v>4392.2</v>
      </c>
      <c r="O2334" s="115">
        <v>4183.75</v>
      </c>
      <c r="P2334" s="115">
        <v>4345</v>
      </c>
      <c r="Q2334" s="115">
        <v>4241.5</v>
      </c>
      <c r="R2334">
        <v>179901</v>
      </c>
    </row>
    <row r="2335" spans="1:18" x14ac:dyDescent="0.25">
      <c r="A2335" s="169">
        <v>45443</v>
      </c>
      <c r="B2335" s="115">
        <v>4389.3500000000004</v>
      </c>
      <c r="C2335" s="115">
        <v>4238.5</v>
      </c>
      <c r="D2335" s="115">
        <v>4187.55</v>
      </c>
      <c r="E2335" s="115">
        <v>4347.05</v>
      </c>
      <c r="F2335" s="115">
        <v>4238.5</v>
      </c>
      <c r="G2335">
        <v>7445</v>
      </c>
      <c r="H2335" s="115"/>
      <c r="I2335" s="115"/>
      <c r="L2335" s="169">
        <v>45446</v>
      </c>
      <c r="M2335" s="115">
        <v>4509.3999999999996</v>
      </c>
      <c r="N2335" s="115">
        <v>4563.95</v>
      </c>
      <c r="O2335" s="115">
        <v>4300</v>
      </c>
      <c r="P2335" s="115">
        <v>4300</v>
      </c>
      <c r="Q2335" s="115">
        <v>4509.3999999999996</v>
      </c>
      <c r="R2335">
        <v>181239</v>
      </c>
    </row>
    <row r="2336" spans="1:18" x14ac:dyDescent="0.25">
      <c r="A2336" s="169">
        <v>45446</v>
      </c>
      <c r="B2336" s="115">
        <v>4560.7</v>
      </c>
      <c r="C2336" s="115">
        <v>4511.55</v>
      </c>
      <c r="D2336" s="115">
        <v>4323.3</v>
      </c>
      <c r="E2336" s="115">
        <v>4414.8999999999996</v>
      </c>
      <c r="F2336" s="115">
        <v>4511.55</v>
      </c>
      <c r="G2336">
        <v>12498</v>
      </c>
      <c r="H2336" s="115"/>
      <c r="I2336" s="115"/>
      <c r="L2336" s="169">
        <v>45447</v>
      </c>
      <c r="M2336" s="115">
        <v>4246.7</v>
      </c>
      <c r="N2336" s="115">
        <v>4690</v>
      </c>
      <c r="O2336" s="115">
        <v>3786.2</v>
      </c>
      <c r="P2336" s="115">
        <v>4549.6000000000004</v>
      </c>
      <c r="Q2336" s="115">
        <v>4246.7</v>
      </c>
      <c r="R2336">
        <v>277413</v>
      </c>
    </row>
    <row r="2337" spans="1:18" x14ac:dyDescent="0.25">
      <c r="A2337" s="169">
        <v>45447</v>
      </c>
      <c r="B2337" s="115">
        <v>4686.95</v>
      </c>
      <c r="C2337" s="115">
        <v>4239.2</v>
      </c>
      <c r="D2337" s="115">
        <v>3790.65</v>
      </c>
      <c r="E2337" s="115">
        <v>4599.8999999999996</v>
      </c>
      <c r="F2337" s="115">
        <v>4239.2</v>
      </c>
      <c r="G2337">
        <v>21045</v>
      </c>
      <c r="H2337" s="115"/>
      <c r="I2337" s="115"/>
      <c r="L2337" s="169">
        <v>45448</v>
      </c>
      <c r="M2337" s="115">
        <v>4144.45</v>
      </c>
      <c r="N2337" s="115">
        <v>4253.95</v>
      </c>
      <c r="O2337" s="115">
        <v>3816</v>
      </c>
      <c r="P2337" s="115">
        <v>4195</v>
      </c>
      <c r="Q2337" s="115">
        <v>4144.45</v>
      </c>
      <c r="R2337">
        <v>353492</v>
      </c>
    </row>
    <row r="2338" spans="1:18" x14ac:dyDescent="0.25">
      <c r="A2338" s="169">
        <v>45448</v>
      </c>
      <c r="B2338" s="115">
        <v>4300</v>
      </c>
      <c r="C2338" s="115">
        <v>4147.1499999999996</v>
      </c>
      <c r="D2338" s="115">
        <v>3823.8</v>
      </c>
      <c r="E2338" s="115">
        <v>4300</v>
      </c>
      <c r="F2338" s="115">
        <v>4147.1499999999996</v>
      </c>
      <c r="G2338">
        <v>11444</v>
      </c>
      <c r="H2338" s="115"/>
      <c r="I2338" s="115"/>
      <c r="L2338" s="169">
        <v>45449</v>
      </c>
      <c r="M2338" s="115">
        <v>4271</v>
      </c>
      <c r="N2338" s="115">
        <v>4360.6000000000004</v>
      </c>
      <c r="O2338" s="115">
        <v>4110</v>
      </c>
      <c r="P2338" s="115">
        <v>4145.05</v>
      </c>
      <c r="Q2338" s="115">
        <v>4271</v>
      </c>
      <c r="R2338">
        <v>95051</v>
      </c>
    </row>
    <row r="2339" spans="1:18" x14ac:dyDescent="0.25">
      <c r="A2339" s="169">
        <v>45449</v>
      </c>
      <c r="B2339" s="115">
        <v>4358</v>
      </c>
      <c r="C2339" s="115">
        <v>4264.95</v>
      </c>
      <c r="D2339" s="115">
        <v>4107.7</v>
      </c>
      <c r="E2339" s="115">
        <v>4160</v>
      </c>
      <c r="F2339" s="115">
        <v>4264.95</v>
      </c>
      <c r="G2339">
        <v>4364</v>
      </c>
      <c r="H2339" s="115"/>
      <c r="I2339" s="115"/>
      <c r="L2339" s="169">
        <v>45450</v>
      </c>
      <c r="M2339" s="115">
        <v>4153.8999999999996</v>
      </c>
      <c r="N2339" s="115">
        <v>4300.3999999999996</v>
      </c>
      <c r="O2339" s="115">
        <v>4143.05</v>
      </c>
      <c r="P2339" s="115">
        <v>4300</v>
      </c>
      <c r="Q2339" s="115">
        <v>4153.8999999999996</v>
      </c>
      <c r="R2339">
        <v>118103</v>
      </c>
    </row>
    <row r="2340" spans="1:18" x14ac:dyDescent="0.25">
      <c r="A2340" s="169">
        <v>45450</v>
      </c>
      <c r="B2340" s="115">
        <v>4300</v>
      </c>
      <c r="C2340" s="115">
        <v>4153.55</v>
      </c>
      <c r="D2340" s="115">
        <v>4144.55</v>
      </c>
      <c r="E2340" s="115">
        <v>4300</v>
      </c>
      <c r="F2340" s="115">
        <v>4153.55</v>
      </c>
      <c r="G2340">
        <v>2701</v>
      </c>
      <c r="H2340" s="115"/>
      <c r="I2340" s="115"/>
      <c r="L2340" s="169">
        <v>45453</v>
      </c>
      <c r="M2340" s="115">
        <v>4160.2</v>
      </c>
      <c r="N2340" s="115">
        <v>4329.5</v>
      </c>
      <c r="O2340" s="115">
        <v>4135</v>
      </c>
      <c r="P2340" s="115">
        <v>4153.8999999999996</v>
      </c>
      <c r="Q2340" s="115">
        <v>4160.2</v>
      </c>
      <c r="R2340">
        <v>109477</v>
      </c>
    </row>
    <row r="2341" spans="1:18" x14ac:dyDescent="0.25">
      <c r="A2341" s="169">
        <v>45453</v>
      </c>
      <c r="B2341" s="115">
        <v>4324.8500000000004</v>
      </c>
      <c r="C2341" s="115">
        <v>4159.3</v>
      </c>
      <c r="D2341" s="115">
        <v>4136.25</v>
      </c>
      <c r="E2341" s="115">
        <v>4153.55</v>
      </c>
      <c r="F2341" s="115">
        <v>4159.3</v>
      </c>
      <c r="G2341">
        <v>3661</v>
      </c>
      <c r="H2341" s="115"/>
      <c r="I2341" s="115"/>
      <c r="L2341" s="169">
        <v>45454</v>
      </c>
      <c r="M2341" s="115">
        <v>4340.45</v>
      </c>
      <c r="N2341" s="115">
        <v>4457.1000000000004</v>
      </c>
      <c r="O2341" s="115">
        <v>4173.2</v>
      </c>
      <c r="P2341" s="115">
        <v>4173.2</v>
      </c>
      <c r="Q2341" s="115">
        <v>4340.45</v>
      </c>
      <c r="R2341">
        <v>244416</v>
      </c>
    </row>
    <row r="2342" spans="1:18" x14ac:dyDescent="0.25">
      <c r="A2342" s="169">
        <v>45454</v>
      </c>
      <c r="B2342" s="115">
        <v>4453.8999999999996</v>
      </c>
      <c r="C2342" s="115">
        <v>4342.7</v>
      </c>
      <c r="D2342" s="115">
        <v>4191.8999999999996</v>
      </c>
      <c r="E2342" s="115">
        <v>4242.5</v>
      </c>
      <c r="F2342" s="115">
        <v>4342.7</v>
      </c>
      <c r="G2342">
        <v>10025</v>
      </c>
      <c r="H2342" s="115"/>
      <c r="I2342" s="115"/>
      <c r="L2342" s="169">
        <v>45455</v>
      </c>
      <c r="M2342" s="115">
        <v>4404.1000000000004</v>
      </c>
      <c r="N2342" s="115">
        <v>4500</v>
      </c>
      <c r="O2342" s="115">
        <v>4363.1000000000004</v>
      </c>
      <c r="P2342" s="115">
        <v>4419.95</v>
      </c>
      <c r="Q2342" s="115">
        <v>4404.1000000000004</v>
      </c>
      <c r="R2342">
        <v>127307</v>
      </c>
    </row>
    <row r="2343" spans="1:18" x14ac:dyDescent="0.25">
      <c r="A2343" s="169">
        <v>45455</v>
      </c>
      <c r="B2343" s="115">
        <v>4500</v>
      </c>
      <c r="C2343" s="115">
        <v>4398.25</v>
      </c>
      <c r="D2343" s="115">
        <v>4366.8500000000004</v>
      </c>
      <c r="E2343" s="115">
        <v>4375.5</v>
      </c>
      <c r="F2343" s="115">
        <v>4398.25</v>
      </c>
      <c r="G2343">
        <v>6464</v>
      </c>
      <c r="H2343" s="115"/>
      <c r="I2343" s="115"/>
      <c r="L2343" s="169">
        <v>45456</v>
      </c>
      <c r="M2343" s="115">
        <v>4524.3999999999996</v>
      </c>
      <c r="N2343" s="115">
        <v>4575</v>
      </c>
      <c r="O2343" s="115">
        <v>4415</v>
      </c>
      <c r="P2343" s="115">
        <v>4440</v>
      </c>
      <c r="Q2343" s="115">
        <v>4524.3999999999996</v>
      </c>
      <c r="R2343">
        <v>179422</v>
      </c>
    </row>
    <row r="2344" spans="1:18" x14ac:dyDescent="0.25">
      <c r="A2344" s="169">
        <v>45456</v>
      </c>
      <c r="B2344" s="115">
        <v>4573</v>
      </c>
      <c r="C2344" s="115">
        <v>4525.3500000000004</v>
      </c>
      <c r="D2344" s="115">
        <v>4398.25</v>
      </c>
      <c r="E2344" s="115">
        <v>4398.25</v>
      </c>
      <c r="F2344" s="115">
        <v>4525.3500000000004</v>
      </c>
      <c r="G2344">
        <v>9944</v>
      </c>
      <c r="H2344" s="115"/>
      <c r="I2344" s="115"/>
      <c r="L2344" s="169">
        <v>45457</v>
      </c>
      <c r="M2344" s="115">
        <v>4825.6000000000004</v>
      </c>
      <c r="N2344" s="115">
        <v>4930.2</v>
      </c>
      <c r="O2344" s="115">
        <v>4545.05</v>
      </c>
      <c r="P2344" s="115">
        <v>4560.6499999999996</v>
      </c>
      <c r="Q2344" s="115">
        <v>4825.6000000000004</v>
      </c>
      <c r="R2344">
        <v>335958</v>
      </c>
    </row>
    <row r="2345" spans="1:18" x14ac:dyDescent="0.25">
      <c r="A2345" s="169">
        <v>45457</v>
      </c>
      <c r="B2345" s="115">
        <v>4900</v>
      </c>
      <c r="C2345" s="115">
        <v>4822.55</v>
      </c>
      <c r="D2345" s="115">
        <v>4544</v>
      </c>
      <c r="E2345" s="115">
        <v>4590</v>
      </c>
      <c r="F2345" s="115">
        <v>4822.55</v>
      </c>
      <c r="G2345">
        <v>26550</v>
      </c>
      <c r="H2345" s="115"/>
      <c r="I2345" s="115"/>
      <c r="L2345" s="169">
        <v>45461</v>
      </c>
      <c r="M2345" s="115">
        <v>4814.05</v>
      </c>
      <c r="N2345" s="115">
        <v>4951</v>
      </c>
      <c r="O2345" s="115">
        <v>4672.05</v>
      </c>
      <c r="P2345" s="115">
        <v>4883</v>
      </c>
      <c r="Q2345" s="115">
        <v>4814.05</v>
      </c>
      <c r="R2345">
        <v>265509</v>
      </c>
    </row>
    <row r="2346" spans="1:18" x14ac:dyDescent="0.25">
      <c r="A2346" s="169">
        <v>45461</v>
      </c>
      <c r="B2346" s="115">
        <v>4950</v>
      </c>
      <c r="C2346" s="115">
        <v>4810.05</v>
      </c>
      <c r="D2346" s="115">
        <v>4675.6000000000004</v>
      </c>
      <c r="E2346" s="115">
        <v>4949.8500000000004</v>
      </c>
      <c r="F2346" s="115">
        <v>4810.05</v>
      </c>
      <c r="G2346">
        <v>8335</v>
      </c>
      <c r="H2346" s="115"/>
      <c r="I2346" s="115"/>
      <c r="L2346" s="169">
        <v>45462</v>
      </c>
      <c r="M2346" s="115">
        <v>4658.6499999999996</v>
      </c>
      <c r="N2346" s="115">
        <v>4877.7</v>
      </c>
      <c r="O2346" s="115">
        <v>4623.2</v>
      </c>
      <c r="P2346" s="115">
        <v>4859.55</v>
      </c>
      <c r="Q2346" s="115">
        <v>4658.6499999999996</v>
      </c>
      <c r="R2346">
        <v>259088</v>
      </c>
    </row>
    <row r="2347" spans="1:18" x14ac:dyDescent="0.25">
      <c r="A2347" s="169">
        <v>45462</v>
      </c>
      <c r="B2347" s="115">
        <v>4857.8</v>
      </c>
      <c r="C2347" s="115">
        <v>4658.7</v>
      </c>
      <c r="D2347" s="115">
        <v>4632</v>
      </c>
      <c r="E2347" s="115">
        <v>4845.05</v>
      </c>
      <c r="F2347" s="115">
        <v>4658.7</v>
      </c>
      <c r="G2347">
        <v>7978</v>
      </c>
      <c r="H2347" s="115"/>
      <c r="I2347" s="115"/>
      <c r="L2347" s="169">
        <v>45463</v>
      </c>
      <c r="M2347" s="115">
        <v>4670.6000000000004</v>
      </c>
      <c r="N2347" s="115">
        <v>4690.95</v>
      </c>
      <c r="O2347" s="115">
        <v>4623.1499999999996</v>
      </c>
      <c r="P2347" s="115">
        <v>4635.6000000000004</v>
      </c>
      <c r="Q2347" s="115">
        <v>4670.6000000000004</v>
      </c>
      <c r="R2347">
        <v>98771</v>
      </c>
    </row>
    <row r="2348" spans="1:18" x14ac:dyDescent="0.25">
      <c r="A2348" s="169">
        <v>45463</v>
      </c>
      <c r="B2348" s="115">
        <v>4687.8500000000004</v>
      </c>
      <c r="C2348" s="115">
        <v>4668.95</v>
      </c>
      <c r="D2348" s="115">
        <v>4625</v>
      </c>
      <c r="E2348" s="115">
        <v>4630</v>
      </c>
      <c r="F2348" s="115">
        <v>4668.95</v>
      </c>
      <c r="G2348">
        <v>4748</v>
      </c>
      <c r="H2348" s="115"/>
      <c r="I2348" s="115"/>
      <c r="L2348" s="169">
        <v>45464</v>
      </c>
      <c r="M2348" s="115">
        <v>4717.6499999999996</v>
      </c>
      <c r="N2348" s="115">
        <v>4820</v>
      </c>
      <c r="O2348" s="115">
        <v>4629</v>
      </c>
      <c r="P2348" s="115">
        <v>4705.1499999999996</v>
      </c>
      <c r="Q2348" s="115">
        <v>4717.6499999999996</v>
      </c>
      <c r="R2348">
        <v>290646</v>
      </c>
    </row>
    <row r="2349" spans="1:18" x14ac:dyDescent="0.25">
      <c r="A2349" s="169">
        <v>45464</v>
      </c>
      <c r="B2349" s="115">
        <v>4822.1499999999996</v>
      </c>
      <c r="C2349" s="115">
        <v>4727.95</v>
      </c>
      <c r="D2349" s="115">
        <v>4632</v>
      </c>
      <c r="E2349" s="115">
        <v>4680</v>
      </c>
      <c r="F2349" s="115">
        <v>4727.95</v>
      </c>
      <c r="G2349">
        <v>11343</v>
      </c>
      <c r="H2349" s="115"/>
      <c r="I2349" s="115"/>
      <c r="L2349" s="169">
        <v>45467</v>
      </c>
      <c r="M2349" s="115">
        <v>4652.95</v>
      </c>
      <c r="N2349" s="115">
        <v>4799</v>
      </c>
      <c r="O2349" s="115">
        <v>4624.3999999999996</v>
      </c>
      <c r="P2349" s="115">
        <v>4750</v>
      </c>
      <c r="Q2349" s="115">
        <v>4652.95</v>
      </c>
      <c r="R2349">
        <v>88546</v>
      </c>
    </row>
    <row r="2350" spans="1:18" x14ac:dyDescent="0.25">
      <c r="A2350" s="169">
        <v>45467</v>
      </c>
      <c r="B2350" s="115">
        <v>4798.8999999999996</v>
      </c>
      <c r="C2350" s="115">
        <v>4650.45</v>
      </c>
      <c r="D2350" s="115">
        <v>4625.05</v>
      </c>
      <c r="E2350" s="115">
        <v>4730.05</v>
      </c>
      <c r="F2350" s="115">
        <v>4650.45</v>
      </c>
      <c r="G2350">
        <v>5623</v>
      </c>
      <c r="H2350" s="115"/>
      <c r="I2350" s="115"/>
      <c r="L2350" s="169">
        <v>45468</v>
      </c>
      <c r="M2350" s="115">
        <v>4758.75</v>
      </c>
      <c r="N2350" s="115">
        <v>4816.5</v>
      </c>
      <c r="O2350" s="115">
        <v>4652.95</v>
      </c>
      <c r="P2350" s="115">
        <v>4652.95</v>
      </c>
      <c r="Q2350" s="115">
        <v>4758.75</v>
      </c>
      <c r="R2350">
        <v>278236</v>
      </c>
    </row>
    <row r="2351" spans="1:18" x14ac:dyDescent="0.25">
      <c r="A2351" s="169">
        <v>45468</v>
      </c>
      <c r="B2351" s="115">
        <v>4814.5</v>
      </c>
      <c r="C2351" s="115">
        <v>4758.8500000000004</v>
      </c>
      <c r="D2351" s="115">
        <v>4640.05</v>
      </c>
      <c r="E2351" s="115">
        <v>4640.05</v>
      </c>
      <c r="F2351" s="115">
        <v>4758.8500000000004</v>
      </c>
      <c r="G2351">
        <v>10476</v>
      </c>
      <c r="H2351" s="115"/>
      <c r="I2351" s="115"/>
      <c r="L2351" s="169">
        <v>45469</v>
      </c>
      <c r="M2351" s="115">
        <v>4701.8500000000004</v>
      </c>
      <c r="N2351" s="115">
        <v>4756.95</v>
      </c>
      <c r="O2351" s="115">
        <v>4662</v>
      </c>
      <c r="P2351" s="115">
        <v>4755</v>
      </c>
      <c r="Q2351" s="115">
        <v>4701.8500000000004</v>
      </c>
      <c r="R2351">
        <v>100850</v>
      </c>
    </row>
    <row r="2352" spans="1:18" x14ac:dyDescent="0.25">
      <c r="A2352" s="169">
        <v>45469</v>
      </c>
      <c r="B2352" s="115">
        <v>4725.3500000000004</v>
      </c>
      <c r="C2352" s="115">
        <v>4705.1499999999996</v>
      </c>
      <c r="D2352" s="115">
        <v>4661.3500000000004</v>
      </c>
      <c r="E2352" s="115">
        <v>4725.3500000000004</v>
      </c>
      <c r="F2352" s="115">
        <v>4705.1499999999996</v>
      </c>
      <c r="G2352">
        <v>6051</v>
      </c>
      <c r="H2352" s="115"/>
      <c r="I2352" s="115"/>
      <c r="L2352" s="169">
        <v>45470</v>
      </c>
      <c r="M2352" s="115">
        <v>4666</v>
      </c>
      <c r="N2352" s="115">
        <v>4838.7</v>
      </c>
      <c r="O2352" s="115">
        <v>4637.6000000000004</v>
      </c>
      <c r="P2352" s="115">
        <v>4744.75</v>
      </c>
      <c r="Q2352" s="115">
        <v>4666</v>
      </c>
      <c r="R2352">
        <v>183761</v>
      </c>
    </row>
    <row r="2353" spans="1:18" x14ac:dyDescent="0.25">
      <c r="A2353" s="169">
        <v>45470</v>
      </c>
      <c r="B2353" s="115">
        <v>4835.8999999999996</v>
      </c>
      <c r="C2353" s="115">
        <v>4664.1000000000004</v>
      </c>
      <c r="D2353" s="115">
        <v>4638.6000000000004</v>
      </c>
      <c r="E2353" s="115">
        <v>4703.5</v>
      </c>
      <c r="F2353" s="115">
        <v>4664.1000000000004</v>
      </c>
      <c r="G2353">
        <v>15839</v>
      </c>
      <c r="H2353" s="115"/>
      <c r="I2353" s="115"/>
      <c r="L2353" s="169">
        <v>45471</v>
      </c>
      <c r="M2353" s="115">
        <v>4740.5</v>
      </c>
      <c r="N2353" s="115">
        <v>4797</v>
      </c>
      <c r="O2353" s="115">
        <v>4662.05</v>
      </c>
      <c r="P2353" s="115">
        <v>4714</v>
      </c>
      <c r="Q2353" s="115">
        <v>4740.5</v>
      </c>
      <c r="R2353">
        <v>135237</v>
      </c>
    </row>
    <row r="2354" spans="1:18" x14ac:dyDescent="0.25">
      <c r="A2354" s="169">
        <v>45471</v>
      </c>
      <c r="B2354" s="115">
        <v>4795.95</v>
      </c>
      <c r="C2354" s="115">
        <v>4738.8999999999996</v>
      </c>
      <c r="D2354" s="115">
        <v>4665.95</v>
      </c>
      <c r="E2354" s="115">
        <v>4666</v>
      </c>
      <c r="F2354" s="115">
        <v>4738.8999999999996</v>
      </c>
      <c r="G2354">
        <v>3457</v>
      </c>
      <c r="H2354" s="115"/>
      <c r="I2354" s="115"/>
      <c r="L2354" s="169">
        <v>45474</v>
      </c>
      <c r="M2354" s="115">
        <v>4610.25</v>
      </c>
      <c r="N2354" s="115">
        <v>4744</v>
      </c>
      <c r="O2354" s="115">
        <v>4580</v>
      </c>
      <c r="P2354" s="115">
        <v>4744</v>
      </c>
      <c r="Q2354" s="115">
        <v>4610.25</v>
      </c>
      <c r="R2354">
        <v>193654</v>
      </c>
    </row>
    <row r="2355" spans="1:18" x14ac:dyDescent="0.25">
      <c r="A2355" s="169">
        <v>45474</v>
      </c>
      <c r="B2355" s="115">
        <v>4794.8999999999996</v>
      </c>
      <c r="C2355" s="115">
        <v>4607.3999999999996</v>
      </c>
      <c r="D2355" s="115">
        <v>4587.3999999999996</v>
      </c>
      <c r="E2355" s="115">
        <v>4794.8999999999996</v>
      </c>
      <c r="F2355" s="115">
        <v>4607.3999999999996</v>
      </c>
      <c r="G2355">
        <v>4720</v>
      </c>
      <c r="H2355" s="115"/>
      <c r="I2355" s="115"/>
      <c r="L2355" s="169">
        <v>45475</v>
      </c>
      <c r="M2355" s="115">
        <v>4686.25</v>
      </c>
      <c r="N2355" s="115">
        <v>4695</v>
      </c>
      <c r="O2355" s="115">
        <v>4617.5</v>
      </c>
      <c r="P2355" s="115">
        <v>4655.25</v>
      </c>
      <c r="Q2355" s="115">
        <v>4686.25</v>
      </c>
      <c r="R2355">
        <v>95801</v>
      </c>
    </row>
    <row r="2356" spans="1:18" x14ac:dyDescent="0.25">
      <c r="A2356" s="169">
        <v>45475</v>
      </c>
      <c r="B2356" s="115">
        <v>4695</v>
      </c>
      <c r="C2356" s="115">
        <v>4683.1000000000004</v>
      </c>
      <c r="D2356" s="115">
        <v>4618.05</v>
      </c>
      <c r="E2356" s="115">
        <v>4689.95</v>
      </c>
      <c r="F2356" s="115">
        <v>4683.1000000000004</v>
      </c>
      <c r="G2356">
        <v>2034</v>
      </c>
      <c r="H2356" s="115"/>
      <c r="I2356" s="115"/>
      <c r="L2356" s="169">
        <v>45476</v>
      </c>
      <c r="M2356" s="115">
        <v>4665.45</v>
      </c>
      <c r="N2356" s="115">
        <v>4747</v>
      </c>
      <c r="O2356" s="115">
        <v>4620.25</v>
      </c>
      <c r="P2356" s="115">
        <v>4681.95</v>
      </c>
      <c r="Q2356" s="115">
        <v>4665.45</v>
      </c>
      <c r="R2356">
        <v>148478</v>
      </c>
    </row>
    <row r="2357" spans="1:18" x14ac:dyDescent="0.25">
      <c r="A2357" s="169">
        <v>45476</v>
      </c>
      <c r="B2357" s="115">
        <v>4746.8999999999996</v>
      </c>
      <c r="C2357" s="115">
        <v>4661.8500000000004</v>
      </c>
      <c r="D2357" s="115">
        <v>4618.8500000000004</v>
      </c>
      <c r="E2357" s="115">
        <v>4695</v>
      </c>
      <c r="F2357" s="115">
        <v>4661.8500000000004</v>
      </c>
      <c r="G2357">
        <v>4518</v>
      </c>
      <c r="H2357" s="115"/>
      <c r="I2357" s="115"/>
      <c r="L2357" s="169">
        <v>45477</v>
      </c>
      <c r="M2357" s="115">
        <v>4677.45</v>
      </c>
      <c r="N2357" s="115">
        <v>4715.95</v>
      </c>
      <c r="O2357" s="115">
        <v>4651.45</v>
      </c>
      <c r="P2357" s="115">
        <v>4690</v>
      </c>
      <c r="Q2357" s="115">
        <v>4677.45</v>
      </c>
      <c r="R2357">
        <v>71811</v>
      </c>
    </row>
    <row r="2358" spans="1:18" x14ac:dyDescent="0.25">
      <c r="A2358" s="169">
        <v>45477</v>
      </c>
      <c r="B2358" s="115">
        <v>4755.1000000000004</v>
      </c>
      <c r="C2358" s="115">
        <v>4677.5</v>
      </c>
      <c r="D2358" s="115">
        <v>4650.05</v>
      </c>
      <c r="E2358" s="115">
        <v>4755.1000000000004</v>
      </c>
      <c r="F2358" s="115">
        <v>4677.5</v>
      </c>
      <c r="G2358">
        <v>2418</v>
      </c>
      <c r="H2358" s="115"/>
      <c r="I2358" s="115"/>
      <c r="L2358" s="169">
        <v>45478</v>
      </c>
      <c r="M2358" s="115">
        <v>4591.1000000000004</v>
      </c>
      <c r="N2358" s="115">
        <v>4687.45</v>
      </c>
      <c r="O2358" s="115">
        <v>4532</v>
      </c>
      <c r="P2358" s="115">
        <v>4687.45</v>
      </c>
      <c r="Q2358" s="115">
        <v>4591.1000000000004</v>
      </c>
      <c r="R2358">
        <v>127445</v>
      </c>
    </row>
    <row r="2359" spans="1:18" x14ac:dyDescent="0.25">
      <c r="A2359" s="169">
        <v>45478</v>
      </c>
      <c r="B2359" s="115">
        <v>4673.8500000000004</v>
      </c>
      <c r="C2359" s="115">
        <v>4588.55</v>
      </c>
      <c r="D2359" s="115">
        <v>4530.8999999999996</v>
      </c>
      <c r="E2359" s="115">
        <v>4673.8500000000004</v>
      </c>
      <c r="F2359" s="115">
        <v>4588.55</v>
      </c>
      <c r="G2359">
        <v>6714</v>
      </c>
      <c r="H2359" s="115"/>
      <c r="I2359" s="115"/>
      <c r="L2359" s="169">
        <v>45481</v>
      </c>
      <c r="M2359" s="115">
        <v>4478.2</v>
      </c>
      <c r="N2359" s="115">
        <v>4647.6000000000004</v>
      </c>
      <c r="O2359" s="115">
        <v>4440</v>
      </c>
      <c r="P2359" s="115">
        <v>4571.5</v>
      </c>
      <c r="Q2359" s="115">
        <v>4478.2</v>
      </c>
      <c r="R2359">
        <v>192371</v>
      </c>
    </row>
    <row r="2360" spans="1:18" x14ac:dyDescent="0.25">
      <c r="A2360" s="169">
        <v>45481</v>
      </c>
      <c r="B2360" s="115">
        <v>4640.3500000000004</v>
      </c>
      <c r="C2360" s="115">
        <v>4474.6000000000004</v>
      </c>
      <c r="D2360" s="115">
        <v>4438.75</v>
      </c>
      <c r="E2360" s="115">
        <v>4591</v>
      </c>
      <c r="F2360" s="115">
        <v>4474.6000000000004</v>
      </c>
      <c r="G2360">
        <v>6118</v>
      </c>
      <c r="H2360" s="115"/>
      <c r="I2360" s="115"/>
      <c r="L2360" s="169">
        <v>45482</v>
      </c>
      <c r="M2360" s="115">
        <v>4298.3999999999996</v>
      </c>
      <c r="N2360" s="115">
        <v>4527.6499999999996</v>
      </c>
      <c r="O2360" s="115">
        <v>4270</v>
      </c>
      <c r="P2360" s="115">
        <v>4457</v>
      </c>
      <c r="Q2360" s="115">
        <v>4298.3999999999996</v>
      </c>
      <c r="R2360">
        <v>375754</v>
      </c>
    </row>
    <row r="2361" spans="1:18" x14ac:dyDescent="0.25">
      <c r="A2361" s="169">
        <v>45482</v>
      </c>
      <c r="B2361" s="115">
        <v>4525.3999999999996</v>
      </c>
      <c r="C2361" s="115">
        <v>4296.25</v>
      </c>
      <c r="D2361" s="115">
        <v>4271.8500000000004</v>
      </c>
      <c r="E2361" s="115">
        <v>4480</v>
      </c>
      <c r="F2361" s="115">
        <v>4296.25</v>
      </c>
      <c r="G2361">
        <v>5801</v>
      </c>
      <c r="H2361" s="115"/>
      <c r="I2361" s="115"/>
      <c r="L2361" s="169">
        <v>45483</v>
      </c>
      <c r="M2361" s="115">
        <v>4159.55</v>
      </c>
      <c r="N2361" s="115">
        <v>4345.7</v>
      </c>
      <c r="O2361" s="115">
        <v>4132.95</v>
      </c>
      <c r="P2361" s="115">
        <v>4326.3500000000004</v>
      </c>
      <c r="Q2361" s="115">
        <v>4159.55</v>
      </c>
      <c r="R2361">
        <v>247505</v>
      </c>
    </row>
    <row r="2362" spans="1:18" x14ac:dyDescent="0.25">
      <c r="A2362" s="169">
        <v>45483</v>
      </c>
      <c r="B2362" s="115">
        <v>4346.8500000000004</v>
      </c>
      <c r="C2362" s="115">
        <v>4158.3500000000004</v>
      </c>
      <c r="D2362" s="115">
        <v>4133</v>
      </c>
      <c r="E2362" s="115">
        <v>4339.95</v>
      </c>
      <c r="F2362" s="115">
        <v>4158.3500000000004</v>
      </c>
      <c r="G2362">
        <v>5085</v>
      </c>
      <c r="H2362" s="115"/>
      <c r="I2362" s="115"/>
      <c r="L2362" s="169">
        <v>45484</v>
      </c>
      <c r="M2362" s="115">
        <v>4143.6000000000004</v>
      </c>
      <c r="N2362" s="115">
        <v>4285</v>
      </c>
      <c r="O2362" s="115">
        <v>4091.3</v>
      </c>
      <c r="P2362" s="115">
        <v>4210.95</v>
      </c>
      <c r="Q2362" s="115">
        <v>4143.6000000000004</v>
      </c>
      <c r="R2362">
        <v>269622</v>
      </c>
    </row>
    <row r="2363" spans="1:18" x14ac:dyDescent="0.25">
      <c r="A2363" s="169">
        <v>45484</v>
      </c>
      <c r="B2363" s="115">
        <v>4285</v>
      </c>
      <c r="C2363" s="115">
        <v>4142.5</v>
      </c>
      <c r="D2363" s="115">
        <v>4091.95</v>
      </c>
      <c r="E2363" s="115">
        <v>4186.6000000000004</v>
      </c>
      <c r="F2363" s="115">
        <v>4142.5</v>
      </c>
      <c r="G2363">
        <v>4895</v>
      </c>
      <c r="H2363" s="115"/>
      <c r="I2363" s="115"/>
      <c r="L2363" s="169">
        <v>45485</v>
      </c>
      <c r="M2363" s="115">
        <v>3995.1</v>
      </c>
      <c r="N2363" s="115">
        <v>4194.3</v>
      </c>
      <c r="O2363" s="115">
        <v>3970.05</v>
      </c>
      <c r="P2363" s="115">
        <v>4179.8999999999996</v>
      </c>
      <c r="Q2363" s="115">
        <v>3995.1</v>
      </c>
      <c r="R2363">
        <v>378847</v>
      </c>
    </row>
    <row r="2364" spans="1:18" x14ac:dyDescent="0.25">
      <c r="A2364" s="169">
        <v>45485</v>
      </c>
      <c r="B2364" s="115">
        <v>4225.3500000000004</v>
      </c>
      <c r="C2364" s="115">
        <v>3992.15</v>
      </c>
      <c r="D2364" s="115">
        <v>3978.5</v>
      </c>
      <c r="E2364" s="115">
        <v>4225.3500000000004</v>
      </c>
      <c r="F2364" s="115">
        <v>3992.15</v>
      </c>
      <c r="G2364">
        <v>8239</v>
      </c>
      <c r="H2364" s="115"/>
      <c r="I2364" s="115"/>
      <c r="L2364" s="169">
        <v>45488</v>
      </c>
      <c r="M2364" s="115">
        <v>3975.35</v>
      </c>
      <c r="N2364" s="115">
        <v>4027.6</v>
      </c>
      <c r="O2364" s="115">
        <v>3861</v>
      </c>
      <c r="P2364" s="115">
        <v>3945.5</v>
      </c>
      <c r="Q2364" s="115">
        <v>3975.35</v>
      </c>
      <c r="R2364">
        <v>614683</v>
      </c>
    </row>
    <row r="2365" spans="1:18" x14ac:dyDescent="0.25">
      <c r="A2365" s="169">
        <v>45488</v>
      </c>
      <c r="B2365" s="115">
        <v>4027.15</v>
      </c>
      <c r="C2365" s="115">
        <v>3976.55</v>
      </c>
      <c r="D2365" s="115">
        <v>3861.9</v>
      </c>
      <c r="E2365" s="115">
        <v>3920.2</v>
      </c>
      <c r="F2365" s="115">
        <v>3976.55</v>
      </c>
      <c r="G2365">
        <v>12727</v>
      </c>
      <c r="H2365" s="115"/>
      <c r="I2365" s="115"/>
      <c r="L2365" s="169">
        <v>45489</v>
      </c>
      <c r="M2365" s="115">
        <v>4045.85</v>
      </c>
      <c r="N2365" s="115">
        <v>4110.75</v>
      </c>
      <c r="O2365" s="115">
        <v>3995.1</v>
      </c>
      <c r="P2365" s="115">
        <v>4016.95</v>
      </c>
      <c r="Q2365" s="115">
        <v>4045.85</v>
      </c>
      <c r="R2365">
        <v>578058</v>
      </c>
    </row>
    <row r="2366" spans="1:18" x14ac:dyDescent="0.25">
      <c r="A2366" s="169">
        <v>45489</v>
      </c>
      <c r="B2366" s="115">
        <v>4113</v>
      </c>
      <c r="C2366" s="115">
        <v>4025.4</v>
      </c>
      <c r="D2366" s="115">
        <v>3977.1</v>
      </c>
      <c r="E2366" s="115">
        <v>3977.1</v>
      </c>
      <c r="F2366" s="115">
        <v>4025.4</v>
      </c>
      <c r="G2366">
        <v>12578</v>
      </c>
      <c r="H2366" s="115"/>
      <c r="I2366" s="115"/>
      <c r="L2366" s="169">
        <v>45491</v>
      </c>
      <c r="M2366" s="115">
        <v>3978.4</v>
      </c>
      <c r="N2366" s="115">
        <v>4170</v>
      </c>
      <c r="O2366" s="115">
        <v>3960.1</v>
      </c>
      <c r="P2366" s="115">
        <v>4072.1</v>
      </c>
      <c r="Q2366" s="115">
        <v>3978.4</v>
      </c>
      <c r="R2366">
        <v>374305</v>
      </c>
    </row>
    <row r="2367" spans="1:18" x14ac:dyDescent="0.25">
      <c r="A2367" s="169">
        <v>45491</v>
      </c>
      <c r="B2367" s="115">
        <v>4165.8500000000004</v>
      </c>
      <c r="C2367" s="115">
        <v>3981.25</v>
      </c>
      <c r="D2367" s="115">
        <v>3960.5</v>
      </c>
      <c r="E2367" s="115">
        <v>4065</v>
      </c>
      <c r="F2367" s="115">
        <v>3981.25</v>
      </c>
      <c r="G2367">
        <v>14359</v>
      </c>
      <c r="H2367" s="115"/>
      <c r="I2367" s="115"/>
      <c r="L2367" s="169">
        <v>45492</v>
      </c>
      <c r="M2367" s="115">
        <v>3870.8</v>
      </c>
      <c r="N2367" s="115">
        <v>4013.8</v>
      </c>
      <c r="O2367" s="115">
        <v>3858</v>
      </c>
      <c r="P2367" s="115">
        <v>3991</v>
      </c>
      <c r="Q2367" s="115">
        <v>3870.8</v>
      </c>
      <c r="R2367">
        <v>193982</v>
      </c>
    </row>
    <row r="2368" spans="1:18" x14ac:dyDescent="0.25">
      <c r="A2368" s="169">
        <v>45492</v>
      </c>
      <c r="B2368" s="115">
        <v>4012.75</v>
      </c>
      <c r="C2368" s="115">
        <v>3870.85</v>
      </c>
      <c r="D2368" s="115">
        <v>3858.15</v>
      </c>
      <c r="E2368" s="115">
        <v>3971.5</v>
      </c>
      <c r="F2368" s="115">
        <v>3870.85</v>
      </c>
      <c r="G2368">
        <v>15105</v>
      </c>
      <c r="H2368" s="115"/>
      <c r="I2368" s="115"/>
      <c r="L2368" s="169">
        <v>45495</v>
      </c>
      <c r="M2368" s="115">
        <v>3854.05</v>
      </c>
      <c r="N2368" s="115">
        <v>3907.5</v>
      </c>
      <c r="O2368" s="115">
        <v>3820</v>
      </c>
      <c r="P2368" s="115">
        <v>3869.5</v>
      </c>
      <c r="Q2368" s="115">
        <v>3854.05</v>
      </c>
      <c r="R2368">
        <v>194169</v>
      </c>
    </row>
    <row r="2369" spans="1:18" x14ac:dyDescent="0.25">
      <c r="A2369" s="169">
        <v>45495</v>
      </c>
      <c r="B2369" s="115">
        <v>3905.1</v>
      </c>
      <c r="C2369" s="115">
        <v>3854.55</v>
      </c>
      <c r="D2369" s="115">
        <v>3820</v>
      </c>
      <c r="E2369" s="115">
        <v>3855.05</v>
      </c>
      <c r="F2369" s="115">
        <v>3854.55</v>
      </c>
      <c r="G2369">
        <v>16637</v>
      </c>
      <c r="H2369" s="115"/>
      <c r="I2369" s="115"/>
      <c r="L2369" s="169">
        <v>45496</v>
      </c>
      <c r="M2369" s="115">
        <v>3896.2</v>
      </c>
      <c r="N2369" s="115">
        <v>3984.55</v>
      </c>
      <c r="O2369" s="115">
        <v>3795.1</v>
      </c>
      <c r="P2369" s="115">
        <v>3865</v>
      </c>
      <c r="Q2369" s="115">
        <v>3896.2</v>
      </c>
      <c r="R2369">
        <v>222073</v>
      </c>
    </row>
    <row r="2370" spans="1:18" x14ac:dyDescent="0.25">
      <c r="A2370" s="169">
        <v>45496</v>
      </c>
      <c r="B2370" s="115">
        <v>3982.15</v>
      </c>
      <c r="C2370" s="115">
        <v>3895.85</v>
      </c>
      <c r="D2370" s="115">
        <v>3796.8</v>
      </c>
      <c r="E2370" s="115">
        <v>3880</v>
      </c>
      <c r="F2370" s="115">
        <v>3895.85</v>
      </c>
      <c r="G2370">
        <v>14071</v>
      </c>
      <c r="H2370" s="115"/>
      <c r="I2370" s="115"/>
      <c r="L2370" s="169">
        <v>45497</v>
      </c>
      <c r="M2370" s="115">
        <v>4126.3</v>
      </c>
      <c r="N2370" s="115">
        <v>4166.7</v>
      </c>
      <c r="O2370" s="115">
        <v>3956.6</v>
      </c>
      <c r="P2370" s="115">
        <v>3956.6</v>
      </c>
      <c r="Q2370" s="115">
        <v>4126.3</v>
      </c>
      <c r="R2370">
        <v>1007820</v>
      </c>
    </row>
    <row r="2371" spans="1:18" x14ac:dyDescent="0.25">
      <c r="A2371" s="169">
        <v>45497</v>
      </c>
      <c r="B2371" s="115">
        <v>4164.45</v>
      </c>
      <c r="C2371" s="115">
        <v>4127.2</v>
      </c>
      <c r="D2371" s="115">
        <v>3940</v>
      </c>
      <c r="E2371" s="115">
        <v>3940</v>
      </c>
      <c r="F2371" s="115">
        <v>4127.2</v>
      </c>
      <c r="G2371">
        <v>16664</v>
      </c>
      <c r="H2371" s="115"/>
      <c r="I2371" s="115"/>
      <c r="L2371" s="169">
        <v>45498</v>
      </c>
      <c r="M2371" s="115">
        <v>4041.7</v>
      </c>
      <c r="N2371" s="115">
        <v>4133.8</v>
      </c>
      <c r="O2371" s="115">
        <v>4025</v>
      </c>
      <c r="P2371" s="115">
        <v>4130</v>
      </c>
      <c r="Q2371" s="115">
        <v>4041.7</v>
      </c>
      <c r="R2371">
        <v>174321</v>
      </c>
    </row>
    <row r="2372" spans="1:18" x14ac:dyDescent="0.25">
      <c r="A2372" s="169">
        <v>45498</v>
      </c>
      <c r="B2372" s="115">
        <v>4134.55</v>
      </c>
      <c r="C2372" s="115">
        <v>4041.85</v>
      </c>
      <c r="D2372" s="115">
        <v>4022.25</v>
      </c>
      <c r="E2372" s="115">
        <v>4127.75</v>
      </c>
      <c r="F2372" s="115">
        <v>4041.85</v>
      </c>
      <c r="G2372">
        <v>10146</v>
      </c>
      <c r="H2372" s="115"/>
      <c r="I2372" s="115"/>
      <c r="L2372" s="169">
        <v>45499</v>
      </c>
      <c r="M2372" s="115">
        <v>4180.3500000000004</v>
      </c>
      <c r="N2372" s="115">
        <v>4223.6000000000004</v>
      </c>
      <c r="O2372" s="115">
        <v>4029.6</v>
      </c>
      <c r="P2372" s="115">
        <v>4094.4</v>
      </c>
      <c r="Q2372" s="115">
        <v>4180.3500000000004</v>
      </c>
      <c r="R2372">
        <v>143710</v>
      </c>
    </row>
    <row r="2373" spans="1:18" x14ac:dyDescent="0.25">
      <c r="A2373" s="169">
        <v>45499</v>
      </c>
      <c r="B2373" s="115">
        <v>4220</v>
      </c>
      <c r="C2373" s="115">
        <v>4176.45</v>
      </c>
      <c r="D2373" s="115">
        <v>4028.1</v>
      </c>
      <c r="E2373" s="115">
        <v>4075.05</v>
      </c>
      <c r="F2373" s="115">
        <v>4176.45</v>
      </c>
      <c r="G2373">
        <v>10001</v>
      </c>
      <c r="H2373" s="115"/>
      <c r="I2373" s="115"/>
      <c r="L2373" s="169">
        <v>45502</v>
      </c>
      <c r="M2373" s="115">
        <v>4155.75</v>
      </c>
      <c r="N2373" s="115">
        <v>4245.95</v>
      </c>
      <c r="O2373" s="115">
        <v>4111.1499999999996</v>
      </c>
      <c r="P2373" s="115">
        <v>4200</v>
      </c>
      <c r="Q2373" s="115">
        <v>4155.75</v>
      </c>
      <c r="R2373">
        <v>59757</v>
      </c>
    </row>
    <row r="2374" spans="1:18" x14ac:dyDescent="0.25">
      <c r="A2374" s="169">
        <v>45502</v>
      </c>
      <c r="B2374" s="115">
        <v>4232.3999999999996</v>
      </c>
      <c r="C2374" s="115">
        <v>4154.7</v>
      </c>
      <c r="D2374" s="115">
        <v>4113.6000000000004</v>
      </c>
      <c r="E2374" s="115">
        <v>4176.55</v>
      </c>
      <c r="F2374" s="115">
        <v>4154.7</v>
      </c>
      <c r="G2374">
        <v>2719</v>
      </c>
      <c r="H2374" s="115"/>
      <c r="I2374" s="115"/>
      <c r="L2374" s="169">
        <v>45503</v>
      </c>
      <c r="M2374" s="115">
        <v>4206.8</v>
      </c>
      <c r="N2374" s="115">
        <v>4235.8999999999996</v>
      </c>
      <c r="O2374" s="115">
        <v>4137.8500000000004</v>
      </c>
      <c r="P2374" s="115">
        <v>4160</v>
      </c>
      <c r="Q2374" s="115">
        <v>4206.8</v>
      </c>
      <c r="R2374">
        <v>66677</v>
      </c>
    </row>
    <row r="2375" spans="1:18" x14ac:dyDescent="0.25">
      <c r="A2375" s="169">
        <v>45503</v>
      </c>
      <c r="B2375" s="115">
        <v>4235</v>
      </c>
      <c r="C2375" s="115">
        <v>4207.8999999999996</v>
      </c>
      <c r="D2375" s="115">
        <v>4137.8</v>
      </c>
      <c r="E2375" s="115">
        <v>4154.7</v>
      </c>
      <c r="F2375" s="115">
        <v>4207.8999999999996</v>
      </c>
      <c r="G2375">
        <v>2219</v>
      </c>
      <c r="H2375" s="115"/>
      <c r="I2375" s="115"/>
      <c r="L2375" s="169">
        <v>45504</v>
      </c>
      <c r="M2375" s="115">
        <v>4267.3500000000004</v>
      </c>
      <c r="N2375" s="115">
        <v>4284.95</v>
      </c>
      <c r="O2375" s="115">
        <v>4183.8500000000004</v>
      </c>
      <c r="P2375" s="115">
        <v>4228</v>
      </c>
      <c r="Q2375" s="115">
        <v>4267.3500000000004</v>
      </c>
      <c r="R2375">
        <v>129313</v>
      </c>
    </row>
    <row r="2376" spans="1:18" x14ac:dyDescent="0.25">
      <c r="A2376" s="169">
        <v>45504</v>
      </c>
      <c r="B2376" s="115">
        <v>4280</v>
      </c>
      <c r="C2376" s="115">
        <v>4267.75</v>
      </c>
      <c r="D2376" s="115">
        <v>4185.45</v>
      </c>
      <c r="E2376" s="115">
        <v>4265.8</v>
      </c>
      <c r="F2376" s="115">
        <v>4267.75</v>
      </c>
      <c r="G2376">
        <v>12294</v>
      </c>
      <c r="H2376" s="115"/>
      <c r="I2376" s="115"/>
      <c r="L2376" s="169">
        <v>45505</v>
      </c>
      <c r="M2376" s="115">
        <v>4163.6499999999996</v>
      </c>
      <c r="N2376" s="115">
        <v>4286.3999999999996</v>
      </c>
      <c r="O2376" s="115">
        <v>4150.05</v>
      </c>
      <c r="P2376" s="115">
        <v>4270</v>
      </c>
      <c r="Q2376" s="115">
        <v>4163.6499999999996</v>
      </c>
      <c r="R2376">
        <v>47415</v>
      </c>
    </row>
    <row r="2377" spans="1:18" x14ac:dyDescent="0.25">
      <c r="A2377" s="169">
        <v>45505</v>
      </c>
      <c r="B2377" s="115">
        <v>4282.05</v>
      </c>
      <c r="C2377" s="115">
        <v>4161.6499999999996</v>
      </c>
      <c r="D2377" s="115">
        <v>4148.3</v>
      </c>
      <c r="E2377" s="115">
        <v>4267.75</v>
      </c>
      <c r="F2377" s="115">
        <v>4161.6499999999996</v>
      </c>
      <c r="G2377">
        <v>4522</v>
      </c>
      <c r="H2377" s="115"/>
      <c r="I2377" s="115"/>
      <c r="L2377" s="169">
        <v>45506</v>
      </c>
      <c r="M2377" s="115">
        <v>4044.4</v>
      </c>
      <c r="N2377" s="115">
        <v>4128.3500000000004</v>
      </c>
      <c r="O2377" s="115">
        <v>4030</v>
      </c>
      <c r="P2377" s="115">
        <v>4060.05</v>
      </c>
      <c r="Q2377" s="115">
        <v>4044.4</v>
      </c>
      <c r="R2377">
        <v>178381</v>
      </c>
    </row>
    <row r="2378" spans="1:18" x14ac:dyDescent="0.25">
      <c r="A2378" s="169">
        <v>45506</v>
      </c>
      <c r="B2378" s="115">
        <v>4154.8500000000004</v>
      </c>
      <c r="C2378" s="115">
        <v>4043.95</v>
      </c>
      <c r="D2378" s="115">
        <v>4028.5</v>
      </c>
      <c r="E2378" s="115">
        <v>4154.8500000000004</v>
      </c>
      <c r="F2378" s="115">
        <v>4043.95</v>
      </c>
      <c r="G2378">
        <v>2500</v>
      </c>
      <c r="H2378" s="115"/>
      <c r="I2378" s="115"/>
      <c r="L2378" s="169">
        <v>45509</v>
      </c>
      <c r="M2378" s="115">
        <v>3886.45</v>
      </c>
      <c r="N2378" s="115">
        <v>3975.8</v>
      </c>
      <c r="O2378" s="115">
        <v>3784.9</v>
      </c>
      <c r="P2378" s="115">
        <v>3910.2</v>
      </c>
      <c r="Q2378" s="115">
        <v>3886.45</v>
      </c>
      <c r="R2378">
        <v>279185</v>
      </c>
    </row>
    <row r="2379" spans="1:18" x14ac:dyDescent="0.25">
      <c r="A2379" s="169">
        <v>45509</v>
      </c>
      <c r="B2379" s="115">
        <v>3977.7</v>
      </c>
      <c r="C2379" s="115">
        <v>3886.8</v>
      </c>
      <c r="D2379" s="115">
        <v>3785.15</v>
      </c>
      <c r="E2379" s="115">
        <v>3960</v>
      </c>
      <c r="F2379" s="115">
        <v>3886.8</v>
      </c>
      <c r="G2379">
        <v>8180</v>
      </c>
      <c r="H2379" s="115"/>
      <c r="I2379" s="115"/>
      <c r="L2379" s="169">
        <v>45510</v>
      </c>
      <c r="M2379" s="115">
        <v>3820.25</v>
      </c>
      <c r="N2379" s="115">
        <v>3965.95</v>
      </c>
      <c r="O2379" s="115">
        <v>3790</v>
      </c>
      <c r="P2379" s="115">
        <v>3943.95</v>
      </c>
      <c r="Q2379" s="115">
        <v>3820.25</v>
      </c>
      <c r="R2379">
        <v>120945</v>
      </c>
    </row>
    <row r="2380" spans="1:18" x14ac:dyDescent="0.25">
      <c r="A2380" s="169">
        <v>45510</v>
      </c>
      <c r="B2380" s="115">
        <v>3968.35</v>
      </c>
      <c r="C2380" s="115">
        <v>3815.35</v>
      </c>
      <c r="D2380" s="115">
        <v>3783.95</v>
      </c>
      <c r="E2380" s="115">
        <v>3920</v>
      </c>
      <c r="F2380" s="115">
        <v>3815.35</v>
      </c>
      <c r="G2380">
        <v>8253</v>
      </c>
      <c r="H2380" s="115"/>
      <c r="I2380" s="115"/>
      <c r="L2380" s="169">
        <v>45511</v>
      </c>
      <c r="M2380" s="115">
        <v>3939.15</v>
      </c>
      <c r="N2380" s="115">
        <v>3958.8</v>
      </c>
      <c r="O2380" s="115">
        <v>3804.5</v>
      </c>
      <c r="P2380" s="115">
        <v>3940</v>
      </c>
      <c r="Q2380" s="115">
        <v>3939.15</v>
      </c>
      <c r="R2380">
        <v>122565</v>
      </c>
    </row>
    <row r="2381" spans="1:18" x14ac:dyDescent="0.25">
      <c r="A2381" s="169">
        <v>45511</v>
      </c>
      <c r="B2381" s="115">
        <v>3957</v>
      </c>
      <c r="C2381" s="115">
        <v>3940.6</v>
      </c>
      <c r="D2381" s="115">
        <v>3808.05</v>
      </c>
      <c r="E2381" s="115">
        <v>3874.9</v>
      </c>
      <c r="F2381" s="115">
        <v>3940.6</v>
      </c>
      <c r="G2381">
        <v>3244</v>
      </c>
      <c r="H2381" s="115"/>
      <c r="I2381" s="115"/>
      <c r="L2381" s="169">
        <v>45512</v>
      </c>
      <c r="M2381" s="115">
        <v>3896.85</v>
      </c>
      <c r="N2381" s="115">
        <v>3950</v>
      </c>
      <c r="O2381" s="115">
        <v>3810.5</v>
      </c>
      <c r="P2381" s="115">
        <v>3940</v>
      </c>
      <c r="Q2381" s="115">
        <v>3896.85</v>
      </c>
      <c r="R2381">
        <v>88513</v>
      </c>
    </row>
    <row r="2382" spans="1:18" x14ac:dyDescent="0.25">
      <c r="A2382" s="169">
        <v>45512</v>
      </c>
      <c r="B2382" s="115">
        <v>3940.6</v>
      </c>
      <c r="C2382" s="115">
        <v>3891.45</v>
      </c>
      <c r="D2382" s="115">
        <v>3811.1</v>
      </c>
      <c r="E2382" s="115">
        <v>3940.6</v>
      </c>
      <c r="F2382" s="115">
        <v>3891.45</v>
      </c>
      <c r="G2382">
        <v>5715</v>
      </c>
      <c r="H2382" s="115"/>
      <c r="I2382" s="115"/>
      <c r="L2382" s="169">
        <v>45513</v>
      </c>
      <c r="M2382" s="115">
        <v>3960.7</v>
      </c>
      <c r="N2382" s="115">
        <v>3990.25</v>
      </c>
      <c r="O2382" s="115">
        <v>3872.6</v>
      </c>
      <c r="P2382" s="115">
        <v>3937.65</v>
      </c>
      <c r="Q2382" s="115">
        <v>3960.7</v>
      </c>
      <c r="R2382">
        <v>86095</v>
      </c>
    </row>
    <row r="2383" spans="1:18" x14ac:dyDescent="0.25">
      <c r="A2383" s="169">
        <v>45513</v>
      </c>
      <c r="B2383" s="115">
        <v>3980.75</v>
      </c>
      <c r="C2383" s="115">
        <v>3954.25</v>
      </c>
      <c r="D2383" s="115">
        <v>3872.6</v>
      </c>
      <c r="E2383" s="115">
        <v>3951</v>
      </c>
      <c r="F2383" s="115">
        <v>3954.25</v>
      </c>
      <c r="G2383">
        <v>2282</v>
      </c>
      <c r="H2383" s="115"/>
      <c r="I2383" s="115"/>
      <c r="L2383" s="169">
        <v>45516</v>
      </c>
      <c r="M2383" s="115">
        <v>4026.5</v>
      </c>
      <c r="N2383" s="115">
        <v>4041.9</v>
      </c>
      <c r="O2383" s="115">
        <v>3865</v>
      </c>
      <c r="P2383" s="115">
        <v>3950</v>
      </c>
      <c r="Q2383" s="115">
        <v>4026.5</v>
      </c>
      <c r="R2383">
        <v>101980</v>
      </c>
    </row>
    <row r="2384" spans="1:18" x14ac:dyDescent="0.25">
      <c r="A2384" s="169">
        <v>45516</v>
      </c>
      <c r="B2384" s="115">
        <v>4037.85</v>
      </c>
      <c r="C2384" s="115">
        <v>4027.45</v>
      </c>
      <c r="D2384" s="115">
        <v>3871.2</v>
      </c>
      <c r="E2384" s="115">
        <v>3950</v>
      </c>
      <c r="F2384" s="115">
        <v>4027.45</v>
      </c>
      <c r="G2384">
        <v>1726</v>
      </c>
      <c r="H2384" s="115"/>
      <c r="I2384" s="115"/>
      <c r="L2384" s="169">
        <v>45517</v>
      </c>
      <c r="M2384" s="115">
        <v>4013.7</v>
      </c>
      <c r="N2384" s="115">
        <v>4033.95</v>
      </c>
      <c r="O2384" s="115">
        <v>3905</v>
      </c>
      <c r="P2384" s="115">
        <v>3975</v>
      </c>
      <c r="Q2384" s="115">
        <v>4013.7</v>
      </c>
      <c r="R2384">
        <v>118113</v>
      </c>
    </row>
    <row r="2385" spans="1:18" x14ac:dyDescent="0.25">
      <c r="A2385" s="169">
        <v>45517</v>
      </c>
      <c r="B2385" s="115">
        <v>4031.65</v>
      </c>
      <c r="C2385" s="115">
        <v>4003.85</v>
      </c>
      <c r="D2385" s="115">
        <v>3909.35</v>
      </c>
      <c r="E2385" s="115">
        <v>4006</v>
      </c>
      <c r="F2385" s="115">
        <v>4003.85</v>
      </c>
      <c r="G2385">
        <v>4894</v>
      </c>
      <c r="H2385" s="115"/>
      <c r="I2385" s="115"/>
      <c r="L2385" s="169">
        <v>45518</v>
      </c>
      <c r="M2385" s="115">
        <v>3955.6</v>
      </c>
      <c r="N2385" s="115">
        <v>4014</v>
      </c>
      <c r="O2385" s="115">
        <v>3866</v>
      </c>
      <c r="P2385" s="115">
        <v>4014</v>
      </c>
      <c r="Q2385" s="115">
        <v>3955.6</v>
      </c>
      <c r="R2385">
        <v>105228</v>
      </c>
    </row>
    <row r="2386" spans="1:18" x14ac:dyDescent="0.25">
      <c r="A2386" s="169">
        <v>45518</v>
      </c>
      <c r="B2386" s="115">
        <v>4006</v>
      </c>
      <c r="C2386" s="115">
        <v>3952.25</v>
      </c>
      <c r="D2386" s="115">
        <v>3866</v>
      </c>
      <c r="E2386" s="115">
        <v>4000</v>
      </c>
      <c r="F2386" s="115">
        <v>3952.25</v>
      </c>
      <c r="G2386">
        <v>2202</v>
      </c>
      <c r="H2386" s="115"/>
      <c r="I2386" s="115"/>
      <c r="L2386" s="169">
        <v>45520</v>
      </c>
      <c r="M2386" s="115">
        <v>4032</v>
      </c>
      <c r="N2386" s="115">
        <v>4040</v>
      </c>
      <c r="O2386" s="115">
        <v>3931.15</v>
      </c>
      <c r="P2386" s="115">
        <v>3960</v>
      </c>
      <c r="Q2386" s="115">
        <v>4032</v>
      </c>
      <c r="R2386">
        <v>52485</v>
      </c>
    </row>
    <row r="2387" spans="1:18" x14ac:dyDescent="0.25">
      <c r="A2387" s="169">
        <v>45520</v>
      </c>
      <c r="B2387" s="115">
        <v>4039.6</v>
      </c>
      <c r="C2387" s="115">
        <v>4028.7</v>
      </c>
      <c r="D2387" s="115">
        <v>3934</v>
      </c>
      <c r="E2387" s="115">
        <v>4009.75</v>
      </c>
      <c r="F2387" s="115">
        <v>4028.7</v>
      </c>
      <c r="G2387">
        <v>234713</v>
      </c>
      <c r="H2387" s="115"/>
      <c r="I2387" s="115"/>
      <c r="L2387" s="169">
        <v>45523</v>
      </c>
      <c r="M2387" s="115">
        <v>3972.6</v>
      </c>
      <c r="N2387" s="115">
        <v>4070</v>
      </c>
      <c r="O2387" s="115">
        <v>3947.55</v>
      </c>
      <c r="P2387" s="115">
        <v>4057.95</v>
      </c>
      <c r="Q2387" s="115">
        <v>3972.6</v>
      </c>
      <c r="R2387">
        <v>47875</v>
      </c>
    </row>
    <row r="2388" spans="1:18" x14ac:dyDescent="0.25">
      <c r="A2388" s="169">
        <v>45523</v>
      </c>
      <c r="B2388" s="115">
        <v>4066.05</v>
      </c>
      <c r="C2388" s="115">
        <v>3967.95</v>
      </c>
      <c r="D2388" s="115">
        <v>3949.5</v>
      </c>
      <c r="E2388" s="115">
        <v>4030.65</v>
      </c>
      <c r="F2388" s="115">
        <v>3967.95</v>
      </c>
      <c r="G2388">
        <v>1951</v>
      </c>
      <c r="H2388" s="115"/>
      <c r="I2388" s="115"/>
      <c r="L2388" s="169">
        <v>45524</v>
      </c>
      <c r="M2388" s="115">
        <v>3963.6</v>
      </c>
      <c r="N2388" s="115">
        <v>3993.95</v>
      </c>
      <c r="O2388" s="115">
        <v>3928</v>
      </c>
      <c r="P2388" s="115">
        <v>3973.95</v>
      </c>
      <c r="Q2388" s="115">
        <v>3963.6</v>
      </c>
      <c r="R2388">
        <v>73319</v>
      </c>
    </row>
    <row r="2389" spans="1:18" x14ac:dyDescent="0.25">
      <c r="A2389" s="169">
        <v>45524</v>
      </c>
      <c r="B2389" s="115">
        <v>3986.5</v>
      </c>
      <c r="C2389" s="115">
        <v>3964.25</v>
      </c>
      <c r="D2389" s="115">
        <v>3929.5</v>
      </c>
      <c r="E2389" s="115">
        <v>3960</v>
      </c>
      <c r="F2389" s="115">
        <v>3964.25</v>
      </c>
      <c r="G2389">
        <v>1805</v>
      </c>
      <c r="H2389" s="115"/>
      <c r="I2389" s="115"/>
      <c r="L2389" s="169">
        <v>45525</v>
      </c>
      <c r="M2389" s="115">
        <v>4121.3500000000004</v>
      </c>
      <c r="N2389" s="115">
        <v>4145</v>
      </c>
      <c r="O2389" s="115">
        <v>3935.05</v>
      </c>
      <c r="P2389" s="115">
        <v>3975</v>
      </c>
      <c r="Q2389" s="115">
        <v>4121.3500000000004</v>
      </c>
      <c r="R2389">
        <v>196149</v>
      </c>
    </row>
    <row r="2390" spans="1:18" x14ac:dyDescent="0.25">
      <c r="A2390" s="169">
        <v>45525</v>
      </c>
      <c r="B2390" s="115">
        <v>4144</v>
      </c>
      <c r="C2390" s="115">
        <v>4125</v>
      </c>
      <c r="D2390" s="115">
        <v>3935.55</v>
      </c>
      <c r="E2390" s="115">
        <v>3975</v>
      </c>
      <c r="F2390" s="115">
        <v>4125</v>
      </c>
      <c r="G2390">
        <v>5391</v>
      </c>
      <c r="H2390" s="115"/>
      <c r="I2390" s="115"/>
      <c r="L2390" s="169">
        <v>45526</v>
      </c>
      <c r="M2390" s="115">
        <v>4063.2</v>
      </c>
      <c r="N2390" s="115">
        <v>4177.45</v>
      </c>
      <c r="O2390" s="115">
        <v>4040.05</v>
      </c>
      <c r="P2390" s="115">
        <v>4130</v>
      </c>
      <c r="Q2390" s="115">
        <v>4063.2</v>
      </c>
      <c r="R2390">
        <v>94988</v>
      </c>
    </row>
    <row r="2391" spans="1:18" x14ac:dyDescent="0.25">
      <c r="A2391" s="169">
        <v>45526</v>
      </c>
      <c r="B2391" s="115">
        <v>4169</v>
      </c>
      <c r="C2391" s="115">
        <v>4061.5</v>
      </c>
      <c r="D2391" s="115">
        <v>4044.95</v>
      </c>
      <c r="E2391" s="115">
        <v>4120</v>
      </c>
      <c r="F2391" s="115">
        <v>4061.5</v>
      </c>
      <c r="G2391">
        <v>2676</v>
      </c>
      <c r="H2391" s="115"/>
      <c r="I2391" s="115"/>
      <c r="L2391" s="169">
        <v>45527</v>
      </c>
      <c r="M2391" s="115">
        <v>4100.3</v>
      </c>
      <c r="N2391" s="115">
        <v>4120</v>
      </c>
      <c r="O2391" s="115">
        <v>4035</v>
      </c>
      <c r="P2391" s="115">
        <v>4069.3</v>
      </c>
      <c r="Q2391" s="115">
        <v>4100.3</v>
      </c>
      <c r="R2391">
        <v>61795</v>
      </c>
    </row>
    <row r="2392" spans="1:18" x14ac:dyDescent="0.25">
      <c r="A2392" s="169">
        <v>45527</v>
      </c>
      <c r="B2392" s="115">
        <v>4118.8</v>
      </c>
      <c r="C2392" s="115">
        <v>4096.3999999999996</v>
      </c>
      <c r="D2392" s="115">
        <v>4039</v>
      </c>
      <c r="E2392" s="115">
        <v>4061.55</v>
      </c>
      <c r="F2392" s="115">
        <v>4096.3999999999996</v>
      </c>
      <c r="G2392">
        <v>1068</v>
      </c>
      <c r="H2392" s="115"/>
      <c r="I2392" s="115"/>
      <c r="L2392" s="169">
        <v>45530</v>
      </c>
      <c r="M2392" s="115">
        <v>3985.1</v>
      </c>
      <c r="N2392" s="115">
        <v>4126.8500000000004</v>
      </c>
      <c r="O2392" s="115">
        <v>3936.05</v>
      </c>
      <c r="P2392" s="115">
        <v>4107.8999999999996</v>
      </c>
      <c r="Q2392" s="115">
        <v>3985.1</v>
      </c>
      <c r="R2392">
        <v>104244</v>
      </c>
    </row>
    <row r="2393" spans="1:18" x14ac:dyDescent="0.25">
      <c r="A2393" s="169">
        <v>45530</v>
      </c>
      <c r="B2393" s="115">
        <v>4149.6499999999996</v>
      </c>
      <c r="C2393" s="115">
        <v>3983.1</v>
      </c>
      <c r="D2393" s="115">
        <v>3939.95</v>
      </c>
      <c r="E2393" s="115">
        <v>4149.6499999999996</v>
      </c>
      <c r="F2393" s="115">
        <v>3983.1</v>
      </c>
      <c r="G2393">
        <v>2423</v>
      </c>
      <c r="H2393" s="115"/>
      <c r="I2393" s="115"/>
      <c r="L2393" s="169">
        <v>45531</v>
      </c>
      <c r="M2393" s="115">
        <v>3936</v>
      </c>
      <c r="N2393" s="115">
        <v>4027.45</v>
      </c>
      <c r="O2393" s="115">
        <v>3927</v>
      </c>
      <c r="P2393" s="115">
        <v>4005.05</v>
      </c>
      <c r="Q2393" s="115">
        <v>3936</v>
      </c>
      <c r="R2393">
        <v>58411</v>
      </c>
    </row>
    <row r="2394" spans="1:18" x14ac:dyDescent="0.25">
      <c r="A2394" s="169">
        <v>45531</v>
      </c>
      <c r="B2394" s="115">
        <v>4012</v>
      </c>
      <c r="C2394" s="115">
        <v>3939.4</v>
      </c>
      <c r="D2394" s="115">
        <v>3927.75</v>
      </c>
      <c r="E2394" s="115">
        <v>3985.1</v>
      </c>
      <c r="F2394" s="115">
        <v>3939.4</v>
      </c>
      <c r="G2394">
        <v>1048</v>
      </c>
      <c r="H2394" s="115"/>
      <c r="I2394" s="115"/>
      <c r="L2394" s="169">
        <v>45532</v>
      </c>
      <c r="M2394" s="115">
        <v>3894.75</v>
      </c>
      <c r="N2394" s="115">
        <v>3953</v>
      </c>
      <c r="O2394" s="115">
        <v>3881</v>
      </c>
      <c r="P2394" s="115">
        <v>3942</v>
      </c>
      <c r="Q2394" s="115">
        <v>3894.75</v>
      </c>
      <c r="R2394">
        <v>60959</v>
      </c>
    </row>
    <row r="2395" spans="1:18" x14ac:dyDescent="0.25">
      <c r="A2395" s="169">
        <v>45532</v>
      </c>
      <c r="B2395" s="115">
        <v>3944</v>
      </c>
      <c r="C2395" s="115">
        <v>3890.1</v>
      </c>
      <c r="D2395" s="115">
        <v>3882.85</v>
      </c>
      <c r="E2395" s="115">
        <v>3940</v>
      </c>
      <c r="F2395" s="115">
        <v>3890.1</v>
      </c>
      <c r="G2395">
        <v>3384</v>
      </c>
      <c r="H2395" s="115"/>
      <c r="I2395" s="115"/>
      <c r="L2395" s="169">
        <v>45533</v>
      </c>
      <c r="M2395" s="115">
        <v>3879.8</v>
      </c>
      <c r="N2395" s="115">
        <v>3960.6</v>
      </c>
      <c r="O2395" s="115">
        <v>3862.05</v>
      </c>
      <c r="P2395" s="115">
        <v>3899</v>
      </c>
      <c r="Q2395" s="115">
        <v>3879.8</v>
      </c>
      <c r="R2395">
        <v>120665</v>
      </c>
    </row>
    <row r="2396" spans="1:18" x14ac:dyDescent="0.25">
      <c r="A2396" s="169">
        <v>45533</v>
      </c>
      <c r="B2396" s="115">
        <v>3960.6</v>
      </c>
      <c r="C2396" s="115">
        <v>3883.3</v>
      </c>
      <c r="D2396" s="115">
        <v>3870</v>
      </c>
      <c r="E2396" s="115">
        <v>3883.55</v>
      </c>
      <c r="F2396" s="115">
        <v>3883.3</v>
      </c>
      <c r="G2396">
        <v>1467</v>
      </c>
      <c r="H2396" s="115"/>
      <c r="I2396" s="115"/>
      <c r="L2396" s="169">
        <v>45534</v>
      </c>
      <c r="M2396" s="115">
        <v>3941.65</v>
      </c>
      <c r="N2396" s="115">
        <v>4048.75</v>
      </c>
      <c r="O2396" s="115">
        <v>3886</v>
      </c>
      <c r="P2396" s="115">
        <v>3899</v>
      </c>
      <c r="Q2396" s="115">
        <v>3941.65</v>
      </c>
      <c r="R2396">
        <v>149297</v>
      </c>
    </row>
    <row r="2397" spans="1:18" x14ac:dyDescent="0.25">
      <c r="A2397" s="169">
        <v>45534</v>
      </c>
      <c r="B2397" s="115">
        <v>4048.95</v>
      </c>
      <c r="C2397" s="115">
        <v>3942.15</v>
      </c>
      <c r="D2397" s="115">
        <v>3910</v>
      </c>
      <c r="E2397" s="115">
        <v>3926</v>
      </c>
      <c r="F2397" s="115">
        <v>3942.15</v>
      </c>
      <c r="G2397">
        <v>7321</v>
      </c>
      <c r="H2397" s="115"/>
      <c r="I2397" s="115"/>
      <c r="L2397" s="169">
        <v>45537</v>
      </c>
      <c r="M2397" s="115">
        <v>3867.95</v>
      </c>
      <c r="N2397" s="115">
        <v>3975.65</v>
      </c>
      <c r="O2397" s="115">
        <v>3843</v>
      </c>
      <c r="P2397" s="115">
        <v>3970</v>
      </c>
      <c r="Q2397" s="115">
        <v>3867.95</v>
      </c>
      <c r="R2397">
        <v>68912</v>
      </c>
    </row>
    <row r="2398" spans="1:18" x14ac:dyDescent="0.25">
      <c r="A2398" s="169">
        <v>45537</v>
      </c>
      <c r="B2398" s="115">
        <v>3987.95</v>
      </c>
      <c r="C2398" s="115">
        <v>3869.15</v>
      </c>
      <c r="D2398" s="115">
        <v>3844.95</v>
      </c>
      <c r="E2398" s="115">
        <v>3987.95</v>
      </c>
      <c r="F2398" s="115">
        <v>3869.15</v>
      </c>
      <c r="G2398">
        <v>2952</v>
      </c>
      <c r="H2398" s="115"/>
      <c r="I2398" s="115"/>
      <c r="L2398" s="169">
        <v>45538</v>
      </c>
      <c r="M2398" s="115">
        <v>3841.75</v>
      </c>
      <c r="N2398" s="115">
        <v>3899</v>
      </c>
      <c r="O2398" s="115">
        <v>3830</v>
      </c>
      <c r="P2398" s="115">
        <v>3884.7</v>
      </c>
      <c r="Q2398" s="115">
        <v>3841.75</v>
      </c>
      <c r="R2398">
        <v>47110</v>
      </c>
    </row>
    <row r="2399" spans="1:18" x14ac:dyDescent="0.25">
      <c r="A2399" s="169">
        <v>45538</v>
      </c>
      <c r="B2399" s="115">
        <v>3900.75</v>
      </c>
      <c r="C2399" s="115">
        <v>3842.15</v>
      </c>
      <c r="D2399" s="115">
        <v>3833</v>
      </c>
      <c r="E2399" s="115">
        <v>3879</v>
      </c>
      <c r="F2399" s="115">
        <v>3842.15</v>
      </c>
      <c r="G2399">
        <v>2406</v>
      </c>
      <c r="H2399" s="115"/>
      <c r="I2399" s="115"/>
      <c r="L2399" s="169">
        <v>45539</v>
      </c>
      <c r="M2399" s="115">
        <v>3829.1</v>
      </c>
      <c r="N2399" s="115">
        <v>3876.45</v>
      </c>
      <c r="O2399" s="115">
        <v>3784.05</v>
      </c>
      <c r="P2399" s="115">
        <v>3803.35</v>
      </c>
      <c r="Q2399" s="115">
        <v>3829.1</v>
      </c>
      <c r="R2399">
        <v>70004</v>
      </c>
    </row>
    <row r="2400" spans="1:18" x14ac:dyDescent="0.25">
      <c r="A2400" s="169">
        <v>45539</v>
      </c>
      <c r="B2400" s="115">
        <v>3870</v>
      </c>
      <c r="C2400" s="115">
        <v>3827.65</v>
      </c>
      <c r="D2400" s="115">
        <v>3790</v>
      </c>
      <c r="E2400" s="115">
        <v>3821</v>
      </c>
      <c r="F2400" s="115">
        <v>3827.65</v>
      </c>
      <c r="G2400">
        <v>2382</v>
      </c>
      <c r="H2400" s="115"/>
      <c r="I2400" s="115"/>
      <c r="L2400" s="169">
        <v>45540</v>
      </c>
      <c r="M2400" s="115">
        <v>3958.2</v>
      </c>
      <c r="N2400" s="115">
        <v>3988</v>
      </c>
      <c r="O2400" s="115">
        <v>3834.9</v>
      </c>
      <c r="P2400" s="115">
        <v>3846.95</v>
      </c>
      <c r="Q2400" s="115">
        <v>3958.2</v>
      </c>
      <c r="R2400">
        <v>119280</v>
      </c>
    </row>
    <row r="2401" spans="1:18" x14ac:dyDescent="0.25">
      <c r="A2401" s="169">
        <v>45540</v>
      </c>
      <c r="B2401" s="115">
        <v>3985.3</v>
      </c>
      <c r="C2401" s="115">
        <v>3963</v>
      </c>
      <c r="D2401" s="115">
        <v>3825.1</v>
      </c>
      <c r="E2401" s="115">
        <v>3825.1</v>
      </c>
      <c r="F2401" s="115">
        <v>3963</v>
      </c>
      <c r="G2401">
        <v>2940</v>
      </c>
      <c r="H2401" s="115"/>
      <c r="I2401" s="115"/>
      <c r="L2401" s="169">
        <v>45541</v>
      </c>
      <c r="M2401" s="115">
        <v>3864.9</v>
      </c>
      <c r="N2401" s="115">
        <v>4049</v>
      </c>
      <c r="O2401" s="115">
        <v>3840</v>
      </c>
      <c r="P2401" s="115">
        <v>3978</v>
      </c>
      <c r="Q2401" s="115">
        <v>3864.9</v>
      </c>
      <c r="R2401">
        <v>64362</v>
      </c>
    </row>
    <row r="2402" spans="1:18" x14ac:dyDescent="0.25">
      <c r="A2402" s="169">
        <v>45541</v>
      </c>
      <c r="B2402" s="115">
        <v>4045</v>
      </c>
      <c r="C2402" s="115">
        <v>3861.35</v>
      </c>
      <c r="D2402" s="115">
        <v>3838.35</v>
      </c>
      <c r="E2402" s="115">
        <v>3999.95</v>
      </c>
      <c r="F2402" s="115">
        <v>3861.35</v>
      </c>
      <c r="G2402">
        <v>4875</v>
      </c>
      <c r="H2402" s="115"/>
      <c r="I2402" s="115"/>
      <c r="L2402" s="169">
        <v>45544</v>
      </c>
      <c r="M2402" s="115">
        <v>3864.05</v>
      </c>
      <c r="N2402" s="115">
        <v>3877.95</v>
      </c>
      <c r="O2402" s="115">
        <v>3803</v>
      </c>
      <c r="P2402" s="115">
        <v>3865.95</v>
      </c>
      <c r="Q2402" s="115">
        <v>3864.05</v>
      </c>
      <c r="R2402">
        <v>66880</v>
      </c>
    </row>
    <row r="2403" spans="1:18" x14ac:dyDescent="0.25">
      <c r="A2403" s="169">
        <v>45544</v>
      </c>
      <c r="B2403" s="115">
        <v>3870.65</v>
      </c>
      <c r="C2403" s="115">
        <v>3863.75</v>
      </c>
      <c r="D2403" s="115">
        <v>3807.8</v>
      </c>
      <c r="E2403" s="115">
        <v>3862.05</v>
      </c>
      <c r="F2403" s="115">
        <v>3863.75</v>
      </c>
      <c r="G2403">
        <v>868</v>
      </c>
      <c r="H2403" s="115"/>
      <c r="I2403" s="115"/>
      <c r="L2403" s="169">
        <v>45545</v>
      </c>
      <c r="M2403" s="115">
        <v>3849.75</v>
      </c>
      <c r="N2403" s="115">
        <v>3962</v>
      </c>
      <c r="O2403" s="115">
        <v>3825</v>
      </c>
      <c r="P2403" s="115">
        <v>3865.2</v>
      </c>
      <c r="Q2403" s="115">
        <v>3849.75</v>
      </c>
      <c r="R2403">
        <v>63989</v>
      </c>
    </row>
    <row r="2404" spans="1:18" x14ac:dyDescent="0.25">
      <c r="A2404" s="169">
        <v>45545</v>
      </c>
      <c r="B2404" s="115">
        <v>3910.1</v>
      </c>
      <c r="C2404" s="115">
        <v>3849.5</v>
      </c>
      <c r="D2404" s="115">
        <v>3828.9</v>
      </c>
      <c r="E2404" s="115">
        <v>3876.45</v>
      </c>
      <c r="F2404" s="115">
        <v>3849.5</v>
      </c>
      <c r="G2404">
        <v>3528</v>
      </c>
      <c r="H2404" s="115"/>
      <c r="I2404" s="115"/>
      <c r="L2404" s="169">
        <v>45546</v>
      </c>
      <c r="M2404" s="115">
        <v>3801.7</v>
      </c>
      <c r="N2404" s="115">
        <v>3885.7</v>
      </c>
      <c r="O2404" s="115">
        <v>3790</v>
      </c>
      <c r="P2404" s="115">
        <v>3836</v>
      </c>
      <c r="Q2404" s="115">
        <v>3801.7</v>
      </c>
      <c r="R2404">
        <v>46116</v>
      </c>
    </row>
    <row r="2405" spans="1:18" x14ac:dyDescent="0.25">
      <c r="A2405" s="169">
        <v>45546</v>
      </c>
      <c r="B2405" s="115">
        <v>3879.7</v>
      </c>
      <c r="C2405" s="115">
        <v>3801.8</v>
      </c>
      <c r="D2405" s="115">
        <v>3794.5</v>
      </c>
      <c r="E2405" s="115">
        <v>3849.5</v>
      </c>
      <c r="F2405" s="115">
        <v>3801.8</v>
      </c>
      <c r="G2405">
        <v>1035</v>
      </c>
      <c r="H2405" s="115"/>
      <c r="I2405" s="115"/>
      <c r="L2405" s="169">
        <v>45547</v>
      </c>
      <c r="M2405" s="115">
        <v>3859.4</v>
      </c>
      <c r="N2405" s="115">
        <v>3880</v>
      </c>
      <c r="O2405" s="115">
        <v>3803.5</v>
      </c>
      <c r="P2405" s="115">
        <v>3803.5</v>
      </c>
      <c r="Q2405" s="115">
        <v>3859.4</v>
      </c>
      <c r="R2405">
        <v>26362</v>
      </c>
    </row>
    <row r="2406" spans="1:18" x14ac:dyDescent="0.25">
      <c r="A2406" s="169">
        <v>45547</v>
      </c>
      <c r="B2406" s="115">
        <v>3878</v>
      </c>
      <c r="C2406" s="115">
        <v>3858.7</v>
      </c>
      <c r="D2406" s="115">
        <v>3816.95</v>
      </c>
      <c r="E2406" s="115">
        <v>3840</v>
      </c>
      <c r="F2406" s="115">
        <v>3858.7</v>
      </c>
      <c r="G2406">
        <v>1685</v>
      </c>
      <c r="H2406" s="115"/>
      <c r="I2406" s="115"/>
      <c r="L2406" s="169">
        <v>45548</v>
      </c>
      <c r="M2406" s="115">
        <v>3968.95</v>
      </c>
      <c r="N2406" s="115">
        <v>3975</v>
      </c>
      <c r="O2406" s="115">
        <v>3851</v>
      </c>
      <c r="P2406" s="115">
        <v>3851</v>
      </c>
      <c r="Q2406" s="115">
        <v>3968.95</v>
      </c>
      <c r="R2406">
        <v>70704</v>
      </c>
    </row>
    <row r="2407" spans="1:18" x14ac:dyDescent="0.25">
      <c r="A2407" s="169">
        <v>45548</v>
      </c>
      <c r="B2407" s="115">
        <v>3972</v>
      </c>
      <c r="C2407" s="115">
        <v>3969.4</v>
      </c>
      <c r="D2407" s="115">
        <v>3874.35</v>
      </c>
      <c r="E2407" s="115">
        <v>3894.95</v>
      </c>
      <c r="F2407" s="115">
        <v>3969.4</v>
      </c>
      <c r="G2407">
        <v>1475</v>
      </c>
      <c r="H2407" s="115"/>
      <c r="I2407" s="115"/>
      <c r="L2407" s="169">
        <v>45551</v>
      </c>
      <c r="M2407" s="115">
        <v>3923.9</v>
      </c>
      <c r="N2407" s="115">
        <v>4040</v>
      </c>
      <c r="O2407" s="115">
        <v>3865</v>
      </c>
      <c r="P2407" s="115">
        <v>4030</v>
      </c>
      <c r="Q2407" s="115">
        <v>3923.9</v>
      </c>
      <c r="R2407">
        <v>76185</v>
      </c>
    </row>
    <row r="2408" spans="1:18" x14ac:dyDescent="0.25">
      <c r="A2408" s="169">
        <v>45551</v>
      </c>
      <c r="B2408" s="115">
        <v>4031.15</v>
      </c>
      <c r="C2408" s="115">
        <v>3925.4</v>
      </c>
      <c r="D2408" s="115">
        <v>3866.9</v>
      </c>
      <c r="E2408" s="115">
        <v>4010</v>
      </c>
      <c r="F2408" s="115">
        <v>3925.4</v>
      </c>
      <c r="G2408">
        <v>3461</v>
      </c>
      <c r="H2408" s="115"/>
      <c r="I2408" s="115"/>
      <c r="L2408" s="169">
        <v>45552</v>
      </c>
      <c r="M2408" s="115">
        <v>3851.5</v>
      </c>
      <c r="N2408" s="115">
        <v>3949</v>
      </c>
      <c r="O2408" s="115">
        <v>3836.4</v>
      </c>
      <c r="P2408" s="115">
        <v>3920.05</v>
      </c>
      <c r="Q2408" s="115">
        <v>3851.5</v>
      </c>
      <c r="R2408">
        <v>61004</v>
      </c>
    </row>
    <row r="2409" spans="1:18" x14ac:dyDescent="0.25">
      <c r="A2409" s="169">
        <v>45552</v>
      </c>
      <c r="B2409" s="115">
        <v>3925.4</v>
      </c>
      <c r="C2409" s="115">
        <v>3854.2</v>
      </c>
      <c r="D2409" s="115">
        <v>3838</v>
      </c>
      <c r="E2409" s="115">
        <v>3925.4</v>
      </c>
      <c r="F2409" s="115">
        <v>3854.2</v>
      </c>
      <c r="G2409">
        <v>1690</v>
      </c>
      <c r="H2409" s="115"/>
      <c r="I2409" s="115"/>
      <c r="L2409" s="169">
        <v>45553</v>
      </c>
      <c r="M2409" s="115">
        <v>3853.3</v>
      </c>
      <c r="N2409" s="115">
        <v>3880</v>
      </c>
      <c r="O2409" s="115">
        <v>3752.8</v>
      </c>
      <c r="P2409" s="115">
        <v>3851.5</v>
      </c>
      <c r="Q2409" s="115">
        <v>3853.3</v>
      </c>
      <c r="R2409">
        <v>95571</v>
      </c>
    </row>
    <row r="2410" spans="1:18" x14ac:dyDescent="0.25">
      <c r="A2410" s="169">
        <v>45553</v>
      </c>
      <c r="B2410" s="115">
        <v>3872.4</v>
      </c>
      <c r="C2410" s="115">
        <v>3851.6</v>
      </c>
      <c r="D2410" s="115">
        <v>3755</v>
      </c>
      <c r="E2410" s="115">
        <v>3853.6</v>
      </c>
      <c r="F2410" s="115">
        <v>3851.6</v>
      </c>
      <c r="G2410">
        <v>4726</v>
      </c>
      <c r="H2410" s="115"/>
      <c r="I2410" s="115"/>
      <c r="L2410" s="169">
        <v>45554</v>
      </c>
      <c r="M2410" s="115">
        <v>3812.9</v>
      </c>
      <c r="N2410" s="115">
        <v>3906.35</v>
      </c>
      <c r="O2410" s="115">
        <v>3792.45</v>
      </c>
      <c r="P2410" s="115">
        <v>3855</v>
      </c>
      <c r="Q2410" s="115">
        <v>3812.9</v>
      </c>
      <c r="R2410">
        <v>121302</v>
      </c>
    </row>
    <row r="2411" spans="1:18" x14ac:dyDescent="0.25">
      <c r="A2411" s="169">
        <v>45554</v>
      </c>
      <c r="B2411" s="115">
        <v>3905.95</v>
      </c>
      <c r="C2411" s="115">
        <v>3808.45</v>
      </c>
      <c r="D2411" s="115">
        <v>3798</v>
      </c>
      <c r="E2411" s="115">
        <v>3852</v>
      </c>
      <c r="F2411" s="115">
        <v>3808.45</v>
      </c>
      <c r="G2411">
        <v>902</v>
      </c>
      <c r="H2411" s="115"/>
      <c r="I2411" s="115"/>
      <c r="L2411" s="169">
        <v>45555</v>
      </c>
      <c r="M2411" s="115">
        <v>3820.75</v>
      </c>
      <c r="N2411" s="115">
        <v>3858</v>
      </c>
      <c r="O2411" s="115">
        <v>3799.4</v>
      </c>
      <c r="P2411" s="115">
        <v>3815</v>
      </c>
      <c r="Q2411" s="115">
        <v>3820.75</v>
      </c>
      <c r="R2411">
        <v>75844</v>
      </c>
    </row>
    <row r="2412" spans="1:18" x14ac:dyDescent="0.25">
      <c r="A2412" s="169">
        <v>45555</v>
      </c>
      <c r="B2412" s="115">
        <v>3855</v>
      </c>
      <c r="C2412" s="115">
        <v>3830.05</v>
      </c>
      <c r="D2412" s="115">
        <v>3799.9</v>
      </c>
      <c r="E2412" s="115">
        <v>3832.35</v>
      </c>
      <c r="F2412" s="115">
        <v>3830.05</v>
      </c>
      <c r="G2412">
        <v>1430</v>
      </c>
      <c r="H2412" s="115"/>
      <c r="I2412" s="115"/>
      <c r="L2412" s="169">
        <v>45558</v>
      </c>
      <c r="M2412" s="115">
        <v>3906.25</v>
      </c>
      <c r="N2412" s="115">
        <v>3922</v>
      </c>
      <c r="O2412" s="115">
        <v>3799.05</v>
      </c>
      <c r="P2412" s="115">
        <v>3845.6</v>
      </c>
      <c r="Q2412" s="115">
        <v>3906.25</v>
      </c>
      <c r="R2412">
        <v>63654</v>
      </c>
    </row>
    <row r="2413" spans="1:18" x14ac:dyDescent="0.25">
      <c r="A2413" s="169">
        <v>45558</v>
      </c>
      <c r="B2413" s="115">
        <v>3916</v>
      </c>
      <c r="C2413" s="115">
        <v>3908.45</v>
      </c>
      <c r="D2413" s="115">
        <v>3799.05</v>
      </c>
      <c r="E2413" s="115">
        <v>3840</v>
      </c>
      <c r="F2413" s="115">
        <v>3908.45</v>
      </c>
      <c r="G2413">
        <v>3121</v>
      </c>
      <c r="H2413" s="115"/>
      <c r="I2413" s="115"/>
      <c r="L2413" s="169">
        <v>45559</v>
      </c>
      <c r="M2413" s="115">
        <v>3960.2</v>
      </c>
      <c r="N2413" s="115">
        <v>3990</v>
      </c>
      <c r="O2413" s="115">
        <v>3919.85</v>
      </c>
      <c r="P2413" s="115">
        <v>3919.9</v>
      </c>
      <c r="Q2413" s="115">
        <v>3960.2</v>
      </c>
      <c r="R2413">
        <v>64583</v>
      </c>
    </row>
    <row r="2414" spans="1:18" x14ac:dyDescent="0.25">
      <c r="A2414" s="169">
        <v>45559</v>
      </c>
      <c r="B2414" s="115">
        <v>3990</v>
      </c>
      <c r="C2414" s="115">
        <v>3959.1</v>
      </c>
      <c r="D2414" s="115">
        <v>3908</v>
      </c>
      <c r="E2414" s="115">
        <v>3908</v>
      </c>
      <c r="F2414" s="115">
        <v>3959.1</v>
      </c>
      <c r="G2414">
        <v>3621</v>
      </c>
      <c r="H2414" s="115"/>
      <c r="I2414" s="115"/>
      <c r="L2414" s="169">
        <v>45560</v>
      </c>
      <c r="M2414" s="115">
        <v>3911.2</v>
      </c>
      <c r="N2414" s="115">
        <v>3993.3</v>
      </c>
      <c r="O2414" s="115">
        <v>3879</v>
      </c>
      <c r="P2414" s="115">
        <v>3993</v>
      </c>
      <c r="Q2414" s="115">
        <v>3911.2</v>
      </c>
      <c r="R2414">
        <v>30106</v>
      </c>
    </row>
    <row r="2415" spans="1:18" x14ac:dyDescent="0.25">
      <c r="A2415" s="169">
        <v>45560</v>
      </c>
      <c r="B2415" s="115">
        <v>3993</v>
      </c>
      <c r="C2415" s="115">
        <v>3911.75</v>
      </c>
      <c r="D2415" s="115">
        <v>3883.15</v>
      </c>
      <c r="E2415" s="115">
        <v>3993</v>
      </c>
      <c r="F2415" s="115">
        <v>3911.75</v>
      </c>
      <c r="G2415">
        <v>3075</v>
      </c>
      <c r="H2415" s="115"/>
      <c r="I2415" s="115"/>
      <c r="L2415" s="169">
        <v>45561</v>
      </c>
      <c r="M2415" s="115">
        <v>3857.75</v>
      </c>
      <c r="N2415" s="115">
        <v>3937.95</v>
      </c>
      <c r="O2415" s="115">
        <v>3850</v>
      </c>
      <c r="P2415" s="115">
        <v>3925</v>
      </c>
      <c r="Q2415" s="115">
        <v>3857.75</v>
      </c>
      <c r="R2415">
        <v>42386</v>
      </c>
    </row>
    <row r="2416" spans="1:18" x14ac:dyDescent="0.25">
      <c r="A2416" s="169">
        <v>45561</v>
      </c>
      <c r="B2416" s="115">
        <v>3933.9</v>
      </c>
      <c r="C2416" s="115">
        <v>3856.75</v>
      </c>
      <c r="D2416" s="115">
        <v>3850</v>
      </c>
      <c r="E2416" s="115">
        <v>3902.7</v>
      </c>
      <c r="F2416" s="115">
        <v>3856.75</v>
      </c>
      <c r="G2416">
        <v>2023</v>
      </c>
      <c r="H2416" s="115"/>
      <c r="I2416" s="115"/>
      <c r="L2416" s="169">
        <v>45562</v>
      </c>
      <c r="M2416" s="115">
        <v>3860.25</v>
      </c>
      <c r="N2416" s="115">
        <v>3915</v>
      </c>
      <c r="O2416" s="115">
        <v>3830</v>
      </c>
      <c r="P2416" s="115">
        <v>3850.15</v>
      </c>
      <c r="Q2416" s="115">
        <v>3860.25</v>
      </c>
      <c r="R2416">
        <v>49164</v>
      </c>
    </row>
    <row r="2417" spans="1:18" x14ac:dyDescent="0.25">
      <c r="A2417" s="169">
        <v>45562</v>
      </c>
      <c r="B2417" s="115">
        <v>3902.55</v>
      </c>
      <c r="C2417" s="115">
        <v>3860.35</v>
      </c>
      <c r="D2417" s="115">
        <v>3835</v>
      </c>
      <c r="E2417" s="115">
        <v>3860</v>
      </c>
      <c r="F2417" s="115">
        <v>3860.35</v>
      </c>
      <c r="G2417">
        <v>1297</v>
      </c>
      <c r="H2417" s="115"/>
      <c r="I2417" s="115"/>
      <c r="L2417" s="169">
        <v>45565</v>
      </c>
      <c r="M2417" s="115">
        <v>3913.7</v>
      </c>
      <c r="N2417" s="115">
        <v>3930</v>
      </c>
      <c r="O2417" s="115">
        <v>3832.1</v>
      </c>
      <c r="P2417" s="115">
        <v>3892.85</v>
      </c>
      <c r="Q2417" s="115">
        <v>3913.7</v>
      </c>
      <c r="R2417">
        <v>64883</v>
      </c>
    </row>
    <row r="2418" spans="1:18" x14ac:dyDescent="0.25">
      <c r="A2418" s="169">
        <v>45565</v>
      </c>
      <c r="B2418" s="115">
        <v>3936.25</v>
      </c>
      <c r="C2418" s="115">
        <v>3908.55</v>
      </c>
      <c r="D2418" s="115">
        <v>3829.05</v>
      </c>
      <c r="E2418" s="115">
        <v>3866.05</v>
      </c>
      <c r="F2418" s="115">
        <v>3908.55</v>
      </c>
      <c r="G2418">
        <v>5353</v>
      </c>
      <c r="H2418" s="115"/>
      <c r="I2418" s="115"/>
      <c r="L2418" s="169">
        <v>45566</v>
      </c>
      <c r="M2418" s="115">
        <v>3930.9</v>
      </c>
      <c r="N2418" s="115">
        <v>3946</v>
      </c>
      <c r="O2418" s="115">
        <v>3855</v>
      </c>
      <c r="P2418" s="115">
        <v>3861.1</v>
      </c>
      <c r="Q2418" s="115">
        <v>3930.9</v>
      </c>
      <c r="R2418">
        <v>107955</v>
      </c>
    </row>
    <row r="2419" spans="1:18" x14ac:dyDescent="0.25">
      <c r="A2419" s="169">
        <v>45566</v>
      </c>
      <c r="B2419" s="115">
        <v>3944.45</v>
      </c>
      <c r="C2419" s="115">
        <v>3930.3</v>
      </c>
      <c r="D2419" s="115">
        <v>3857.45</v>
      </c>
      <c r="E2419" s="115">
        <v>3900</v>
      </c>
      <c r="F2419" s="115">
        <v>3930.3</v>
      </c>
      <c r="G2419">
        <v>4436</v>
      </c>
      <c r="H2419" s="115"/>
      <c r="I2419" s="115"/>
      <c r="L2419" s="169">
        <v>45568</v>
      </c>
      <c r="M2419" s="115">
        <v>3886.5</v>
      </c>
      <c r="N2419" s="115">
        <v>3963.3</v>
      </c>
      <c r="O2419" s="115">
        <v>3821.1</v>
      </c>
      <c r="P2419" s="115">
        <v>3821.1</v>
      </c>
      <c r="Q2419" s="115">
        <v>3886.5</v>
      </c>
      <c r="R2419">
        <v>84951</v>
      </c>
    </row>
    <row r="2420" spans="1:18" x14ac:dyDescent="0.25">
      <c r="A2420" s="169">
        <v>45568</v>
      </c>
      <c r="B2420" s="115">
        <v>3961.35</v>
      </c>
      <c r="C2420" s="115">
        <v>3884.6</v>
      </c>
      <c r="D2420" s="115">
        <v>3816.7</v>
      </c>
      <c r="E2420" s="115">
        <v>3850</v>
      </c>
      <c r="F2420" s="115">
        <v>3884.6</v>
      </c>
      <c r="G2420">
        <v>828</v>
      </c>
      <c r="H2420" s="115"/>
      <c r="I2420" s="115"/>
      <c r="L2420" s="169">
        <v>45569</v>
      </c>
      <c r="M2420" s="115">
        <v>3870</v>
      </c>
      <c r="N2420" s="115">
        <v>3917.1</v>
      </c>
      <c r="O2420" s="115">
        <v>3812.8</v>
      </c>
      <c r="P2420" s="115">
        <v>3885</v>
      </c>
      <c r="Q2420" s="115">
        <v>3870</v>
      </c>
      <c r="R2420">
        <v>110436</v>
      </c>
    </row>
    <row r="2421" spans="1:18" x14ac:dyDescent="0.25">
      <c r="A2421" s="169">
        <v>45569</v>
      </c>
      <c r="B2421" s="115">
        <v>3913.15</v>
      </c>
      <c r="C2421" s="115">
        <v>3872.8</v>
      </c>
      <c r="D2421" s="115">
        <v>3814.35</v>
      </c>
      <c r="E2421" s="115">
        <v>3888.65</v>
      </c>
      <c r="F2421" s="115">
        <v>3872.8</v>
      </c>
      <c r="G2421">
        <v>1436</v>
      </c>
      <c r="H2421" s="115"/>
      <c r="I2421" s="115"/>
      <c r="L2421" s="169">
        <v>45572</v>
      </c>
      <c r="M2421" s="115">
        <v>3765.5</v>
      </c>
      <c r="N2421" s="115">
        <v>3898</v>
      </c>
      <c r="O2421" s="115">
        <v>3742.25</v>
      </c>
      <c r="P2421" s="115">
        <v>3870</v>
      </c>
      <c r="Q2421" s="115">
        <v>3765.5</v>
      </c>
      <c r="R2421">
        <v>75074</v>
      </c>
    </row>
    <row r="2422" spans="1:18" x14ac:dyDescent="0.25">
      <c r="A2422" s="169">
        <v>45572</v>
      </c>
      <c r="B2422" s="115">
        <v>3887.95</v>
      </c>
      <c r="C2422" s="115">
        <v>3767.25</v>
      </c>
      <c r="D2422" s="115">
        <v>3740.2</v>
      </c>
      <c r="E2422" s="115">
        <v>3873</v>
      </c>
      <c r="F2422" s="115">
        <v>3767.25</v>
      </c>
      <c r="G2422">
        <v>4586</v>
      </c>
      <c r="H2422" s="115"/>
      <c r="I2422" s="115"/>
      <c r="L2422" s="169">
        <v>45573</v>
      </c>
      <c r="M2422" s="115">
        <v>3802.3</v>
      </c>
      <c r="N2422" s="115">
        <v>3842.2</v>
      </c>
      <c r="O2422" s="115">
        <v>3715.45</v>
      </c>
      <c r="P2422" s="115">
        <v>3765.5</v>
      </c>
      <c r="Q2422" s="115">
        <v>3802.3</v>
      </c>
      <c r="R2422">
        <v>94358</v>
      </c>
    </row>
    <row r="2423" spans="1:18" x14ac:dyDescent="0.25">
      <c r="A2423" s="169">
        <v>45573</v>
      </c>
      <c r="B2423" s="115">
        <v>3843.1</v>
      </c>
      <c r="C2423" s="115">
        <v>3801.95</v>
      </c>
      <c r="D2423" s="115">
        <v>3713.05</v>
      </c>
      <c r="E2423" s="115">
        <v>3761.45</v>
      </c>
      <c r="F2423" s="115">
        <v>3801.95</v>
      </c>
      <c r="G2423">
        <v>3077</v>
      </c>
      <c r="H2423" s="115"/>
      <c r="I2423" s="115"/>
      <c r="L2423" s="169">
        <v>45574</v>
      </c>
      <c r="M2423" s="115">
        <v>3858.6</v>
      </c>
      <c r="N2423" s="115">
        <v>3899</v>
      </c>
      <c r="O2423" s="115">
        <v>3800.6</v>
      </c>
      <c r="P2423" s="115">
        <v>3821.35</v>
      </c>
      <c r="Q2423" s="115">
        <v>3858.6</v>
      </c>
      <c r="R2423">
        <v>71476</v>
      </c>
    </row>
    <row r="2424" spans="1:18" x14ac:dyDescent="0.25">
      <c r="A2424" s="169">
        <v>45574</v>
      </c>
      <c r="B2424" s="115">
        <v>3892.45</v>
      </c>
      <c r="C2424" s="115">
        <v>3860.8</v>
      </c>
      <c r="D2424" s="115">
        <v>3806.55</v>
      </c>
      <c r="E2424" s="115">
        <v>3835.9</v>
      </c>
      <c r="F2424" s="115">
        <v>3860.8</v>
      </c>
      <c r="G2424">
        <v>861</v>
      </c>
      <c r="H2424" s="115"/>
      <c r="I2424" s="115"/>
      <c r="L2424" s="169">
        <v>45575</v>
      </c>
      <c r="M2424" s="115">
        <v>3862.35</v>
      </c>
      <c r="N2424" s="115">
        <v>3914</v>
      </c>
      <c r="O2424" s="115">
        <v>3827.8</v>
      </c>
      <c r="P2424" s="115">
        <v>3870</v>
      </c>
      <c r="Q2424" s="115">
        <v>3862.35</v>
      </c>
      <c r="R2424">
        <v>59673</v>
      </c>
    </row>
    <row r="2425" spans="1:18" x14ac:dyDescent="0.25">
      <c r="A2425" s="169">
        <v>45575</v>
      </c>
      <c r="B2425" s="115">
        <v>3911.95</v>
      </c>
      <c r="C2425" s="115">
        <v>3863.9</v>
      </c>
      <c r="D2425" s="115">
        <v>3833.75</v>
      </c>
      <c r="E2425" s="115">
        <v>3900</v>
      </c>
      <c r="F2425" s="115">
        <v>3863.9</v>
      </c>
      <c r="G2425">
        <v>1595</v>
      </c>
      <c r="H2425" s="115"/>
      <c r="I2425" s="115"/>
      <c r="L2425" s="169">
        <v>45576</v>
      </c>
      <c r="M2425" s="115">
        <v>3898.35</v>
      </c>
      <c r="N2425" s="115">
        <v>3925</v>
      </c>
      <c r="O2425" s="115">
        <v>3746.1</v>
      </c>
      <c r="P2425" s="115">
        <v>3860</v>
      </c>
      <c r="Q2425" s="115">
        <v>3898.35</v>
      </c>
      <c r="R2425">
        <v>108539</v>
      </c>
    </row>
    <row r="2426" spans="1:18" x14ac:dyDescent="0.25">
      <c r="A2426" s="169">
        <v>45576</v>
      </c>
      <c r="B2426" s="115">
        <v>3964.95</v>
      </c>
      <c r="C2426" s="115">
        <v>3902.65</v>
      </c>
      <c r="D2426" s="115">
        <v>3791.8</v>
      </c>
      <c r="E2426" s="115">
        <v>3964.95</v>
      </c>
      <c r="F2426" s="115">
        <v>3902.65</v>
      </c>
      <c r="G2426">
        <v>6892</v>
      </c>
      <c r="H2426" s="115"/>
      <c r="I2426" s="115"/>
      <c r="L2426" s="169">
        <v>45579</v>
      </c>
      <c r="M2426" s="115">
        <v>4043.1</v>
      </c>
      <c r="N2426" s="115">
        <v>4080</v>
      </c>
      <c r="O2426" s="115">
        <v>3898.35</v>
      </c>
      <c r="P2426" s="115">
        <v>3900</v>
      </c>
      <c r="Q2426" s="115">
        <v>4043.1</v>
      </c>
      <c r="R2426">
        <v>130373</v>
      </c>
    </row>
    <row r="2427" spans="1:18" x14ac:dyDescent="0.25">
      <c r="A2427" s="169">
        <v>45579</v>
      </c>
      <c r="B2427" s="115">
        <v>4079.95</v>
      </c>
      <c r="C2427" s="115">
        <v>4037.5</v>
      </c>
      <c r="D2427" s="115">
        <v>3850.05</v>
      </c>
      <c r="E2427" s="115">
        <v>3850.05</v>
      </c>
      <c r="F2427" s="115">
        <v>4037.5</v>
      </c>
      <c r="G2427">
        <v>10461</v>
      </c>
      <c r="H2427" s="115"/>
      <c r="I2427" s="115"/>
      <c r="L2427" s="169">
        <v>45580</v>
      </c>
      <c r="M2427" s="115">
        <v>4005.65</v>
      </c>
      <c r="N2427" s="115">
        <v>4083.05</v>
      </c>
      <c r="O2427" s="115">
        <v>3967.45</v>
      </c>
      <c r="P2427" s="115">
        <v>4043.1</v>
      </c>
      <c r="Q2427" s="115">
        <v>4005.65</v>
      </c>
      <c r="R2427">
        <v>93546</v>
      </c>
    </row>
    <row r="2428" spans="1:18" x14ac:dyDescent="0.25">
      <c r="A2428" s="169">
        <v>45580</v>
      </c>
      <c r="B2428" s="115">
        <v>4079.95</v>
      </c>
      <c r="C2428" s="115">
        <v>4005.7</v>
      </c>
      <c r="D2428" s="115">
        <v>3969.6</v>
      </c>
      <c r="E2428" s="115">
        <v>4079.95</v>
      </c>
      <c r="F2428" s="115">
        <v>4005.7</v>
      </c>
      <c r="G2428">
        <v>1829</v>
      </c>
      <c r="H2428" s="115"/>
      <c r="I2428" s="115"/>
      <c r="L2428" s="169">
        <v>45581</v>
      </c>
      <c r="M2428" s="115">
        <v>4034.55</v>
      </c>
      <c r="N2428" s="115">
        <v>4049.9</v>
      </c>
      <c r="O2428" s="115">
        <v>3965.5</v>
      </c>
      <c r="P2428" s="115">
        <v>3998.95</v>
      </c>
      <c r="Q2428" s="115">
        <v>4034.55</v>
      </c>
      <c r="R2428">
        <v>82743</v>
      </c>
    </row>
    <row r="2429" spans="1:18" x14ac:dyDescent="0.25">
      <c r="A2429" s="169">
        <v>45581</v>
      </c>
      <c r="B2429" s="115">
        <v>4049.9</v>
      </c>
      <c r="C2429" s="115">
        <v>4028.6</v>
      </c>
      <c r="D2429" s="115">
        <v>3962.25</v>
      </c>
      <c r="E2429" s="115">
        <v>3990</v>
      </c>
      <c r="F2429" s="115">
        <v>4028.6</v>
      </c>
      <c r="G2429">
        <v>2313</v>
      </c>
      <c r="H2429" s="115"/>
      <c r="I2429" s="115"/>
      <c r="L2429" s="169">
        <v>45582</v>
      </c>
      <c r="M2429" s="115">
        <v>4010.45</v>
      </c>
      <c r="N2429" s="115">
        <v>4041</v>
      </c>
      <c r="O2429" s="115">
        <v>3950</v>
      </c>
      <c r="P2429" s="115">
        <v>4039.95</v>
      </c>
      <c r="Q2429" s="115">
        <v>4010.45</v>
      </c>
      <c r="R2429">
        <v>56558</v>
      </c>
    </row>
    <row r="2430" spans="1:18" x14ac:dyDescent="0.25">
      <c r="A2430" s="169">
        <v>45582</v>
      </c>
      <c r="B2430" s="115">
        <v>4027.4</v>
      </c>
      <c r="C2430" s="115">
        <v>4010.85</v>
      </c>
      <c r="D2430" s="115">
        <v>3949.85</v>
      </c>
      <c r="E2430" s="115">
        <v>3980.55</v>
      </c>
      <c r="F2430" s="115">
        <v>4010.85</v>
      </c>
      <c r="G2430">
        <v>942</v>
      </c>
      <c r="H2430" s="115"/>
      <c r="I2430" s="115"/>
      <c r="L2430" s="169">
        <v>45583</v>
      </c>
      <c r="M2430" s="115">
        <v>4004.05</v>
      </c>
      <c r="N2430" s="115">
        <v>4047.45</v>
      </c>
      <c r="O2430" s="115">
        <v>3930.05</v>
      </c>
      <c r="P2430" s="115">
        <v>3990.1</v>
      </c>
      <c r="Q2430" s="115">
        <v>4004.05</v>
      </c>
      <c r="R2430">
        <v>51353</v>
      </c>
    </row>
    <row r="2431" spans="1:18" x14ac:dyDescent="0.25">
      <c r="A2431" s="169">
        <v>45583</v>
      </c>
      <c r="B2431" s="115">
        <v>4040.55</v>
      </c>
      <c r="C2431" s="115">
        <v>3995.35</v>
      </c>
      <c r="D2431" s="115">
        <v>3930</v>
      </c>
      <c r="E2431" s="115">
        <v>3979.8</v>
      </c>
      <c r="F2431" s="115">
        <v>3995.35</v>
      </c>
      <c r="G2431">
        <v>3154</v>
      </c>
      <c r="H2431" s="115"/>
      <c r="I2431" s="115"/>
      <c r="L2431" s="169">
        <v>45586</v>
      </c>
      <c r="M2431" s="115">
        <v>3950.5</v>
      </c>
      <c r="N2431" s="115">
        <v>4052.25</v>
      </c>
      <c r="O2431" s="115">
        <v>3916</v>
      </c>
      <c r="P2431" s="115">
        <v>3994</v>
      </c>
      <c r="Q2431" s="115">
        <v>3950.5</v>
      </c>
      <c r="R2431">
        <v>47579</v>
      </c>
    </row>
    <row r="2432" spans="1:18" x14ac:dyDescent="0.25">
      <c r="A2432" s="169">
        <v>45586</v>
      </c>
      <c r="B2432" s="115">
        <v>4037.75</v>
      </c>
      <c r="C2432" s="115">
        <v>3941.8</v>
      </c>
      <c r="D2432" s="115">
        <v>3911.5</v>
      </c>
      <c r="E2432" s="115">
        <v>3995.35</v>
      </c>
      <c r="F2432" s="115">
        <v>3941.8</v>
      </c>
      <c r="G2432">
        <v>646</v>
      </c>
      <c r="H2432" s="115"/>
      <c r="I2432" s="115"/>
      <c r="L2432" s="169">
        <v>45587</v>
      </c>
      <c r="M2432" s="115">
        <v>3890.75</v>
      </c>
      <c r="N2432" s="115">
        <v>3968.7</v>
      </c>
      <c r="O2432" s="115">
        <v>3821.25</v>
      </c>
      <c r="P2432" s="115">
        <v>3930</v>
      </c>
      <c r="Q2432" s="115">
        <v>3890.75</v>
      </c>
      <c r="R2432">
        <v>85077</v>
      </c>
    </row>
    <row r="2433" spans="1:18" x14ac:dyDescent="0.25">
      <c r="A2433" s="169">
        <v>45587</v>
      </c>
      <c r="B2433" s="115">
        <v>3957.55</v>
      </c>
      <c r="C2433" s="115">
        <v>3897.8</v>
      </c>
      <c r="D2433" s="115">
        <v>3826.2</v>
      </c>
      <c r="E2433" s="115">
        <v>3941.8</v>
      </c>
      <c r="F2433" s="115">
        <v>3897.8</v>
      </c>
      <c r="G2433">
        <v>1062</v>
      </c>
      <c r="H2433" s="115"/>
      <c r="I2433" s="115"/>
      <c r="L2433" s="169">
        <v>45588</v>
      </c>
      <c r="M2433" s="115">
        <v>3877.1</v>
      </c>
      <c r="N2433" s="115">
        <v>3887.6</v>
      </c>
      <c r="O2433" s="115">
        <v>3747</v>
      </c>
      <c r="P2433" s="115">
        <v>3825.1</v>
      </c>
      <c r="Q2433" s="115">
        <v>3877.1</v>
      </c>
      <c r="R2433">
        <v>62013</v>
      </c>
    </row>
    <row r="2434" spans="1:18" x14ac:dyDescent="0.25">
      <c r="A2434" s="169">
        <v>45588</v>
      </c>
      <c r="B2434" s="115">
        <v>3885</v>
      </c>
      <c r="C2434" s="115">
        <v>3877.9</v>
      </c>
      <c r="D2434" s="115">
        <v>3750</v>
      </c>
      <c r="E2434" s="115">
        <v>3800</v>
      </c>
      <c r="F2434" s="115">
        <v>3877.9</v>
      </c>
      <c r="G2434">
        <v>2589</v>
      </c>
      <c r="H2434" s="115"/>
      <c r="I2434" s="115"/>
      <c r="L2434" s="169">
        <v>45589</v>
      </c>
      <c r="M2434" s="115">
        <v>3697</v>
      </c>
      <c r="N2434" s="115">
        <v>3855.7</v>
      </c>
      <c r="O2434" s="115">
        <v>3601</v>
      </c>
      <c r="P2434" s="115">
        <v>3810</v>
      </c>
      <c r="Q2434" s="115">
        <v>3697</v>
      </c>
      <c r="R2434">
        <v>229511</v>
      </c>
    </row>
    <row r="2435" spans="1:18" x14ac:dyDescent="0.25">
      <c r="A2435" s="169">
        <v>45589</v>
      </c>
      <c r="B2435" s="115">
        <v>3854.45</v>
      </c>
      <c r="C2435" s="115">
        <v>3703.4</v>
      </c>
      <c r="D2435" s="115">
        <v>3603.4</v>
      </c>
      <c r="E2435" s="115">
        <v>3800</v>
      </c>
      <c r="F2435" s="115">
        <v>3703.4</v>
      </c>
      <c r="G2435">
        <v>9662</v>
      </c>
      <c r="H2435" s="115"/>
      <c r="I2435" s="115"/>
      <c r="L2435" s="169">
        <v>45590</v>
      </c>
      <c r="M2435" s="115">
        <v>3604.3</v>
      </c>
      <c r="N2435" s="115">
        <v>3737.65</v>
      </c>
      <c r="O2435" s="115">
        <v>3531.75</v>
      </c>
      <c r="P2435" s="115">
        <v>3702</v>
      </c>
      <c r="Q2435" s="115">
        <v>3604.3</v>
      </c>
      <c r="R2435">
        <v>116568</v>
      </c>
    </row>
    <row r="2436" spans="1:18" x14ac:dyDescent="0.25">
      <c r="A2436" s="169">
        <v>45590</v>
      </c>
      <c r="B2436" s="115">
        <v>3739.95</v>
      </c>
      <c r="C2436" s="115">
        <v>3604.7</v>
      </c>
      <c r="D2436" s="115">
        <v>3535</v>
      </c>
      <c r="E2436" s="115">
        <v>3739.95</v>
      </c>
      <c r="F2436" s="115">
        <v>3604.7</v>
      </c>
      <c r="G2436">
        <v>4636</v>
      </c>
      <c r="H2436" s="115"/>
      <c r="I2436" s="115"/>
      <c r="L2436" s="169">
        <v>45593</v>
      </c>
      <c r="M2436" s="115">
        <v>3444.25</v>
      </c>
      <c r="N2436" s="115">
        <v>3625</v>
      </c>
      <c r="O2436" s="115">
        <v>3430.6</v>
      </c>
      <c r="P2436" s="115">
        <v>3588.1</v>
      </c>
      <c r="Q2436" s="115">
        <v>3444.25</v>
      </c>
      <c r="R2436">
        <v>188207</v>
      </c>
    </row>
    <row r="2437" spans="1:18" x14ac:dyDescent="0.25">
      <c r="A2437" s="169">
        <v>45593</v>
      </c>
      <c r="B2437" s="115">
        <v>3615.95</v>
      </c>
      <c r="C2437" s="115">
        <v>3446.65</v>
      </c>
      <c r="D2437" s="115">
        <v>3435.4</v>
      </c>
      <c r="E2437" s="115">
        <v>3605</v>
      </c>
      <c r="F2437" s="115">
        <v>3446.65</v>
      </c>
      <c r="G2437">
        <v>6349</v>
      </c>
      <c r="H2437" s="115"/>
      <c r="I2437" s="115"/>
      <c r="L2437" s="169">
        <v>45594</v>
      </c>
      <c r="M2437" s="115">
        <v>3452.05</v>
      </c>
      <c r="N2437" s="115">
        <v>3518</v>
      </c>
      <c r="O2437" s="115">
        <v>3434.35</v>
      </c>
      <c r="P2437" s="115">
        <v>3479.95</v>
      </c>
      <c r="Q2437" s="115">
        <v>3452.05</v>
      </c>
      <c r="R2437">
        <v>69135</v>
      </c>
    </row>
    <row r="2438" spans="1:18" x14ac:dyDescent="0.25">
      <c r="A2438" s="169">
        <v>45594</v>
      </c>
      <c r="B2438" s="115">
        <v>3517.95</v>
      </c>
      <c r="C2438" s="115">
        <v>3451.55</v>
      </c>
      <c r="D2438" s="115">
        <v>3436</v>
      </c>
      <c r="E2438" s="115">
        <v>3449.05</v>
      </c>
      <c r="F2438" s="115">
        <v>3451.55</v>
      </c>
      <c r="G2438">
        <v>4521</v>
      </c>
      <c r="H2438" s="115"/>
      <c r="I2438" s="115"/>
      <c r="L2438" s="169">
        <v>45595</v>
      </c>
      <c r="M2438" s="115">
        <v>3469.9</v>
      </c>
      <c r="N2438" s="115">
        <v>3532.6</v>
      </c>
      <c r="O2438" s="115">
        <v>3445.55</v>
      </c>
      <c r="P2438" s="115">
        <v>3462.15</v>
      </c>
      <c r="Q2438" s="115">
        <v>3469.9</v>
      </c>
      <c r="R2438">
        <v>52146</v>
      </c>
    </row>
    <row r="2439" spans="1:18" x14ac:dyDescent="0.25">
      <c r="A2439" s="169">
        <v>45595</v>
      </c>
      <c r="B2439" s="115">
        <v>3522.45</v>
      </c>
      <c r="C2439" s="115">
        <v>3472.45</v>
      </c>
      <c r="D2439" s="115">
        <v>3444.9</v>
      </c>
      <c r="E2439" s="115">
        <v>3484.7</v>
      </c>
      <c r="F2439" s="115">
        <v>3472.45</v>
      </c>
      <c r="G2439">
        <v>1734</v>
      </c>
      <c r="H2439" s="115"/>
      <c r="I2439" s="115"/>
      <c r="L2439" s="169">
        <v>45596</v>
      </c>
      <c r="M2439" s="115">
        <v>3435.9</v>
      </c>
      <c r="N2439" s="115">
        <v>3476.7</v>
      </c>
      <c r="O2439" s="115">
        <v>3405.9</v>
      </c>
      <c r="P2439" s="115">
        <v>3471.25</v>
      </c>
      <c r="Q2439" s="115">
        <v>3435.9</v>
      </c>
      <c r="R2439">
        <v>76649</v>
      </c>
    </row>
    <row r="2440" spans="1:18" x14ac:dyDescent="0.25">
      <c r="A2440" s="169">
        <v>45596</v>
      </c>
      <c r="B2440" s="115">
        <v>3521.95</v>
      </c>
      <c r="C2440" s="115">
        <v>3444.95</v>
      </c>
      <c r="D2440" s="115">
        <v>3406.35</v>
      </c>
      <c r="E2440" s="115">
        <v>3521.95</v>
      </c>
      <c r="F2440" s="115">
        <v>3444.95</v>
      </c>
      <c r="G2440">
        <v>2859</v>
      </c>
      <c r="H2440" s="115"/>
      <c r="I2440" s="115"/>
      <c r="L2440" s="169">
        <v>45597</v>
      </c>
      <c r="M2440" s="115">
        <v>3490.2</v>
      </c>
      <c r="N2440" s="115">
        <v>3503.35</v>
      </c>
      <c r="O2440" s="115">
        <v>3444.05</v>
      </c>
      <c r="P2440" s="115">
        <v>3465.8</v>
      </c>
      <c r="Q2440" s="115">
        <v>3490.2</v>
      </c>
      <c r="R2440">
        <v>5567</v>
      </c>
    </row>
    <row r="2441" spans="1:18" x14ac:dyDescent="0.25">
      <c r="A2441" s="169">
        <v>45597</v>
      </c>
      <c r="B2441" s="115">
        <v>3501.55</v>
      </c>
      <c r="C2441" s="115">
        <v>3490.45</v>
      </c>
      <c r="D2441" s="115">
        <v>3440.5</v>
      </c>
      <c r="E2441" s="115">
        <v>3440.5</v>
      </c>
      <c r="F2441" s="115">
        <v>3490.45</v>
      </c>
      <c r="G2441">
        <v>979</v>
      </c>
      <c r="H2441" s="115"/>
      <c r="I2441" s="115"/>
      <c r="L2441" s="169">
        <v>45600</v>
      </c>
      <c r="M2441" s="115">
        <v>3461.5</v>
      </c>
      <c r="N2441" s="115">
        <v>3501</v>
      </c>
      <c r="O2441" s="115">
        <v>3438.9</v>
      </c>
      <c r="P2441" s="115">
        <v>3499</v>
      </c>
      <c r="Q2441" s="115">
        <v>3461.5</v>
      </c>
      <c r="R2441">
        <v>107963</v>
      </c>
    </row>
    <row r="2442" spans="1:18" x14ac:dyDescent="0.25">
      <c r="A2442" s="169">
        <v>45600</v>
      </c>
      <c r="B2442" s="115">
        <v>3489.7</v>
      </c>
      <c r="C2442" s="115">
        <v>3462.45</v>
      </c>
      <c r="D2442" s="115">
        <v>3440</v>
      </c>
      <c r="E2442" s="115">
        <v>3440.05</v>
      </c>
      <c r="F2442" s="115">
        <v>3462.45</v>
      </c>
      <c r="G2442">
        <v>4790</v>
      </c>
      <c r="H2442" s="115"/>
      <c r="I2442" s="115"/>
      <c r="L2442" s="169">
        <v>45601</v>
      </c>
      <c r="M2442" s="115">
        <v>3442.95</v>
      </c>
      <c r="N2442" s="115">
        <v>3488.1</v>
      </c>
      <c r="O2442" s="115">
        <v>3385</v>
      </c>
      <c r="P2442" s="115">
        <v>3459.95</v>
      </c>
      <c r="Q2442" s="115">
        <v>3442.95</v>
      </c>
      <c r="R2442">
        <v>173631</v>
      </c>
    </row>
    <row r="2443" spans="1:18" x14ac:dyDescent="0.25">
      <c r="A2443" s="169">
        <v>45601</v>
      </c>
      <c r="B2443" s="115">
        <v>3477.45</v>
      </c>
      <c r="C2443" s="115">
        <v>3447.45</v>
      </c>
      <c r="D2443" s="115">
        <v>3385.35</v>
      </c>
      <c r="E2443" s="115">
        <v>3413.15</v>
      </c>
      <c r="F2443" s="115">
        <v>3447.45</v>
      </c>
      <c r="G2443">
        <v>3762</v>
      </c>
      <c r="H2443" s="115"/>
      <c r="I2443" s="115"/>
      <c r="L2443" s="169">
        <v>45602</v>
      </c>
      <c r="M2443" s="115">
        <v>3535.35</v>
      </c>
      <c r="N2443" s="115">
        <v>3559.95</v>
      </c>
      <c r="O2443" s="115">
        <v>3426.55</v>
      </c>
      <c r="P2443" s="115">
        <v>3460.2</v>
      </c>
      <c r="Q2443" s="115">
        <v>3535.35</v>
      </c>
      <c r="R2443">
        <v>59115</v>
      </c>
    </row>
    <row r="2444" spans="1:18" x14ac:dyDescent="0.25">
      <c r="A2444" s="169">
        <v>45602</v>
      </c>
      <c r="B2444" s="115">
        <v>3560.3</v>
      </c>
      <c r="C2444" s="115">
        <v>3533.95</v>
      </c>
      <c r="D2444" s="115">
        <v>3430.05</v>
      </c>
      <c r="E2444" s="115">
        <v>3468.95</v>
      </c>
      <c r="F2444" s="115">
        <v>3533.95</v>
      </c>
      <c r="G2444">
        <v>2785</v>
      </c>
      <c r="H2444" s="115"/>
      <c r="I2444" s="115"/>
      <c r="L2444" s="169">
        <v>45603</v>
      </c>
      <c r="M2444" s="115">
        <v>3504.65</v>
      </c>
      <c r="N2444" s="115">
        <v>3570</v>
      </c>
      <c r="O2444" s="115">
        <v>3500.05</v>
      </c>
      <c r="P2444" s="115">
        <v>3539</v>
      </c>
      <c r="Q2444" s="115">
        <v>3504.65</v>
      </c>
      <c r="R2444">
        <v>25044</v>
      </c>
    </row>
    <row r="2445" spans="1:18" x14ac:dyDescent="0.25">
      <c r="A2445" s="169">
        <v>45603</v>
      </c>
      <c r="B2445" s="115">
        <v>3569.1</v>
      </c>
      <c r="C2445" s="115">
        <v>3505.55</v>
      </c>
      <c r="D2445" s="115">
        <v>3500</v>
      </c>
      <c r="E2445" s="115">
        <v>3538.7</v>
      </c>
      <c r="F2445" s="115">
        <v>3505.55</v>
      </c>
      <c r="G2445">
        <v>963</v>
      </c>
      <c r="H2445" s="115"/>
      <c r="I2445" s="115"/>
      <c r="L2445" s="169">
        <v>45604</v>
      </c>
      <c r="M2445" s="115">
        <v>3483.35</v>
      </c>
      <c r="N2445" s="115">
        <v>3517.6</v>
      </c>
      <c r="O2445" s="115">
        <v>3420.05</v>
      </c>
      <c r="P2445" s="115">
        <v>3506.45</v>
      </c>
      <c r="Q2445" s="115">
        <v>3483.35</v>
      </c>
      <c r="R2445">
        <v>46504</v>
      </c>
    </row>
    <row r="2446" spans="1:18" x14ac:dyDescent="0.25">
      <c r="A2446" s="169">
        <v>45604</v>
      </c>
      <c r="B2446" s="115">
        <v>3516.75</v>
      </c>
      <c r="C2446" s="115">
        <v>3482.15</v>
      </c>
      <c r="D2446" s="115">
        <v>3422.1</v>
      </c>
      <c r="E2446" s="115">
        <v>3512</v>
      </c>
      <c r="F2446" s="115">
        <v>3482.15</v>
      </c>
      <c r="G2446">
        <v>2801</v>
      </c>
      <c r="H2446" s="115"/>
      <c r="I2446" s="115"/>
      <c r="L2446" s="169">
        <v>45607</v>
      </c>
      <c r="M2446" s="115">
        <v>3513.8</v>
      </c>
      <c r="N2446" s="115">
        <v>3598.9</v>
      </c>
      <c r="O2446" s="115">
        <v>3454.05</v>
      </c>
      <c r="P2446" s="115">
        <v>3483.9</v>
      </c>
      <c r="Q2446" s="115">
        <v>3513.8</v>
      </c>
      <c r="R2446">
        <v>76578</v>
      </c>
    </row>
    <row r="2447" spans="1:18" x14ac:dyDescent="0.25">
      <c r="A2447" s="169">
        <v>45607</v>
      </c>
      <c r="B2447" s="115">
        <v>3596.75</v>
      </c>
      <c r="C2447" s="115">
        <v>3508.8</v>
      </c>
      <c r="D2447" s="115">
        <v>3460.7</v>
      </c>
      <c r="E2447" s="115">
        <v>3482</v>
      </c>
      <c r="F2447" s="115">
        <v>3508.8</v>
      </c>
      <c r="G2447">
        <v>2314</v>
      </c>
      <c r="H2447" s="115"/>
      <c r="I2447" s="115"/>
      <c r="L2447" s="169">
        <v>45608</v>
      </c>
      <c r="M2447" s="115">
        <v>3556.7</v>
      </c>
      <c r="N2447" s="115">
        <v>3604.7</v>
      </c>
      <c r="O2447" s="115">
        <v>3475</v>
      </c>
      <c r="P2447" s="115">
        <v>3500</v>
      </c>
      <c r="Q2447" s="115">
        <v>3556.7</v>
      </c>
      <c r="R2447">
        <v>60457</v>
      </c>
    </row>
    <row r="2448" spans="1:18" x14ac:dyDescent="0.25">
      <c r="A2448" s="169">
        <v>45608</v>
      </c>
      <c r="B2448" s="115">
        <v>3601</v>
      </c>
      <c r="C2448" s="115">
        <v>3564.6</v>
      </c>
      <c r="D2448" s="115">
        <v>3491</v>
      </c>
      <c r="E2448" s="115">
        <v>3499.05</v>
      </c>
      <c r="F2448" s="115">
        <v>3564.6</v>
      </c>
      <c r="G2448">
        <v>1531</v>
      </c>
      <c r="H2448" s="115"/>
      <c r="I2448" s="115"/>
      <c r="L2448" s="169">
        <v>45609</v>
      </c>
      <c r="M2448" s="115">
        <v>3397.4</v>
      </c>
      <c r="N2448" s="115">
        <v>3535.6</v>
      </c>
      <c r="O2448" s="115">
        <v>3378.05</v>
      </c>
      <c r="P2448" s="115">
        <v>3530</v>
      </c>
      <c r="Q2448" s="115">
        <v>3397.4</v>
      </c>
      <c r="R2448">
        <v>64281</v>
      </c>
    </row>
    <row r="2449" spans="1:18" x14ac:dyDescent="0.25">
      <c r="A2449" s="169">
        <v>45609</v>
      </c>
      <c r="B2449" s="115">
        <v>3528.4</v>
      </c>
      <c r="C2449" s="115">
        <v>3397.25</v>
      </c>
      <c r="D2449" s="115">
        <v>3382.55</v>
      </c>
      <c r="E2449" s="115">
        <v>3499.3</v>
      </c>
      <c r="F2449" s="115">
        <v>3397.25</v>
      </c>
      <c r="G2449">
        <v>3739</v>
      </c>
      <c r="H2449" s="115"/>
      <c r="I2449" s="115"/>
      <c r="L2449" s="169">
        <v>45610</v>
      </c>
      <c r="M2449" s="115">
        <v>3424</v>
      </c>
      <c r="N2449" s="115">
        <v>3451.65</v>
      </c>
      <c r="O2449" s="115">
        <v>3380.05</v>
      </c>
      <c r="P2449" s="115">
        <v>3383.8</v>
      </c>
      <c r="Q2449" s="115">
        <v>3424</v>
      </c>
      <c r="R2449">
        <v>83047</v>
      </c>
    </row>
    <row r="2450" spans="1:18" x14ac:dyDescent="0.25">
      <c r="A2450" s="169">
        <v>45610</v>
      </c>
      <c r="B2450" s="115">
        <v>3450</v>
      </c>
      <c r="C2450" s="115">
        <v>3419.1</v>
      </c>
      <c r="D2450" s="115">
        <v>3384.95</v>
      </c>
      <c r="E2450" s="115">
        <v>3390</v>
      </c>
      <c r="F2450" s="115">
        <v>3419.1</v>
      </c>
      <c r="G2450">
        <v>1736</v>
      </c>
      <c r="H2450" s="115"/>
      <c r="I2450" s="115"/>
      <c r="L2450" s="169">
        <v>45614</v>
      </c>
      <c r="M2450" s="115">
        <v>3415.75</v>
      </c>
      <c r="N2450" s="115">
        <v>3448.65</v>
      </c>
      <c r="O2450" s="115">
        <v>3325</v>
      </c>
      <c r="P2450" s="115">
        <v>3425</v>
      </c>
      <c r="Q2450" s="115">
        <v>3415.75</v>
      </c>
      <c r="R2450">
        <v>74849</v>
      </c>
    </row>
    <row r="2451" spans="1:18" x14ac:dyDescent="0.25">
      <c r="A2451" s="169">
        <v>45614</v>
      </c>
      <c r="B2451" s="115">
        <v>3499.9</v>
      </c>
      <c r="C2451" s="115">
        <v>3419.15</v>
      </c>
      <c r="D2451" s="115">
        <v>3286.65</v>
      </c>
      <c r="E2451" s="115">
        <v>3499.9</v>
      </c>
      <c r="F2451" s="115">
        <v>3419.15</v>
      </c>
      <c r="G2451">
        <v>11645</v>
      </c>
      <c r="H2451" s="115"/>
      <c r="I2451" s="115"/>
      <c r="L2451" s="169">
        <v>45615</v>
      </c>
      <c r="M2451" s="115">
        <v>3415.1</v>
      </c>
      <c r="N2451" s="115">
        <v>3478</v>
      </c>
      <c r="O2451" s="115">
        <v>3381.7</v>
      </c>
      <c r="P2451" s="115">
        <v>3418.95</v>
      </c>
      <c r="Q2451" s="115">
        <v>3415.1</v>
      </c>
      <c r="R2451">
        <v>50141</v>
      </c>
    </row>
    <row r="2452" spans="1:18" x14ac:dyDescent="0.25">
      <c r="A2452" s="169">
        <v>45615</v>
      </c>
      <c r="B2452" s="115">
        <v>3473.6</v>
      </c>
      <c r="C2452" s="115">
        <v>3408.7</v>
      </c>
      <c r="D2452" s="115">
        <v>3382.8</v>
      </c>
      <c r="E2452" s="115">
        <v>3419.15</v>
      </c>
      <c r="F2452" s="115">
        <v>3408.7</v>
      </c>
      <c r="G2452">
        <v>1922</v>
      </c>
      <c r="H2452" s="115"/>
      <c r="I2452" s="115"/>
      <c r="L2452" s="169">
        <v>45617</v>
      </c>
      <c r="M2452" s="115">
        <v>3381.6</v>
      </c>
      <c r="N2452" s="115">
        <v>3423.05</v>
      </c>
      <c r="O2452" s="115">
        <v>3330.05</v>
      </c>
      <c r="P2452" s="115">
        <v>3395</v>
      </c>
      <c r="Q2452" s="115">
        <v>3381.6</v>
      </c>
      <c r="R2452">
        <v>149868</v>
      </c>
    </row>
    <row r="2453" spans="1:18" x14ac:dyDescent="0.25">
      <c r="A2453" s="169">
        <v>45617</v>
      </c>
      <c r="B2453" s="115">
        <v>3409.95</v>
      </c>
      <c r="C2453" s="115">
        <v>3375.3</v>
      </c>
      <c r="D2453" s="115">
        <v>3335.05</v>
      </c>
      <c r="E2453" s="115">
        <v>3387</v>
      </c>
      <c r="F2453" s="115">
        <v>3375.3</v>
      </c>
      <c r="G2453">
        <v>994</v>
      </c>
      <c r="H2453" s="115"/>
      <c r="I2453" s="115"/>
      <c r="L2453" s="169">
        <v>45618</v>
      </c>
      <c r="M2453" s="115">
        <v>3399.9</v>
      </c>
      <c r="N2453" s="115">
        <v>3410</v>
      </c>
      <c r="O2453" s="115">
        <v>3380.2</v>
      </c>
      <c r="P2453" s="115">
        <v>3405</v>
      </c>
      <c r="Q2453" s="115">
        <v>3399.9</v>
      </c>
      <c r="R2453">
        <v>33073</v>
      </c>
    </row>
    <row r="2454" spans="1:18" x14ac:dyDescent="0.25">
      <c r="A2454" s="169">
        <v>45618</v>
      </c>
      <c r="B2454" s="115">
        <v>3502.95</v>
      </c>
      <c r="C2454" s="115">
        <v>3401.95</v>
      </c>
      <c r="D2454" s="115">
        <v>3382</v>
      </c>
      <c r="E2454" s="115">
        <v>3407.85</v>
      </c>
      <c r="F2454" s="115">
        <v>3401.95</v>
      </c>
      <c r="G2454">
        <v>623</v>
      </c>
      <c r="H2454" s="115"/>
      <c r="I2454" s="115"/>
      <c r="L2454" s="169">
        <v>45621</v>
      </c>
      <c r="M2454" s="115">
        <v>3399.15</v>
      </c>
      <c r="N2454" s="115">
        <v>3457.6</v>
      </c>
      <c r="O2454" s="115">
        <v>3384.25</v>
      </c>
      <c r="P2454" s="115">
        <v>3427</v>
      </c>
      <c r="Q2454" s="115">
        <v>3399.15</v>
      </c>
      <c r="R2454">
        <v>267173</v>
      </c>
    </row>
    <row r="2455" spans="1:18" x14ac:dyDescent="0.25">
      <c r="A2455" s="169">
        <v>45621</v>
      </c>
      <c r="B2455" s="115">
        <v>3453.6</v>
      </c>
      <c r="C2455" s="115">
        <v>3396.6</v>
      </c>
      <c r="D2455" s="115">
        <v>3385.95</v>
      </c>
      <c r="E2455" s="115">
        <v>3448.8</v>
      </c>
      <c r="F2455" s="115">
        <v>3396.6</v>
      </c>
      <c r="G2455">
        <v>1933</v>
      </c>
      <c r="H2455" s="115"/>
      <c r="I2455" s="115"/>
      <c r="L2455" s="169">
        <v>45622</v>
      </c>
      <c r="M2455" s="115">
        <v>3409.95</v>
      </c>
      <c r="N2455" s="115">
        <v>3490.4</v>
      </c>
      <c r="O2455" s="115">
        <v>3364.3</v>
      </c>
      <c r="P2455" s="115">
        <v>3433.5</v>
      </c>
      <c r="Q2455" s="115">
        <v>3409.95</v>
      </c>
      <c r="R2455">
        <v>42299</v>
      </c>
    </row>
    <row r="2456" spans="1:18" x14ac:dyDescent="0.25">
      <c r="A2456" s="169">
        <v>45622</v>
      </c>
      <c r="B2456" s="115">
        <v>3490.55</v>
      </c>
      <c r="C2456" s="115">
        <v>3412.5</v>
      </c>
      <c r="D2456" s="115">
        <v>3369.8</v>
      </c>
      <c r="E2456" s="115">
        <v>3410.2</v>
      </c>
      <c r="F2456" s="115">
        <v>3412.5</v>
      </c>
      <c r="G2456">
        <v>996</v>
      </c>
      <c r="H2456" s="115"/>
      <c r="I2456" s="115"/>
      <c r="L2456" s="169">
        <v>45623</v>
      </c>
      <c r="M2456" s="115">
        <v>3494.55</v>
      </c>
      <c r="N2456" s="115">
        <v>3569.8</v>
      </c>
      <c r="O2456" s="115">
        <v>3403.95</v>
      </c>
      <c r="P2456" s="115">
        <v>3421.65</v>
      </c>
      <c r="Q2456" s="115">
        <v>3494.55</v>
      </c>
      <c r="R2456">
        <v>90008</v>
      </c>
    </row>
    <row r="2457" spans="1:18" x14ac:dyDescent="0.25">
      <c r="A2457" s="169">
        <v>45623</v>
      </c>
      <c r="B2457" s="115">
        <v>3566.95</v>
      </c>
      <c r="C2457" s="115">
        <v>3493.65</v>
      </c>
      <c r="D2457" s="115">
        <v>3370</v>
      </c>
      <c r="E2457" s="115">
        <v>3466.4</v>
      </c>
      <c r="F2457" s="115">
        <v>3493.65</v>
      </c>
      <c r="G2457">
        <v>2199</v>
      </c>
      <c r="H2457" s="115"/>
      <c r="I2457" s="115"/>
      <c r="L2457" s="169">
        <v>45624</v>
      </c>
      <c r="M2457" s="115">
        <v>3552.3</v>
      </c>
      <c r="N2457" s="115">
        <v>3592</v>
      </c>
      <c r="O2457" s="115">
        <v>3485.55</v>
      </c>
      <c r="P2457" s="115">
        <v>3500</v>
      </c>
      <c r="Q2457" s="115">
        <v>3552.3</v>
      </c>
      <c r="R2457">
        <v>81326</v>
      </c>
    </row>
    <row r="2458" spans="1:18" x14ac:dyDescent="0.25">
      <c r="A2458" s="169">
        <v>45624</v>
      </c>
      <c r="B2458" s="115">
        <v>3593.6</v>
      </c>
      <c r="C2458" s="115">
        <v>3546.9</v>
      </c>
      <c r="D2458" s="115">
        <v>3490.1</v>
      </c>
      <c r="E2458" s="115">
        <v>3550</v>
      </c>
      <c r="F2458" s="115">
        <v>3546.9</v>
      </c>
      <c r="G2458">
        <v>1231</v>
      </c>
      <c r="H2458" s="115"/>
      <c r="I2458" s="115"/>
      <c r="L2458" s="169">
        <v>45625</v>
      </c>
      <c r="M2458" s="115">
        <v>3584.2</v>
      </c>
      <c r="N2458" s="115">
        <v>3615.85</v>
      </c>
      <c r="O2458" s="115">
        <v>3516.05</v>
      </c>
      <c r="P2458" s="115">
        <v>3552.3</v>
      </c>
      <c r="Q2458" s="115">
        <v>3584.2</v>
      </c>
      <c r="R2458">
        <v>54617</v>
      </c>
    </row>
    <row r="2459" spans="1:18" x14ac:dyDescent="0.25">
      <c r="A2459" s="169">
        <v>45625</v>
      </c>
      <c r="B2459" s="115">
        <v>3613.8</v>
      </c>
      <c r="C2459" s="115">
        <v>3591.85</v>
      </c>
      <c r="D2459" s="115">
        <v>3510</v>
      </c>
      <c r="E2459" s="115">
        <v>3591.1</v>
      </c>
      <c r="F2459" s="115">
        <v>3591.85</v>
      </c>
      <c r="G2459">
        <v>638</v>
      </c>
      <c r="H2459" s="115"/>
      <c r="I2459" s="115"/>
      <c r="L2459" s="169">
        <v>45628</v>
      </c>
      <c r="M2459" s="115">
        <v>3649.45</v>
      </c>
      <c r="N2459" s="115">
        <v>3659.3</v>
      </c>
      <c r="O2459" s="115">
        <v>3540</v>
      </c>
      <c r="P2459" s="115">
        <v>3576.55</v>
      </c>
      <c r="Q2459" s="115">
        <v>3649.45</v>
      </c>
      <c r="R2459">
        <v>37267</v>
      </c>
    </row>
    <row r="2460" spans="1:18" x14ac:dyDescent="0.25">
      <c r="A2460" s="169">
        <v>45628</v>
      </c>
      <c r="B2460" s="115">
        <v>3656.5</v>
      </c>
      <c r="C2460" s="115">
        <v>3652.9</v>
      </c>
      <c r="D2460" s="115">
        <v>3538.45</v>
      </c>
      <c r="E2460" s="115">
        <v>3578.3</v>
      </c>
      <c r="F2460" s="115">
        <v>3652.9</v>
      </c>
      <c r="G2460">
        <v>2627</v>
      </c>
      <c r="H2460" s="115"/>
      <c r="I2460" s="115"/>
      <c r="L2460" s="169">
        <v>45629</v>
      </c>
      <c r="M2460" s="115">
        <v>3614.05</v>
      </c>
      <c r="N2460" s="115">
        <v>3690</v>
      </c>
      <c r="O2460" s="115">
        <v>3608.1</v>
      </c>
      <c r="P2460" s="115">
        <v>3648</v>
      </c>
      <c r="Q2460" s="115">
        <v>3614.05</v>
      </c>
      <c r="R2460">
        <v>18342</v>
      </c>
    </row>
    <row r="2461" spans="1:18" x14ac:dyDescent="0.25">
      <c r="A2461" s="169">
        <v>45629</v>
      </c>
      <c r="B2461" s="115">
        <v>3685</v>
      </c>
      <c r="C2461" s="115">
        <v>3614.9</v>
      </c>
      <c r="D2461" s="115">
        <v>3607.55</v>
      </c>
      <c r="E2461" s="115">
        <v>3650</v>
      </c>
      <c r="F2461" s="115">
        <v>3614.9</v>
      </c>
      <c r="G2461">
        <v>1555</v>
      </c>
      <c r="H2461" s="115"/>
      <c r="I2461" s="115"/>
      <c r="L2461" s="169">
        <v>45630</v>
      </c>
      <c r="M2461" s="115">
        <v>3603.85</v>
      </c>
      <c r="N2461" s="115">
        <v>3636.15</v>
      </c>
      <c r="O2461" s="115">
        <v>3585</v>
      </c>
      <c r="P2461" s="115">
        <v>3614.15</v>
      </c>
      <c r="Q2461" s="115">
        <v>3603.85</v>
      </c>
      <c r="R2461">
        <v>16975</v>
      </c>
    </row>
    <row r="2462" spans="1:18" x14ac:dyDescent="0.25">
      <c r="A2462" s="169">
        <v>45630</v>
      </c>
      <c r="B2462" s="115">
        <v>3678.9</v>
      </c>
      <c r="C2462" s="115">
        <v>3602.55</v>
      </c>
      <c r="D2462" s="115">
        <v>3584.35</v>
      </c>
      <c r="E2462" s="115">
        <v>3678.9</v>
      </c>
      <c r="F2462" s="115">
        <v>3602.55</v>
      </c>
      <c r="G2462">
        <v>1330</v>
      </c>
      <c r="H2462" s="115"/>
      <c r="I2462" s="115"/>
      <c r="L2462" s="169">
        <v>45631</v>
      </c>
      <c r="M2462" s="115">
        <v>3616.4</v>
      </c>
      <c r="N2462" s="115">
        <v>3648.7</v>
      </c>
      <c r="O2462" s="115">
        <v>3570.05</v>
      </c>
      <c r="P2462" s="115">
        <v>3624</v>
      </c>
      <c r="Q2462" s="115">
        <v>3616.4</v>
      </c>
      <c r="R2462">
        <v>37911</v>
      </c>
    </row>
    <row r="2463" spans="1:18" x14ac:dyDescent="0.25">
      <c r="A2463" s="169">
        <v>45631</v>
      </c>
      <c r="B2463" s="115">
        <v>3641.65</v>
      </c>
      <c r="C2463" s="115">
        <v>3614.85</v>
      </c>
      <c r="D2463" s="115">
        <v>3570.05</v>
      </c>
      <c r="E2463" s="115">
        <v>3635</v>
      </c>
      <c r="F2463" s="115">
        <v>3614.85</v>
      </c>
      <c r="G2463">
        <v>1595</v>
      </c>
      <c r="H2463" s="115"/>
      <c r="I2463" s="115"/>
      <c r="L2463" s="169">
        <v>45632</v>
      </c>
      <c r="M2463" s="115">
        <v>3607.25</v>
      </c>
      <c r="N2463" s="115">
        <v>3642.95</v>
      </c>
      <c r="O2463" s="115">
        <v>3572.05</v>
      </c>
      <c r="P2463" s="115">
        <v>3591.05</v>
      </c>
      <c r="Q2463" s="115">
        <v>3607.25</v>
      </c>
      <c r="R2463">
        <v>59520</v>
      </c>
    </row>
    <row r="2464" spans="1:18" x14ac:dyDescent="0.25">
      <c r="A2464" s="169">
        <v>45632</v>
      </c>
      <c r="B2464" s="115">
        <v>3669.85</v>
      </c>
      <c r="C2464" s="115">
        <v>3596.35</v>
      </c>
      <c r="D2464" s="115">
        <v>3576.15</v>
      </c>
      <c r="E2464" s="115">
        <v>3669.8</v>
      </c>
      <c r="F2464" s="115">
        <v>3596.35</v>
      </c>
      <c r="G2464">
        <v>1379</v>
      </c>
      <c r="H2464" s="115"/>
      <c r="I2464" s="115"/>
      <c r="L2464" s="169">
        <v>45635</v>
      </c>
      <c r="M2464" s="115">
        <v>3646.6</v>
      </c>
      <c r="N2464" s="115">
        <v>3659.95</v>
      </c>
      <c r="O2464" s="115">
        <v>3579.8</v>
      </c>
      <c r="P2464" s="115">
        <v>3621</v>
      </c>
      <c r="Q2464" s="115">
        <v>3646.6</v>
      </c>
      <c r="R2464">
        <v>65965</v>
      </c>
    </row>
    <row r="2465" spans="1:18" x14ac:dyDescent="0.25">
      <c r="A2465" s="169">
        <v>45635</v>
      </c>
      <c r="B2465" s="115">
        <v>3678</v>
      </c>
      <c r="C2465" s="115">
        <v>3647.55</v>
      </c>
      <c r="D2465" s="115">
        <v>3586.65</v>
      </c>
      <c r="E2465" s="115">
        <v>3678</v>
      </c>
      <c r="F2465" s="115">
        <v>3647.55</v>
      </c>
      <c r="G2465">
        <v>741</v>
      </c>
      <c r="H2465" s="115"/>
      <c r="I2465" s="115"/>
      <c r="L2465" s="169">
        <v>45636</v>
      </c>
      <c r="M2465" s="115">
        <v>3636.4</v>
      </c>
      <c r="N2465" s="115">
        <v>3780</v>
      </c>
      <c r="O2465" s="115">
        <v>3592.95</v>
      </c>
      <c r="P2465" s="115">
        <v>3650</v>
      </c>
      <c r="Q2465" s="115">
        <v>3636.4</v>
      </c>
      <c r="R2465">
        <v>150266</v>
      </c>
    </row>
    <row r="2466" spans="1:18" x14ac:dyDescent="0.25">
      <c r="A2466" s="169">
        <v>45636</v>
      </c>
      <c r="B2466" s="115">
        <v>3781.95</v>
      </c>
      <c r="C2466" s="115">
        <v>3631.2</v>
      </c>
      <c r="D2466" s="115">
        <v>3592.15</v>
      </c>
      <c r="E2466" s="115">
        <v>3651</v>
      </c>
      <c r="F2466" s="115">
        <v>3631.2</v>
      </c>
      <c r="G2466">
        <v>3391</v>
      </c>
      <c r="H2466" s="115"/>
      <c r="I2466" s="115"/>
      <c r="L2466" s="169">
        <v>45637</v>
      </c>
      <c r="M2466" s="115">
        <v>3662.3</v>
      </c>
      <c r="N2466" s="115">
        <v>3685.65</v>
      </c>
      <c r="O2466" s="115">
        <v>3611</v>
      </c>
      <c r="P2466" s="115">
        <v>3636</v>
      </c>
      <c r="Q2466" s="115">
        <v>3662.3</v>
      </c>
      <c r="R2466">
        <v>41472</v>
      </c>
    </row>
    <row r="2467" spans="1:18" x14ac:dyDescent="0.25">
      <c r="A2467" s="169">
        <v>45637</v>
      </c>
      <c r="B2467" s="115">
        <v>3673.45</v>
      </c>
      <c r="C2467" s="115">
        <v>3658.25</v>
      </c>
      <c r="D2467" s="115">
        <v>3616.55</v>
      </c>
      <c r="E2467" s="115">
        <v>3631.2</v>
      </c>
      <c r="F2467" s="115">
        <v>3658.25</v>
      </c>
      <c r="G2467">
        <v>685</v>
      </c>
      <c r="H2467" s="115"/>
      <c r="I2467" s="115"/>
      <c r="L2467" s="169">
        <v>45638</v>
      </c>
      <c r="M2467" s="115">
        <v>3649.65</v>
      </c>
      <c r="N2467" s="115">
        <v>3689.9</v>
      </c>
      <c r="O2467" s="115">
        <v>3571.25</v>
      </c>
      <c r="P2467" s="115">
        <v>3689.9</v>
      </c>
      <c r="Q2467" s="115">
        <v>3649.65</v>
      </c>
      <c r="R2467">
        <v>90332</v>
      </c>
    </row>
    <row r="2468" spans="1:18" x14ac:dyDescent="0.25">
      <c r="A2468" s="169">
        <v>45638</v>
      </c>
      <c r="B2468" s="115">
        <v>3668</v>
      </c>
      <c r="C2468" s="115">
        <v>3649.75</v>
      </c>
      <c r="D2468" s="115">
        <v>3575.2</v>
      </c>
      <c r="E2468" s="115">
        <v>3629.9</v>
      </c>
      <c r="F2468" s="115">
        <v>3649.75</v>
      </c>
      <c r="G2468">
        <v>2545</v>
      </c>
      <c r="H2468" s="115"/>
      <c r="I2468" s="115"/>
      <c r="L2468" s="169">
        <v>45639</v>
      </c>
      <c r="M2468" s="115">
        <v>3580.2</v>
      </c>
      <c r="N2468" s="115">
        <v>3643.95</v>
      </c>
      <c r="O2468" s="115">
        <v>3524</v>
      </c>
      <c r="P2468" s="115">
        <v>3630</v>
      </c>
      <c r="Q2468" s="115">
        <v>3580.2</v>
      </c>
      <c r="R2468">
        <v>46057</v>
      </c>
    </row>
    <row r="2469" spans="1:18" x14ac:dyDescent="0.25">
      <c r="A2469" s="169">
        <v>45639</v>
      </c>
      <c r="B2469" s="115">
        <v>3649.75</v>
      </c>
      <c r="C2469" s="115">
        <v>3579.45</v>
      </c>
      <c r="D2469" s="115">
        <v>3525</v>
      </c>
      <c r="E2469" s="115">
        <v>3649.75</v>
      </c>
      <c r="F2469" s="115">
        <v>3579.45</v>
      </c>
      <c r="G2469">
        <v>1943</v>
      </c>
      <c r="H2469" s="115"/>
      <c r="I2469" s="115"/>
      <c r="L2469" s="169">
        <v>45642</v>
      </c>
      <c r="M2469" s="115">
        <v>3487.9</v>
      </c>
      <c r="N2469" s="115">
        <v>3644</v>
      </c>
      <c r="O2469" s="115">
        <v>3478</v>
      </c>
      <c r="P2469" s="115">
        <v>3603.5</v>
      </c>
      <c r="Q2469" s="115">
        <v>3487.9</v>
      </c>
      <c r="R2469">
        <v>47557</v>
      </c>
    </row>
    <row r="2470" spans="1:18" x14ac:dyDescent="0.25">
      <c r="A2470" s="169">
        <v>45642</v>
      </c>
      <c r="B2470" s="115">
        <v>3622.05</v>
      </c>
      <c r="C2470" s="115">
        <v>3485.4</v>
      </c>
      <c r="D2470" s="115">
        <v>3479.25</v>
      </c>
      <c r="E2470" s="115">
        <v>3582</v>
      </c>
      <c r="F2470" s="115">
        <v>3485.4</v>
      </c>
      <c r="G2470">
        <v>1721</v>
      </c>
      <c r="H2470" s="115"/>
      <c r="I2470" s="115"/>
      <c r="L2470" s="169">
        <v>45643</v>
      </c>
      <c r="M2470" s="115">
        <v>3372.05</v>
      </c>
      <c r="N2470" s="115">
        <v>3516.7</v>
      </c>
      <c r="O2470" s="115">
        <v>3356.5</v>
      </c>
      <c r="P2470" s="115">
        <v>3516.7</v>
      </c>
      <c r="Q2470" s="115">
        <v>3372.05</v>
      </c>
      <c r="R2470">
        <v>96137</v>
      </c>
    </row>
    <row r="2471" spans="1:18" x14ac:dyDescent="0.25">
      <c r="A2471" s="169">
        <v>45643</v>
      </c>
      <c r="B2471" s="115">
        <v>3493.1</v>
      </c>
      <c r="C2471" s="115">
        <v>3374.45</v>
      </c>
      <c r="D2471" s="115">
        <v>3356.25</v>
      </c>
      <c r="E2471" s="115">
        <v>3491</v>
      </c>
      <c r="F2471" s="115">
        <v>3374.45</v>
      </c>
      <c r="G2471">
        <v>3090</v>
      </c>
      <c r="H2471" s="115"/>
      <c r="I2471" s="115"/>
      <c r="L2471" s="169">
        <v>45644</v>
      </c>
      <c r="M2471" s="115">
        <v>3379.9</v>
      </c>
      <c r="N2471" s="115">
        <v>3415.95</v>
      </c>
      <c r="O2471" s="115">
        <v>3345.55</v>
      </c>
      <c r="P2471" s="115">
        <v>3389.05</v>
      </c>
      <c r="Q2471" s="115">
        <v>3379.9</v>
      </c>
      <c r="R2471">
        <v>71158</v>
      </c>
    </row>
    <row r="2472" spans="1:18" x14ac:dyDescent="0.25">
      <c r="A2472" s="169">
        <v>45644</v>
      </c>
      <c r="B2472" s="115">
        <v>3415.95</v>
      </c>
      <c r="C2472" s="115">
        <v>3380.15</v>
      </c>
      <c r="D2472" s="115">
        <v>3346.1</v>
      </c>
      <c r="E2472" s="115">
        <v>3375.05</v>
      </c>
      <c r="F2472" s="115">
        <v>3380.15</v>
      </c>
      <c r="G2472">
        <v>1522</v>
      </c>
      <c r="H2472" s="115"/>
      <c r="I2472" s="115"/>
      <c r="L2472" s="169">
        <v>45645</v>
      </c>
      <c r="M2472" s="115">
        <v>3341.55</v>
      </c>
      <c r="N2472" s="115">
        <v>3365</v>
      </c>
      <c r="O2472" s="115">
        <v>3306.05</v>
      </c>
      <c r="P2472" s="115">
        <v>3346</v>
      </c>
      <c r="Q2472" s="115">
        <v>3341.55</v>
      </c>
      <c r="R2472">
        <v>30127</v>
      </c>
    </row>
    <row r="2473" spans="1:18" x14ac:dyDescent="0.25">
      <c r="A2473" s="169">
        <v>45645</v>
      </c>
      <c r="B2473" s="115">
        <v>3359.45</v>
      </c>
      <c r="C2473" s="115">
        <v>3342.3</v>
      </c>
      <c r="D2473" s="115">
        <v>3306.2</v>
      </c>
      <c r="E2473" s="115">
        <v>3354</v>
      </c>
      <c r="F2473" s="115">
        <v>3342.3</v>
      </c>
      <c r="G2473">
        <v>3271</v>
      </c>
      <c r="H2473" s="115"/>
      <c r="I2473" s="115"/>
      <c r="L2473" s="169">
        <v>45646</v>
      </c>
      <c r="M2473" s="115">
        <v>3305.85</v>
      </c>
      <c r="N2473" s="115">
        <v>3432</v>
      </c>
      <c r="O2473" s="115">
        <v>3276.05</v>
      </c>
      <c r="P2473" s="115">
        <v>3376.2</v>
      </c>
      <c r="Q2473" s="115">
        <v>3305.85</v>
      </c>
      <c r="R2473">
        <v>106837</v>
      </c>
    </row>
    <row r="2474" spans="1:18" x14ac:dyDescent="0.25">
      <c r="A2474" s="169">
        <v>45646</v>
      </c>
      <c r="B2474" s="115">
        <v>3429</v>
      </c>
      <c r="C2474" s="115">
        <v>3306.45</v>
      </c>
      <c r="D2474" s="115">
        <v>3277.6</v>
      </c>
      <c r="E2474" s="115">
        <v>3378.65</v>
      </c>
      <c r="F2474" s="115">
        <v>3306.45</v>
      </c>
      <c r="G2474">
        <v>6011</v>
      </c>
      <c r="H2474" s="115"/>
      <c r="I2474" s="115"/>
      <c r="L2474" s="169">
        <v>45649</v>
      </c>
      <c r="M2474" s="115">
        <v>3314.55</v>
      </c>
      <c r="N2474" s="115">
        <v>3347.85</v>
      </c>
      <c r="O2474" s="115">
        <v>3276</v>
      </c>
      <c r="P2474" s="115">
        <v>3324.9</v>
      </c>
      <c r="Q2474" s="115">
        <v>3314.55</v>
      </c>
      <c r="R2474">
        <v>50293</v>
      </c>
    </row>
    <row r="2475" spans="1:18" x14ac:dyDescent="0.25">
      <c r="A2475" s="169">
        <v>45649</v>
      </c>
      <c r="B2475" s="115">
        <v>3347.45</v>
      </c>
      <c r="C2475" s="115">
        <v>3309.45</v>
      </c>
      <c r="D2475" s="115">
        <v>3275.05</v>
      </c>
      <c r="E2475" s="115">
        <v>3326</v>
      </c>
      <c r="F2475" s="115">
        <v>3309.45</v>
      </c>
      <c r="G2475">
        <v>4604</v>
      </c>
      <c r="H2475" s="115"/>
      <c r="I2475" s="115"/>
      <c r="L2475" s="169">
        <v>45650</v>
      </c>
      <c r="M2475" s="115">
        <v>3331.1</v>
      </c>
      <c r="N2475" s="115">
        <v>3349.45</v>
      </c>
      <c r="O2475" s="115">
        <v>3256.7</v>
      </c>
      <c r="P2475" s="115">
        <v>3314</v>
      </c>
      <c r="Q2475" s="115">
        <v>3331.1</v>
      </c>
      <c r="R2475">
        <v>56031</v>
      </c>
    </row>
    <row r="2476" spans="1:18" x14ac:dyDescent="0.25">
      <c r="A2476" s="169">
        <v>45650</v>
      </c>
      <c r="B2476" s="115">
        <v>3347.5</v>
      </c>
      <c r="C2476" s="115">
        <v>3327.15</v>
      </c>
      <c r="D2476" s="115">
        <v>3258.7</v>
      </c>
      <c r="E2476" s="115">
        <v>3302.55</v>
      </c>
      <c r="F2476" s="115">
        <v>3327.15</v>
      </c>
      <c r="G2476">
        <v>2893</v>
      </c>
      <c r="H2476" s="115"/>
      <c r="I2476" s="115"/>
      <c r="L2476" s="169">
        <v>45652</v>
      </c>
      <c r="M2476" s="115">
        <v>3411.7</v>
      </c>
      <c r="N2476" s="115">
        <v>3499</v>
      </c>
      <c r="O2476" s="115">
        <v>3281.05</v>
      </c>
      <c r="P2476" s="115">
        <v>3330</v>
      </c>
      <c r="Q2476" s="115">
        <v>3411.7</v>
      </c>
      <c r="R2476">
        <v>52387</v>
      </c>
    </row>
    <row r="2477" spans="1:18" x14ac:dyDescent="0.25">
      <c r="A2477" s="169">
        <v>45652</v>
      </c>
      <c r="B2477" s="115">
        <v>3472.7</v>
      </c>
      <c r="C2477" s="115">
        <v>3425.1</v>
      </c>
      <c r="D2477" s="115">
        <v>3284.6</v>
      </c>
      <c r="E2477" s="115">
        <v>3309.3</v>
      </c>
      <c r="F2477" s="115">
        <v>3425.1</v>
      </c>
      <c r="G2477">
        <v>1810</v>
      </c>
      <c r="H2477" s="115"/>
      <c r="I2477" s="115"/>
      <c r="L2477" s="169">
        <v>45653</v>
      </c>
      <c r="M2477" s="115">
        <v>3443.6</v>
      </c>
      <c r="N2477" s="115">
        <v>3504</v>
      </c>
      <c r="O2477" s="115">
        <v>3396.85</v>
      </c>
      <c r="P2477" s="115">
        <v>3423.25</v>
      </c>
      <c r="Q2477" s="115">
        <v>3443.6</v>
      </c>
      <c r="R2477">
        <v>99879</v>
      </c>
    </row>
    <row r="2478" spans="1:18" x14ac:dyDescent="0.25">
      <c r="A2478" s="169">
        <v>45653</v>
      </c>
      <c r="B2478" s="115">
        <v>3504.95</v>
      </c>
      <c r="C2478" s="115">
        <v>3438.55</v>
      </c>
      <c r="D2478" s="115">
        <v>3395.25</v>
      </c>
      <c r="E2478" s="115">
        <v>3412.25</v>
      </c>
      <c r="F2478" s="115">
        <v>3438.55</v>
      </c>
      <c r="G2478">
        <v>4045</v>
      </c>
      <c r="H2478" s="115"/>
      <c r="I2478" s="115"/>
      <c r="L2478" s="169">
        <v>45656</v>
      </c>
      <c r="M2478" s="115">
        <v>3396</v>
      </c>
      <c r="N2478" s="115">
        <v>3448.35</v>
      </c>
      <c r="O2478" s="115">
        <v>3377</v>
      </c>
      <c r="P2478" s="115">
        <v>3443.6</v>
      </c>
      <c r="Q2478" s="115">
        <v>3396</v>
      </c>
      <c r="R2478">
        <v>32732</v>
      </c>
    </row>
    <row r="2479" spans="1:18" x14ac:dyDescent="0.25">
      <c r="A2479" s="169">
        <v>45656</v>
      </c>
      <c r="B2479" s="115">
        <v>3445.95</v>
      </c>
      <c r="C2479" s="115">
        <v>3398</v>
      </c>
      <c r="D2479" s="115">
        <v>3381.7</v>
      </c>
      <c r="E2479" s="115">
        <v>3429.05</v>
      </c>
      <c r="F2479" s="115">
        <v>3398</v>
      </c>
      <c r="G2479">
        <v>1561</v>
      </c>
      <c r="H2479" s="115"/>
      <c r="I2479" s="115"/>
      <c r="L2479" s="169">
        <v>45657</v>
      </c>
      <c r="M2479" s="115">
        <v>3405.8</v>
      </c>
      <c r="N2479" s="115">
        <v>3416.9</v>
      </c>
      <c r="O2479" s="115">
        <v>3340.5</v>
      </c>
      <c r="P2479" s="115">
        <v>3388.9</v>
      </c>
      <c r="Q2479" s="115">
        <v>3405.8</v>
      </c>
      <c r="R2479">
        <v>26364</v>
      </c>
    </row>
    <row r="2480" spans="1:18" x14ac:dyDescent="0.25">
      <c r="A2480" s="169">
        <v>45657</v>
      </c>
      <c r="B2480" s="115">
        <v>3413.05</v>
      </c>
      <c r="C2480" s="115">
        <v>3405.45</v>
      </c>
      <c r="D2480" s="115">
        <v>3340.85</v>
      </c>
      <c r="E2480" s="115">
        <v>3387.7</v>
      </c>
      <c r="F2480" s="115">
        <v>3405.45</v>
      </c>
      <c r="G2480">
        <v>1578</v>
      </c>
      <c r="H2480" s="115"/>
      <c r="I2480" s="115"/>
      <c r="L2480" s="169">
        <v>45658</v>
      </c>
      <c r="M2480" s="115">
        <v>3458</v>
      </c>
      <c r="N2480" s="115">
        <v>3460</v>
      </c>
      <c r="O2480" s="115">
        <v>3398.05</v>
      </c>
      <c r="P2480" s="115">
        <v>3401.3</v>
      </c>
      <c r="Q2480" s="115">
        <v>3458</v>
      </c>
      <c r="R2480">
        <v>23861</v>
      </c>
    </row>
    <row r="2481" spans="1:18" x14ac:dyDescent="0.25">
      <c r="A2481" s="169">
        <v>45658</v>
      </c>
      <c r="B2481" s="115">
        <v>3463.45</v>
      </c>
      <c r="C2481" s="115">
        <v>3458.5</v>
      </c>
      <c r="D2481" s="115">
        <v>3401.7</v>
      </c>
      <c r="E2481" s="115">
        <v>3413</v>
      </c>
      <c r="F2481" s="115">
        <v>3458.5</v>
      </c>
      <c r="G2481">
        <v>673</v>
      </c>
      <c r="H2481" s="115"/>
      <c r="I2481" s="115"/>
      <c r="L2481" s="169">
        <v>45659</v>
      </c>
      <c r="M2481" s="115">
        <v>3466.15</v>
      </c>
      <c r="N2481" s="115">
        <v>3487.7</v>
      </c>
      <c r="O2481" s="115">
        <v>3432.05</v>
      </c>
      <c r="P2481" s="115">
        <v>3460</v>
      </c>
      <c r="Q2481" s="115">
        <v>3466.15</v>
      </c>
      <c r="R2481">
        <v>18072</v>
      </c>
    </row>
    <row r="2482" spans="1:18" x14ac:dyDescent="0.25">
      <c r="A2482" s="169">
        <v>45659</v>
      </c>
      <c r="B2482" s="115">
        <v>3486.35</v>
      </c>
      <c r="C2482" s="115">
        <v>3464.95</v>
      </c>
      <c r="D2482" s="115">
        <v>3438.85</v>
      </c>
      <c r="E2482" s="115">
        <v>3474.75</v>
      </c>
      <c r="F2482" s="115">
        <v>3464.95</v>
      </c>
      <c r="G2482">
        <v>1250</v>
      </c>
      <c r="H2482" s="115"/>
      <c r="I2482" s="115"/>
      <c r="L2482" s="169">
        <v>45660</v>
      </c>
      <c r="M2482" s="115">
        <v>3465</v>
      </c>
      <c r="N2482" s="115">
        <v>3515.9</v>
      </c>
      <c r="O2482" s="115">
        <v>3461.05</v>
      </c>
      <c r="P2482" s="115">
        <v>3490</v>
      </c>
      <c r="Q2482" s="115">
        <v>3465</v>
      </c>
      <c r="R2482">
        <v>25036</v>
      </c>
    </row>
    <row r="2483" spans="1:18" x14ac:dyDescent="0.25">
      <c r="A2483" s="169">
        <v>45660</v>
      </c>
      <c r="B2483" s="115">
        <v>3515.15</v>
      </c>
      <c r="C2483" s="115">
        <v>3465.2</v>
      </c>
      <c r="D2483" s="115">
        <v>3461.4</v>
      </c>
      <c r="E2483" s="115">
        <v>3478.35</v>
      </c>
      <c r="F2483" s="115">
        <v>3465.2</v>
      </c>
      <c r="G2483">
        <v>926</v>
      </c>
      <c r="H2483" s="115"/>
      <c r="I2483" s="115"/>
      <c r="L2483" s="169">
        <v>45663</v>
      </c>
      <c r="M2483" s="115">
        <v>3457.95</v>
      </c>
      <c r="N2483" s="115">
        <v>3497.15</v>
      </c>
      <c r="O2483" s="115">
        <v>3425</v>
      </c>
      <c r="P2483" s="115">
        <v>3477</v>
      </c>
      <c r="Q2483" s="115">
        <v>3457.95</v>
      </c>
      <c r="R2483">
        <v>75136</v>
      </c>
    </row>
    <row r="2484" spans="1:18" x14ac:dyDescent="0.25">
      <c r="A2484" s="169">
        <v>45663</v>
      </c>
      <c r="B2484" s="115">
        <v>3492.7</v>
      </c>
      <c r="C2484" s="115">
        <v>3455.1</v>
      </c>
      <c r="D2484" s="115">
        <v>3411.05</v>
      </c>
      <c r="E2484" s="115">
        <v>3411.05</v>
      </c>
      <c r="F2484" s="115">
        <v>3455.1</v>
      </c>
      <c r="G2484">
        <v>2167</v>
      </c>
      <c r="H2484" s="115"/>
      <c r="I2484" s="115"/>
      <c r="L2484" s="169">
        <v>45664</v>
      </c>
      <c r="M2484" s="115">
        <v>3500.35</v>
      </c>
      <c r="N2484" s="115">
        <v>3509.95</v>
      </c>
      <c r="O2484" s="115">
        <v>3432</v>
      </c>
      <c r="P2484" s="115">
        <v>3432</v>
      </c>
      <c r="Q2484" s="115">
        <v>3500.35</v>
      </c>
      <c r="R2484">
        <v>32178</v>
      </c>
    </row>
    <row r="2485" spans="1:18" x14ac:dyDescent="0.25">
      <c r="A2485" s="169">
        <v>45664</v>
      </c>
      <c r="B2485" s="115">
        <v>3507.2</v>
      </c>
      <c r="C2485" s="115">
        <v>3500.65</v>
      </c>
      <c r="D2485" s="115">
        <v>3400.55</v>
      </c>
      <c r="E2485" s="115">
        <v>3400.55</v>
      </c>
      <c r="F2485" s="115">
        <v>3500.65</v>
      </c>
      <c r="G2485">
        <v>1380</v>
      </c>
      <c r="H2485" s="115"/>
      <c r="I2485" s="115"/>
      <c r="L2485" s="169">
        <v>45665</v>
      </c>
      <c r="M2485" s="115">
        <v>3525.5</v>
      </c>
      <c r="N2485" s="115">
        <v>3533.7</v>
      </c>
      <c r="O2485" s="115">
        <v>3460.65</v>
      </c>
      <c r="P2485" s="115">
        <v>3500</v>
      </c>
      <c r="Q2485" s="115">
        <v>3525.5</v>
      </c>
      <c r="R2485">
        <v>37166</v>
      </c>
    </row>
    <row r="2486" spans="1:18" x14ac:dyDescent="0.25">
      <c r="A2486" s="169">
        <v>45665</v>
      </c>
      <c r="B2486" s="115">
        <v>3533.55</v>
      </c>
      <c r="C2486" s="115">
        <v>3525.25</v>
      </c>
      <c r="D2486" s="115">
        <v>3458.45</v>
      </c>
      <c r="E2486" s="115">
        <v>3507.4</v>
      </c>
      <c r="F2486" s="115">
        <v>3525.25</v>
      </c>
      <c r="G2486">
        <v>3625</v>
      </c>
      <c r="H2486" s="115"/>
      <c r="I2486" s="115"/>
      <c r="L2486" s="169">
        <v>45666</v>
      </c>
      <c r="M2486" s="115">
        <v>3441.1</v>
      </c>
      <c r="N2486" s="115">
        <v>3549</v>
      </c>
      <c r="O2486" s="115">
        <v>3418.25</v>
      </c>
      <c r="P2486" s="115">
        <v>3525.5</v>
      </c>
      <c r="Q2486" s="115">
        <v>3441.1</v>
      </c>
      <c r="R2486">
        <v>23558</v>
      </c>
    </row>
    <row r="2487" spans="1:18" x14ac:dyDescent="0.25">
      <c r="A2487" s="169">
        <v>45666</v>
      </c>
      <c r="B2487" s="115">
        <v>3548.45</v>
      </c>
      <c r="C2487" s="115">
        <v>3444.8</v>
      </c>
      <c r="D2487" s="115">
        <v>3421.55</v>
      </c>
      <c r="E2487" s="115">
        <v>3511.15</v>
      </c>
      <c r="F2487" s="115">
        <v>3444.8</v>
      </c>
      <c r="G2487">
        <v>628</v>
      </c>
      <c r="H2487" s="115"/>
      <c r="I2487" s="115"/>
      <c r="L2487" s="169">
        <v>45667</v>
      </c>
      <c r="M2487" s="115">
        <v>3323.15</v>
      </c>
      <c r="N2487" s="115">
        <v>3438.7</v>
      </c>
      <c r="O2487" s="115">
        <v>3315</v>
      </c>
      <c r="P2487" s="115">
        <v>3419</v>
      </c>
      <c r="Q2487" s="115">
        <v>3323.15</v>
      </c>
      <c r="R2487">
        <v>33150</v>
      </c>
    </row>
    <row r="2488" spans="1:18" x14ac:dyDescent="0.25">
      <c r="A2488" s="169">
        <v>45667</v>
      </c>
      <c r="B2488" s="115">
        <v>3425.35</v>
      </c>
      <c r="C2488" s="115">
        <v>3324.65</v>
      </c>
      <c r="D2488" s="115">
        <v>3319.15</v>
      </c>
      <c r="E2488" s="115">
        <v>3424.85</v>
      </c>
      <c r="F2488" s="115">
        <v>3324.65</v>
      </c>
      <c r="G2488">
        <v>2038</v>
      </c>
      <c r="H2488" s="115"/>
      <c r="I2488" s="115"/>
      <c r="L2488" s="169">
        <v>45670</v>
      </c>
      <c r="M2488" s="115">
        <v>3185.6</v>
      </c>
      <c r="N2488" s="115">
        <v>3337.35</v>
      </c>
      <c r="O2488" s="115">
        <v>3166</v>
      </c>
      <c r="P2488" s="115">
        <v>3310.1</v>
      </c>
      <c r="Q2488" s="115">
        <v>3185.6</v>
      </c>
      <c r="R2488">
        <v>55208</v>
      </c>
    </row>
    <row r="2489" spans="1:18" x14ac:dyDescent="0.25">
      <c r="A2489" s="169">
        <v>45670</v>
      </c>
      <c r="B2489" s="115">
        <v>3318.9</v>
      </c>
      <c r="C2489" s="115">
        <v>3190.35</v>
      </c>
      <c r="D2489" s="115">
        <v>3165</v>
      </c>
      <c r="E2489" s="115">
        <v>3285.05</v>
      </c>
      <c r="F2489" s="115">
        <v>3190.35</v>
      </c>
      <c r="G2489">
        <v>3669</v>
      </c>
      <c r="H2489" s="115"/>
      <c r="I2489" s="115"/>
      <c r="L2489" s="169">
        <v>45671</v>
      </c>
      <c r="M2489" s="115">
        <v>3249.4</v>
      </c>
      <c r="N2489" s="115">
        <v>3258</v>
      </c>
      <c r="O2489" s="115">
        <v>3165</v>
      </c>
      <c r="P2489" s="115">
        <v>3188.4</v>
      </c>
      <c r="Q2489" s="115">
        <v>3249.4</v>
      </c>
      <c r="R2489">
        <v>33227</v>
      </c>
    </row>
    <row r="2490" spans="1:18" x14ac:dyDescent="0.25">
      <c r="A2490" s="169">
        <v>45671</v>
      </c>
      <c r="B2490" s="115">
        <v>3260.25</v>
      </c>
      <c r="C2490" s="115">
        <v>3253.65</v>
      </c>
      <c r="D2490" s="115">
        <v>3163.6</v>
      </c>
      <c r="E2490" s="115">
        <v>3190.35</v>
      </c>
      <c r="F2490" s="115">
        <v>3253.65</v>
      </c>
      <c r="G2490">
        <v>3031</v>
      </c>
      <c r="H2490" s="115"/>
      <c r="I2490" s="115"/>
      <c r="L2490" s="169">
        <v>45672</v>
      </c>
      <c r="M2490" s="115">
        <v>3230</v>
      </c>
      <c r="N2490" s="115">
        <v>3277.45</v>
      </c>
      <c r="O2490" s="115">
        <v>3209</v>
      </c>
      <c r="P2490" s="115">
        <v>3252</v>
      </c>
      <c r="Q2490" s="115">
        <v>3230</v>
      </c>
      <c r="R2490">
        <v>54665</v>
      </c>
    </row>
    <row r="2491" spans="1:18" x14ac:dyDescent="0.25">
      <c r="A2491" s="169">
        <v>45672</v>
      </c>
      <c r="B2491" s="115">
        <v>3272.55</v>
      </c>
      <c r="C2491" s="115">
        <v>3229.55</v>
      </c>
      <c r="D2491" s="115">
        <v>3214.15</v>
      </c>
      <c r="E2491" s="115">
        <v>3253.7</v>
      </c>
      <c r="F2491" s="115">
        <v>3229.55</v>
      </c>
      <c r="G2491">
        <v>1397</v>
      </c>
      <c r="H2491" s="115"/>
      <c r="I2491" s="115"/>
      <c r="L2491" s="169">
        <v>45673</v>
      </c>
      <c r="M2491" s="115">
        <v>3282</v>
      </c>
      <c r="N2491" s="115">
        <v>3297.7</v>
      </c>
      <c r="O2491" s="115">
        <v>3215</v>
      </c>
      <c r="P2491" s="115">
        <v>3230</v>
      </c>
      <c r="Q2491" s="115">
        <v>3282</v>
      </c>
      <c r="R2491">
        <v>180257</v>
      </c>
    </row>
    <row r="2492" spans="1:18" x14ac:dyDescent="0.25">
      <c r="A2492" s="169">
        <v>45673</v>
      </c>
      <c r="B2492" s="115">
        <v>3296.65</v>
      </c>
      <c r="C2492" s="115">
        <v>3286.55</v>
      </c>
      <c r="D2492" s="115">
        <v>3217.9</v>
      </c>
      <c r="E2492" s="115">
        <v>3250</v>
      </c>
      <c r="F2492" s="115">
        <v>3286.55</v>
      </c>
      <c r="G2492">
        <v>1051</v>
      </c>
      <c r="H2492" s="115"/>
      <c r="I2492" s="115"/>
      <c r="L2492" s="169">
        <v>45674</v>
      </c>
      <c r="M2492" s="115">
        <v>3227.1</v>
      </c>
      <c r="N2492" s="115">
        <v>3306</v>
      </c>
      <c r="O2492" s="115">
        <v>3211</v>
      </c>
      <c r="P2492" s="115">
        <v>3288.45</v>
      </c>
      <c r="Q2492" s="115">
        <v>3227.1</v>
      </c>
      <c r="R2492">
        <v>15107</v>
      </c>
    </row>
    <row r="2493" spans="1:18" x14ac:dyDescent="0.25">
      <c r="A2493" s="169">
        <v>45674</v>
      </c>
      <c r="B2493" s="115">
        <v>3304.25</v>
      </c>
      <c r="C2493" s="115">
        <v>3228.55</v>
      </c>
      <c r="D2493" s="115">
        <v>3219.75</v>
      </c>
      <c r="E2493" s="115">
        <v>3277.55</v>
      </c>
      <c r="F2493" s="115">
        <v>3228.55</v>
      </c>
      <c r="G2493">
        <v>1017</v>
      </c>
      <c r="H2493" s="115"/>
      <c r="I2493" s="115"/>
      <c r="L2493" s="169">
        <v>45677</v>
      </c>
      <c r="M2493" s="115">
        <v>3238.8</v>
      </c>
      <c r="N2493" s="115">
        <v>3258</v>
      </c>
      <c r="O2493" s="115">
        <v>3195.05</v>
      </c>
      <c r="P2493" s="115">
        <v>3237.8</v>
      </c>
      <c r="Q2493" s="115">
        <v>3238.8</v>
      </c>
      <c r="R2493">
        <v>33253</v>
      </c>
    </row>
    <row r="2494" spans="1:18" x14ac:dyDescent="0.25">
      <c r="A2494" s="169">
        <v>45677</v>
      </c>
      <c r="B2494" s="115">
        <v>3255.95</v>
      </c>
      <c r="C2494" s="115">
        <v>3240.65</v>
      </c>
      <c r="D2494" s="115">
        <v>3195.55</v>
      </c>
      <c r="E2494" s="115">
        <v>3201.95</v>
      </c>
      <c r="F2494" s="115">
        <v>3240.65</v>
      </c>
      <c r="G2494">
        <v>1143</v>
      </c>
      <c r="H2494" s="115"/>
      <c r="I2494" s="115"/>
      <c r="L2494" s="169">
        <v>45678</v>
      </c>
      <c r="M2494" s="115">
        <v>3261.95</v>
      </c>
      <c r="N2494" s="115">
        <v>3279.95</v>
      </c>
      <c r="O2494" s="115">
        <v>3197.55</v>
      </c>
      <c r="P2494" s="115">
        <v>3210</v>
      </c>
      <c r="Q2494" s="115">
        <v>3261.95</v>
      </c>
      <c r="R2494">
        <v>70896</v>
      </c>
    </row>
    <row r="2495" spans="1:18" x14ac:dyDescent="0.25">
      <c r="A2495" s="169">
        <v>45678</v>
      </c>
      <c r="B2495" s="115">
        <v>3278.5</v>
      </c>
      <c r="C2495" s="115">
        <v>3260.4</v>
      </c>
      <c r="D2495" s="115">
        <v>3196.1</v>
      </c>
      <c r="E2495" s="115">
        <v>3223</v>
      </c>
      <c r="F2495" s="115">
        <v>3260.4</v>
      </c>
      <c r="G2495">
        <v>1206</v>
      </c>
      <c r="H2495" s="115"/>
      <c r="I2495" s="115"/>
      <c r="L2495" s="169">
        <v>45679</v>
      </c>
      <c r="M2495" s="115">
        <v>3264.6</v>
      </c>
      <c r="N2495" s="115">
        <v>3297</v>
      </c>
      <c r="O2495" s="115">
        <v>3207</v>
      </c>
      <c r="P2495" s="115">
        <v>3269.75</v>
      </c>
      <c r="Q2495" s="115">
        <v>3264.6</v>
      </c>
      <c r="R2495">
        <v>73776</v>
      </c>
    </row>
    <row r="2496" spans="1:18" x14ac:dyDescent="0.25">
      <c r="A2496" s="169">
        <v>45679</v>
      </c>
      <c r="B2496" s="115">
        <v>3273</v>
      </c>
      <c r="C2496" s="115">
        <v>3266</v>
      </c>
      <c r="D2496" s="115">
        <v>3205.05</v>
      </c>
      <c r="E2496" s="115">
        <v>3267</v>
      </c>
      <c r="F2496" s="115">
        <v>3266</v>
      </c>
      <c r="G2496">
        <v>896</v>
      </c>
      <c r="H2496" s="115"/>
      <c r="I2496" s="115"/>
      <c r="L2496" s="169">
        <v>45680</v>
      </c>
      <c r="M2496" s="115">
        <v>3341.95</v>
      </c>
      <c r="N2496" s="115">
        <v>3379</v>
      </c>
      <c r="O2496" s="115">
        <v>3256.2</v>
      </c>
      <c r="P2496" s="115">
        <v>3278.1</v>
      </c>
      <c r="Q2496" s="115">
        <v>3341.95</v>
      </c>
      <c r="R2496">
        <v>42821</v>
      </c>
    </row>
    <row r="2497" spans="1:18" x14ac:dyDescent="0.25">
      <c r="A2497" s="169">
        <v>45680</v>
      </c>
      <c r="B2497" s="115">
        <v>3379.95</v>
      </c>
      <c r="C2497" s="115">
        <v>3334.2</v>
      </c>
      <c r="D2497" s="115">
        <v>3267.05</v>
      </c>
      <c r="E2497" s="115">
        <v>3278.15</v>
      </c>
      <c r="F2497" s="115">
        <v>3334.2</v>
      </c>
      <c r="G2497">
        <v>12937</v>
      </c>
      <c r="H2497" s="115"/>
      <c r="I2497" s="115"/>
      <c r="L2497" s="169">
        <v>45681</v>
      </c>
      <c r="M2497" s="115">
        <v>3212.1</v>
      </c>
      <c r="N2497" s="115">
        <v>3355.95</v>
      </c>
      <c r="O2497" s="115">
        <v>3169.5</v>
      </c>
      <c r="P2497" s="115">
        <v>3304.05</v>
      </c>
      <c r="Q2497" s="115">
        <v>3212.1</v>
      </c>
      <c r="R2497">
        <v>70169</v>
      </c>
    </row>
    <row r="2498" spans="1:18" x14ac:dyDescent="0.25">
      <c r="A2498" s="169">
        <v>45681</v>
      </c>
      <c r="B2498" s="115">
        <v>3341.3</v>
      </c>
      <c r="C2498" s="115">
        <v>3191.85</v>
      </c>
      <c r="D2498" s="115">
        <v>3134.8</v>
      </c>
      <c r="E2498" s="115">
        <v>3308.25</v>
      </c>
      <c r="F2498" s="115">
        <v>3191.85</v>
      </c>
      <c r="G2498">
        <v>2967</v>
      </c>
      <c r="H2498" s="115"/>
      <c r="I2498" s="115"/>
      <c r="L2498" s="169">
        <v>45684</v>
      </c>
      <c r="M2498" s="115">
        <v>3146.4</v>
      </c>
      <c r="N2498" s="115">
        <v>3196.65</v>
      </c>
      <c r="O2498" s="115">
        <v>3005.85</v>
      </c>
      <c r="P2498" s="115">
        <v>3170</v>
      </c>
      <c r="Q2498" s="115">
        <v>3146.4</v>
      </c>
      <c r="R2498">
        <v>130305</v>
      </c>
    </row>
    <row r="2499" spans="1:18" x14ac:dyDescent="0.25">
      <c r="A2499" s="169">
        <v>45684</v>
      </c>
      <c r="B2499" s="115">
        <v>3167</v>
      </c>
      <c r="C2499" s="115">
        <v>3141.45</v>
      </c>
      <c r="D2499" s="115">
        <v>3004</v>
      </c>
      <c r="E2499" s="115">
        <v>3107.7</v>
      </c>
      <c r="F2499" s="115">
        <v>3141.45</v>
      </c>
      <c r="G2499">
        <v>1593</v>
      </c>
      <c r="H2499" s="115"/>
      <c r="I2499" s="115"/>
      <c r="L2499" s="169">
        <v>45685</v>
      </c>
      <c r="M2499" s="115">
        <v>3121.5</v>
      </c>
      <c r="N2499" s="115">
        <v>3138.7</v>
      </c>
      <c r="O2499" s="115">
        <v>3027.9</v>
      </c>
      <c r="P2499" s="115">
        <v>3099.2</v>
      </c>
      <c r="Q2499" s="115">
        <v>3121.5</v>
      </c>
      <c r="R2499">
        <v>71956</v>
      </c>
    </row>
    <row r="2500" spans="1:18" x14ac:dyDescent="0.25">
      <c r="A2500" s="169">
        <v>45685</v>
      </c>
      <c r="B2500" s="115">
        <v>3132.8</v>
      </c>
      <c r="C2500" s="115">
        <v>3116.4</v>
      </c>
      <c r="D2500" s="115">
        <v>3033.45</v>
      </c>
      <c r="E2500" s="115">
        <v>3080.05</v>
      </c>
      <c r="F2500" s="115">
        <v>3116.4</v>
      </c>
      <c r="G2500">
        <v>778</v>
      </c>
      <c r="H2500" s="115"/>
      <c r="I2500" s="115"/>
      <c r="L2500" s="169">
        <v>45686</v>
      </c>
      <c r="M2500" s="115">
        <v>3176.7</v>
      </c>
      <c r="N2500" s="115">
        <v>3235</v>
      </c>
      <c r="O2500" s="115">
        <v>3139.7</v>
      </c>
      <c r="P2500" s="115">
        <v>3141.8</v>
      </c>
      <c r="Q2500" s="115">
        <v>3176.7</v>
      </c>
      <c r="R2500">
        <v>20934</v>
      </c>
    </row>
    <row r="2501" spans="1:18" x14ac:dyDescent="0.25">
      <c r="A2501" s="169">
        <v>45686</v>
      </c>
      <c r="B2501" s="115">
        <v>3233.95</v>
      </c>
      <c r="C2501" s="115">
        <v>3190.8</v>
      </c>
      <c r="D2501" s="115">
        <v>3142.35</v>
      </c>
      <c r="E2501" s="115">
        <v>3188.9</v>
      </c>
      <c r="F2501" s="115">
        <v>3190.8</v>
      </c>
      <c r="G2501">
        <v>802</v>
      </c>
      <c r="H2501" s="115"/>
      <c r="I2501" s="115"/>
      <c r="L2501" s="169">
        <v>45687</v>
      </c>
      <c r="M2501" s="115">
        <v>3332.45</v>
      </c>
      <c r="N2501" s="115">
        <v>3353.55</v>
      </c>
      <c r="O2501" s="115">
        <v>3155.55</v>
      </c>
      <c r="P2501" s="115">
        <v>3194.95</v>
      </c>
      <c r="Q2501" s="115">
        <v>3332.45</v>
      </c>
      <c r="R2501">
        <v>45224</v>
      </c>
    </row>
    <row r="2502" spans="1:18" x14ac:dyDescent="0.25">
      <c r="A2502" s="169">
        <v>45687</v>
      </c>
      <c r="B2502" s="115">
        <v>3350</v>
      </c>
      <c r="C2502" s="115">
        <v>3325.1</v>
      </c>
      <c r="D2502" s="115">
        <v>3102.05</v>
      </c>
      <c r="E2502" s="115">
        <v>3102.05</v>
      </c>
      <c r="F2502" s="115">
        <v>3325.1</v>
      </c>
      <c r="G2502">
        <v>1575</v>
      </c>
      <c r="H2502" s="115"/>
      <c r="I2502" s="115"/>
      <c r="L2502" s="169">
        <v>45688</v>
      </c>
      <c r="M2502" s="115">
        <v>3425.8</v>
      </c>
      <c r="N2502" s="115">
        <v>3444.4</v>
      </c>
      <c r="O2502" s="115">
        <v>3294.05</v>
      </c>
      <c r="P2502" s="115">
        <v>3310</v>
      </c>
      <c r="Q2502" s="115">
        <v>3425.8</v>
      </c>
      <c r="R2502">
        <v>68237</v>
      </c>
    </row>
    <row r="2503" spans="1:18" x14ac:dyDescent="0.25">
      <c r="A2503" s="169">
        <v>45688</v>
      </c>
      <c r="B2503" s="115">
        <v>3443.1</v>
      </c>
      <c r="C2503" s="115">
        <v>3416.95</v>
      </c>
      <c r="D2503" s="115">
        <v>3302.25</v>
      </c>
      <c r="E2503" s="115">
        <v>3305.55</v>
      </c>
      <c r="F2503" s="115">
        <v>3416.95</v>
      </c>
      <c r="G2503">
        <v>1913</v>
      </c>
      <c r="H2503" s="115"/>
      <c r="I2503" s="115"/>
      <c r="L2503" s="169">
        <v>45689</v>
      </c>
      <c r="M2503" s="115">
        <v>3429.85</v>
      </c>
      <c r="N2503" s="115">
        <v>3448</v>
      </c>
      <c r="O2503" s="115">
        <v>3392</v>
      </c>
      <c r="P2503" s="115">
        <v>3425</v>
      </c>
      <c r="Q2503" s="115">
        <v>3429.85</v>
      </c>
      <c r="R2503">
        <v>20253</v>
      </c>
    </row>
    <row r="2504" spans="1:18" x14ac:dyDescent="0.25">
      <c r="A2504" s="169">
        <v>45689</v>
      </c>
      <c r="B2504" s="115">
        <v>3484.1</v>
      </c>
      <c r="C2504" s="115">
        <v>3448.75</v>
      </c>
      <c r="D2504" s="115">
        <v>3407.55</v>
      </c>
      <c r="E2504" s="115">
        <v>3484.1</v>
      </c>
      <c r="F2504" s="115">
        <v>3448.75</v>
      </c>
      <c r="G2504">
        <v>959</v>
      </c>
      <c r="H2504" s="115"/>
      <c r="I2504" s="115"/>
      <c r="L2504" s="169">
        <v>45691</v>
      </c>
      <c r="M2504" s="115">
        <v>3300.65</v>
      </c>
      <c r="N2504" s="115">
        <v>3417.95</v>
      </c>
      <c r="O2504" s="115">
        <v>3254.2</v>
      </c>
      <c r="P2504" s="115">
        <v>3405.75</v>
      </c>
      <c r="Q2504" s="115">
        <v>3300.65</v>
      </c>
      <c r="R2504">
        <v>136687</v>
      </c>
    </row>
    <row r="2505" spans="1:18" x14ac:dyDescent="0.25">
      <c r="A2505" s="169">
        <v>45691</v>
      </c>
      <c r="B2505" s="115">
        <v>3380.6</v>
      </c>
      <c r="C2505" s="115">
        <v>3329.35</v>
      </c>
      <c r="D2505" s="115">
        <v>3260</v>
      </c>
      <c r="E2505" s="115">
        <v>3380.6</v>
      </c>
      <c r="F2505" s="115">
        <v>3329.35</v>
      </c>
      <c r="G2505">
        <v>1606</v>
      </c>
      <c r="H2505" s="115"/>
      <c r="I2505" s="115"/>
      <c r="L2505" s="169">
        <v>45692</v>
      </c>
      <c r="M2505" s="115">
        <v>3320.05</v>
      </c>
      <c r="N2505" s="115">
        <v>3351</v>
      </c>
      <c r="O2505" s="115">
        <v>3271.2</v>
      </c>
      <c r="P2505" s="115">
        <v>3328</v>
      </c>
      <c r="Q2505" s="115">
        <v>3320.05</v>
      </c>
      <c r="R2505">
        <v>25517</v>
      </c>
    </row>
    <row r="2506" spans="1:18" x14ac:dyDescent="0.25">
      <c r="A2506" s="169">
        <v>45692</v>
      </c>
      <c r="B2506" s="115">
        <v>3480.55</v>
      </c>
      <c r="C2506" s="115">
        <v>3324.85</v>
      </c>
      <c r="D2506" s="115">
        <v>3275</v>
      </c>
      <c r="E2506" s="115">
        <v>3395.95</v>
      </c>
      <c r="F2506" s="115">
        <v>3324.85</v>
      </c>
      <c r="G2506">
        <v>891</v>
      </c>
      <c r="H2506" s="115"/>
      <c r="I2506" s="115"/>
      <c r="L2506" s="169">
        <v>45693</v>
      </c>
      <c r="M2506" s="115">
        <v>3388.5</v>
      </c>
      <c r="N2506" s="115">
        <v>3415.8</v>
      </c>
      <c r="O2506" s="115">
        <v>3298.2</v>
      </c>
      <c r="P2506" s="115">
        <v>3348.25</v>
      </c>
      <c r="Q2506" s="115">
        <v>3388.5</v>
      </c>
      <c r="R2506">
        <v>28580</v>
      </c>
    </row>
    <row r="2507" spans="1:18" x14ac:dyDescent="0.25">
      <c r="A2507" s="169">
        <v>45693</v>
      </c>
      <c r="B2507" s="115">
        <v>3407.7</v>
      </c>
      <c r="C2507" s="115">
        <v>3394.55</v>
      </c>
      <c r="D2507" s="115">
        <v>3298.4</v>
      </c>
      <c r="E2507" s="115">
        <v>3320</v>
      </c>
      <c r="F2507" s="115">
        <v>3394.55</v>
      </c>
      <c r="G2507">
        <v>886</v>
      </c>
      <c r="H2507" s="115"/>
      <c r="I2507" s="115"/>
      <c r="L2507" s="169">
        <v>45694</v>
      </c>
      <c r="M2507" s="115">
        <v>3368.15</v>
      </c>
      <c r="N2507" s="115">
        <v>3424.25</v>
      </c>
      <c r="O2507" s="115">
        <v>3318.2</v>
      </c>
      <c r="P2507" s="115">
        <v>3417.3</v>
      </c>
      <c r="Q2507" s="115">
        <v>3368.15</v>
      </c>
      <c r="R2507">
        <v>20547</v>
      </c>
    </row>
    <row r="2508" spans="1:18" x14ac:dyDescent="0.25">
      <c r="A2508" s="169">
        <v>45694</v>
      </c>
      <c r="B2508" s="115">
        <v>3400.05</v>
      </c>
      <c r="C2508" s="115">
        <v>3376.35</v>
      </c>
      <c r="D2508" s="115">
        <v>3318.5</v>
      </c>
      <c r="E2508" s="115">
        <v>3400.05</v>
      </c>
      <c r="F2508" s="115">
        <v>3376.35</v>
      </c>
      <c r="G2508">
        <v>1740</v>
      </c>
      <c r="H2508" s="115"/>
      <c r="I2508" s="115"/>
      <c r="L2508" s="169">
        <v>45695</v>
      </c>
      <c r="M2508" s="115">
        <v>3279.1</v>
      </c>
      <c r="N2508" s="115">
        <v>3400</v>
      </c>
      <c r="O2508" s="115">
        <v>3255.5</v>
      </c>
      <c r="P2508" s="115">
        <v>3390.05</v>
      </c>
      <c r="Q2508" s="115">
        <v>3279.1</v>
      </c>
      <c r="R2508">
        <v>20128</v>
      </c>
    </row>
    <row r="2509" spans="1:18" x14ac:dyDescent="0.25">
      <c r="A2509" s="169">
        <v>45695</v>
      </c>
      <c r="B2509" s="115">
        <v>3360</v>
      </c>
      <c r="C2509" s="115">
        <v>3295.1</v>
      </c>
      <c r="D2509" s="115">
        <v>3260.85</v>
      </c>
      <c r="E2509" s="115">
        <v>3354</v>
      </c>
      <c r="F2509" s="115">
        <v>3295.1</v>
      </c>
      <c r="G2509">
        <v>2300</v>
      </c>
      <c r="H2509" s="115"/>
      <c r="I2509" s="115"/>
      <c r="L2509" s="169">
        <v>45698</v>
      </c>
      <c r="M2509" s="115">
        <v>3234</v>
      </c>
      <c r="N2509" s="115">
        <v>3325</v>
      </c>
      <c r="O2509" s="115">
        <v>3210</v>
      </c>
      <c r="P2509" s="115">
        <v>3323.5</v>
      </c>
      <c r="Q2509" s="115">
        <v>3234</v>
      </c>
      <c r="R2509">
        <v>13963</v>
      </c>
    </row>
    <row r="2510" spans="1:18" x14ac:dyDescent="0.25">
      <c r="A2510" s="169">
        <v>45698</v>
      </c>
      <c r="B2510" s="115">
        <v>3301.6</v>
      </c>
      <c r="C2510" s="115">
        <v>3233.05</v>
      </c>
      <c r="D2510" s="115">
        <v>3209.3</v>
      </c>
      <c r="E2510" s="115">
        <v>3295.15</v>
      </c>
      <c r="F2510" s="115">
        <v>3233.05</v>
      </c>
      <c r="G2510">
        <v>1159</v>
      </c>
      <c r="H2510" s="115"/>
      <c r="I2510" s="115"/>
      <c r="L2510" s="169">
        <v>45699</v>
      </c>
      <c r="M2510" s="115">
        <v>3095.35</v>
      </c>
      <c r="N2510" s="115">
        <v>3221.3</v>
      </c>
      <c r="O2510" s="115">
        <v>3051</v>
      </c>
      <c r="P2510" s="115">
        <v>3212.25</v>
      </c>
      <c r="Q2510" s="115">
        <v>3095.35</v>
      </c>
      <c r="R2510">
        <v>20218</v>
      </c>
    </row>
    <row r="2511" spans="1:18" x14ac:dyDescent="0.25">
      <c r="A2511" s="169">
        <v>45699</v>
      </c>
      <c r="B2511" s="115">
        <v>3210.85</v>
      </c>
      <c r="C2511" s="115">
        <v>3097.15</v>
      </c>
      <c r="D2511" s="115">
        <v>3076.55</v>
      </c>
      <c r="E2511" s="115">
        <v>3208.75</v>
      </c>
      <c r="F2511" s="115">
        <v>3097.15</v>
      </c>
      <c r="G2511">
        <v>1210</v>
      </c>
      <c r="H2511" s="115"/>
      <c r="I2511" s="115"/>
      <c r="L2511" s="169">
        <v>45700</v>
      </c>
      <c r="M2511" s="115">
        <v>3021.75</v>
      </c>
      <c r="N2511" s="115">
        <v>3128.95</v>
      </c>
      <c r="O2511" s="115">
        <v>2989.95</v>
      </c>
      <c r="P2511" s="115">
        <v>3128.95</v>
      </c>
      <c r="Q2511" s="115">
        <v>3021.75</v>
      </c>
      <c r="R2511">
        <v>32217</v>
      </c>
    </row>
    <row r="2512" spans="1:18" x14ac:dyDescent="0.25">
      <c r="A2512" s="169">
        <v>45700</v>
      </c>
      <c r="B2512" s="115">
        <v>3114.4</v>
      </c>
      <c r="C2512" s="115">
        <v>3021.55</v>
      </c>
      <c r="D2512" s="115">
        <v>2989</v>
      </c>
      <c r="E2512" s="115">
        <v>3114.4</v>
      </c>
      <c r="F2512" s="115">
        <v>3021.55</v>
      </c>
      <c r="G2512">
        <v>2235</v>
      </c>
      <c r="H2512" s="115"/>
      <c r="I2512" s="115"/>
      <c r="L2512" s="169">
        <v>45701</v>
      </c>
      <c r="M2512" s="115">
        <v>3021.15</v>
      </c>
      <c r="N2512" s="115">
        <v>3075</v>
      </c>
      <c r="O2512" s="115">
        <v>2975.6</v>
      </c>
      <c r="P2512" s="115">
        <v>3011</v>
      </c>
      <c r="Q2512" s="115">
        <v>3021.15</v>
      </c>
      <c r="R2512">
        <v>22081</v>
      </c>
    </row>
    <row r="2513" spans="1:18" x14ac:dyDescent="0.25">
      <c r="A2513" s="169">
        <v>45701</v>
      </c>
      <c r="B2513" s="115">
        <v>3081.35</v>
      </c>
      <c r="C2513" s="115">
        <v>3021</v>
      </c>
      <c r="D2513" s="115">
        <v>2978.35</v>
      </c>
      <c r="E2513" s="115">
        <v>3012.05</v>
      </c>
      <c r="F2513" s="115">
        <v>3021</v>
      </c>
      <c r="G2513">
        <v>1278</v>
      </c>
      <c r="H2513" s="115"/>
      <c r="I2513" s="115"/>
      <c r="L2513" s="169">
        <v>45702</v>
      </c>
      <c r="M2513" s="115">
        <v>2931.9</v>
      </c>
      <c r="N2513" s="115">
        <v>3046.85</v>
      </c>
      <c r="O2513" s="115">
        <v>2890</v>
      </c>
      <c r="P2513" s="115">
        <v>3025</v>
      </c>
      <c r="Q2513" s="115">
        <v>2931.9</v>
      </c>
      <c r="R2513">
        <v>35300</v>
      </c>
    </row>
    <row r="2514" spans="1:18" x14ac:dyDescent="0.25">
      <c r="A2514" s="169">
        <v>45702</v>
      </c>
      <c r="B2514" s="115">
        <v>3187.9</v>
      </c>
      <c r="C2514" s="115">
        <v>2926.5</v>
      </c>
      <c r="D2514" s="115">
        <v>2896</v>
      </c>
      <c r="E2514" s="115">
        <v>3187.9</v>
      </c>
      <c r="F2514" s="115">
        <v>2926.5</v>
      </c>
      <c r="G2514">
        <v>783</v>
      </c>
      <c r="H2514" s="115"/>
      <c r="I2514" s="115"/>
      <c r="L2514" s="169">
        <v>45705</v>
      </c>
      <c r="M2514" s="115">
        <v>2942.1</v>
      </c>
      <c r="N2514" s="115">
        <v>2998.95</v>
      </c>
      <c r="O2514" s="115">
        <v>2832.05</v>
      </c>
      <c r="P2514" s="115">
        <v>2897</v>
      </c>
      <c r="Q2514" s="115">
        <v>2942.1</v>
      </c>
      <c r="R2514">
        <v>34846</v>
      </c>
    </row>
    <row r="2515" spans="1:18" x14ac:dyDescent="0.25">
      <c r="A2515" s="169">
        <v>45705</v>
      </c>
      <c r="B2515" s="115">
        <v>2993</v>
      </c>
      <c r="C2515" s="115">
        <v>2942.3</v>
      </c>
      <c r="D2515" s="115">
        <v>2836.55</v>
      </c>
      <c r="E2515" s="115">
        <v>2924</v>
      </c>
      <c r="F2515" s="115">
        <v>2942.3</v>
      </c>
      <c r="G2515">
        <v>1603</v>
      </c>
      <c r="H2515" s="115"/>
      <c r="I2515" s="115"/>
      <c r="L2515" s="169">
        <v>45706</v>
      </c>
      <c r="M2515" s="115">
        <v>3097.7</v>
      </c>
      <c r="N2515" s="115">
        <v>3124.2</v>
      </c>
      <c r="O2515" s="115">
        <v>2926</v>
      </c>
      <c r="P2515" s="115">
        <v>2980</v>
      </c>
      <c r="Q2515" s="115">
        <v>3097.7</v>
      </c>
      <c r="R2515">
        <v>96835</v>
      </c>
    </row>
    <row r="2516" spans="1:18" x14ac:dyDescent="0.25">
      <c r="A2516" s="169">
        <v>45706</v>
      </c>
      <c r="B2516" s="115">
        <v>3124.15</v>
      </c>
      <c r="C2516" s="115">
        <v>3098.15</v>
      </c>
      <c r="D2516" s="115">
        <v>2925.05</v>
      </c>
      <c r="E2516" s="115">
        <v>2929.8</v>
      </c>
      <c r="F2516" s="115">
        <v>3098.15</v>
      </c>
      <c r="G2516">
        <v>2411</v>
      </c>
      <c r="H2516" s="115"/>
      <c r="I2516" s="115"/>
      <c r="L2516" s="169">
        <v>45707</v>
      </c>
      <c r="M2516" s="115">
        <v>3057.7</v>
      </c>
      <c r="N2516" s="115">
        <v>3134.35</v>
      </c>
      <c r="O2516" s="115">
        <v>2998.35</v>
      </c>
      <c r="P2516" s="115">
        <v>3115</v>
      </c>
      <c r="Q2516" s="115">
        <v>3057.7</v>
      </c>
      <c r="R2516">
        <v>37142</v>
      </c>
    </row>
    <row r="2517" spans="1:18" x14ac:dyDescent="0.25">
      <c r="A2517" s="169">
        <v>45707</v>
      </c>
      <c r="B2517" s="115">
        <v>3130</v>
      </c>
      <c r="C2517" s="115">
        <v>3057.3</v>
      </c>
      <c r="D2517" s="115">
        <v>3011.55</v>
      </c>
      <c r="E2517" s="115">
        <v>3098.8</v>
      </c>
      <c r="F2517" s="115">
        <v>3057.3</v>
      </c>
      <c r="G2517">
        <v>1597</v>
      </c>
      <c r="H2517" s="115"/>
      <c r="I2517" s="115"/>
      <c r="L2517" s="169">
        <v>45708</v>
      </c>
      <c r="M2517" s="115">
        <v>3120.85</v>
      </c>
      <c r="N2517" s="115">
        <v>3163.05</v>
      </c>
      <c r="O2517" s="115">
        <v>3060.95</v>
      </c>
      <c r="P2517" s="115">
        <v>3060.95</v>
      </c>
      <c r="Q2517" s="115">
        <v>3120.85</v>
      </c>
      <c r="R2517">
        <v>39940</v>
      </c>
    </row>
    <row r="2518" spans="1:18" x14ac:dyDescent="0.25">
      <c r="A2518" s="169">
        <v>45708</v>
      </c>
      <c r="B2518" s="115">
        <v>3159.5</v>
      </c>
      <c r="C2518" s="115">
        <v>3117.45</v>
      </c>
      <c r="D2518" s="115">
        <v>3072.55</v>
      </c>
      <c r="E2518" s="115">
        <v>3086.2</v>
      </c>
      <c r="F2518" s="115">
        <v>3117.45</v>
      </c>
      <c r="G2518">
        <v>1553</v>
      </c>
      <c r="H2518" s="115"/>
      <c r="I2518" s="115"/>
      <c r="L2518" s="169">
        <v>45709</v>
      </c>
      <c r="M2518" s="115">
        <v>3198.55</v>
      </c>
      <c r="N2518" s="115">
        <v>3209.55</v>
      </c>
      <c r="O2518" s="115">
        <v>3089.1</v>
      </c>
      <c r="P2518" s="115">
        <v>3141.15</v>
      </c>
      <c r="Q2518" s="115">
        <v>3198.55</v>
      </c>
      <c r="R2518">
        <v>39292</v>
      </c>
    </row>
    <row r="2519" spans="1:18" x14ac:dyDescent="0.25">
      <c r="A2519" s="169">
        <v>45709</v>
      </c>
      <c r="B2519" s="115">
        <v>3205</v>
      </c>
      <c r="C2519" s="115">
        <v>3199.8</v>
      </c>
      <c r="D2519" s="115">
        <v>3095.25</v>
      </c>
      <c r="E2519" s="115">
        <v>3144</v>
      </c>
      <c r="F2519" s="115">
        <v>3199.8</v>
      </c>
      <c r="G2519">
        <v>953</v>
      </c>
      <c r="H2519" s="115"/>
      <c r="I2519" s="115"/>
      <c r="L2519" s="169">
        <v>45712</v>
      </c>
      <c r="M2519" s="115">
        <v>3090.75</v>
      </c>
      <c r="N2519" s="115">
        <v>3200</v>
      </c>
      <c r="O2519" s="115">
        <v>3051.55</v>
      </c>
      <c r="P2519" s="115">
        <v>3192.05</v>
      </c>
      <c r="Q2519" s="115">
        <v>3090.75</v>
      </c>
      <c r="R2519">
        <v>38730</v>
      </c>
    </row>
    <row r="2520" spans="1:18" x14ac:dyDescent="0.25">
      <c r="A2520" s="169">
        <v>45712</v>
      </c>
      <c r="B2520" s="115">
        <v>3170</v>
      </c>
      <c r="C2520" s="115">
        <v>3086.95</v>
      </c>
      <c r="D2520" s="115">
        <v>3068</v>
      </c>
      <c r="E2520" s="115">
        <v>3136.1</v>
      </c>
      <c r="F2520" s="115">
        <v>3086.95</v>
      </c>
      <c r="G2520">
        <v>1589</v>
      </c>
      <c r="H2520" s="115"/>
      <c r="I2520" s="115"/>
      <c r="L2520" s="169">
        <v>45713</v>
      </c>
      <c r="M2520" s="115">
        <v>3114.05</v>
      </c>
      <c r="N2520" s="115">
        <v>3167.5</v>
      </c>
      <c r="O2520" s="115">
        <v>3078.3</v>
      </c>
      <c r="P2520" s="115">
        <v>3095</v>
      </c>
      <c r="Q2520" s="115">
        <v>3114.05</v>
      </c>
      <c r="R2520">
        <v>50455</v>
      </c>
    </row>
    <row r="2521" spans="1:18" x14ac:dyDescent="0.25">
      <c r="A2521" s="169">
        <v>45713</v>
      </c>
      <c r="B2521" s="115">
        <v>3167.9</v>
      </c>
      <c r="C2521" s="115">
        <v>3121.65</v>
      </c>
      <c r="D2521" s="115">
        <v>3080.2</v>
      </c>
      <c r="E2521" s="115">
        <v>3144.8</v>
      </c>
      <c r="F2521" s="115">
        <v>3121.65</v>
      </c>
      <c r="G2521">
        <v>783</v>
      </c>
      <c r="H2521" s="115"/>
      <c r="I2521" s="115"/>
      <c r="L2521" s="169">
        <v>45715</v>
      </c>
      <c r="M2521" s="115">
        <v>3076.95</v>
      </c>
      <c r="N2521" s="115">
        <v>3168.7</v>
      </c>
      <c r="O2521" s="115">
        <v>3037.25</v>
      </c>
      <c r="P2521" s="115">
        <v>3141.85</v>
      </c>
      <c r="Q2521" s="115">
        <v>3076.95</v>
      </c>
      <c r="R2521">
        <v>37423</v>
      </c>
    </row>
    <row r="2522" spans="1:18" x14ac:dyDescent="0.25">
      <c r="A2522" s="169">
        <v>45715</v>
      </c>
      <c r="B2522" s="115">
        <v>3121.7</v>
      </c>
      <c r="C2522" s="115">
        <v>3076.3</v>
      </c>
      <c r="D2522" s="115">
        <v>3035.35</v>
      </c>
      <c r="E2522" s="115">
        <v>3121.7</v>
      </c>
      <c r="F2522" s="115">
        <v>3076.3</v>
      </c>
      <c r="G2522">
        <v>969</v>
      </c>
      <c r="H2522" s="115"/>
      <c r="I2522" s="115"/>
      <c r="L2522" s="169">
        <v>45716</v>
      </c>
      <c r="M2522" s="115">
        <v>3061.25</v>
      </c>
      <c r="N2522" s="115">
        <v>3189</v>
      </c>
      <c r="O2522" s="115">
        <v>3014.75</v>
      </c>
      <c r="P2522" s="115">
        <v>3086.3</v>
      </c>
      <c r="Q2522" s="115">
        <v>3061.25</v>
      </c>
      <c r="R2522">
        <v>121617</v>
      </c>
    </row>
    <row r="2523" spans="1:18" x14ac:dyDescent="0.25">
      <c r="A2523" s="169">
        <v>45716</v>
      </c>
      <c r="B2523" s="115">
        <v>3192.85</v>
      </c>
      <c r="C2523" s="115">
        <v>3052.45</v>
      </c>
      <c r="D2523" s="115">
        <v>3018.75</v>
      </c>
      <c r="E2523" s="115">
        <v>3119.95</v>
      </c>
      <c r="F2523" s="115">
        <v>3052.45</v>
      </c>
      <c r="G2523">
        <v>2859</v>
      </c>
      <c r="H2523" s="115"/>
      <c r="I2523" s="115"/>
      <c r="L2523" s="169">
        <v>45719</v>
      </c>
      <c r="M2523" s="115">
        <v>3087.25</v>
      </c>
      <c r="N2523" s="115">
        <v>3144.9</v>
      </c>
      <c r="O2523" s="115">
        <v>2940</v>
      </c>
      <c r="P2523" s="115">
        <v>3065</v>
      </c>
      <c r="Q2523" s="115">
        <v>3087.25</v>
      </c>
      <c r="R2523">
        <v>51882</v>
      </c>
    </row>
    <row r="2524" spans="1:18" x14ac:dyDescent="0.25">
      <c r="A2524" s="169">
        <v>45719</v>
      </c>
      <c r="B2524" s="115">
        <v>3148</v>
      </c>
      <c r="C2524" s="115">
        <v>3090.2</v>
      </c>
      <c r="D2524" s="115">
        <v>2940</v>
      </c>
      <c r="E2524" s="115">
        <v>3060.55</v>
      </c>
      <c r="F2524" s="115">
        <v>3090.2</v>
      </c>
      <c r="G2524">
        <v>1264</v>
      </c>
      <c r="H2524" s="115"/>
      <c r="I2524" s="115"/>
      <c r="L2524" s="169">
        <v>45720</v>
      </c>
      <c r="M2524" s="115">
        <v>3212.7</v>
      </c>
      <c r="N2524" s="115">
        <v>3345</v>
      </c>
      <c r="O2524" s="115">
        <v>3050</v>
      </c>
      <c r="P2524" s="115">
        <v>3050</v>
      </c>
      <c r="Q2524" s="115">
        <v>3212.7</v>
      </c>
      <c r="R2524">
        <v>531383</v>
      </c>
    </row>
    <row r="2525" spans="1:18" x14ac:dyDescent="0.25">
      <c r="A2525" s="169">
        <v>45720</v>
      </c>
      <c r="B2525" s="115">
        <v>3341.5</v>
      </c>
      <c r="C2525" s="115">
        <v>3209.5</v>
      </c>
      <c r="D2525" s="115">
        <v>3096.3</v>
      </c>
      <c r="E2525" s="115">
        <v>3096.3</v>
      </c>
      <c r="F2525" s="115">
        <v>3209.5</v>
      </c>
      <c r="G2525">
        <v>14817</v>
      </c>
      <c r="H2525" s="115"/>
      <c r="I2525" s="115"/>
      <c r="L2525" s="169">
        <v>45721</v>
      </c>
      <c r="M2525" s="115">
        <v>3239.75</v>
      </c>
      <c r="N2525" s="115">
        <v>3296</v>
      </c>
      <c r="O2525" s="115">
        <v>3128.1</v>
      </c>
      <c r="P2525" s="115">
        <v>3200</v>
      </c>
      <c r="Q2525" s="115">
        <v>3239.75</v>
      </c>
      <c r="R2525">
        <v>57138</v>
      </c>
    </row>
    <row r="2526" spans="1:18" x14ac:dyDescent="0.25">
      <c r="A2526" s="169">
        <v>45721</v>
      </c>
      <c r="B2526" s="115">
        <v>3290.8</v>
      </c>
      <c r="C2526" s="115">
        <v>3224.2</v>
      </c>
      <c r="D2526" s="115">
        <v>3128.55</v>
      </c>
      <c r="E2526" s="115">
        <v>3151.05</v>
      </c>
      <c r="F2526" s="115">
        <v>3224.2</v>
      </c>
      <c r="G2526">
        <v>1231</v>
      </c>
      <c r="H2526" s="115"/>
      <c r="I2526" s="115"/>
      <c r="L2526" s="169">
        <v>45722</v>
      </c>
      <c r="M2526" s="115">
        <v>3252.6</v>
      </c>
      <c r="N2526" s="115">
        <v>3278</v>
      </c>
      <c r="O2526" s="115">
        <v>3199.5</v>
      </c>
      <c r="P2526" s="115">
        <v>3215.05</v>
      </c>
      <c r="Q2526" s="115">
        <v>3252.6</v>
      </c>
      <c r="R2526">
        <v>47510</v>
      </c>
    </row>
    <row r="2527" spans="1:18" x14ac:dyDescent="0.25">
      <c r="A2527" s="169">
        <v>45722</v>
      </c>
      <c r="B2527" s="115">
        <v>3278.95</v>
      </c>
      <c r="C2527" s="115">
        <v>3253.95</v>
      </c>
      <c r="D2527" s="115">
        <v>3203.6</v>
      </c>
      <c r="E2527" s="115">
        <v>3229.95</v>
      </c>
      <c r="F2527" s="115">
        <v>3253.95</v>
      </c>
      <c r="G2527">
        <v>1291</v>
      </c>
      <c r="H2527" s="115"/>
      <c r="I2527" s="115"/>
      <c r="L2527" s="169">
        <v>45723</v>
      </c>
      <c r="M2527" s="115">
        <v>3274.9</v>
      </c>
      <c r="N2527" s="115">
        <v>3322</v>
      </c>
      <c r="O2527" s="115">
        <v>3239</v>
      </c>
      <c r="P2527" s="115">
        <v>3253.7</v>
      </c>
      <c r="Q2527" s="115">
        <v>3274.9</v>
      </c>
      <c r="R2527">
        <v>55078</v>
      </c>
    </row>
    <row r="2528" spans="1:18" x14ac:dyDescent="0.25">
      <c r="A2528" s="169">
        <v>45723</v>
      </c>
      <c r="B2528" s="115">
        <v>3322</v>
      </c>
      <c r="C2528" s="115">
        <v>3274.5</v>
      </c>
      <c r="D2528" s="115">
        <v>3247</v>
      </c>
      <c r="E2528" s="115">
        <v>3258.15</v>
      </c>
      <c r="F2528" s="115">
        <v>3274.5</v>
      </c>
      <c r="G2528">
        <v>4112</v>
      </c>
      <c r="H2528" s="115"/>
      <c r="I2528" s="115"/>
      <c r="L2528" s="169">
        <v>45726</v>
      </c>
      <c r="M2528" s="115">
        <v>3278.9</v>
      </c>
      <c r="N2528" s="115">
        <v>3291.65</v>
      </c>
      <c r="O2528" s="115">
        <v>3215.2</v>
      </c>
      <c r="P2528" s="115">
        <v>3273.05</v>
      </c>
      <c r="Q2528" s="115">
        <v>3278.9</v>
      </c>
      <c r="R2528">
        <v>66877</v>
      </c>
    </row>
    <row r="2529" spans="1:18" x14ac:dyDescent="0.25">
      <c r="A2529" s="169">
        <v>45726</v>
      </c>
      <c r="B2529" s="115">
        <v>3293.4</v>
      </c>
      <c r="C2529" s="115">
        <v>3278.75</v>
      </c>
      <c r="D2529" s="115">
        <v>3225.05</v>
      </c>
      <c r="E2529" s="115">
        <v>3271.9</v>
      </c>
      <c r="F2529" s="115">
        <v>3278.75</v>
      </c>
      <c r="G2529">
        <v>2049</v>
      </c>
      <c r="H2529" s="115"/>
      <c r="I2529" s="115"/>
      <c r="L2529" s="169">
        <v>45727</v>
      </c>
      <c r="M2529" s="115">
        <v>3237.55</v>
      </c>
      <c r="N2529" s="115">
        <v>3267.3</v>
      </c>
      <c r="O2529" s="115">
        <v>3167.2</v>
      </c>
      <c r="P2529" s="115">
        <v>3267.3</v>
      </c>
      <c r="Q2529" s="115">
        <v>3237.55</v>
      </c>
      <c r="R2529">
        <v>58121</v>
      </c>
    </row>
    <row r="2530" spans="1:18" x14ac:dyDescent="0.25">
      <c r="A2530" s="169">
        <v>45727</v>
      </c>
      <c r="B2530" s="115">
        <v>3263</v>
      </c>
      <c r="C2530" s="115">
        <v>3235.5</v>
      </c>
      <c r="D2530" s="115">
        <v>3182.2</v>
      </c>
      <c r="E2530" s="115">
        <v>3242.8</v>
      </c>
      <c r="F2530" s="115">
        <v>3235.5</v>
      </c>
      <c r="G2530">
        <v>1755</v>
      </c>
      <c r="H2530" s="115"/>
      <c r="I2530" s="115"/>
      <c r="L2530" s="169">
        <v>45728</v>
      </c>
      <c r="M2530" s="115">
        <v>3308.75</v>
      </c>
      <c r="N2530" s="115">
        <v>3358</v>
      </c>
      <c r="O2530" s="115">
        <v>3242.45</v>
      </c>
      <c r="P2530" s="115">
        <v>3258.6</v>
      </c>
      <c r="Q2530" s="115">
        <v>3308.75</v>
      </c>
      <c r="R2530">
        <v>69831</v>
      </c>
    </row>
    <row r="2531" spans="1:18" x14ac:dyDescent="0.25">
      <c r="A2531" s="169">
        <v>45728</v>
      </c>
      <c r="B2531" s="115">
        <v>3353.6</v>
      </c>
      <c r="C2531" s="115">
        <v>3307.65</v>
      </c>
      <c r="D2531" s="115">
        <v>3245.85</v>
      </c>
      <c r="E2531" s="115">
        <v>3266.05</v>
      </c>
      <c r="F2531" s="115">
        <v>3307.65</v>
      </c>
      <c r="G2531">
        <v>1765</v>
      </c>
      <c r="H2531" s="115"/>
      <c r="I2531" s="115"/>
      <c r="L2531" s="169">
        <v>45729</v>
      </c>
      <c r="M2531" s="115">
        <v>3347.55</v>
      </c>
      <c r="N2531" s="115">
        <v>3360</v>
      </c>
      <c r="O2531" s="115">
        <v>3293.65</v>
      </c>
      <c r="P2531" s="115">
        <v>3343.55</v>
      </c>
      <c r="Q2531" s="115">
        <v>3347.55</v>
      </c>
      <c r="R2531">
        <v>31975</v>
      </c>
    </row>
    <row r="2532" spans="1:18" x14ac:dyDescent="0.25">
      <c r="A2532" s="169">
        <v>45729</v>
      </c>
      <c r="B2532" s="115">
        <v>3362.5</v>
      </c>
      <c r="C2532" s="115">
        <v>3345.6</v>
      </c>
      <c r="D2532" s="115">
        <v>3299.95</v>
      </c>
      <c r="E2532" s="115">
        <v>3324</v>
      </c>
      <c r="F2532" s="115">
        <v>3345.6</v>
      </c>
      <c r="G2532">
        <v>1393</v>
      </c>
      <c r="H2532" s="115"/>
      <c r="I2532" s="115"/>
      <c r="L2532" s="169">
        <v>45733</v>
      </c>
      <c r="M2532" s="115">
        <v>3410.75</v>
      </c>
      <c r="N2532" s="115">
        <v>3442</v>
      </c>
      <c r="O2532" s="115">
        <v>3325.4</v>
      </c>
      <c r="P2532" s="115">
        <v>3360</v>
      </c>
      <c r="Q2532" s="115">
        <v>3410.75</v>
      </c>
      <c r="R2532">
        <v>100545</v>
      </c>
    </row>
    <row r="2533" spans="1:18" x14ac:dyDescent="0.25">
      <c r="A2533" s="169">
        <v>45733</v>
      </c>
      <c r="B2533" s="115">
        <v>3440</v>
      </c>
      <c r="C2533" s="115">
        <v>3403.55</v>
      </c>
      <c r="D2533" s="115">
        <v>3326.5</v>
      </c>
      <c r="E2533" s="115">
        <v>3340.45</v>
      </c>
      <c r="F2533" s="115">
        <v>3403.55</v>
      </c>
      <c r="G2533">
        <v>2320</v>
      </c>
      <c r="H2533" s="115"/>
      <c r="I2533" s="115"/>
      <c r="L2533" s="169">
        <v>45734</v>
      </c>
      <c r="M2533" s="115">
        <v>3375.2</v>
      </c>
      <c r="N2533" s="115">
        <v>3443.15</v>
      </c>
      <c r="O2533" s="115">
        <v>3350</v>
      </c>
      <c r="P2533" s="115">
        <v>3443.15</v>
      </c>
      <c r="Q2533" s="115">
        <v>3375.2</v>
      </c>
      <c r="R2533">
        <v>44221</v>
      </c>
    </row>
    <row r="2534" spans="1:18" x14ac:dyDescent="0.25">
      <c r="A2534" s="169">
        <v>45734</v>
      </c>
      <c r="B2534" s="115">
        <v>3431.95</v>
      </c>
      <c r="C2534" s="115">
        <v>3380</v>
      </c>
      <c r="D2534" s="115">
        <v>3360</v>
      </c>
      <c r="E2534" s="115">
        <v>3418.9</v>
      </c>
      <c r="F2534" s="115">
        <v>3380</v>
      </c>
      <c r="G2534">
        <v>1606</v>
      </c>
      <c r="H2534" s="115"/>
      <c r="I2534" s="115"/>
      <c r="L2534" s="169">
        <v>45735</v>
      </c>
      <c r="M2534" s="115">
        <v>3469.65</v>
      </c>
      <c r="N2534" s="115">
        <v>3485</v>
      </c>
      <c r="O2534" s="115">
        <v>3375.2</v>
      </c>
      <c r="P2534" s="115">
        <v>3376</v>
      </c>
      <c r="Q2534" s="115">
        <v>3469.65</v>
      </c>
      <c r="R2534">
        <v>62047</v>
      </c>
    </row>
    <row r="2535" spans="1:18" x14ac:dyDescent="0.25">
      <c r="A2535" s="169">
        <v>45735</v>
      </c>
      <c r="B2535" s="115">
        <v>3497.45</v>
      </c>
      <c r="C2535" s="115">
        <v>3472.55</v>
      </c>
      <c r="D2535" s="115">
        <v>3376.45</v>
      </c>
      <c r="E2535" s="115">
        <v>3379.65</v>
      </c>
      <c r="F2535" s="115">
        <v>3472.55</v>
      </c>
      <c r="G2535">
        <v>3379</v>
      </c>
      <c r="H2535" s="115"/>
      <c r="I2535" s="115"/>
      <c r="L2535" s="169">
        <v>45736</v>
      </c>
      <c r="M2535" s="115">
        <v>3524.3</v>
      </c>
      <c r="N2535" s="115">
        <v>3604.2</v>
      </c>
      <c r="O2535" s="115">
        <v>3458</v>
      </c>
      <c r="P2535" s="115">
        <v>3492</v>
      </c>
      <c r="Q2535" s="115">
        <v>3524.3</v>
      </c>
      <c r="R2535">
        <v>134822</v>
      </c>
    </row>
    <row r="2536" spans="1:18" x14ac:dyDescent="0.25">
      <c r="A2536" s="169">
        <v>45736</v>
      </c>
      <c r="B2536" s="115">
        <v>3601.7</v>
      </c>
      <c r="C2536" s="115">
        <v>3523.6</v>
      </c>
      <c r="D2536" s="115">
        <v>3482.25</v>
      </c>
      <c r="E2536" s="115">
        <v>3500</v>
      </c>
      <c r="F2536" s="115">
        <v>3523.6</v>
      </c>
      <c r="G2536">
        <v>3890</v>
      </c>
      <c r="H2536" s="115"/>
      <c r="I2536" s="115"/>
      <c r="L2536" s="169">
        <v>45737</v>
      </c>
      <c r="M2536" s="115">
        <v>3649.15</v>
      </c>
      <c r="N2536" s="115">
        <v>3736.95</v>
      </c>
      <c r="O2536" s="115">
        <v>3458.75</v>
      </c>
      <c r="P2536" s="115">
        <v>3540</v>
      </c>
      <c r="Q2536" s="115">
        <v>3649.15</v>
      </c>
      <c r="R2536">
        <v>116692</v>
      </c>
    </row>
    <row r="2537" spans="1:18" x14ac:dyDescent="0.25">
      <c r="A2537" s="169">
        <v>45737</v>
      </c>
      <c r="B2537" s="115">
        <v>3737.3</v>
      </c>
      <c r="C2537" s="115">
        <v>3685</v>
      </c>
      <c r="D2537" s="115">
        <v>3455.85</v>
      </c>
      <c r="E2537" s="115">
        <v>3559.9</v>
      </c>
      <c r="F2537" s="115">
        <v>3685</v>
      </c>
      <c r="G2537">
        <v>5153</v>
      </c>
      <c r="H2537" s="115"/>
      <c r="I2537" s="115"/>
      <c r="L2537" s="169">
        <v>45740</v>
      </c>
      <c r="M2537" s="115">
        <v>3571.4</v>
      </c>
      <c r="N2537" s="115">
        <v>3655.75</v>
      </c>
      <c r="O2537" s="115">
        <v>3551.2</v>
      </c>
      <c r="P2537" s="115">
        <v>3575</v>
      </c>
      <c r="Q2537" s="115">
        <v>3571.4</v>
      </c>
      <c r="R2537">
        <v>52732</v>
      </c>
    </row>
    <row r="2538" spans="1:18" x14ac:dyDescent="0.25">
      <c r="A2538" s="169">
        <v>45740</v>
      </c>
      <c r="B2538" s="115">
        <v>3669.85</v>
      </c>
      <c r="C2538" s="115">
        <v>3573.5</v>
      </c>
      <c r="D2538" s="115">
        <v>3557</v>
      </c>
      <c r="E2538" s="115">
        <v>3669.85</v>
      </c>
      <c r="F2538" s="115">
        <v>3573.5</v>
      </c>
      <c r="G2538">
        <v>4525</v>
      </c>
      <c r="H2538" s="115"/>
      <c r="I2538" s="115"/>
      <c r="L2538" s="169">
        <v>45741</v>
      </c>
      <c r="M2538" s="115">
        <v>3493.4</v>
      </c>
      <c r="N2538" s="115">
        <v>3599</v>
      </c>
      <c r="O2538" s="115">
        <v>3466.05</v>
      </c>
      <c r="P2538" s="115">
        <v>3599</v>
      </c>
      <c r="Q2538" s="115">
        <v>3493.4</v>
      </c>
      <c r="R2538">
        <v>46838</v>
      </c>
    </row>
    <row r="2539" spans="1:18" x14ac:dyDescent="0.25">
      <c r="A2539" s="169">
        <v>45741</v>
      </c>
      <c r="B2539" s="115">
        <v>3578.45</v>
      </c>
      <c r="C2539" s="115">
        <v>3493</v>
      </c>
      <c r="D2539" s="115">
        <v>3468.35</v>
      </c>
      <c r="E2539" s="115">
        <v>3573.5</v>
      </c>
      <c r="F2539" s="115">
        <v>3493</v>
      </c>
      <c r="G2539">
        <v>2265</v>
      </c>
      <c r="H2539" s="115"/>
      <c r="I2539" s="115"/>
      <c r="L2539" s="169">
        <v>45742</v>
      </c>
      <c r="M2539" s="115">
        <v>3504.65</v>
      </c>
      <c r="N2539" s="115">
        <v>3599.9</v>
      </c>
      <c r="O2539" s="115">
        <v>3490</v>
      </c>
      <c r="P2539" s="115">
        <v>3525.95</v>
      </c>
      <c r="Q2539" s="115">
        <v>3504.65</v>
      </c>
      <c r="R2539">
        <v>50425</v>
      </c>
    </row>
    <row r="2540" spans="1:18" x14ac:dyDescent="0.25">
      <c r="A2540" s="169">
        <v>45742</v>
      </c>
      <c r="B2540" s="115">
        <v>3593.8</v>
      </c>
      <c r="C2540" s="115">
        <v>3507.45</v>
      </c>
      <c r="D2540" s="115">
        <v>3440.2</v>
      </c>
      <c r="E2540" s="115">
        <v>3440.2</v>
      </c>
      <c r="F2540" s="115">
        <v>3507.45</v>
      </c>
      <c r="G2540">
        <v>1647</v>
      </c>
      <c r="H2540" s="115"/>
      <c r="I2540" s="115"/>
      <c r="L2540" s="169">
        <v>45743</v>
      </c>
      <c r="M2540" s="115">
        <v>3409.1</v>
      </c>
      <c r="N2540" s="115">
        <v>3537.6</v>
      </c>
      <c r="O2540" s="115">
        <v>3362.4</v>
      </c>
      <c r="P2540" s="115">
        <v>3521.7</v>
      </c>
      <c r="Q2540" s="115">
        <v>3409.1</v>
      </c>
      <c r="R2540">
        <v>101909</v>
      </c>
    </row>
    <row r="2541" spans="1:18" x14ac:dyDescent="0.25">
      <c r="A2541" s="169">
        <v>45743</v>
      </c>
      <c r="B2541" s="115">
        <v>3530.2</v>
      </c>
      <c r="C2541" s="115">
        <v>3419.15</v>
      </c>
      <c r="D2541" s="115">
        <v>3363.95</v>
      </c>
      <c r="E2541" s="115">
        <v>3511</v>
      </c>
      <c r="F2541" s="115">
        <v>3419.15</v>
      </c>
      <c r="G2541">
        <v>4572</v>
      </c>
      <c r="H2541" s="115"/>
      <c r="I2541" s="115"/>
      <c r="L2541" s="169">
        <v>45744</v>
      </c>
      <c r="M2541" s="115">
        <v>3376.4</v>
      </c>
      <c r="N2541" s="115">
        <v>3460</v>
      </c>
      <c r="O2541" s="115">
        <v>3352.05</v>
      </c>
      <c r="P2541" s="115">
        <v>3400</v>
      </c>
      <c r="Q2541" s="115">
        <v>3376.4</v>
      </c>
      <c r="R2541">
        <v>55051</v>
      </c>
    </row>
    <row r="2542" spans="1:18" x14ac:dyDescent="0.25">
      <c r="A2542" s="169">
        <v>45744</v>
      </c>
      <c r="B2542" s="115">
        <v>3455</v>
      </c>
      <c r="C2542" s="115">
        <v>3370.3</v>
      </c>
      <c r="D2542" s="115">
        <v>3356.05</v>
      </c>
      <c r="E2542" s="115">
        <v>3424.95</v>
      </c>
      <c r="F2542" s="115">
        <v>3370.3</v>
      </c>
      <c r="G2542">
        <v>4086</v>
      </c>
      <c r="H2542" s="115"/>
      <c r="I2542" s="115"/>
      <c r="L2542" s="169">
        <v>45748</v>
      </c>
      <c r="M2542" s="115">
        <v>3254.35</v>
      </c>
      <c r="N2542" s="115">
        <v>3403.95</v>
      </c>
      <c r="O2542" s="115">
        <v>3202.35</v>
      </c>
      <c r="P2542" s="115">
        <v>3376</v>
      </c>
      <c r="Q2542" s="115">
        <v>3254.35</v>
      </c>
      <c r="R2542">
        <v>172595</v>
      </c>
    </row>
    <row r="2543" spans="1:18" x14ac:dyDescent="0.25">
      <c r="A2543" s="169">
        <v>45748</v>
      </c>
      <c r="B2543" s="115">
        <v>3392.85</v>
      </c>
      <c r="C2543" s="115">
        <v>3267.25</v>
      </c>
      <c r="D2543" s="115">
        <v>3203.9</v>
      </c>
      <c r="E2543" s="115">
        <v>3323</v>
      </c>
      <c r="F2543" s="115">
        <v>3267.25</v>
      </c>
      <c r="G2543">
        <v>1214</v>
      </c>
      <c r="H2543" s="115"/>
      <c r="I2543" s="115"/>
      <c r="L2543" s="169">
        <v>45749</v>
      </c>
      <c r="M2543" s="115">
        <v>3301.75</v>
      </c>
      <c r="N2543" s="115">
        <v>3313</v>
      </c>
      <c r="O2543" s="115">
        <v>3241.7</v>
      </c>
      <c r="P2543" s="115">
        <v>3289.6</v>
      </c>
      <c r="Q2543" s="115">
        <v>3301.75</v>
      </c>
      <c r="R2543">
        <v>48940</v>
      </c>
    </row>
    <row r="2544" spans="1:18" x14ac:dyDescent="0.25">
      <c r="A2544" s="169">
        <v>45749</v>
      </c>
      <c r="B2544" s="115">
        <v>3310.95</v>
      </c>
      <c r="C2544" s="115">
        <v>3303.6</v>
      </c>
      <c r="D2544" s="115">
        <v>3246.55</v>
      </c>
      <c r="E2544" s="115">
        <v>3307.2</v>
      </c>
      <c r="F2544" s="115">
        <v>3303.6</v>
      </c>
      <c r="G2544">
        <v>1477</v>
      </c>
      <c r="H2544" s="115"/>
      <c r="I2544" s="115"/>
      <c r="L2544" s="169">
        <v>45750</v>
      </c>
      <c r="M2544" s="115">
        <v>3287.25</v>
      </c>
      <c r="N2544" s="115">
        <v>3324.95</v>
      </c>
      <c r="O2544" s="115">
        <v>3215</v>
      </c>
      <c r="P2544" s="115">
        <v>3215</v>
      </c>
      <c r="Q2544" s="115">
        <v>3287.25</v>
      </c>
      <c r="R2544">
        <v>28966</v>
      </c>
    </row>
    <row r="2545" spans="1:18" x14ac:dyDescent="0.25">
      <c r="A2545" s="169">
        <v>45750</v>
      </c>
      <c r="B2545" s="115">
        <v>3325.95</v>
      </c>
      <c r="C2545" s="115">
        <v>3286.75</v>
      </c>
      <c r="D2545" s="115">
        <v>3236</v>
      </c>
      <c r="E2545" s="115">
        <v>3236</v>
      </c>
      <c r="F2545" s="115">
        <v>3286.75</v>
      </c>
      <c r="G2545">
        <v>1405</v>
      </c>
      <c r="H2545" s="115"/>
      <c r="I2545" s="115"/>
      <c r="L2545" s="169">
        <v>45751</v>
      </c>
      <c r="M2545" s="115">
        <v>3133.3</v>
      </c>
      <c r="N2545" s="115">
        <v>3308.3</v>
      </c>
      <c r="O2545" s="115">
        <v>3111</v>
      </c>
      <c r="P2545" s="115">
        <v>3288.05</v>
      </c>
      <c r="Q2545" s="115">
        <v>3133.3</v>
      </c>
      <c r="R2545">
        <v>33825</v>
      </c>
    </row>
    <row r="2546" spans="1:18" x14ac:dyDescent="0.25">
      <c r="A2546" s="169">
        <v>45751</v>
      </c>
      <c r="B2546" s="115">
        <v>3276.7</v>
      </c>
      <c r="C2546" s="115">
        <v>3130.05</v>
      </c>
      <c r="D2546" s="115">
        <v>3112</v>
      </c>
      <c r="E2546" s="115">
        <v>3220.4</v>
      </c>
      <c r="F2546" s="115">
        <v>3130.05</v>
      </c>
      <c r="G2546">
        <v>986</v>
      </c>
      <c r="H2546" s="115"/>
      <c r="I2546" s="115"/>
      <c r="L2546" s="169">
        <v>45754</v>
      </c>
      <c r="M2546" s="115">
        <v>2994.9</v>
      </c>
      <c r="N2546" s="115">
        <v>3033</v>
      </c>
      <c r="O2546" s="115">
        <v>2823</v>
      </c>
      <c r="P2546" s="115">
        <v>2851.05</v>
      </c>
      <c r="Q2546" s="115">
        <v>2994.9</v>
      </c>
      <c r="R2546">
        <v>38086</v>
      </c>
    </row>
    <row r="2547" spans="1:18" x14ac:dyDescent="0.25">
      <c r="A2547" s="169">
        <v>45754</v>
      </c>
      <c r="B2547" s="115">
        <v>3024.55</v>
      </c>
      <c r="C2547" s="115">
        <v>2993.55</v>
      </c>
      <c r="D2547" s="115">
        <v>2851</v>
      </c>
      <c r="E2547" s="115">
        <v>2900.05</v>
      </c>
      <c r="F2547" s="115">
        <v>2993.55</v>
      </c>
      <c r="G2547">
        <v>1594</v>
      </c>
      <c r="H2547" s="115"/>
      <c r="I2547" s="115"/>
      <c r="L2547" s="169">
        <v>45755</v>
      </c>
      <c r="M2547" s="115">
        <v>3070.85</v>
      </c>
      <c r="N2547" s="115">
        <v>3128.8</v>
      </c>
      <c r="O2547" s="115">
        <v>2970</v>
      </c>
      <c r="P2547" s="115">
        <v>3023</v>
      </c>
      <c r="Q2547" s="115">
        <v>3070.85</v>
      </c>
      <c r="R2547">
        <v>76492</v>
      </c>
    </row>
    <row r="2548" spans="1:18" x14ac:dyDescent="0.25">
      <c r="A2548" s="169">
        <v>45755</v>
      </c>
      <c r="B2548" s="115">
        <v>3237.95</v>
      </c>
      <c r="C2548" s="115">
        <v>3075.55</v>
      </c>
      <c r="D2548" s="115">
        <v>2970.05</v>
      </c>
      <c r="E2548" s="115">
        <v>3237.95</v>
      </c>
      <c r="F2548" s="115">
        <v>3075.55</v>
      </c>
      <c r="G2548">
        <v>1274</v>
      </c>
      <c r="H2548" s="115"/>
      <c r="I2548" s="115"/>
      <c r="L2548" s="169">
        <v>45756</v>
      </c>
      <c r="M2548" s="115">
        <v>2983.25</v>
      </c>
      <c r="N2548" s="115">
        <v>3068</v>
      </c>
      <c r="O2548" s="115">
        <v>2976.15</v>
      </c>
      <c r="P2548" s="115">
        <v>3068</v>
      </c>
      <c r="Q2548" s="115">
        <v>2983.25</v>
      </c>
      <c r="R2548">
        <v>36081</v>
      </c>
    </row>
    <row r="2549" spans="1:18" x14ac:dyDescent="0.25">
      <c r="A2549" s="169">
        <v>45756</v>
      </c>
      <c r="B2549" s="115">
        <v>3055.2</v>
      </c>
      <c r="C2549" s="115">
        <v>2981.1</v>
      </c>
      <c r="D2549" s="115">
        <v>2975</v>
      </c>
      <c r="E2549" s="115">
        <v>3001.1</v>
      </c>
      <c r="F2549" s="115">
        <v>2981.1</v>
      </c>
      <c r="G2549">
        <v>1712</v>
      </c>
      <c r="H2549" s="115"/>
      <c r="I2549" s="115"/>
      <c r="L2549" s="169">
        <v>45758</v>
      </c>
      <c r="M2549" s="115">
        <v>3042.65</v>
      </c>
      <c r="N2549" s="115">
        <v>3062.95</v>
      </c>
      <c r="O2549" s="115">
        <v>2975</v>
      </c>
      <c r="P2549" s="115">
        <v>3011.8</v>
      </c>
      <c r="Q2549" s="115">
        <v>3042.65</v>
      </c>
      <c r="R2549">
        <v>126205</v>
      </c>
    </row>
    <row r="2550" spans="1:18" x14ac:dyDescent="0.25">
      <c r="A2550" s="169">
        <v>45758</v>
      </c>
      <c r="B2550" s="115">
        <v>3062.35</v>
      </c>
      <c r="C2550" s="115">
        <v>3042.1</v>
      </c>
      <c r="D2550" s="115">
        <v>2980</v>
      </c>
      <c r="E2550" s="115">
        <v>2982.15</v>
      </c>
      <c r="F2550" s="115">
        <v>3042.1</v>
      </c>
      <c r="G2550">
        <v>986</v>
      </c>
      <c r="H2550" s="115"/>
      <c r="I2550" s="115"/>
      <c r="L2550" s="169">
        <v>45762</v>
      </c>
      <c r="M2550" s="115">
        <v>3137.6</v>
      </c>
      <c r="N2550" s="115">
        <v>3159.3</v>
      </c>
      <c r="O2550" s="115">
        <v>3060</v>
      </c>
      <c r="P2550" s="115">
        <v>3060</v>
      </c>
      <c r="Q2550" s="115">
        <v>3137.6</v>
      </c>
      <c r="R2550">
        <v>40228</v>
      </c>
    </row>
    <row r="2551" spans="1:18" x14ac:dyDescent="0.25">
      <c r="A2551" s="169">
        <v>45762</v>
      </c>
      <c r="B2551" s="115">
        <v>3155.6</v>
      </c>
      <c r="C2551" s="115">
        <v>3143.95</v>
      </c>
      <c r="D2551" s="115">
        <v>3096</v>
      </c>
      <c r="E2551" s="115">
        <v>3110.9</v>
      </c>
      <c r="F2551" s="115">
        <v>3143.95</v>
      </c>
      <c r="G2551">
        <v>612</v>
      </c>
      <c r="H2551" s="115"/>
      <c r="I2551" s="115"/>
      <c r="L2551" s="169">
        <v>45763</v>
      </c>
      <c r="M2551" s="115">
        <v>3195.2</v>
      </c>
      <c r="N2551" s="115">
        <v>3205</v>
      </c>
      <c r="O2551" s="115">
        <v>3132.8</v>
      </c>
      <c r="P2551" s="115">
        <v>3148.4</v>
      </c>
      <c r="Q2551" s="115">
        <v>3195.2</v>
      </c>
      <c r="R2551">
        <v>81781</v>
      </c>
    </row>
    <row r="2552" spans="1:18" x14ac:dyDescent="0.25">
      <c r="A2552" s="169">
        <v>45763</v>
      </c>
      <c r="B2552" s="115">
        <v>3200</v>
      </c>
      <c r="C2552" s="115">
        <v>3190.8</v>
      </c>
      <c r="D2552" s="115">
        <v>3139.55</v>
      </c>
      <c r="E2552" s="115">
        <v>3194.8</v>
      </c>
      <c r="F2552" s="115">
        <v>3190.8</v>
      </c>
      <c r="G2552">
        <v>1942</v>
      </c>
      <c r="H2552" s="115"/>
      <c r="I2552" s="115"/>
      <c r="L2552" s="169">
        <v>45764</v>
      </c>
      <c r="M2552" s="115">
        <v>3262.5</v>
      </c>
      <c r="N2552" s="115">
        <v>3287.6</v>
      </c>
      <c r="O2552" s="115">
        <v>3164.2</v>
      </c>
      <c r="P2552" s="115">
        <v>3200</v>
      </c>
      <c r="Q2552" s="115">
        <v>3262.5</v>
      </c>
      <c r="R2552">
        <v>47414</v>
      </c>
    </row>
    <row r="2553" spans="1:18" x14ac:dyDescent="0.25">
      <c r="A2553" s="169">
        <v>45764</v>
      </c>
      <c r="B2553" s="115">
        <v>3289.3</v>
      </c>
      <c r="C2553" s="115">
        <v>3255.75</v>
      </c>
      <c r="D2553" s="115">
        <v>3166.45</v>
      </c>
      <c r="E2553" s="115">
        <v>3249.95</v>
      </c>
      <c r="F2553" s="115">
        <v>3255.75</v>
      </c>
      <c r="G2553">
        <v>816</v>
      </c>
      <c r="H2553" s="115"/>
      <c r="I2553" s="115"/>
      <c r="L2553" s="169">
        <v>45768</v>
      </c>
      <c r="M2553" s="115">
        <v>3290.1</v>
      </c>
      <c r="N2553" s="115">
        <v>3324.5</v>
      </c>
      <c r="O2553" s="115">
        <v>3250.8</v>
      </c>
      <c r="P2553" s="115">
        <v>3288</v>
      </c>
      <c r="Q2553" s="115">
        <v>3290.1</v>
      </c>
      <c r="R2553">
        <v>64440</v>
      </c>
    </row>
    <row r="2554" spans="1:18" x14ac:dyDescent="0.25">
      <c r="A2554" s="169">
        <v>45768</v>
      </c>
      <c r="B2554" s="115">
        <v>3323.95</v>
      </c>
      <c r="C2554" s="115">
        <v>3286.25</v>
      </c>
      <c r="D2554" s="115">
        <v>3254.5</v>
      </c>
      <c r="E2554" s="115">
        <v>3294.5</v>
      </c>
      <c r="F2554" s="115">
        <v>3286.25</v>
      </c>
      <c r="G2554">
        <v>3229</v>
      </c>
      <c r="H2554" s="115"/>
      <c r="I2554" s="115"/>
      <c r="L2554" s="169">
        <v>45769</v>
      </c>
      <c r="M2554" s="115">
        <v>3336.2</v>
      </c>
      <c r="N2554" s="115">
        <v>3345</v>
      </c>
      <c r="O2554" s="115">
        <v>3255.1</v>
      </c>
      <c r="P2554" s="115">
        <v>3316.8</v>
      </c>
      <c r="Q2554" s="115">
        <v>3336.2</v>
      </c>
      <c r="R2554">
        <v>67289</v>
      </c>
    </row>
    <row r="2555" spans="1:18" x14ac:dyDescent="0.25">
      <c r="A2555" s="169">
        <v>45769</v>
      </c>
      <c r="B2555" s="115">
        <v>3347.2</v>
      </c>
      <c r="C2555" s="115">
        <v>3336.55</v>
      </c>
      <c r="D2555" s="115">
        <v>3260</v>
      </c>
      <c r="E2555" s="115">
        <v>3313.7</v>
      </c>
      <c r="F2555" s="115">
        <v>3336.55</v>
      </c>
      <c r="G2555">
        <v>986</v>
      </c>
      <c r="H2555" s="115"/>
      <c r="I2555" s="115"/>
      <c r="L2555" s="169">
        <v>45770</v>
      </c>
      <c r="M2555" s="115">
        <v>3281.6</v>
      </c>
      <c r="N2555" s="115">
        <v>3346.7</v>
      </c>
      <c r="O2555" s="115">
        <v>3214</v>
      </c>
      <c r="P2555" s="115">
        <v>3315</v>
      </c>
      <c r="Q2555" s="115">
        <v>3281.6</v>
      </c>
      <c r="R2555">
        <v>61736</v>
      </c>
    </row>
    <row r="2556" spans="1:18" x14ac:dyDescent="0.25">
      <c r="A2556" s="169">
        <v>45770</v>
      </c>
      <c r="B2556" s="115">
        <v>3349.55</v>
      </c>
      <c r="C2556" s="115">
        <v>3282.65</v>
      </c>
      <c r="D2556" s="115">
        <v>3220</v>
      </c>
      <c r="E2556" s="115">
        <v>3301.8</v>
      </c>
      <c r="F2556" s="115">
        <v>3282.65</v>
      </c>
      <c r="G2556">
        <v>2928</v>
      </c>
      <c r="H2556" s="115"/>
      <c r="I2556" s="115"/>
      <c r="L2556" s="169">
        <v>45771</v>
      </c>
      <c r="M2556" s="115">
        <v>3308.5</v>
      </c>
      <c r="N2556" s="115">
        <v>3339</v>
      </c>
      <c r="O2556" s="115">
        <v>3249.6</v>
      </c>
      <c r="P2556" s="115">
        <v>3252</v>
      </c>
      <c r="Q2556" s="115">
        <v>3308.5</v>
      </c>
      <c r="R2556">
        <v>47110</v>
      </c>
    </row>
    <row r="2557" spans="1:18" x14ac:dyDescent="0.25">
      <c r="A2557" s="169">
        <v>45771</v>
      </c>
      <c r="B2557" s="115">
        <v>3333</v>
      </c>
      <c r="C2557" s="115">
        <v>3304.05</v>
      </c>
      <c r="D2557" s="115">
        <v>3250</v>
      </c>
      <c r="E2557" s="115">
        <v>3255</v>
      </c>
      <c r="F2557" s="115">
        <v>3304.05</v>
      </c>
      <c r="G2557">
        <v>2132</v>
      </c>
      <c r="H2557" s="115"/>
      <c r="I2557" s="115"/>
      <c r="L2557" s="169">
        <v>45772</v>
      </c>
      <c r="M2557" s="115">
        <v>3194.2</v>
      </c>
      <c r="N2557" s="115">
        <v>3332.3</v>
      </c>
      <c r="O2557" s="115">
        <v>3165</v>
      </c>
      <c r="P2557" s="115">
        <v>3316.9</v>
      </c>
      <c r="Q2557" s="115">
        <v>3194.2</v>
      </c>
      <c r="R2557">
        <v>42607</v>
      </c>
    </row>
    <row r="2558" spans="1:18" x14ac:dyDescent="0.25">
      <c r="A2558" s="169">
        <v>45772</v>
      </c>
      <c r="B2558" s="115">
        <v>3305.05</v>
      </c>
      <c r="C2558" s="115">
        <v>3200.05</v>
      </c>
      <c r="D2558" s="115">
        <v>3166.05</v>
      </c>
      <c r="E2558" s="115">
        <v>3305.05</v>
      </c>
      <c r="F2558" s="115">
        <v>3200.05</v>
      </c>
      <c r="G2558">
        <v>1045</v>
      </c>
      <c r="H2558" s="115"/>
      <c r="I2558" s="115"/>
      <c r="L2558" s="169">
        <v>45775</v>
      </c>
      <c r="M2558" s="115">
        <v>3287.8</v>
      </c>
      <c r="N2558" s="115">
        <v>3297.9</v>
      </c>
      <c r="O2558" s="115">
        <v>3158.4</v>
      </c>
      <c r="P2558" s="115">
        <v>3166.5</v>
      </c>
      <c r="Q2558" s="115">
        <v>3287.8</v>
      </c>
      <c r="R2558">
        <v>48072</v>
      </c>
    </row>
    <row r="2559" spans="1:18" x14ac:dyDescent="0.25">
      <c r="A2559" s="169">
        <v>45775</v>
      </c>
      <c r="B2559" s="115">
        <v>3297.1</v>
      </c>
      <c r="C2559" s="115">
        <v>3289.2</v>
      </c>
      <c r="D2559" s="115">
        <v>3138.6</v>
      </c>
      <c r="E2559" s="115">
        <v>3138.6</v>
      </c>
      <c r="F2559" s="115">
        <v>3289.2</v>
      </c>
      <c r="G2559">
        <v>2607</v>
      </c>
      <c r="H2559" s="115"/>
      <c r="I2559" s="115"/>
      <c r="L2559" s="169">
        <v>45776</v>
      </c>
      <c r="M2559" s="115">
        <v>3282.8</v>
      </c>
      <c r="N2559" s="115">
        <v>3330.3</v>
      </c>
      <c r="O2559" s="115">
        <v>3240.1</v>
      </c>
      <c r="P2559" s="115">
        <v>3297.9</v>
      </c>
      <c r="Q2559" s="115">
        <v>3282.8</v>
      </c>
      <c r="R2559">
        <v>45851</v>
      </c>
    </row>
    <row r="2560" spans="1:18" x14ac:dyDescent="0.25">
      <c r="A2560" s="169">
        <v>45776</v>
      </c>
      <c r="B2560" s="115">
        <v>3330</v>
      </c>
      <c r="C2560" s="115">
        <v>3280.7</v>
      </c>
      <c r="D2560" s="115">
        <v>3238.65</v>
      </c>
      <c r="E2560" s="115">
        <v>3250.6</v>
      </c>
      <c r="F2560" s="115">
        <v>3280.7</v>
      </c>
      <c r="G2560">
        <v>2398</v>
      </c>
      <c r="H2560" s="115"/>
      <c r="I2560" s="115"/>
      <c r="L2560" s="169">
        <v>45777</v>
      </c>
      <c r="M2560" s="115">
        <v>3472.9</v>
      </c>
      <c r="N2560" s="115">
        <v>3566</v>
      </c>
      <c r="O2560" s="115">
        <v>3287.5</v>
      </c>
      <c r="P2560" s="115">
        <v>3320</v>
      </c>
      <c r="Q2560" s="115">
        <v>3472.9</v>
      </c>
      <c r="R2560">
        <v>1343178</v>
      </c>
    </row>
    <row r="2561" spans="1:18" x14ac:dyDescent="0.25">
      <c r="A2561" s="169">
        <v>45777</v>
      </c>
      <c r="B2561" s="115">
        <v>3564</v>
      </c>
      <c r="C2561" s="115">
        <v>3473.45</v>
      </c>
      <c r="D2561" s="115">
        <v>3291.6</v>
      </c>
      <c r="E2561" s="115">
        <v>3339</v>
      </c>
      <c r="F2561" s="115">
        <v>3473.45</v>
      </c>
      <c r="G2561">
        <v>40667</v>
      </c>
      <c r="H2561" s="115"/>
      <c r="I2561" s="115"/>
      <c r="L2561" s="169">
        <v>45779</v>
      </c>
      <c r="M2561" s="115">
        <v>3549.4</v>
      </c>
      <c r="N2561" s="115">
        <v>3557.5</v>
      </c>
      <c r="O2561" s="115">
        <v>3423.9</v>
      </c>
      <c r="P2561" s="115">
        <v>3472.9</v>
      </c>
      <c r="Q2561" s="115">
        <v>3549.4</v>
      </c>
      <c r="R2561">
        <v>203131</v>
      </c>
    </row>
    <row r="2562" spans="1:18" x14ac:dyDescent="0.25">
      <c r="A2562" s="169">
        <v>45779</v>
      </c>
      <c r="B2562" s="115">
        <v>3555.5</v>
      </c>
      <c r="C2562" s="115">
        <v>3546.45</v>
      </c>
      <c r="D2562" s="115">
        <v>3427.6</v>
      </c>
      <c r="E2562" s="115">
        <v>3473.45</v>
      </c>
      <c r="F2562" s="115">
        <v>3546.45</v>
      </c>
      <c r="G2562">
        <v>6268</v>
      </c>
      <c r="H2562" s="115"/>
      <c r="I2562" s="115"/>
      <c r="L2562" s="169">
        <v>45782</v>
      </c>
      <c r="M2562" s="115">
        <v>3573.1</v>
      </c>
      <c r="N2562" s="115">
        <v>3607</v>
      </c>
      <c r="O2562" s="115">
        <v>3508</v>
      </c>
      <c r="P2562" s="115">
        <v>3579.9</v>
      </c>
      <c r="Q2562" s="115">
        <v>3573.1</v>
      </c>
      <c r="R2562">
        <v>80653</v>
      </c>
    </row>
    <row r="2563" spans="1:18" x14ac:dyDescent="0.25">
      <c r="A2563" s="169">
        <v>45782</v>
      </c>
      <c r="B2563" s="115">
        <v>3607.35</v>
      </c>
      <c r="C2563" s="115">
        <v>3572.65</v>
      </c>
      <c r="D2563" s="115">
        <v>3518.6</v>
      </c>
      <c r="E2563" s="115">
        <v>3550.25</v>
      </c>
      <c r="F2563" s="115">
        <v>3572.65</v>
      </c>
      <c r="G2563">
        <v>1976</v>
      </c>
      <c r="H2563" s="115"/>
      <c r="I2563" s="115"/>
      <c r="L2563" s="169">
        <v>45783</v>
      </c>
      <c r="M2563" s="115">
        <v>3575.8</v>
      </c>
      <c r="N2563" s="115">
        <v>3590.1</v>
      </c>
      <c r="O2563" s="115">
        <v>3528.2</v>
      </c>
      <c r="P2563" s="115">
        <v>3567.4</v>
      </c>
      <c r="Q2563" s="115">
        <v>3575.8</v>
      </c>
      <c r="R2563">
        <v>61943</v>
      </c>
    </row>
    <row r="2564" spans="1:18" x14ac:dyDescent="0.25">
      <c r="A2564" s="169">
        <v>45783</v>
      </c>
      <c r="B2564" s="115">
        <v>3587.15</v>
      </c>
      <c r="C2564" s="115">
        <v>3576.4</v>
      </c>
      <c r="D2564" s="115">
        <v>3534.5</v>
      </c>
      <c r="E2564" s="115">
        <v>3561.25</v>
      </c>
      <c r="F2564" s="115">
        <v>3576.4</v>
      </c>
      <c r="G2564">
        <v>1054</v>
      </c>
      <c r="H2564" s="115"/>
      <c r="I2564" s="115"/>
      <c r="L2564" s="169">
        <v>45784</v>
      </c>
      <c r="M2564" s="115">
        <v>3621.4</v>
      </c>
      <c r="N2564" s="115">
        <v>3674.9</v>
      </c>
      <c r="O2564" s="115">
        <v>3513.6</v>
      </c>
      <c r="P2564" s="115">
        <v>3530</v>
      </c>
      <c r="Q2564" s="115">
        <v>3621.4</v>
      </c>
      <c r="R2564">
        <v>127298</v>
      </c>
    </row>
    <row r="2565" spans="1:18" x14ac:dyDescent="0.25">
      <c r="A2565" s="169">
        <v>45784</v>
      </c>
      <c r="B2565" s="115">
        <v>3670</v>
      </c>
      <c r="C2565" s="115">
        <v>3625.55</v>
      </c>
      <c r="D2565" s="115">
        <v>3402.75</v>
      </c>
      <c r="E2565" s="115">
        <v>3402.75</v>
      </c>
      <c r="F2565" s="115">
        <v>3625.55</v>
      </c>
      <c r="G2565">
        <v>6406</v>
      </c>
      <c r="H2565" s="115"/>
      <c r="I2565" s="115"/>
      <c r="L2565" s="169">
        <v>45785</v>
      </c>
      <c r="M2565" s="115">
        <v>3692.7</v>
      </c>
      <c r="N2565" s="115">
        <v>3750</v>
      </c>
      <c r="O2565" s="115">
        <v>3611.5</v>
      </c>
      <c r="P2565" s="115">
        <v>3666.4</v>
      </c>
      <c r="Q2565" s="115">
        <v>3692.7</v>
      </c>
      <c r="R2565">
        <v>86922</v>
      </c>
    </row>
    <row r="2566" spans="1:18" x14ac:dyDescent="0.25">
      <c r="A2566" s="169">
        <v>45785</v>
      </c>
      <c r="B2566" s="115">
        <v>3748.1</v>
      </c>
      <c r="C2566" s="115">
        <v>3687.9</v>
      </c>
      <c r="D2566" s="115">
        <v>3612.05</v>
      </c>
      <c r="E2566" s="115">
        <v>3628.95</v>
      </c>
      <c r="F2566" s="115">
        <v>3687.9</v>
      </c>
      <c r="G2566">
        <v>6703</v>
      </c>
      <c r="H2566" s="115"/>
      <c r="I2566" s="115"/>
      <c r="L2566" s="169">
        <v>45786</v>
      </c>
      <c r="M2566" s="115">
        <v>3701.5</v>
      </c>
      <c r="N2566" s="115">
        <v>3727.2</v>
      </c>
      <c r="O2566" s="115">
        <v>3584</v>
      </c>
      <c r="P2566" s="115">
        <v>3620</v>
      </c>
      <c r="Q2566" s="115">
        <v>3701.5</v>
      </c>
      <c r="R2566">
        <v>91180</v>
      </c>
    </row>
    <row r="2567" spans="1:18" x14ac:dyDescent="0.25">
      <c r="A2567" s="169">
        <v>45786</v>
      </c>
      <c r="B2567" s="115">
        <v>3725</v>
      </c>
      <c r="C2567" s="115">
        <v>3703.95</v>
      </c>
      <c r="D2567" s="115">
        <v>3555.05</v>
      </c>
      <c r="E2567" s="115">
        <v>3555.05</v>
      </c>
      <c r="F2567" s="115">
        <v>3703.95</v>
      </c>
      <c r="G2567">
        <v>3017</v>
      </c>
      <c r="H2567" s="115"/>
      <c r="I2567" s="115"/>
      <c r="L2567" s="169">
        <v>45789</v>
      </c>
      <c r="M2567" s="115">
        <v>3731.6</v>
      </c>
      <c r="N2567" s="115">
        <v>3775</v>
      </c>
      <c r="O2567" s="115">
        <v>3680</v>
      </c>
      <c r="P2567" s="115">
        <v>3745.5</v>
      </c>
      <c r="Q2567" s="115">
        <v>3731.6</v>
      </c>
      <c r="R2567">
        <v>53395</v>
      </c>
    </row>
    <row r="2568" spans="1:18" x14ac:dyDescent="0.25">
      <c r="A2568" s="169">
        <v>45789</v>
      </c>
      <c r="B2568" s="115">
        <v>3766.4</v>
      </c>
      <c r="C2568" s="115">
        <v>3728.35</v>
      </c>
      <c r="D2568" s="115">
        <v>3682.4</v>
      </c>
      <c r="E2568" s="115">
        <v>3735.95</v>
      </c>
      <c r="F2568" s="115">
        <v>3728.35</v>
      </c>
      <c r="G2568">
        <v>4125</v>
      </c>
      <c r="H2568" s="115"/>
      <c r="I2568" s="115"/>
      <c r="L2568" s="169">
        <v>45790</v>
      </c>
      <c r="M2568" s="115">
        <v>3951.9</v>
      </c>
      <c r="N2568" s="115">
        <v>3993</v>
      </c>
      <c r="O2568" s="115">
        <v>3710.2</v>
      </c>
      <c r="P2568" s="115">
        <v>3750</v>
      </c>
      <c r="Q2568" s="115">
        <v>3951.9</v>
      </c>
      <c r="R2568">
        <v>334664</v>
      </c>
    </row>
    <row r="2569" spans="1:18" x14ac:dyDescent="0.25">
      <c r="A2569" s="169">
        <v>45790</v>
      </c>
      <c r="B2569" s="115">
        <v>3994.45</v>
      </c>
      <c r="C2569" s="115">
        <v>3951.35</v>
      </c>
      <c r="D2569" s="115">
        <v>3706.05</v>
      </c>
      <c r="E2569" s="115">
        <v>3711.1</v>
      </c>
      <c r="F2569" s="115">
        <v>3951.35</v>
      </c>
      <c r="G2569">
        <v>6381</v>
      </c>
      <c r="H2569" s="115"/>
      <c r="I2569" s="115"/>
      <c r="L2569" s="169">
        <v>45791</v>
      </c>
      <c r="M2569" s="115">
        <v>3929.7</v>
      </c>
      <c r="N2569" s="115">
        <v>4100</v>
      </c>
      <c r="O2569" s="115">
        <v>3900</v>
      </c>
      <c r="P2569" s="115">
        <v>3990</v>
      </c>
      <c r="Q2569" s="115">
        <v>3929.7</v>
      </c>
      <c r="R2569">
        <v>147091</v>
      </c>
    </row>
    <row r="2570" spans="1:18" x14ac:dyDescent="0.25">
      <c r="A2570" s="169">
        <v>45791</v>
      </c>
      <c r="B2570" s="115">
        <v>4035.45</v>
      </c>
      <c r="C2570" s="115">
        <v>3925.85</v>
      </c>
      <c r="D2570" s="115">
        <v>3911.3</v>
      </c>
      <c r="E2570" s="115">
        <v>3998.95</v>
      </c>
      <c r="F2570" s="115">
        <v>3925.85</v>
      </c>
      <c r="G2570">
        <v>2587</v>
      </c>
      <c r="H2570" s="115"/>
      <c r="I2570" s="115"/>
      <c r="L2570" s="169">
        <v>45792</v>
      </c>
      <c r="M2570" s="115">
        <v>3939.9</v>
      </c>
      <c r="N2570" s="115">
        <v>3974</v>
      </c>
      <c r="O2570" s="115">
        <v>3853.2</v>
      </c>
      <c r="P2570" s="115">
        <v>3909</v>
      </c>
      <c r="Q2570" s="115">
        <v>3939.9</v>
      </c>
      <c r="R2570">
        <v>62391</v>
      </c>
    </row>
    <row r="2571" spans="1:18" x14ac:dyDescent="0.25">
      <c r="A2571" s="169">
        <v>45792</v>
      </c>
      <c r="B2571" s="115">
        <v>3973.95</v>
      </c>
      <c r="C2571" s="115">
        <v>3941.5</v>
      </c>
      <c r="D2571" s="115">
        <v>3865</v>
      </c>
      <c r="E2571" s="115">
        <v>3925.9</v>
      </c>
      <c r="F2571" s="115">
        <v>3941.5</v>
      </c>
      <c r="G2571">
        <v>997</v>
      </c>
      <c r="H2571" s="115"/>
      <c r="I2571" s="115"/>
      <c r="L2571" s="169">
        <v>45793</v>
      </c>
      <c r="M2571" s="115">
        <v>4085.3</v>
      </c>
      <c r="N2571" s="115">
        <v>4142.7</v>
      </c>
      <c r="O2571" s="115">
        <v>3890.2</v>
      </c>
      <c r="P2571" s="115">
        <v>3942.6</v>
      </c>
      <c r="Q2571" s="115">
        <v>4085.3</v>
      </c>
      <c r="R2571">
        <v>107014</v>
      </c>
    </row>
    <row r="2572" spans="1:18" x14ac:dyDescent="0.25">
      <c r="A2572" s="169">
        <v>45793</v>
      </c>
      <c r="B2572" s="115">
        <v>4130</v>
      </c>
      <c r="C2572" s="115">
        <v>4074.75</v>
      </c>
      <c r="D2572" s="115">
        <v>3896.5</v>
      </c>
      <c r="E2572" s="115">
        <v>3920.15</v>
      </c>
      <c r="F2572" s="115">
        <v>4074.75</v>
      </c>
      <c r="G2572">
        <v>8455</v>
      </c>
      <c r="H2572" s="115"/>
      <c r="I2572" s="115"/>
      <c r="L2572" s="169">
        <v>45796</v>
      </c>
      <c r="M2572" s="115">
        <v>4140</v>
      </c>
      <c r="N2572" s="115">
        <v>4268</v>
      </c>
      <c r="O2572" s="115">
        <v>3980</v>
      </c>
      <c r="P2572" s="115">
        <v>4085.3</v>
      </c>
      <c r="Q2572" s="115">
        <v>4140</v>
      </c>
      <c r="R2572">
        <v>92924</v>
      </c>
    </row>
    <row r="2573" spans="1:18" x14ac:dyDescent="0.25">
      <c r="A2573" s="169">
        <v>45796</v>
      </c>
      <c r="B2573" s="115">
        <v>4267.8500000000004</v>
      </c>
      <c r="C2573" s="115">
        <v>4183.25</v>
      </c>
      <c r="D2573" s="115">
        <v>3980.5</v>
      </c>
      <c r="E2573" s="115">
        <v>4099.95</v>
      </c>
      <c r="F2573" s="115">
        <v>4183.25</v>
      </c>
      <c r="G2573">
        <v>4353</v>
      </c>
      <c r="H2573" s="115"/>
      <c r="I2573" s="115"/>
      <c r="L2573" s="169">
        <v>45797</v>
      </c>
      <c r="M2573" s="115">
        <v>4033.3</v>
      </c>
      <c r="N2573" s="115">
        <v>4195.2</v>
      </c>
      <c r="O2573" s="115">
        <v>3990</v>
      </c>
      <c r="P2573" s="115">
        <v>4195.2</v>
      </c>
      <c r="Q2573" s="115">
        <v>4033.3</v>
      </c>
      <c r="R2573">
        <v>217974</v>
      </c>
    </row>
    <row r="2574" spans="1:18" x14ac:dyDescent="0.25">
      <c r="A2574" s="169">
        <v>45797</v>
      </c>
      <c r="B2574" s="115">
        <v>4200</v>
      </c>
      <c r="C2574" s="115">
        <v>4027.4</v>
      </c>
      <c r="D2574" s="115">
        <v>3988.8</v>
      </c>
      <c r="E2574" s="115">
        <v>4200</v>
      </c>
      <c r="F2574" s="115">
        <v>4027.4</v>
      </c>
      <c r="G2574">
        <v>5567</v>
      </c>
      <c r="H2574" s="115"/>
      <c r="I2574" s="115"/>
      <c r="L2574" s="169">
        <v>45798</v>
      </c>
      <c r="M2574" s="115">
        <v>4096.5</v>
      </c>
      <c r="N2574" s="115">
        <v>4143.6000000000004</v>
      </c>
      <c r="O2574" s="115">
        <v>3946.2</v>
      </c>
      <c r="P2574" s="115">
        <v>3989</v>
      </c>
      <c r="Q2574" s="115">
        <v>4096.5</v>
      </c>
      <c r="R2574">
        <v>80562</v>
      </c>
    </row>
    <row r="2575" spans="1:18" x14ac:dyDescent="0.25">
      <c r="A2575" s="169">
        <v>45798</v>
      </c>
      <c r="B2575" s="115">
        <v>4141.1499999999996</v>
      </c>
      <c r="C2575" s="115">
        <v>4095.35</v>
      </c>
      <c r="D2575" s="115">
        <v>3960.1</v>
      </c>
      <c r="E2575" s="115">
        <v>4023.7</v>
      </c>
      <c r="F2575" s="115">
        <v>4095.35</v>
      </c>
      <c r="G2575">
        <v>2184</v>
      </c>
      <c r="H2575" s="115"/>
      <c r="I2575" s="115"/>
      <c r="L2575" s="169">
        <v>45799</v>
      </c>
      <c r="M2575" s="115">
        <v>4079.5</v>
      </c>
      <c r="N2575" s="115">
        <v>4137.8999999999996</v>
      </c>
      <c r="O2575" s="115">
        <v>4007.9</v>
      </c>
      <c r="P2575" s="115">
        <v>4102.8</v>
      </c>
      <c r="Q2575" s="115">
        <v>4079.5</v>
      </c>
      <c r="R2575">
        <v>76540</v>
      </c>
    </row>
    <row r="2576" spans="1:18" x14ac:dyDescent="0.25">
      <c r="A2576" s="169">
        <v>45799</v>
      </c>
      <c r="B2576" s="115">
        <v>4136.95</v>
      </c>
      <c r="C2576" s="115">
        <v>4078.5</v>
      </c>
      <c r="D2576" s="115">
        <v>4011</v>
      </c>
      <c r="E2576" s="115">
        <v>4095.35</v>
      </c>
      <c r="F2576" s="115">
        <v>4078.5</v>
      </c>
      <c r="G2576">
        <v>1371</v>
      </c>
      <c r="H2576" s="115"/>
      <c r="I2576" s="115"/>
      <c r="L2576" s="169">
        <v>45800</v>
      </c>
      <c r="M2576" s="115">
        <v>4030</v>
      </c>
      <c r="N2576" s="115">
        <v>4108.8999999999996</v>
      </c>
      <c r="O2576" s="115">
        <v>4007</v>
      </c>
      <c r="P2576" s="115">
        <v>4075</v>
      </c>
      <c r="Q2576" s="115">
        <v>4030</v>
      </c>
      <c r="R2576">
        <v>134798</v>
      </c>
    </row>
    <row r="2577" spans="1:18" x14ac:dyDescent="0.25">
      <c r="A2577" s="169">
        <v>45800</v>
      </c>
      <c r="B2577" s="115">
        <v>4100.5</v>
      </c>
      <c r="C2577" s="115">
        <v>4026.75</v>
      </c>
      <c r="D2577" s="115">
        <v>4011.5</v>
      </c>
      <c r="E2577" s="115">
        <v>4086.35</v>
      </c>
      <c r="F2577" s="115">
        <v>4026.75</v>
      </c>
      <c r="G2577">
        <v>927</v>
      </c>
      <c r="H2577" s="115"/>
      <c r="I2577" s="115"/>
      <c r="L2577" s="169">
        <v>45803</v>
      </c>
      <c r="M2577" s="115">
        <v>4001</v>
      </c>
      <c r="N2577" s="115">
        <v>4118.6000000000004</v>
      </c>
      <c r="O2577" s="115">
        <v>3960</v>
      </c>
      <c r="P2577" s="115">
        <v>4065</v>
      </c>
      <c r="Q2577" s="115">
        <v>4001</v>
      </c>
      <c r="R2577">
        <v>59086</v>
      </c>
    </row>
    <row r="2578" spans="1:18" x14ac:dyDescent="0.25">
      <c r="A2578" s="169">
        <v>45803</v>
      </c>
      <c r="B2578" s="115">
        <v>4110.1499999999996</v>
      </c>
      <c r="C2578" s="115">
        <v>4001</v>
      </c>
      <c r="D2578" s="115">
        <v>3965.5</v>
      </c>
      <c r="E2578" s="115">
        <v>4060.15</v>
      </c>
      <c r="F2578" s="115">
        <v>4001</v>
      </c>
      <c r="G2578">
        <v>1047</v>
      </c>
      <c r="H2578" s="115"/>
      <c r="I2578" s="115"/>
      <c r="L2578" s="169">
        <v>45804</v>
      </c>
      <c r="M2578" s="115">
        <v>3994.1</v>
      </c>
      <c r="N2578" s="115">
        <v>4073.9</v>
      </c>
      <c r="O2578" s="115">
        <v>3976.5</v>
      </c>
      <c r="P2578" s="115">
        <v>4009</v>
      </c>
      <c r="Q2578" s="115">
        <v>3994.1</v>
      </c>
      <c r="R2578">
        <v>32968</v>
      </c>
    </row>
    <row r="2579" spans="1:18" x14ac:dyDescent="0.25">
      <c r="A2579" s="169">
        <v>45804</v>
      </c>
      <c r="B2579" s="115">
        <v>4067.85</v>
      </c>
      <c r="C2579" s="115">
        <v>3995.8</v>
      </c>
      <c r="D2579" s="115">
        <v>3975.3</v>
      </c>
      <c r="E2579" s="115">
        <v>4006.95</v>
      </c>
      <c r="F2579" s="115">
        <v>3995.8</v>
      </c>
      <c r="G2579">
        <v>1870</v>
      </c>
      <c r="H2579" s="115"/>
      <c r="I2579" s="115"/>
      <c r="L2579" s="169">
        <v>45805</v>
      </c>
      <c r="M2579" s="115">
        <v>4007.4</v>
      </c>
      <c r="N2579" s="115">
        <v>4088.2</v>
      </c>
      <c r="O2579" s="115">
        <v>3967.3</v>
      </c>
      <c r="P2579" s="115">
        <v>4000</v>
      </c>
      <c r="Q2579" s="115">
        <v>4007.4</v>
      </c>
      <c r="R2579">
        <v>51166</v>
      </c>
    </row>
    <row r="2580" spans="1:18" x14ac:dyDescent="0.25">
      <c r="A2580" s="169">
        <v>45805</v>
      </c>
      <c r="B2580" s="115">
        <v>4084.95</v>
      </c>
      <c r="C2580" s="115">
        <v>4008.8</v>
      </c>
      <c r="D2580" s="115">
        <v>3970.05</v>
      </c>
      <c r="E2580" s="115">
        <v>4015</v>
      </c>
      <c r="F2580" s="115">
        <v>4008.8</v>
      </c>
      <c r="G2580">
        <v>2532</v>
      </c>
      <c r="H2580" s="115"/>
      <c r="I2580" s="115"/>
      <c r="L2580" s="169">
        <v>45806</v>
      </c>
      <c r="M2580" s="115">
        <v>4121.2</v>
      </c>
      <c r="N2580" s="115">
        <v>4139</v>
      </c>
      <c r="O2580" s="115">
        <v>4035.1</v>
      </c>
      <c r="P2580" s="115">
        <v>4047.1</v>
      </c>
      <c r="Q2580" s="115">
        <v>4121.2</v>
      </c>
      <c r="R2580">
        <v>96796</v>
      </c>
    </row>
    <row r="2581" spans="1:18" x14ac:dyDescent="0.25">
      <c r="A2581" s="169">
        <v>45806</v>
      </c>
      <c r="B2581" s="115">
        <v>4137</v>
      </c>
      <c r="C2581" s="115">
        <v>4117</v>
      </c>
      <c r="D2581" s="115">
        <v>4031</v>
      </c>
      <c r="E2581" s="115">
        <v>4040</v>
      </c>
      <c r="F2581" s="115">
        <v>4117</v>
      </c>
      <c r="G2581">
        <v>5936</v>
      </c>
      <c r="H2581" s="115"/>
      <c r="I2581" s="115"/>
      <c r="L2581" s="169">
        <v>45807</v>
      </c>
      <c r="M2581" s="115">
        <v>4188.7</v>
      </c>
      <c r="N2581" s="115">
        <v>4240</v>
      </c>
      <c r="O2581" s="115">
        <v>4150</v>
      </c>
      <c r="P2581" s="115">
        <v>4167</v>
      </c>
      <c r="Q2581" s="115">
        <v>4188.7</v>
      </c>
      <c r="R2581">
        <v>85285</v>
      </c>
    </row>
    <row r="2582" spans="1:18" x14ac:dyDescent="0.25">
      <c r="A2582" s="169">
        <v>45807</v>
      </c>
      <c r="B2582" s="115">
        <v>4236.7</v>
      </c>
      <c r="C2582" s="115">
        <v>4181</v>
      </c>
      <c r="D2582" s="115">
        <v>4150</v>
      </c>
      <c r="E2582" s="115">
        <v>4150</v>
      </c>
      <c r="F2582" s="115">
        <v>4181</v>
      </c>
      <c r="G2582">
        <v>2253</v>
      </c>
      <c r="H2582" s="115"/>
      <c r="I2582" s="115"/>
      <c r="L2582" s="169">
        <v>45810</v>
      </c>
      <c r="M2582" s="115">
        <v>4138</v>
      </c>
      <c r="N2582" s="115">
        <v>4229.5</v>
      </c>
      <c r="O2582" s="115">
        <v>4110.1000000000004</v>
      </c>
      <c r="P2582" s="115">
        <v>4188.7</v>
      </c>
      <c r="Q2582" s="115">
        <v>4138</v>
      </c>
      <c r="R2582">
        <v>46927</v>
      </c>
    </row>
    <row r="2583" spans="1:18" x14ac:dyDescent="0.25">
      <c r="A2583" s="169">
        <v>45810</v>
      </c>
      <c r="B2583" s="115">
        <v>4225</v>
      </c>
      <c r="C2583" s="115">
        <v>4120.3</v>
      </c>
      <c r="D2583" s="115">
        <v>4109.45</v>
      </c>
      <c r="E2583" s="115">
        <v>4209.95</v>
      </c>
      <c r="F2583" s="115">
        <v>4120.3</v>
      </c>
      <c r="G2583">
        <v>1372</v>
      </c>
      <c r="H2583" s="115"/>
      <c r="I2583" s="115"/>
      <c r="L2583" s="169">
        <v>45811</v>
      </c>
      <c r="M2583" s="115">
        <v>4110.2</v>
      </c>
      <c r="N2583" s="115">
        <v>4164.8999999999996</v>
      </c>
      <c r="O2583" s="115">
        <v>4075.1</v>
      </c>
      <c r="P2583" s="115">
        <v>4164.8999999999996</v>
      </c>
      <c r="Q2583" s="115">
        <v>4110.2</v>
      </c>
      <c r="R2583">
        <v>51590</v>
      </c>
    </row>
    <row r="2584" spans="1:18" x14ac:dyDescent="0.25">
      <c r="A2584" s="169">
        <v>45811</v>
      </c>
      <c r="B2584" s="115">
        <v>4156.8999999999996</v>
      </c>
      <c r="C2584" s="115">
        <v>4106.3500000000004</v>
      </c>
      <c r="D2584" s="115">
        <v>4079.8</v>
      </c>
      <c r="E2584" s="115">
        <v>4136.1000000000004</v>
      </c>
      <c r="F2584" s="115">
        <v>4106.3500000000004</v>
      </c>
      <c r="G2584">
        <v>896</v>
      </c>
      <c r="H2584" s="115"/>
      <c r="I2584" s="115"/>
      <c r="L2584" s="169">
        <v>45812</v>
      </c>
      <c r="M2584" s="115">
        <v>4213.8999999999996</v>
      </c>
      <c r="N2584" s="115">
        <v>4230</v>
      </c>
      <c r="O2584" s="115">
        <v>4115.6000000000004</v>
      </c>
      <c r="P2584" s="115">
        <v>4125.5</v>
      </c>
      <c r="Q2584" s="115">
        <v>4213.8999999999996</v>
      </c>
      <c r="R2584">
        <v>145725</v>
      </c>
    </row>
    <row r="2585" spans="1:18" x14ac:dyDescent="0.25">
      <c r="A2585" s="169">
        <v>45812</v>
      </c>
      <c r="B2585" s="115">
        <v>4230</v>
      </c>
      <c r="C2585" s="115">
        <v>4221.45</v>
      </c>
      <c r="D2585" s="115">
        <v>4119.95</v>
      </c>
      <c r="E2585" s="115">
        <v>4130.7</v>
      </c>
      <c r="F2585" s="115">
        <v>4221.45</v>
      </c>
      <c r="G2585">
        <v>1788</v>
      </c>
      <c r="H2585" s="115"/>
      <c r="I2585" s="115"/>
      <c r="L2585" s="169">
        <v>45813</v>
      </c>
      <c r="M2585" s="115">
        <v>4315.8</v>
      </c>
      <c r="N2585" s="115">
        <v>4364.8</v>
      </c>
      <c r="O2585" s="115">
        <v>4190.8999999999996</v>
      </c>
      <c r="P2585" s="115">
        <v>4250</v>
      </c>
      <c r="Q2585" s="115">
        <v>4315.8</v>
      </c>
      <c r="R2585">
        <v>189241</v>
      </c>
    </row>
    <row r="2586" spans="1:18" x14ac:dyDescent="0.25">
      <c r="A2586" s="169">
        <v>45813</v>
      </c>
      <c r="B2586" s="115">
        <v>4360.7</v>
      </c>
      <c r="C2586" s="115">
        <v>4315.95</v>
      </c>
      <c r="D2586" s="115">
        <v>4194.8999999999996</v>
      </c>
      <c r="E2586" s="115">
        <v>4226.05</v>
      </c>
      <c r="F2586" s="115">
        <v>4315.95</v>
      </c>
      <c r="G2586">
        <v>11028</v>
      </c>
      <c r="H2586" s="115"/>
      <c r="I2586" s="115"/>
      <c r="L2586" s="169">
        <v>45814</v>
      </c>
      <c r="M2586" s="115">
        <v>4269</v>
      </c>
      <c r="N2586" s="115">
        <v>4344.8999999999996</v>
      </c>
      <c r="O2586" s="115">
        <v>4253</v>
      </c>
      <c r="P2586" s="115">
        <v>4344.8999999999996</v>
      </c>
      <c r="Q2586" s="115">
        <v>4269</v>
      </c>
      <c r="R2586">
        <v>121999</v>
      </c>
    </row>
    <row r="2587" spans="1:18" x14ac:dyDescent="0.25">
      <c r="A2587" s="169">
        <v>45814</v>
      </c>
      <c r="B2587" s="115">
        <v>4317.8999999999996</v>
      </c>
      <c r="C2587" s="115">
        <v>4269.3999999999996</v>
      </c>
      <c r="D2587" s="115">
        <v>4254.05</v>
      </c>
      <c r="E2587" s="115">
        <v>4300.05</v>
      </c>
      <c r="F2587" s="115">
        <v>4269.3999999999996</v>
      </c>
      <c r="G2587">
        <v>7721</v>
      </c>
      <c r="H2587" s="115"/>
      <c r="I2587" s="115"/>
      <c r="L2587" s="169">
        <v>45817</v>
      </c>
      <c r="M2587" s="115">
        <v>4222.8</v>
      </c>
      <c r="N2587" s="115">
        <v>4302</v>
      </c>
      <c r="O2587" s="115">
        <v>4212.5</v>
      </c>
      <c r="P2587" s="115">
        <v>4296.8</v>
      </c>
      <c r="Q2587" s="115">
        <v>4222.8</v>
      </c>
      <c r="R2587">
        <v>32127</v>
      </c>
    </row>
    <row r="2588" spans="1:18" x14ac:dyDescent="0.25">
      <c r="A2588" s="169">
        <v>45817</v>
      </c>
      <c r="B2588" s="115">
        <v>4314.45</v>
      </c>
      <c r="C2588" s="115">
        <v>4222.8</v>
      </c>
      <c r="D2588" s="115">
        <v>4213</v>
      </c>
      <c r="E2588" s="115">
        <v>4269.3999999999996</v>
      </c>
      <c r="F2588" s="115">
        <v>4222.8</v>
      </c>
      <c r="G2588">
        <v>2520</v>
      </c>
      <c r="H2588" s="115"/>
      <c r="I2588" s="115"/>
      <c r="L2588" s="169">
        <v>45818</v>
      </c>
      <c r="M2588" s="115">
        <v>4199.3999999999996</v>
      </c>
      <c r="N2588" s="115">
        <v>4249.8999999999996</v>
      </c>
      <c r="O2588" s="115">
        <v>4191.1000000000004</v>
      </c>
      <c r="P2588" s="115">
        <v>4249.8999999999996</v>
      </c>
      <c r="Q2588" s="115">
        <v>4199.3999999999996</v>
      </c>
      <c r="R2588">
        <v>37380</v>
      </c>
    </row>
    <row r="2589" spans="1:18" x14ac:dyDescent="0.25">
      <c r="A2589" s="169">
        <v>45818</v>
      </c>
      <c r="B2589" s="115">
        <v>4246.2</v>
      </c>
      <c r="C2589" s="115">
        <v>4197.1499999999996</v>
      </c>
      <c r="D2589" s="115">
        <v>4194.1000000000004</v>
      </c>
      <c r="E2589" s="115">
        <v>4225</v>
      </c>
      <c r="F2589" s="115">
        <v>4197.1499999999996</v>
      </c>
      <c r="G2589">
        <v>1956</v>
      </c>
      <c r="H2589" s="115"/>
      <c r="I2589" s="115"/>
      <c r="L2589" s="169">
        <v>45819</v>
      </c>
      <c r="M2589" s="115">
        <v>4188.3999999999996</v>
      </c>
      <c r="N2589" s="115">
        <v>4262.6000000000004</v>
      </c>
      <c r="O2589" s="115">
        <v>4176.3999999999996</v>
      </c>
      <c r="P2589" s="115">
        <v>4228</v>
      </c>
      <c r="Q2589" s="115">
        <v>4188.3999999999996</v>
      </c>
      <c r="R2589">
        <v>28465</v>
      </c>
    </row>
    <row r="2590" spans="1:18" x14ac:dyDescent="0.25">
      <c r="A2590" s="169">
        <v>45819</v>
      </c>
      <c r="B2590" s="115">
        <v>4260.05</v>
      </c>
      <c r="C2590" s="115">
        <v>4188.3</v>
      </c>
      <c r="D2590" s="115">
        <v>4126.05</v>
      </c>
      <c r="E2590" s="115">
        <v>4126.05</v>
      </c>
      <c r="F2590" s="115">
        <v>4188.3</v>
      </c>
      <c r="G2590">
        <v>1748</v>
      </c>
      <c r="H2590" s="115"/>
      <c r="I2590" s="115"/>
      <c r="L2590" s="169">
        <v>45820</v>
      </c>
      <c r="M2590" s="115">
        <v>4189.5</v>
      </c>
      <c r="N2590" s="115">
        <v>4232.8999999999996</v>
      </c>
      <c r="O2590" s="115">
        <v>4159.8999999999996</v>
      </c>
      <c r="P2590" s="115">
        <v>4187</v>
      </c>
      <c r="Q2590" s="115">
        <v>4189.5</v>
      </c>
      <c r="R2590">
        <v>32498</v>
      </c>
    </row>
    <row r="2591" spans="1:18" x14ac:dyDescent="0.25">
      <c r="A2591" s="169">
        <v>45820</v>
      </c>
      <c r="B2591" s="115">
        <v>4228.8</v>
      </c>
      <c r="C2591" s="115">
        <v>4188.3</v>
      </c>
      <c r="D2591" s="115">
        <v>4160.5</v>
      </c>
      <c r="E2591" s="115">
        <v>4215.1000000000004</v>
      </c>
      <c r="F2591" s="115">
        <v>4188.3</v>
      </c>
      <c r="G2591">
        <v>831</v>
      </c>
      <c r="H2591" s="115"/>
      <c r="I2591" s="115"/>
      <c r="L2591" s="169">
        <v>45821</v>
      </c>
      <c r="M2591" s="115">
        <v>4137.3</v>
      </c>
      <c r="N2591" s="115">
        <v>4154.7</v>
      </c>
      <c r="O2591" s="115">
        <v>4075</v>
      </c>
      <c r="P2591" s="115">
        <v>4105</v>
      </c>
      <c r="Q2591" s="115">
        <v>4137.3</v>
      </c>
      <c r="R2591">
        <v>25994</v>
      </c>
    </row>
    <row r="2592" spans="1:18" x14ac:dyDescent="0.25">
      <c r="A2592" s="169">
        <v>45821</v>
      </c>
      <c r="B2592" s="115">
        <v>4147.5</v>
      </c>
      <c r="C2592" s="115">
        <v>4137.1499999999996</v>
      </c>
      <c r="D2592" s="115">
        <v>4080</v>
      </c>
      <c r="E2592" s="115">
        <v>4125.5</v>
      </c>
      <c r="F2592" s="115">
        <v>4137.1499999999996</v>
      </c>
      <c r="G2592">
        <v>994</v>
      </c>
      <c r="H2592" s="115"/>
      <c r="I2592" s="115"/>
      <c r="L2592" s="169">
        <v>45824</v>
      </c>
      <c r="M2592" s="115">
        <v>4018</v>
      </c>
      <c r="N2592" s="115">
        <v>4130</v>
      </c>
      <c r="O2592" s="115">
        <v>4004.2</v>
      </c>
      <c r="P2592" s="115">
        <v>4102</v>
      </c>
      <c r="Q2592" s="115">
        <v>4018</v>
      </c>
      <c r="R2592">
        <v>61799</v>
      </c>
    </row>
    <row r="2593" spans="1:18" x14ac:dyDescent="0.25">
      <c r="A2593" s="169">
        <v>45824</v>
      </c>
      <c r="B2593" s="115">
        <v>4122.8500000000004</v>
      </c>
      <c r="C2593" s="115">
        <v>4017.55</v>
      </c>
      <c r="D2593" s="115">
        <v>4005.75</v>
      </c>
      <c r="E2593" s="115">
        <v>4117.1000000000004</v>
      </c>
      <c r="F2593" s="115">
        <v>4017.55</v>
      </c>
      <c r="G2593">
        <v>1941</v>
      </c>
      <c r="H2593" s="115"/>
      <c r="I2593" s="115"/>
      <c r="L2593" s="169">
        <v>45825</v>
      </c>
      <c r="M2593" s="115">
        <v>4011.5</v>
      </c>
      <c r="N2593" s="115">
        <v>4075</v>
      </c>
      <c r="O2593" s="115">
        <v>3992.4</v>
      </c>
      <c r="P2593" s="115">
        <v>4045</v>
      </c>
      <c r="Q2593" s="115">
        <v>4011.5</v>
      </c>
      <c r="R2593">
        <v>56144</v>
      </c>
    </row>
    <row r="2594" spans="1:18" x14ac:dyDescent="0.25">
      <c r="A2594" s="169">
        <v>45825</v>
      </c>
      <c r="B2594" s="115">
        <v>4075.15</v>
      </c>
      <c r="C2594" s="115">
        <v>4016.55</v>
      </c>
      <c r="D2594" s="115">
        <v>3996.7</v>
      </c>
      <c r="E2594" s="115">
        <v>4018.45</v>
      </c>
      <c r="F2594" s="115">
        <v>4016.55</v>
      </c>
      <c r="G2594">
        <v>1452</v>
      </c>
      <c r="H2594" s="115"/>
      <c r="I2594" s="115"/>
      <c r="L2594" s="169">
        <v>45826</v>
      </c>
      <c r="M2594" s="115">
        <v>3977.4</v>
      </c>
      <c r="N2594" s="115">
        <v>4049.4</v>
      </c>
      <c r="O2594" s="115">
        <v>3966.4</v>
      </c>
      <c r="P2594" s="115">
        <v>4008</v>
      </c>
      <c r="Q2594" s="115">
        <v>3977.4</v>
      </c>
      <c r="R2594">
        <v>81058</v>
      </c>
    </row>
    <row r="2595" spans="1:18" x14ac:dyDescent="0.25">
      <c r="A2595" s="169">
        <v>45826</v>
      </c>
      <c r="B2595" s="115">
        <v>4045.1</v>
      </c>
      <c r="C2595" s="115">
        <v>3975.1</v>
      </c>
      <c r="D2595" s="115">
        <v>3970</v>
      </c>
      <c r="E2595" s="115">
        <v>4005</v>
      </c>
      <c r="F2595" s="115">
        <v>3975.1</v>
      </c>
      <c r="G2595">
        <v>2058</v>
      </c>
      <c r="H2595" s="115"/>
      <c r="I2595" s="115"/>
      <c r="L2595" s="169">
        <v>45827</v>
      </c>
      <c r="M2595" s="115">
        <v>3861.8</v>
      </c>
      <c r="N2595" s="115">
        <v>3997.5</v>
      </c>
      <c r="O2595" s="115">
        <v>3825.8</v>
      </c>
      <c r="P2595" s="115">
        <v>3975</v>
      </c>
      <c r="Q2595" s="115">
        <v>3861.8</v>
      </c>
      <c r="R2595">
        <v>55344</v>
      </c>
    </row>
    <row r="2596" spans="1:18" x14ac:dyDescent="0.25">
      <c r="A2596" s="169">
        <v>45827</v>
      </c>
      <c r="B2596" s="115">
        <v>4048</v>
      </c>
      <c r="C2596" s="115">
        <v>3858.65</v>
      </c>
      <c r="D2596" s="115">
        <v>3828.7</v>
      </c>
      <c r="E2596" s="115">
        <v>4048</v>
      </c>
      <c r="F2596" s="115">
        <v>3858.65</v>
      </c>
      <c r="G2596">
        <v>2835</v>
      </c>
      <c r="H2596" s="115"/>
      <c r="I2596" s="115"/>
      <c r="L2596" s="169">
        <v>45828</v>
      </c>
      <c r="M2596" s="115">
        <v>3926.4</v>
      </c>
      <c r="N2596" s="115">
        <v>3949</v>
      </c>
      <c r="O2596" s="115">
        <v>3832.1</v>
      </c>
      <c r="P2596" s="115">
        <v>3861.8</v>
      </c>
      <c r="Q2596" s="115">
        <v>3926.4</v>
      </c>
      <c r="R2596">
        <v>51922</v>
      </c>
    </row>
    <row r="2597" spans="1:18" x14ac:dyDescent="0.25">
      <c r="A2597" s="169">
        <v>45828</v>
      </c>
      <c r="B2597" s="115">
        <v>3946.2</v>
      </c>
      <c r="C2597" s="115">
        <v>3924.1</v>
      </c>
      <c r="D2597" s="115">
        <v>3834.1</v>
      </c>
      <c r="E2597" s="115">
        <v>3899.95</v>
      </c>
      <c r="F2597" s="115">
        <v>3924.1</v>
      </c>
      <c r="G2597">
        <v>1266</v>
      </c>
      <c r="H2597" s="115"/>
      <c r="I2597" s="115"/>
      <c r="L2597" s="169">
        <v>45831</v>
      </c>
      <c r="M2597" s="115">
        <v>3900.2</v>
      </c>
      <c r="N2597" s="115">
        <v>3926</v>
      </c>
      <c r="O2597" s="115">
        <v>3875</v>
      </c>
      <c r="P2597" s="115">
        <v>3877</v>
      </c>
      <c r="Q2597" s="115">
        <v>3900.2</v>
      </c>
      <c r="R2597">
        <v>34448</v>
      </c>
    </row>
    <row r="2598" spans="1:18" x14ac:dyDescent="0.25">
      <c r="A2598" s="169">
        <v>45831</v>
      </c>
      <c r="B2598" s="115">
        <v>3922.8</v>
      </c>
      <c r="C2598" s="115">
        <v>3895.4</v>
      </c>
      <c r="D2598" s="115">
        <v>3850.9</v>
      </c>
      <c r="E2598" s="115">
        <v>3850.9</v>
      </c>
      <c r="F2598" s="115">
        <v>3895.4</v>
      </c>
      <c r="G2598">
        <v>1787</v>
      </c>
      <c r="H2598" s="115"/>
      <c r="I2598" s="115"/>
      <c r="L2598" s="169">
        <v>45832</v>
      </c>
      <c r="M2598" s="115">
        <v>3927.1</v>
      </c>
      <c r="N2598" s="115">
        <v>3980</v>
      </c>
      <c r="O2598" s="115">
        <v>3881.9</v>
      </c>
      <c r="P2598" s="115">
        <v>3932</v>
      </c>
      <c r="Q2598" s="115">
        <v>3927.1</v>
      </c>
      <c r="R2598">
        <v>48219</v>
      </c>
    </row>
    <row r="2599" spans="1:18" x14ac:dyDescent="0.25">
      <c r="A2599" s="169">
        <v>45832</v>
      </c>
      <c r="B2599" s="115">
        <v>4039.95</v>
      </c>
      <c r="C2599" s="115">
        <v>3930.7</v>
      </c>
      <c r="D2599" s="115">
        <v>3888.8</v>
      </c>
      <c r="E2599" s="115">
        <v>4039.95</v>
      </c>
      <c r="F2599" s="115">
        <v>3930.7</v>
      </c>
      <c r="G2599">
        <v>1486</v>
      </c>
      <c r="H2599" s="115"/>
      <c r="I2599" s="115"/>
      <c r="L2599" s="169">
        <v>45833</v>
      </c>
      <c r="M2599" s="115">
        <v>3930.4</v>
      </c>
      <c r="N2599" s="115">
        <v>4018.1</v>
      </c>
      <c r="O2599" s="115">
        <v>3919.4</v>
      </c>
      <c r="P2599" s="115">
        <v>3927.1</v>
      </c>
      <c r="Q2599" s="115">
        <v>3930.4</v>
      </c>
      <c r="R2599">
        <v>38544</v>
      </c>
    </row>
    <row r="2600" spans="1:18" x14ac:dyDescent="0.25">
      <c r="A2600" s="169">
        <v>45833</v>
      </c>
      <c r="B2600" s="115">
        <v>4041</v>
      </c>
      <c r="C2600" s="115">
        <v>3928</v>
      </c>
      <c r="D2600" s="115">
        <v>3915.5</v>
      </c>
      <c r="E2600" s="115">
        <v>4041</v>
      </c>
      <c r="F2600" s="115">
        <v>3928</v>
      </c>
      <c r="G2600">
        <v>2797</v>
      </c>
      <c r="H2600" s="115"/>
      <c r="I2600" s="115"/>
      <c r="L2600" s="169">
        <v>45834</v>
      </c>
      <c r="M2600" s="115">
        <v>3890.6</v>
      </c>
      <c r="N2600" s="115">
        <v>3964.5</v>
      </c>
      <c r="O2600" s="115">
        <v>3850.2</v>
      </c>
      <c r="P2600" s="115">
        <v>3964.5</v>
      </c>
      <c r="Q2600" s="115">
        <v>3890.6</v>
      </c>
      <c r="R2600">
        <v>37173</v>
      </c>
    </row>
    <row r="2601" spans="1:18" x14ac:dyDescent="0.25">
      <c r="A2601" s="169">
        <v>45834</v>
      </c>
      <c r="B2601" s="115">
        <v>3999.95</v>
      </c>
      <c r="C2601" s="115">
        <v>3883.25</v>
      </c>
      <c r="D2601" s="115">
        <v>3850.5</v>
      </c>
      <c r="E2601" s="115">
        <v>3999.95</v>
      </c>
      <c r="F2601" s="115">
        <v>3883.25</v>
      </c>
      <c r="G2601">
        <v>2649</v>
      </c>
      <c r="H2601" s="115"/>
      <c r="I2601" s="115"/>
      <c r="L2601" s="169">
        <v>45835</v>
      </c>
      <c r="M2601" s="115">
        <v>3897.3</v>
      </c>
      <c r="N2601" s="115">
        <v>3949</v>
      </c>
      <c r="O2601" s="115">
        <v>3888</v>
      </c>
      <c r="P2601" s="115">
        <v>3924.5</v>
      </c>
      <c r="Q2601" s="115">
        <v>3897.3</v>
      </c>
      <c r="R2601">
        <v>34016</v>
      </c>
    </row>
    <row r="2602" spans="1:18" x14ac:dyDescent="0.25">
      <c r="A2602" s="169">
        <v>45835</v>
      </c>
      <c r="B2602" s="115">
        <v>3969.95</v>
      </c>
      <c r="C2602" s="115">
        <v>3898.35</v>
      </c>
      <c r="D2602" s="115">
        <v>3887.3</v>
      </c>
      <c r="E2602" s="115">
        <v>3969.95</v>
      </c>
      <c r="F2602" s="115">
        <v>3898.35</v>
      </c>
      <c r="G2602">
        <v>2127</v>
      </c>
      <c r="H2602" s="115"/>
      <c r="I2602" s="115"/>
      <c r="L2602" s="169">
        <v>45838</v>
      </c>
      <c r="M2602" s="115">
        <v>4047.3</v>
      </c>
      <c r="N2602" s="115">
        <v>4077.6</v>
      </c>
      <c r="O2602" s="115">
        <v>3908.6</v>
      </c>
      <c r="P2602" s="115">
        <v>3930</v>
      </c>
      <c r="Q2602" s="115">
        <v>4047.3</v>
      </c>
      <c r="R2602">
        <v>137531</v>
      </c>
    </row>
    <row r="2603" spans="1:18" x14ac:dyDescent="0.25">
      <c r="A2603" s="169">
        <v>45838</v>
      </c>
      <c r="B2603" s="115">
        <v>4073</v>
      </c>
      <c r="C2603" s="115">
        <v>4048.15</v>
      </c>
      <c r="D2603" s="115">
        <v>3911</v>
      </c>
      <c r="E2603" s="115">
        <v>3974.9</v>
      </c>
      <c r="F2603" s="115">
        <v>4048.15</v>
      </c>
      <c r="G2603">
        <v>5749</v>
      </c>
      <c r="H2603" s="115"/>
      <c r="I2603" s="115"/>
      <c r="L2603" s="169">
        <v>45839</v>
      </c>
      <c r="M2603" s="115">
        <v>3962.1</v>
      </c>
      <c r="N2603" s="115">
        <v>4100</v>
      </c>
      <c r="O2603" s="115">
        <v>3942</v>
      </c>
      <c r="P2603" s="115">
        <v>4040</v>
      </c>
      <c r="Q2603" s="115">
        <v>3962.1</v>
      </c>
      <c r="R2603">
        <v>80226</v>
      </c>
    </row>
    <row r="2604" spans="1:18" x14ac:dyDescent="0.25">
      <c r="A2604" s="169">
        <v>45839</v>
      </c>
      <c r="B2604" s="115">
        <v>4102</v>
      </c>
      <c r="C2604" s="115">
        <v>3963.25</v>
      </c>
      <c r="D2604" s="115">
        <v>3942.25</v>
      </c>
      <c r="E2604" s="115">
        <v>4008.2</v>
      </c>
      <c r="F2604" s="115">
        <v>3963.25</v>
      </c>
      <c r="G2604">
        <v>3701</v>
      </c>
      <c r="H2604" s="115"/>
      <c r="I2604" s="115"/>
      <c r="L2604" s="169">
        <v>45840</v>
      </c>
      <c r="M2604" s="115">
        <v>4037.4</v>
      </c>
      <c r="N2604" s="115">
        <v>4054</v>
      </c>
      <c r="O2604" s="115">
        <v>3924</v>
      </c>
      <c r="P2604" s="115">
        <v>3997.7</v>
      </c>
      <c r="Q2604" s="115">
        <v>4037.4</v>
      </c>
      <c r="R2604">
        <v>47209</v>
      </c>
    </row>
    <row r="2605" spans="1:18" x14ac:dyDescent="0.25">
      <c r="A2605" s="169">
        <v>45840</v>
      </c>
      <c r="B2605" s="115">
        <v>4055.3</v>
      </c>
      <c r="C2605" s="115">
        <v>4037.95</v>
      </c>
      <c r="D2605" s="115">
        <v>3928.8</v>
      </c>
      <c r="E2605" s="115">
        <v>3963.3</v>
      </c>
      <c r="F2605" s="115">
        <v>4037.95</v>
      </c>
      <c r="G2605">
        <v>104213</v>
      </c>
      <c r="H2605" s="115"/>
      <c r="I2605" s="115"/>
      <c r="L2605" s="169">
        <v>45841</v>
      </c>
      <c r="M2605" s="115">
        <v>4015.5</v>
      </c>
      <c r="N2605" s="115">
        <v>4090</v>
      </c>
      <c r="O2605" s="115">
        <v>3996.3</v>
      </c>
      <c r="P2605" s="115">
        <v>4044</v>
      </c>
      <c r="Q2605" s="115">
        <v>4015.5</v>
      </c>
      <c r="R2605">
        <v>28849</v>
      </c>
    </row>
    <row r="2606" spans="1:18" x14ac:dyDescent="0.25">
      <c r="A2606" s="169">
        <v>45841</v>
      </c>
      <c r="B2606" s="115">
        <v>4080</v>
      </c>
      <c r="C2606" s="115">
        <v>4014.85</v>
      </c>
      <c r="D2606" s="115">
        <v>3977</v>
      </c>
      <c r="E2606" s="115">
        <v>4069.95</v>
      </c>
      <c r="F2606" s="115">
        <v>4014.85</v>
      </c>
      <c r="G2606">
        <v>5498</v>
      </c>
      <c r="H2606" s="115"/>
      <c r="I2606" s="115"/>
      <c r="L2606" s="169">
        <v>45842</v>
      </c>
      <c r="M2606" s="115">
        <v>3932</v>
      </c>
      <c r="N2606" s="115">
        <v>4050.4</v>
      </c>
      <c r="O2606" s="115">
        <v>3899.6</v>
      </c>
      <c r="P2606" s="115">
        <v>4046</v>
      </c>
      <c r="Q2606" s="115">
        <v>3932</v>
      </c>
      <c r="R2606">
        <v>52851</v>
      </c>
    </row>
    <row r="2607" spans="1:18" x14ac:dyDescent="0.25">
      <c r="A2607" s="169">
        <v>45842</v>
      </c>
      <c r="B2607" s="115">
        <v>4026.85</v>
      </c>
      <c r="C2607" s="115">
        <v>3928.6</v>
      </c>
      <c r="D2607" s="115">
        <v>3900</v>
      </c>
      <c r="E2607" s="115">
        <v>4015</v>
      </c>
      <c r="F2607" s="115">
        <v>3928.6</v>
      </c>
      <c r="G2607">
        <v>1504</v>
      </c>
      <c r="H2607" s="115"/>
      <c r="I2607" s="115"/>
      <c r="L2607" s="169">
        <v>45845</v>
      </c>
      <c r="M2607" s="115">
        <v>3987.6</v>
      </c>
      <c r="N2607" s="115">
        <v>4039</v>
      </c>
      <c r="O2607" s="115">
        <v>3914</v>
      </c>
      <c r="P2607" s="115">
        <v>3920</v>
      </c>
      <c r="Q2607" s="115">
        <v>3987.6</v>
      </c>
      <c r="R2607">
        <v>142324</v>
      </c>
    </row>
    <row r="2608" spans="1:18" x14ac:dyDescent="0.25">
      <c r="A2608" s="169">
        <v>45845</v>
      </c>
      <c r="B2608" s="115">
        <v>4042.3</v>
      </c>
      <c r="C2608" s="115">
        <v>3987.9</v>
      </c>
      <c r="D2608" s="115">
        <v>3907.5</v>
      </c>
      <c r="E2608" s="115">
        <v>3907.5</v>
      </c>
      <c r="F2608" s="115">
        <v>3987.9</v>
      </c>
      <c r="G2608">
        <v>5026</v>
      </c>
      <c r="H2608" s="115"/>
      <c r="I2608" s="115"/>
      <c r="L2608" s="169">
        <v>45846</v>
      </c>
      <c r="M2608" s="115">
        <v>4201.8999999999996</v>
      </c>
      <c r="N2608" s="115">
        <v>4232</v>
      </c>
      <c r="O2608" s="115">
        <v>3984.4</v>
      </c>
      <c r="P2608" s="115">
        <v>3994</v>
      </c>
      <c r="Q2608" s="115">
        <v>4201.8999999999996</v>
      </c>
      <c r="R2608">
        <v>309991</v>
      </c>
    </row>
    <row r="2609" spans="1:18" x14ac:dyDescent="0.25">
      <c r="A2609" s="169">
        <v>45846</v>
      </c>
      <c r="B2609" s="115">
        <v>4243.3</v>
      </c>
      <c r="C2609" s="115">
        <v>4203.7</v>
      </c>
      <c r="D2609" s="115">
        <v>3985.05</v>
      </c>
      <c r="E2609" s="115">
        <v>3985.05</v>
      </c>
      <c r="F2609" s="115">
        <v>4203.7</v>
      </c>
      <c r="G2609">
        <v>17220</v>
      </c>
      <c r="H2609" s="115"/>
      <c r="I2609" s="115"/>
      <c r="L2609" s="169">
        <v>45847</v>
      </c>
      <c r="M2609" s="115">
        <v>4235</v>
      </c>
      <c r="N2609" s="115">
        <v>4288.7</v>
      </c>
      <c r="O2609" s="115">
        <v>4161</v>
      </c>
      <c r="P2609" s="115">
        <v>4225</v>
      </c>
      <c r="Q2609" s="115">
        <v>4235</v>
      </c>
      <c r="R2609">
        <v>119099</v>
      </c>
    </row>
    <row r="2610" spans="1:18" x14ac:dyDescent="0.25">
      <c r="A2610" s="169">
        <v>45847</v>
      </c>
      <c r="B2610" s="115">
        <v>4285</v>
      </c>
      <c r="C2610" s="115">
        <v>4232.45</v>
      </c>
      <c r="D2610" s="115">
        <v>4157</v>
      </c>
      <c r="E2610" s="115">
        <v>4259.75</v>
      </c>
      <c r="F2610" s="115">
        <v>4232.45</v>
      </c>
      <c r="G2610">
        <v>9279</v>
      </c>
      <c r="H2610" s="115"/>
      <c r="I2610" s="115"/>
      <c r="L2610" s="169">
        <v>45848</v>
      </c>
      <c r="M2610" s="115">
        <v>4223.5</v>
      </c>
      <c r="N2610" s="115">
        <v>4334</v>
      </c>
      <c r="O2610" s="115">
        <v>4193.7</v>
      </c>
      <c r="P2610" s="115">
        <v>4235</v>
      </c>
      <c r="Q2610" s="115">
        <v>4223.5</v>
      </c>
      <c r="R2610">
        <v>172498</v>
      </c>
    </row>
    <row r="2611" spans="1:18" x14ac:dyDescent="0.25">
      <c r="A2611" s="169">
        <v>45848</v>
      </c>
      <c r="B2611" s="115">
        <v>4332.5</v>
      </c>
      <c r="C2611" s="115">
        <v>4221.55</v>
      </c>
      <c r="D2611" s="115">
        <v>4195.8999999999996</v>
      </c>
      <c r="E2611" s="115">
        <v>4243</v>
      </c>
      <c r="F2611" s="115">
        <v>4221.55</v>
      </c>
      <c r="G2611">
        <v>45251</v>
      </c>
      <c r="H2611" s="115"/>
      <c r="I2611" s="115"/>
      <c r="L2611" s="169">
        <v>45849</v>
      </c>
      <c r="M2611" s="115">
        <v>4155.3999999999996</v>
      </c>
      <c r="N2611" s="115">
        <v>4222.3999999999996</v>
      </c>
      <c r="O2611" s="115">
        <v>4142</v>
      </c>
      <c r="P2611" s="115">
        <v>4203.5</v>
      </c>
      <c r="Q2611" s="115">
        <v>4155.3999999999996</v>
      </c>
      <c r="R2611">
        <v>28676</v>
      </c>
    </row>
    <row r="2612" spans="1:18" x14ac:dyDescent="0.25">
      <c r="A2612" s="169">
        <v>45849</v>
      </c>
      <c r="B2612" s="115">
        <v>4217.75</v>
      </c>
      <c r="C2612" s="115">
        <v>4151.95</v>
      </c>
      <c r="D2612" s="115">
        <v>4146</v>
      </c>
      <c r="E2612" s="115">
        <v>4208.95</v>
      </c>
      <c r="F2612" s="115">
        <v>4151.95</v>
      </c>
      <c r="G2612">
        <v>2481</v>
      </c>
      <c r="H2612" s="115"/>
      <c r="I2612" s="115"/>
      <c r="L2612" s="169">
        <v>45852</v>
      </c>
      <c r="M2612" s="115">
        <v>4224.6000000000004</v>
      </c>
      <c r="N2612" s="115">
        <v>4299</v>
      </c>
      <c r="O2612" s="115">
        <v>4105.6000000000004</v>
      </c>
      <c r="P2612" s="115">
        <v>4154.3999999999996</v>
      </c>
      <c r="Q2612" s="115">
        <v>4224.6000000000004</v>
      </c>
      <c r="R2612">
        <v>61205</v>
      </c>
    </row>
    <row r="2613" spans="1:18" x14ac:dyDescent="0.25">
      <c r="A2613" s="169">
        <v>45852</v>
      </c>
      <c r="B2613" s="115">
        <v>4270.25</v>
      </c>
      <c r="C2613" s="115">
        <v>4219.3</v>
      </c>
      <c r="D2613" s="115">
        <v>4112.95</v>
      </c>
      <c r="E2613" s="115">
        <v>4172.7</v>
      </c>
      <c r="F2613" s="115">
        <v>4219.3</v>
      </c>
      <c r="G2613">
        <v>2661</v>
      </c>
      <c r="H2613" s="115"/>
      <c r="I2613" s="115"/>
      <c r="L2613" s="169">
        <v>45853</v>
      </c>
      <c r="M2613" s="115">
        <v>4236</v>
      </c>
      <c r="N2613" s="115">
        <v>4286.5</v>
      </c>
      <c r="O2613" s="115">
        <v>4202.2</v>
      </c>
      <c r="P2613" s="115">
        <v>4245</v>
      </c>
      <c r="Q2613" s="115">
        <v>4236</v>
      </c>
      <c r="R2613">
        <v>50882</v>
      </c>
    </row>
    <row r="2614" spans="1:18" x14ac:dyDescent="0.25">
      <c r="A2614" s="169">
        <v>45853</v>
      </c>
      <c r="B2614" s="115">
        <v>4284.3999999999996</v>
      </c>
      <c r="C2614" s="115">
        <v>4237.5</v>
      </c>
      <c r="D2614" s="115">
        <v>4204.3</v>
      </c>
      <c r="E2614" s="115">
        <v>4255.3999999999996</v>
      </c>
      <c r="F2614" s="115">
        <v>4237.5</v>
      </c>
      <c r="G2614">
        <v>1346</v>
      </c>
      <c r="H2614" s="115"/>
      <c r="I2614" s="115"/>
      <c r="L2614" s="169">
        <v>45854</v>
      </c>
      <c r="M2614" s="115">
        <v>4180.3999999999996</v>
      </c>
      <c r="N2614" s="115">
        <v>4223</v>
      </c>
      <c r="O2614" s="115">
        <v>4161.6000000000004</v>
      </c>
      <c r="P2614" s="115">
        <v>4223</v>
      </c>
      <c r="Q2614" s="115">
        <v>4180.3999999999996</v>
      </c>
      <c r="R2614">
        <v>75148</v>
      </c>
    </row>
    <row r="2615" spans="1:18" x14ac:dyDescent="0.25">
      <c r="A2615" s="169">
        <v>45854</v>
      </c>
      <c r="B2615" s="115">
        <v>4214.2</v>
      </c>
      <c r="C2615" s="115">
        <v>4179.5</v>
      </c>
      <c r="D2615" s="115">
        <v>4136.05</v>
      </c>
      <c r="E2615" s="115">
        <v>4136.05</v>
      </c>
      <c r="F2615" s="115">
        <v>4179.5</v>
      </c>
      <c r="G2615">
        <v>5326</v>
      </c>
      <c r="H2615" s="115"/>
      <c r="I2615" s="115"/>
      <c r="L2615" s="169">
        <v>45855</v>
      </c>
      <c r="M2615" s="115">
        <v>4172.5</v>
      </c>
      <c r="N2615" s="115">
        <v>4280</v>
      </c>
      <c r="O2615" s="115">
        <v>4158</v>
      </c>
      <c r="P2615" s="115">
        <v>4182</v>
      </c>
      <c r="Q2615" s="115">
        <v>4172.5</v>
      </c>
      <c r="R2615">
        <v>97363</v>
      </c>
    </row>
    <row r="2616" spans="1:18" x14ac:dyDescent="0.25">
      <c r="A2616" s="169">
        <v>45855</v>
      </c>
      <c r="B2616" s="115">
        <v>4276.75</v>
      </c>
      <c r="C2616" s="115">
        <v>4172.5</v>
      </c>
      <c r="D2616" s="115">
        <v>4167.8500000000004</v>
      </c>
      <c r="E2616" s="115">
        <v>4208.25</v>
      </c>
      <c r="F2616" s="115">
        <v>4172.5</v>
      </c>
      <c r="G2616">
        <v>2857</v>
      </c>
      <c r="H2616" s="115"/>
      <c r="I2616" s="115"/>
      <c r="L2616" s="169">
        <v>45856</v>
      </c>
      <c r="M2616" s="115">
        <v>4202</v>
      </c>
      <c r="N2616" s="115">
        <v>4217.8</v>
      </c>
      <c r="O2616" s="115">
        <v>4144.6000000000004</v>
      </c>
      <c r="P2616" s="115">
        <v>4175.5</v>
      </c>
      <c r="Q2616" s="115">
        <v>4202</v>
      </c>
      <c r="R2616">
        <v>58958</v>
      </c>
    </row>
    <row r="2617" spans="1:18" x14ac:dyDescent="0.25">
      <c r="A2617" s="169">
        <v>45856</v>
      </c>
      <c r="B2617" s="115">
        <v>4213.1499999999996</v>
      </c>
      <c r="C2617" s="115">
        <v>4202.6499999999996</v>
      </c>
      <c r="D2617" s="115">
        <v>4148.5</v>
      </c>
      <c r="E2617" s="115">
        <v>4213.1499999999996</v>
      </c>
      <c r="F2617" s="115">
        <v>4202.6499999999996</v>
      </c>
      <c r="G2617">
        <v>3011</v>
      </c>
      <c r="H2617" s="115"/>
      <c r="I2617" s="115"/>
      <c r="L2617" s="169">
        <v>45859</v>
      </c>
      <c r="M2617" s="115">
        <v>4282.2</v>
      </c>
      <c r="N2617" s="115">
        <v>4374.8999999999996</v>
      </c>
      <c r="O2617" s="115">
        <v>4170.8999999999996</v>
      </c>
      <c r="P2617" s="115">
        <v>4209.8999999999996</v>
      </c>
      <c r="Q2617" s="115">
        <v>4282.2</v>
      </c>
      <c r="R2617">
        <v>158144</v>
      </c>
    </row>
    <row r="2618" spans="1:18" x14ac:dyDescent="0.25">
      <c r="A2618" s="169">
        <v>45859</v>
      </c>
      <c r="B2618" s="115">
        <v>4372.7</v>
      </c>
      <c r="C2618" s="115">
        <v>4284.6000000000004</v>
      </c>
      <c r="D2618" s="115">
        <v>4173.05</v>
      </c>
      <c r="E2618" s="115">
        <v>4202.25</v>
      </c>
      <c r="F2618" s="115">
        <v>4284.6000000000004</v>
      </c>
      <c r="G2618">
        <v>10031</v>
      </c>
      <c r="H2618" s="115"/>
      <c r="I2618" s="115"/>
      <c r="L2618" s="169">
        <v>45860</v>
      </c>
      <c r="M2618" s="115">
        <v>4281.2</v>
      </c>
      <c r="N2618" s="115">
        <v>4349.8</v>
      </c>
      <c r="O2618" s="115">
        <v>4254.3</v>
      </c>
      <c r="P2618" s="115">
        <v>4282.2</v>
      </c>
      <c r="Q2618" s="115">
        <v>4281.2</v>
      </c>
      <c r="R2618">
        <v>79930</v>
      </c>
    </row>
    <row r="2619" spans="1:18" x14ac:dyDescent="0.25">
      <c r="A2619" s="169">
        <v>45860</v>
      </c>
      <c r="B2619" s="115">
        <v>4346.8500000000004</v>
      </c>
      <c r="C2619" s="115">
        <v>4276.7</v>
      </c>
      <c r="D2619" s="115">
        <v>4254.25</v>
      </c>
      <c r="E2619" s="115">
        <v>4299</v>
      </c>
      <c r="F2619" s="115">
        <v>4276.7</v>
      </c>
      <c r="G2619">
        <v>5548</v>
      </c>
      <c r="H2619" s="115"/>
      <c r="I2619" s="115"/>
      <c r="L2619" s="169">
        <v>45861</v>
      </c>
      <c r="M2619" s="115">
        <v>4215.8</v>
      </c>
      <c r="N2619" s="115">
        <v>4305</v>
      </c>
      <c r="O2619" s="115">
        <v>4185</v>
      </c>
      <c r="P2619" s="115">
        <v>4305</v>
      </c>
      <c r="Q2619" s="115">
        <v>4215.8</v>
      </c>
      <c r="R2619">
        <v>88240</v>
      </c>
    </row>
    <row r="2620" spans="1:18" x14ac:dyDescent="0.25">
      <c r="A2620" s="169">
        <v>45861</v>
      </c>
      <c r="B2620" s="115">
        <v>4299.95</v>
      </c>
      <c r="C2620" s="115">
        <v>4214.6499999999996</v>
      </c>
      <c r="D2620" s="115">
        <v>4188.6499999999996</v>
      </c>
      <c r="E2620" s="115">
        <v>4270.05</v>
      </c>
      <c r="F2620" s="115">
        <v>4214.6499999999996</v>
      </c>
      <c r="G2620">
        <v>3554</v>
      </c>
      <c r="H2620" s="115"/>
      <c r="I2620" s="115"/>
      <c r="L2620" s="169">
        <v>45862</v>
      </c>
      <c r="M2620" s="115">
        <v>4160.5</v>
      </c>
      <c r="N2620" s="115">
        <v>4191.2</v>
      </c>
      <c r="O2620" s="115">
        <v>4110</v>
      </c>
      <c r="P2620" s="115">
        <v>4185</v>
      </c>
      <c r="Q2620" s="115">
        <v>4160.5</v>
      </c>
      <c r="R2620">
        <v>61091</v>
      </c>
    </row>
    <row r="2621" spans="1:18" x14ac:dyDescent="0.25">
      <c r="A2621" s="169">
        <v>45862</v>
      </c>
      <c r="B2621" s="115">
        <v>4183.05</v>
      </c>
      <c r="C2621" s="115">
        <v>4154.1000000000004</v>
      </c>
      <c r="D2621" s="115">
        <v>4113.2</v>
      </c>
      <c r="E2621" s="115">
        <v>4161.5</v>
      </c>
      <c r="F2621" s="115">
        <v>4154.1000000000004</v>
      </c>
      <c r="G2621">
        <v>2946</v>
      </c>
      <c r="H2621" s="115"/>
      <c r="I2621" s="115"/>
      <c r="L2621" s="169">
        <v>45863</v>
      </c>
      <c r="M2621" s="115">
        <v>4033</v>
      </c>
      <c r="N2621" s="115">
        <v>4143.8</v>
      </c>
      <c r="O2621" s="115">
        <v>4012</v>
      </c>
      <c r="P2621" s="115">
        <v>4135</v>
      </c>
      <c r="Q2621" s="115">
        <v>4033</v>
      </c>
      <c r="R2621">
        <v>41418</v>
      </c>
    </row>
    <row r="2622" spans="1:18" x14ac:dyDescent="0.25">
      <c r="A2622" s="169">
        <v>45863</v>
      </c>
      <c r="B2622" s="115">
        <v>4174.8500000000004</v>
      </c>
      <c r="C2622" s="115">
        <v>4030.55</v>
      </c>
      <c r="D2622" s="115">
        <v>4014.45</v>
      </c>
      <c r="E2622" s="115">
        <v>4174.8500000000004</v>
      </c>
      <c r="F2622" s="115">
        <v>4030.55</v>
      </c>
      <c r="G2622">
        <v>2939</v>
      </c>
      <c r="H2622" s="115"/>
      <c r="I2622" s="115"/>
      <c r="L2622" s="169">
        <v>45866</v>
      </c>
      <c r="M2622" s="115">
        <v>4059.6</v>
      </c>
      <c r="N2622" s="115">
        <v>4221</v>
      </c>
      <c r="O2622" s="115">
        <v>4022.2</v>
      </c>
      <c r="P2622" s="115">
        <v>4133</v>
      </c>
      <c r="Q2622" s="115">
        <v>4059.6</v>
      </c>
      <c r="R2622">
        <v>191711</v>
      </c>
    </row>
    <row r="2623" spans="1:18" x14ac:dyDescent="0.25">
      <c r="A2623" s="169">
        <v>45866</v>
      </c>
      <c r="B2623" s="115">
        <v>4224.2</v>
      </c>
      <c r="C2623" s="115">
        <v>4059.25</v>
      </c>
      <c r="D2623" s="115">
        <v>4027</v>
      </c>
      <c r="E2623" s="115">
        <v>4111.8</v>
      </c>
      <c r="F2623" s="115">
        <v>4059.25</v>
      </c>
      <c r="G2623">
        <v>6891</v>
      </c>
      <c r="H2623" s="115"/>
      <c r="I2623" s="115"/>
      <c r="L2623" s="169">
        <v>45867</v>
      </c>
      <c r="M2623" s="115">
        <v>4046.6</v>
      </c>
      <c r="N2623" s="115">
        <v>4100</v>
      </c>
      <c r="O2623" s="115">
        <v>3975</v>
      </c>
      <c r="P2623" s="115">
        <v>4055</v>
      </c>
      <c r="Q2623" s="115">
        <v>4046.6</v>
      </c>
      <c r="R2623">
        <v>98398</v>
      </c>
    </row>
    <row r="2624" spans="1:18" x14ac:dyDescent="0.25">
      <c r="A2624" s="169">
        <v>45867</v>
      </c>
      <c r="B2624" s="115">
        <v>4069.5</v>
      </c>
      <c r="C2624" s="115">
        <v>4046</v>
      </c>
      <c r="D2624" s="115">
        <v>3977.9</v>
      </c>
      <c r="E2624" s="115">
        <v>4054.4</v>
      </c>
      <c r="F2624" s="115">
        <v>4046</v>
      </c>
      <c r="G2624">
        <v>2316</v>
      </c>
      <c r="H2624" s="115"/>
      <c r="I2624" s="115"/>
      <c r="L2624" s="169">
        <v>45868</v>
      </c>
      <c r="M2624" s="115">
        <v>4068.3</v>
      </c>
      <c r="N2624" s="115">
        <v>4134</v>
      </c>
      <c r="O2624" s="115">
        <v>4055</v>
      </c>
      <c r="P2624" s="115">
        <v>4072.9</v>
      </c>
      <c r="Q2624" s="115">
        <v>4068.3</v>
      </c>
      <c r="R2624">
        <v>62066</v>
      </c>
    </row>
    <row r="2625" spans="1:18" x14ac:dyDescent="0.25">
      <c r="A2625" s="169">
        <v>45868</v>
      </c>
      <c r="B2625" s="115">
        <v>4247.8</v>
      </c>
      <c r="C2625" s="115">
        <v>4068.7</v>
      </c>
      <c r="D2625" s="115">
        <v>4058.35</v>
      </c>
      <c r="E2625" s="115">
        <v>4247.8</v>
      </c>
      <c r="F2625" s="115">
        <v>4068.7</v>
      </c>
      <c r="G2625">
        <v>1304</v>
      </c>
      <c r="H2625" s="115"/>
      <c r="I2625" s="115"/>
      <c r="L2625" s="169">
        <v>45869</v>
      </c>
      <c r="M2625" s="115">
        <v>4121.7</v>
      </c>
      <c r="N2625" s="115">
        <v>4150</v>
      </c>
      <c r="O2625" s="115">
        <v>4005</v>
      </c>
      <c r="P2625" s="115">
        <v>4005</v>
      </c>
      <c r="Q2625" s="115">
        <v>4121.7</v>
      </c>
      <c r="R2625">
        <v>43812</v>
      </c>
    </row>
    <row r="2626" spans="1:18" x14ac:dyDescent="0.25">
      <c r="A2626" s="169">
        <v>45869</v>
      </c>
      <c r="B2626" s="115">
        <v>4148</v>
      </c>
      <c r="C2626" s="115">
        <v>4094</v>
      </c>
      <c r="D2626" s="115">
        <v>3994</v>
      </c>
      <c r="E2626" s="115">
        <v>4000</v>
      </c>
      <c r="F2626" s="115">
        <v>4094</v>
      </c>
      <c r="G2626">
        <v>5221</v>
      </c>
      <c r="H2626" s="115"/>
      <c r="I2626" s="115"/>
      <c r="L2626" s="169">
        <v>45870</v>
      </c>
      <c r="M2626" s="115">
        <v>4100.8</v>
      </c>
      <c r="N2626" s="115">
        <v>4138.8</v>
      </c>
      <c r="O2626" s="115">
        <v>4066.7</v>
      </c>
      <c r="P2626" s="115">
        <v>4119.8999999999996</v>
      </c>
      <c r="Q2626" s="115">
        <v>4100.8</v>
      </c>
      <c r="R2626">
        <v>82072</v>
      </c>
    </row>
    <row r="2627" spans="1:18" x14ac:dyDescent="0.25">
      <c r="A2627" s="169">
        <v>45870</v>
      </c>
      <c r="B2627" s="115">
        <v>4136.95</v>
      </c>
      <c r="C2627" s="115">
        <v>4100.7</v>
      </c>
      <c r="D2627" s="115">
        <v>4067</v>
      </c>
      <c r="E2627" s="115">
        <v>4094.05</v>
      </c>
      <c r="F2627" s="115">
        <v>4100.7</v>
      </c>
      <c r="G2627">
        <v>2753</v>
      </c>
      <c r="H2627" s="115"/>
      <c r="I2627" s="115"/>
      <c r="L2627" s="169">
        <v>45873</v>
      </c>
      <c r="M2627" s="115">
        <v>4058.1</v>
      </c>
      <c r="N2627" s="115">
        <v>4138.1000000000004</v>
      </c>
      <c r="O2627" s="115">
        <v>4006</v>
      </c>
      <c r="P2627" s="115">
        <v>4138.1000000000004</v>
      </c>
      <c r="Q2627" s="115">
        <v>4058.1</v>
      </c>
      <c r="R2627">
        <v>57649</v>
      </c>
    </row>
    <row r="2628" spans="1:18" x14ac:dyDescent="0.25">
      <c r="A2628" s="169">
        <v>45873</v>
      </c>
      <c r="B2628" s="115">
        <v>4116.6000000000004</v>
      </c>
      <c r="C2628" s="115">
        <v>4057</v>
      </c>
      <c r="D2628" s="115">
        <v>4004</v>
      </c>
      <c r="E2628" s="115">
        <v>4101</v>
      </c>
      <c r="F2628" s="115">
        <v>4057</v>
      </c>
      <c r="G2628">
        <v>2577</v>
      </c>
      <c r="H2628" s="115"/>
      <c r="I2628" s="115"/>
      <c r="L2628" s="169">
        <v>45874</v>
      </c>
      <c r="M2628" s="115">
        <v>4151.7</v>
      </c>
      <c r="N2628" s="115">
        <v>4184.8</v>
      </c>
      <c r="O2628" s="115">
        <v>4046.6</v>
      </c>
      <c r="P2628" s="115">
        <v>4095</v>
      </c>
      <c r="Q2628" s="115">
        <v>4151.7</v>
      </c>
      <c r="R2628">
        <v>130606</v>
      </c>
    </row>
    <row r="2629" spans="1:18" x14ac:dyDescent="0.25">
      <c r="A2629" s="169">
        <v>45874</v>
      </c>
      <c r="B2629" s="115">
        <v>4183.1000000000004</v>
      </c>
      <c r="C2629" s="115">
        <v>4159.3</v>
      </c>
      <c r="D2629" s="115">
        <v>4046.4</v>
      </c>
      <c r="E2629" s="115">
        <v>4075</v>
      </c>
      <c r="F2629" s="115">
        <v>4159.3</v>
      </c>
      <c r="G2629">
        <v>5356</v>
      </c>
      <c r="H2629" s="115"/>
      <c r="I2629" s="115"/>
      <c r="L2629" s="169">
        <v>45875</v>
      </c>
      <c r="M2629" s="115">
        <v>4074.3</v>
      </c>
      <c r="N2629" s="115">
        <v>4220</v>
      </c>
      <c r="O2629" s="115">
        <v>4060</v>
      </c>
      <c r="P2629" s="115">
        <v>4200</v>
      </c>
      <c r="Q2629" s="115">
        <v>4074.3</v>
      </c>
      <c r="R2629">
        <v>73114</v>
      </c>
    </row>
    <row r="2630" spans="1:18" x14ac:dyDescent="0.25">
      <c r="A2630" s="169">
        <v>45875</v>
      </c>
      <c r="B2630" s="115">
        <v>4213.5</v>
      </c>
      <c r="C2630" s="115">
        <v>4078.35</v>
      </c>
      <c r="D2630" s="115">
        <v>4065.1</v>
      </c>
      <c r="E2630" s="115">
        <v>4213.5</v>
      </c>
      <c r="F2630" s="115">
        <v>4078.35</v>
      </c>
      <c r="G2630">
        <v>3649</v>
      </c>
      <c r="H2630" s="115"/>
      <c r="I2630" s="115"/>
      <c r="L2630" s="169">
        <v>45876</v>
      </c>
      <c r="M2630" s="115">
        <v>4003.4</v>
      </c>
      <c r="N2630" s="115">
        <v>4060.6</v>
      </c>
      <c r="O2630" s="115">
        <v>3978</v>
      </c>
      <c r="P2630" s="115">
        <v>4033</v>
      </c>
      <c r="Q2630" s="115">
        <v>4003.4</v>
      </c>
      <c r="R2630">
        <v>55690</v>
      </c>
    </row>
    <row r="2631" spans="1:18" x14ac:dyDescent="0.25">
      <c r="A2631" s="169">
        <v>45876</v>
      </c>
      <c r="B2631" s="115">
        <v>4070</v>
      </c>
      <c r="C2631" s="115">
        <v>4005.95</v>
      </c>
      <c r="D2631" s="115">
        <v>3978.5</v>
      </c>
      <c r="E2631" s="115">
        <v>4070</v>
      </c>
      <c r="F2631" s="115">
        <v>4005.95</v>
      </c>
      <c r="G2631">
        <v>3223</v>
      </c>
      <c r="H2631" s="115"/>
      <c r="I2631" s="115"/>
      <c r="L2631" s="169">
        <v>45877</v>
      </c>
      <c r="M2631" s="115">
        <v>3903.9</v>
      </c>
      <c r="N2631" s="115">
        <v>4051</v>
      </c>
      <c r="O2631" s="115">
        <v>3855.6</v>
      </c>
      <c r="P2631" s="115">
        <v>4029.5</v>
      </c>
      <c r="Q2631" s="115">
        <v>3903.9</v>
      </c>
      <c r="R2631">
        <v>39036</v>
      </c>
    </row>
    <row r="2632" spans="1:18" x14ac:dyDescent="0.25">
      <c r="A2632" s="169">
        <v>45877</v>
      </c>
      <c r="B2632" s="115">
        <v>4049.95</v>
      </c>
      <c r="C2632" s="115">
        <v>3908.15</v>
      </c>
      <c r="D2632" s="115">
        <v>3851.6</v>
      </c>
      <c r="E2632" s="115">
        <v>4047.95</v>
      </c>
      <c r="F2632" s="115">
        <v>3908.15</v>
      </c>
      <c r="G2632">
        <v>1872</v>
      </c>
      <c r="H2632" s="115"/>
      <c r="I2632" s="115"/>
      <c r="L2632" s="169">
        <v>45880</v>
      </c>
      <c r="M2632" s="115">
        <v>3870.2</v>
      </c>
      <c r="N2632" s="115">
        <v>3911.5</v>
      </c>
      <c r="O2632" s="115">
        <v>3828.1</v>
      </c>
      <c r="P2632" s="115">
        <v>3880</v>
      </c>
      <c r="Q2632" s="115">
        <v>3870.2</v>
      </c>
      <c r="R2632">
        <v>21095</v>
      </c>
    </row>
    <row r="2633" spans="1:18" x14ac:dyDescent="0.25">
      <c r="A2633" s="169">
        <v>45880</v>
      </c>
      <c r="B2633" s="115">
        <v>3907.15</v>
      </c>
      <c r="C2633" s="115">
        <v>3870.1</v>
      </c>
      <c r="D2633" s="115">
        <v>3826.85</v>
      </c>
      <c r="E2633" s="115">
        <v>3880</v>
      </c>
      <c r="F2633" s="115">
        <v>3870.1</v>
      </c>
      <c r="G2633">
        <v>3252</v>
      </c>
      <c r="H2633" s="115"/>
      <c r="I2633" s="115"/>
      <c r="L2633" s="169">
        <v>45881</v>
      </c>
      <c r="M2633" s="115">
        <v>3870.3</v>
      </c>
      <c r="N2633" s="115">
        <v>3920.1</v>
      </c>
      <c r="O2633" s="115">
        <v>3856.1</v>
      </c>
      <c r="P2633" s="115">
        <v>3902</v>
      </c>
      <c r="Q2633" s="115">
        <v>3870.3</v>
      </c>
      <c r="R2633">
        <v>30223</v>
      </c>
    </row>
    <row r="2634" spans="1:18" x14ac:dyDescent="0.25">
      <c r="A2634" s="169">
        <v>45881</v>
      </c>
      <c r="B2634" s="115">
        <v>3915.05</v>
      </c>
      <c r="C2634" s="115">
        <v>3866.9</v>
      </c>
      <c r="D2634" s="115">
        <v>3855.7</v>
      </c>
      <c r="E2634" s="115">
        <v>3870.35</v>
      </c>
      <c r="F2634" s="115">
        <v>3866.9</v>
      </c>
      <c r="G2634">
        <v>793</v>
      </c>
      <c r="H2634" s="115"/>
      <c r="I2634" s="115"/>
      <c r="L2634" s="169">
        <v>45882</v>
      </c>
      <c r="M2634" s="115">
        <v>3913.5</v>
      </c>
      <c r="N2634" s="115">
        <v>3956</v>
      </c>
      <c r="O2634" s="115">
        <v>3866.2</v>
      </c>
      <c r="P2634" s="115">
        <v>3866.2</v>
      </c>
      <c r="Q2634" s="115">
        <v>3913.5</v>
      </c>
      <c r="R2634">
        <v>21604</v>
      </c>
    </row>
    <row r="2635" spans="1:18" x14ac:dyDescent="0.25">
      <c r="A2635" s="169">
        <v>45882</v>
      </c>
      <c r="B2635" s="115">
        <v>3958.4</v>
      </c>
      <c r="C2635" s="115">
        <v>3911</v>
      </c>
      <c r="D2635" s="115">
        <v>3896</v>
      </c>
      <c r="E2635" s="115">
        <v>3943.95</v>
      </c>
      <c r="F2635" s="115">
        <v>3911</v>
      </c>
      <c r="G2635">
        <v>1152</v>
      </c>
      <c r="H2635" s="115"/>
      <c r="I2635" s="115"/>
      <c r="L2635" s="169">
        <v>45883</v>
      </c>
      <c r="M2635" s="115">
        <v>3858</v>
      </c>
      <c r="N2635" s="115">
        <v>3947.5</v>
      </c>
      <c r="O2635" s="115">
        <v>3828.2</v>
      </c>
      <c r="P2635" s="115">
        <v>3918.5</v>
      </c>
      <c r="Q2635" s="115">
        <v>3858</v>
      </c>
      <c r="R2635">
        <v>27178</v>
      </c>
    </row>
    <row r="2636" spans="1:18" x14ac:dyDescent="0.25">
      <c r="A2636" s="169">
        <v>45883</v>
      </c>
      <c r="B2636" s="115">
        <v>3941.05</v>
      </c>
      <c r="C2636" s="115">
        <v>3854.6</v>
      </c>
      <c r="D2636" s="115">
        <v>3830.05</v>
      </c>
      <c r="E2636" s="115">
        <v>3910</v>
      </c>
      <c r="F2636" s="115">
        <v>3854.6</v>
      </c>
      <c r="G2636">
        <v>1152</v>
      </c>
      <c r="H2636" s="115"/>
      <c r="I2636" s="115"/>
      <c r="L2636" s="169">
        <v>45887</v>
      </c>
      <c r="M2636" s="115">
        <v>3921.4</v>
      </c>
      <c r="N2636" s="115">
        <v>3947.9</v>
      </c>
      <c r="O2636" s="115">
        <v>3865</v>
      </c>
      <c r="P2636" s="115">
        <v>3880</v>
      </c>
      <c r="Q2636" s="115">
        <v>3921.4</v>
      </c>
      <c r="R2636">
        <v>50440</v>
      </c>
    </row>
    <row r="2637" spans="1:18" x14ac:dyDescent="0.25">
      <c r="A2637" s="169">
        <v>45887</v>
      </c>
      <c r="B2637" s="115">
        <v>3950.8</v>
      </c>
      <c r="C2637" s="115">
        <v>3920.2</v>
      </c>
      <c r="D2637" s="115">
        <v>3866.15</v>
      </c>
      <c r="E2637" s="115">
        <v>3904.95</v>
      </c>
      <c r="F2637" s="115">
        <v>3920.2</v>
      </c>
      <c r="G2637">
        <v>3388</v>
      </c>
      <c r="H2637" s="115"/>
      <c r="I2637" s="115"/>
      <c r="L2637" s="169">
        <v>45888</v>
      </c>
      <c r="M2637" s="115">
        <v>3939</v>
      </c>
      <c r="N2637" s="115">
        <v>3958</v>
      </c>
      <c r="O2637" s="115">
        <v>3894.2</v>
      </c>
      <c r="P2637" s="115">
        <v>3925</v>
      </c>
      <c r="Q2637" s="115">
        <v>3939</v>
      </c>
      <c r="R2637">
        <v>25024</v>
      </c>
    </row>
    <row r="2638" spans="1:18" x14ac:dyDescent="0.25">
      <c r="A2638" s="169">
        <v>45888</v>
      </c>
      <c r="B2638" s="115">
        <v>3960.45</v>
      </c>
      <c r="C2638" s="115">
        <v>3944.35</v>
      </c>
      <c r="D2638" s="115">
        <v>3895.6</v>
      </c>
      <c r="E2638" s="115">
        <v>3930.6</v>
      </c>
      <c r="F2638" s="115">
        <v>3944.35</v>
      </c>
      <c r="G2638">
        <v>1382</v>
      </c>
      <c r="H2638" s="115"/>
      <c r="I2638" s="115"/>
      <c r="L2638" s="169">
        <v>45889</v>
      </c>
      <c r="M2638" s="115">
        <v>3958.5</v>
      </c>
      <c r="N2638" s="115">
        <v>3996</v>
      </c>
      <c r="O2638" s="115">
        <v>3925.9</v>
      </c>
      <c r="P2638" s="115">
        <v>3957.5</v>
      </c>
      <c r="Q2638" s="115">
        <v>3958.5</v>
      </c>
      <c r="R2638">
        <v>63541</v>
      </c>
    </row>
    <row r="2639" spans="1:18" x14ac:dyDescent="0.25">
      <c r="A2639" s="169">
        <v>45889</v>
      </c>
      <c r="B2639" s="115">
        <v>3994.85</v>
      </c>
      <c r="C2639" s="115">
        <v>3959.55</v>
      </c>
      <c r="D2639" s="115">
        <v>3929.75</v>
      </c>
      <c r="E2639" s="115">
        <v>3975</v>
      </c>
      <c r="F2639" s="115">
        <v>3959.55</v>
      </c>
      <c r="G2639">
        <v>2867</v>
      </c>
      <c r="H2639" s="115"/>
      <c r="I2639" s="115"/>
      <c r="L2639" s="169">
        <v>45890</v>
      </c>
      <c r="M2639" s="115">
        <v>4015.7</v>
      </c>
      <c r="N2639" s="115">
        <v>4074.7</v>
      </c>
      <c r="O2639" s="115">
        <v>3950.1</v>
      </c>
      <c r="P2639" s="115">
        <v>3998</v>
      </c>
      <c r="Q2639" s="115">
        <v>4015.7</v>
      </c>
      <c r="R2639">
        <v>91427</v>
      </c>
    </row>
    <row r="2640" spans="1:18" x14ac:dyDescent="0.25">
      <c r="A2640" s="169">
        <v>45890</v>
      </c>
      <c r="B2640" s="115">
        <v>4070.95</v>
      </c>
      <c r="C2640" s="115">
        <v>4012.25</v>
      </c>
      <c r="D2640" s="115">
        <v>3950</v>
      </c>
      <c r="E2640" s="115">
        <v>3999</v>
      </c>
      <c r="F2640" s="115">
        <v>4012.25</v>
      </c>
      <c r="G2640">
        <v>5146</v>
      </c>
      <c r="H2640" s="115"/>
      <c r="I2640" s="115"/>
      <c r="L2640" s="169">
        <v>45891</v>
      </c>
      <c r="M2640" s="115">
        <v>3947.6</v>
      </c>
      <c r="N2640" s="115">
        <v>4000</v>
      </c>
      <c r="O2640" s="115">
        <v>3929.5</v>
      </c>
      <c r="P2640" s="115">
        <v>4000</v>
      </c>
      <c r="Q2640" s="115">
        <v>3947.6</v>
      </c>
      <c r="R2640">
        <v>32174</v>
      </c>
    </row>
    <row r="2641" spans="1:18" x14ac:dyDescent="0.25">
      <c r="A2641" s="169">
        <v>45891</v>
      </c>
      <c r="B2641" s="115">
        <v>4001</v>
      </c>
      <c r="C2641" s="115">
        <v>3944.95</v>
      </c>
      <c r="D2641" s="115">
        <v>3930</v>
      </c>
      <c r="E2641" s="115">
        <v>4001</v>
      </c>
      <c r="F2641" s="115">
        <v>3944.95</v>
      </c>
      <c r="G2641">
        <v>1783</v>
      </c>
      <c r="H2641" s="115"/>
      <c r="I2641" s="115"/>
      <c r="L2641" s="169">
        <v>45894</v>
      </c>
      <c r="M2641" s="115">
        <v>3959.8</v>
      </c>
      <c r="N2641" s="115">
        <v>3994</v>
      </c>
      <c r="O2641" s="115">
        <v>3910</v>
      </c>
      <c r="P2641" s="115">
        <v>3985.5</v>
      </c>
      <c r="Q2641" s="115">
        <v>3959.8</v>
      </c>
      <c r="R2641">
        <v>35835</v>
      </c>
    </row>
    <row r="2642" spans="1:18" x14ac:dyDescent="0.25">
      <c r="A2642" s="169">
        <v>45894</v>
      </c>
      <c r="B2642" s="115">
        <v>3992.4</v>
      </c>
      <c r="C2642" s="115">
        <v>3961</v>
      </c>
      <c r="D2642" s="115">
        <v>3911.1</v>
      </c>
      <c r="E2642" s="115">
        <v>3985.35</v>
      </c>
      <c r="F2642" s="115">
        <v>3961</v>
      </c>
      <c r="G2642">
        <v>1738</v>
      </c>
      <c r="H2642" s="115"/>
      <c r="I2642" s="115"/>
      <c r="L2642" s="169">
        <v>45895</v>
      </c>
      <c r="M2642" s="115">
        <v>3942</v>
      </c>
      <c r="N2642" s="115">
        <v>3978.6</v>
      </c>
      <c r="O2642" s="115">
        <v>3910</v>
      </c>
      <c r="P2642" s="115">
        <v>3959.8</v>
      </c>
      <c r="Q2642" s="115">
        <v>3942</v>
      </c>
      <c r="R2642">
        <v>18521</v>
      </c>
    </row>
    <row r="2643" spans="1:18" x14ac:dyDescent="0.25">
      <c r="A2643" s="169">
        <v>45895</v>
      </c>
      <c r="B2643" s="115">
        <v>3975.95</v>
      </c>
      <c r="C2643" s="115">
        <v>3937.7</v>
      </c>
      <c r="D2643" s="115">
        <v>3912.3</v>
      </c>
      <c r="E2643" s="115">
        <v>3965.65</v>
      </c>
      <c r="F2643" s="115">
        <v>3937.7</v>
      </c>
      <c r="G2643">
        <v>1880</v>
      </c>
      <c r="H2643" s="115"/>
      <c r="I2643" s="115"/>
      <c r="L2643" s="169">
        <v>45897</v>
      </c>
      <c r="M2643" s="115">
        <v>3876.1</v>
      </c>
      <c r="N2643" s="115">
        <v>3942</v>
      </c>
      <c r="O2643" s="115">
        <v>3861.3</v>
      </c>
      <c r="P2643" s="115">
        <v>3910</v>
      </c>
      <c r="Q2643" s="115">
        <v>3876.1</v>
      </c>
      <c r="R2643">
        <v>17427</v>
      </c>
    </row>
    <row r="2644" spans="1:18" x14ac:dyDescent="0.25">
      <c r="A2644" s="169">
        <v>45897</v>
      </c>
      <c r="B2644" s="115">
        <v>3942</v>
      </c>
      <c r="C2644" s="115">
        <v>3868.2</v>
      </c>
      <c r="D2644" s="115">
        <v>3858.05</v>
      </c>
      <c r="E2644" s="115">
        <v>3922.7</v>
      </c>
      <c r="F2644" s="115">
        <v>3868.2</v>
      </c>
      <c r="G2644">
        <v>1246</v>
      </c>
      <c r="H2644" s="115"/>
      <c r="I2644" s="115"/>
      <c r="L2644" s="169">
        <v>45898</v>
      </c>
      <c r="M2644" s="115">
        <v>3867.4</v>
      </c>
      <c r="N2644" s="115">
        <v>3890</v>
      </c>
      <c r="O2644" s="115">
        <v>3845</v>
      </c>
      <c r="P2644" s="115">
        <v>3862.1</v>
      </c>
      <c r="Q2644" s="115">
        <v>3867.4</v>
      </c>
      <c r="R2644">
        <v>10580</v>
      </c>
    </row>
    <row r="2645" spans="1:18" x14ac:dyDescent="0.25">
      <c r="A2645" s="169">
        <v>45898</v>
      </c>
      <c r="B2645" s="115">
        <v>3918.95</v>
      </c>
      <c r="C2645" s="115">
        <v>3862.8</v>
      </c>
      <c r="D2645" s="115">
        <v>3845</v>
      </c>
      <c r="E2645" s="115">
        <v>3918.95</v>
      </c>
      <c r="F2645" s="115">
        <v>3862.8</v>
      </c>
      <c r="G2645">
        <v>1139</v>
      </c>
      <c r="H2645" s="115"/>
      <c r="I2645" s="115"/>
      <c r="L2645" s="169">
        <v>45901</v>
      </c>
      <c r="M2645" s="115">
        <v>3882.3</v>
      </c>
      <c r="N2645" s="115">
        <v>3899</v>
      </c>
      <c r="O2645" s="115">
        <v>3839.6</v>
      </c>
      <c r="P2645" s="115">
        <v>3887.6</v>
      </c>
      <c r="Q2645" s="115">
        <v>3882.3</v>
      </c>
      <c r="R2645">
        <v>18238</v>
      </c>
    </row>
    <row r="2646" spans="1:18" x14ac:dyDescent="0.25">
      <c r="A2646" s="169">
        <v>45901</v>
      </c>
      <c r="B2646" s="115">
        <v>3902.55</v>
      </c>
      <c r="C2646" s="115">
        <v>3883.55</v>
      </c>
      <c r="D2646" s="115">
        <v>3840</v>
      </c>
      <c r="E2646" s="115">
        <v>3871.35</v>
      </c>
      <c r="F2646" s="115">
        <v>3883.55</v>
      </c>
      <c r="G2646">
        <v>757</v>
      </c>
      <c r="H2646" s="115"/>
      <c r="I2646" s="115"/>
      <c r="L2646" s="169">
        <v>45902</v>
      </c>
      <c r="M2646" s="115">
        <v>3857.1</v>
      </c>
      <c r="N2646" s="115">
        <v>3934.9</v>
      </c>
      <c r="O2646" s="115">
        <v>3850.3</v>
      </c>
      <c r="P2646" s="115">
        <v>3895</v>
      </c>
      <c r="Q2646" s="115">
        <v>3857.1</v>
      </c>
      <c r="R2646">
        <v>39719</v>
      </c>
    </row>
    <row r="2647" spans="1:18" x14ac:dyDescent="0.25">
      <c r="A2647" s="169">
        <v>45902</v>
      </c>
      <c r="B2647" s="115">
        <v>3936.2</v>
      </c>
      <c r="C2647" s="115">
        <v>3860.15</v>
      </c>
      <c r="D2647" s="115">
        <v>3850.05</v>
      </c>
      <c r="E2647" s="115">
        <v>3886.95</v>
      </c>
      <c r="F2647" s="115">
        <v>3860.15</v>
      </c>
      <c r="G2647">
        <v>3105</v>
      </c>
      <c r="H2647" s="115"/>
      <c r="I2647" s="115"/>
      <c r="L2647" s="169">
        <v>45903</v>
      </c>
      <c r="M2647" s="115">
        <v>3858.8</v>
      </c>
      <c r="N2647" s="115">
        <v>3885.7</v>
      </c>
      <c r="O2647" s="115">
        <v>3846.6</v>
      </c>
      <c r="P2647" s="115">
        <v>3858.4</v>
      </c>
      <c r="Q2647" s="115">
        <v>3858.8</v>
      </c>
      <c r="R2647">
        <v>23507</v>
      </c>
    </row>
    <row r="2648" spans="1:18" x14ac:dyDescent="0.25">
      <c r="A2648" s="169">
        <v>45903</v>
      </c>
      <c r="B2648" s="115">
        <v>3886.1</v>
      </c>
      <c r="C2648" s="115">
        <v>3855.8</v>
      </c>
      <c r="D2648" s="115">
        <v>3844.85</v>
      </c>
      <c r="E2648" s="115">
        <v>3851.05</v>
      </c>
      <c r="F2648" s="115">
        <v>3855.8</v>
      </c>
      <c r="G2648">
        <v>593</v>
      </c>
      <c r="H2648" s="115"/>
      <c r="I2648" s="115"/>
      <c r="L2648" s="169">
        <v>45904</v>
      </c>
      <c r="M2648" s="115">
        <v>3812</v>
      </c>
      <c r="N2648" s="115">
        <v>3935</v>
      </c>
      <c r="O2648" s="115">
        <v>3795.1</v>
      </c>
      <c r="P2648" s="115">
        <v>3935</v>
      </c>
      <c r="Q2648" s="115">
        <v>3812</v>
      </c>
      <c r="R2648">
        <v>55235</v>
      </c>
    </row>
    <row r="2649" spans="1:18" x14ac:dyDescent="0.25">
      <c r="A2649" s="169">
        <v>45904</v>
      </c>
      <c r="B2649" s="115">
        <v>3940</v>
      </c>
      <c r="C2649" s="115">
        <v>3811.9</v>
      </c>
      <c r="D2649" s="115">
        <v>3800</v>
      </c>
      <c r="E2649" s="115">
        <v>3940</v>
      </c>
      <c r="F2649" s="115">
        <v>3811.9</v>
      </c>
      <c r="G2649">
        <v>669</v>
      </c>
      <c r="H2649" s="115"/>
      <c r="I2649" s="115"/>
      <c r="L2649" s="169">
        <v>45905</v>
      </c>
      <c r="M2649" s="115">
        <v>3781.8</v>
      </c>
      <c r="N2649" s="115">
        <v>3850</v>
      </c>
      <c r="O2649" s="115">
        <v>3770</v>
      </c>
      <c r="P2649" s="115">
        <v>3850</v>
      </c>
      <c r="Q2649" s="115">
        <v>3781.8</v>
      </c>
      <c r="R2649">
        <v>44380</v>
      </c>
    </row>
    <row r="2650" spans="1:18" x14ac:dyDescent="0.25">
      <c r="A2650" s="169">
        <v>45905</v>
      </c>
      <c r="B2650" s="115">
        <v>3830.95</v>
      </c>
      <c r="C2650" s="115">
        <v>3777</v>
      </c>
      <c r="D2650" s="115">
        <v>3760.85</v>
      </c>
      <c r="E2650" s="115">
        <v>3830.95</v>
      </c>
      <c r="F2650" s="115">
        <v>3777</v>
      </c>
      <c r="G2650">
        <v>950</v>
      </c>
      <c r="H2650" s="115"/>
      <c r="I2650" s="115"/>
      <c r="L2650" s="169">
        <v>45908</v>
      </c>
      <c r="M2650" s="115">
        <v>3847.8</v>
      </c>
      <c r="N2650" s="115">
        <v>3900</v>
      </c>
      <c r="O2650" s="115">
        <v>3750.5</v>
      </c>
      <c r="P2650" s="115">
        <v>3799</v>
      </c>
      <c r="Q2650" s="115">
        <v>3847.8</v>
      </c>
      <c r="R2650">
        <v>245450</v>
      </c>
    </row>
    <row r="2651" spans="1:18" x14ac:dyDescent="0.25">
      <c r="A2651" s="169">
        <v>45908</v>
      </c>
      <c r="B2651" s="115">
        <v>3899</v>
      </c>
      <c r="C2651" s="115">
        <v>3849.15</v>
      </c>
      <c r="D2651" s="115">
        <v>3761.1</v>
      </c>
      <c r="E2651" s="115">
        <v>3778.05</v>
      </c>
      <c r="F2651" s="115">
        <v>3849.15</v>
      </c>
      <c r="G2651">
        <v>2418</v>
      </c>
      <c r="H2651" s="115"/>
      <c r="I2651" s="115"/>
      <c r="L2651" s="169">
        <v>45909</v>
      </c>
      <c r="M2651" s="115">
        <v>3897.3</v>
      </c>
      <c r="N2651" s="115">
        <v>3909.9</v>
      </c>
      <c r="O2651" s="115">
        <v>3847.2</v>
      </c>
      <c r="P2651" s="115">
        <v>3850</v>
      </c>
      <c r="Q2651" s="115">
        <v>3897.3</v>
      </c>
      <c r="R2651">
        <v>27960</v>
      </c>
    </row>
    <row r="2652" spans="1:18" x14ac:dyDescent="0.25">
      <c r="A2652" s="169">
        <v>45909</v>
      </c>
      <c r="B2652" s="115">
        <v>3903.45</v>
      </c>
      <c r="C2652" s="115">
        <v>3894.95</v>
      </c>
      <c r="D2652" s="115">
        <v>3848</v>
      </c>
      <c r="E2652" s="115">
        <v>3849.25</v>
      </c>
      <c r="F2652" s="115">
        <v>3894.95</v>
      </c>
      <c r="G2652">
        <v>1253</v>
      </c>
      <c r="H2652" s="115"/>
      <c r="I2652" s="115"/>
      <c r="L2652" s="169">
        <v>45910</v>
      </c>
      <c r="M2652" s="115">
        <v>3951.3</v>
      </c>
      <c r="N2652" s="115">
        <v>4015.4</v>
      </c>
      <c r="O2652" s="115">
        <v>3897.3</v>
      </c>
      <c r="P2652" s="115">
        <v>3897.3</v>
      </c>
      <c r="Q2652" s="115">
        <v>3951.3</v>
      </c>
      <c r="R2652">
        <v>107705</v>
      </c>
    </row>
    <row r="2653" spans="1:18" x14ac:dyDescent="0.25">
      <c r="A2653" s="169">
        <v>45910</v>
      </c>
      <c r="B2653" s="115">
        <v>4016.85</v>
      </c>
      <c r="C2653" s="115">
        <v>3952</v>
      </c>
      <c r="D2653" s="115">
        <v>3896.15</v>
      </c>
      <c r="E2653" s="115">
        <v>3914.4</v>
      </c>
      <c r="F2653" s="115">
        <v>3952</v>
      </c>
      <c r="G2653">
        <v>23918</v>
      </c>
      <c r="H2653" s="115"/>
      <c r="I2653" s="115"/>
      <c r="L2653" s="169">
        <v>45911</v>
      </c>
      <c r="M2653" s="115">
        <v>3969.8</v>
      </c>
      <c r="N2653" s="115">
        <v>4020</v>
      </c>
      <c r="O2653" s="115">
        <v>3945</v>
      </c>
      <c r="P2653" s="115">
        <v>3950</v>
      </c>
      <c r="Q2653" s="115">
        <v>3969.8</v>
      </c>
      <c r="R2653">
        <v>40732</v>
      </c>
    </row>
    <row r="2654" spans="1:18" x14ac:dyDescent="0.25">
      <c r="A2654" s="169">
        <v>45911</v>
      </c>
      <c r="B2654" s="115">
        <v>4018.85</v>
      </c>
      <c r="C2654" s="115">
        <v>3968.3</v>
      </c>
      <c r="D2654" s="115">
        <v>3943.35</v>
      </c>
      <c r="E2654" s="115">
        <v>3955.2</v>
      </c>
      <c r="F2654" s="115">
        <v>3968.3</v>
      </c>
      <c r="G2654">
        <v>3515</v>
      </c>
      <c r="H2654" s="115"/>
      <c r="I2654" s="115"/>
      <c r="L2654" s="169">
        <v>45912</v>
      </c>
      <c r="M2654" s="115">
        <v>3953.3</v>
      </c>
      <c r="N2654" s="115">
        <v>3975.9</v>
      </c>
      <c r="O2654" s="115">
        <v>3917.9</v>
      </c>
      <c r="P2654" s="115">
        <v>3969.8</v>
      </c>
      <c r="Q2654" s="115">
        <v>3953.3</v>
      </c>
      <c r="R2654">
        <v>19374</v>
      </c>
    </row>
    <row r="2655" spans="1:18" x14ac:dyDescent="0.25">
      <c r="A2655" s="169">
        <v>45912</v>
      </c>
      <c r="B2655" s="115">
        <v>3973.5</v>
      </c>
      <c r="C2655" s="115">
        <v>3953.1</v>
      </c>
      <c r="D2655" s="115">
        <v>3920.5</v>
      </c>
      <c r="E2655" s="115">
        <v>3968.3</v>
      </c>
      <c r="F2655" s="115">
        <v>3953.1</v>
      </c>
      <c r="G2655">
        <v>734</v>
      </c>
      <c r="H2655" s="115"/>
      <c r="I2655" s="115"/>
      <c r="L2655" s="169">
        <v>45915</v>
      </c>
      <c r="M2655" s="115">
        <v>4014.6</v>
      </c>
      <c r="N2655" s="115">
        <v>4030.9</v>
      </c>
      <c r="O2655" s="115">
        <v>3953.3</v>
      </c>
      <c r="P2655" s="115">
        <v>3988</v>
      </c>
      <c r="Q2655" s="115">
        <v>4014.6</v>
      </c>
      <c r="R2655">
        <v>26249</v>
      </c>
    </row>
    <row r="2656" spans="1:18" x14ac:dyDescent="0.25">
      <c r="A2656" s="169">
        <v>45915</v>
      </c>
      <c r="B2656" s="115">
        <v>4028.95</v>
      </c>
      <c r="C2656" s="115">
        <v>4018.1</v>
      </c>
      <c r="D2656" s="115">
        <v>3953.05</v>
      </c>
      <c r="E2656" s="115">
        <v>3953.05</v>
      </c>
      <c r="F2656" s="115">
        <v>4018.1</v>
      </c>
      <c r="G2656">
        <v>903</v>
      </c>
      <c r="H2656" s="115"/>
      <c r="I2656" s="115"/>
      <c r="L2656" s="169">
        <v>45916</v>
      </c>
      <c r="M2656" s="115">
        <v>4057.9</v>
      </c>
      <c r="N2656" s="115">
        <v>4104</v>
      </c>
      <c r="O2656" s="115">
        <v>3992.8</v>
      </c>
      <c r="P2656" s="115">
        <v>4014.6</v>
      </c>
      <c r="Q2656" s="115">
        <v>4057.9</v>
      </c>
      <c r="R2656">
        <v>52286</v>
      </c>
    </row>
    <row r="2657" spans="1:18" x14ac:dyDescent="0.25">
      <c r="A2657" s="169">
        <v>45916</v>
      </c>
      <c r="B2657" s="115">
        <v>4104</v>
      </c>
      <c r="C2657" s="115">
        <v>4060.3</v>
      </c>
      <c r="D2657" s="115">
        <v>3977.95</v>
      </c>
      <c r="E2657" s="115">
        <v>3977.95</v>
      </c>
      <c r="F2657" s="115">
        <v>4060.3</v>
      </c>
      <c r="G2657">
        <v>4631</v>
      </c>
      <c r="H2657" s="115"/>
      <c r="I2657" s="115"/>
      <c r="L2657" s="169">
        <v>45917</v>
      </c>
      <c r="M2657" s="115">
        <v>4135.3999999999996</v>
      </c>
      <c r="N2657" s="115">
        <v>4146.3</v>
      </c>
      <c r="O2657" s="115">
        <v>4057.2</v>
      </c>
      <c r="P2657" s="115">
        <v>4068.8</v>
      </c>
      <c r="Q2657" s="115">
        <v>4135.3999999999996</v>
      </c>
      <c r="R2657">
        <v>44754</v>
      </c>
    </row>
    <row r="2658" spans="1:18" x14ac:dyDescent="0.25">
      <c r="A2658" s="169">
        <v>45917</v>
      </c>
      <c r="B2658" s="115">
        <v>4144</v>
      </c>
      <c r="C2658" s="115">
        <v>4131.8</v>
      </c>
      <c r="D2658" s="115">
        <v>4052.15</v>
      </c>
      <c r="E2658" s="115">
        <v>4060.3</v>
      </c>
      <c r="F2658" s="115">
        <v>4131.8</v>
      </c>
      <c r="G2658">
        <v>2883</v>
      </c>
      <c r="H2658" s="115"/>
      <c r="I2658" s="115"/>
      <c r="L2658" s="169">
        <v>45918</v>
      </c>
      <c r="M2658" s="115">
        <v>4137.6000000000004</v>
      </c>
      <c r="N2658" s="115">
        <v>4170.3999999999996</v>
      </c>
      <c r="O2658" s="115">
        <v>4100.3</v>
      </c>
      <c r="P2658" s="115">
        <v>4139.8999999999996</v>
      </c>
      <c r="Q2658" s="115">
        <v>4137.6000000000004</v>
      </c>
      <c r="R2658">
        <v>40713</v>
      </c>
    </row>
    <row r="2659" spans="1:18" x14ac:dyDescent="0.25">
      <c r="A2659" s="169">
        <v>45918</v>
      </c>
      <c r="B2659" s="115">
        <v>4168</v>
      </c>
      <c r="C2659" s="115">
        <v>4139</v>
      </c>
      <c r="D2659" s="115">
        <v>4101.95</v>
      </c>
      <c r="E2659" s="115">
        <v>4135.45</v>
      </c>
      <c r="F2659" s="115">
        <v>4139</v>
      </c>
      <c r="G2659">
        <v>1545</v>
      </c>
      <c r="H2659" s="115"/>
      <c r="I2659" s="115"/>
      <c r="L2659" s="169">
        <v>45919</v>
      </c>
      <c r="M2659" s="115">
        <v>4140.3</v>
      </c>
      <c r="N2659" s="115">
        <v>4173.5</v>
      </c>
      <c r="O2659" s="115">
        <v>4106.3999999999996</v>
      </c>
      <c r="P2659" s="115">
        <v>4129.8</v>
      </c>
      <c r="Q2659" s="115">
        <v>4140.3</v>
      </c>
      <c r="R2659">
        <v>61015</v>
      </c>
    </row>
    <row r="2660" spans="1:18" x14ac:dyDescent="0.25">
      <c r="A2660" s="169">
        <v>45919</v>
      </c>
      <c r="B2660" s="115">
        <v>4171.2</v>
      </c>
      <c r="C2660" s="115">
        <v>4145.95</v>
      </c>
      <c r="D2660" s="115">
        <v>4109.6499999999996</v>
      </c>
      <c r="E2660" s="115">
        <v>4112.05</v>
      </c>
      <c r="F2660" s="115">
        <v>4145.95</v>
      </c>
      <c r="G2660">
        <v>2381</v>
      </c>
      <c r="H2660" s="115"/>
      <c r="I2660" s="115"/>
      <c r="L2660" s="169">
        <v>45922</v>
      </c>
      <c r="M2660" s="115">
        <v>4138.7</v>
      </c>
      <c r="N2660" s="115">
        <v>4152.3999999999996</v>
      </c>
      <c r="O2660" s="115">
        <v>4101</v>
      </c>
      <c r="P2660" s="115">
        <v>4140</v>
      </c>
      <c r="Q2660" s="115">
        <v>4138.7</v>
      </c>
      <c r="R2660">
        <v>22662</v>
      </c>
    </row>
    <row r="2661" spans="1:18" x14ac:dyDescent="0.25">
      <c r="A2661" s="169">
        <v>45922</v>
      </c>
      <c r="B2661" s="115">
        <v>4150</v>
      </c>
      <c r="C2661" s="115">
        <v>4140.6000000000004</v>
      </c>
      <c r="D2661" s="115">
        <v>4101.95</v>
      </c>
      <c r="E2661" s="115">
        <v>4124</v>
      </c>
      <c r="F2661" s="115">
        <v>4140.6000000000004</v>
      </c>
      <c r="G2661">
        <v>1129</v>
      </c>
      <c r="H2661" s="115"/>
      <c r="I2661" s="115"/>
      <c r="L2661" s="169">
        <v>45923</v>
      </c>
      <c r="M2661" s="115">
        <v>4119.3999999999996</v>
      </c>
      <c r="N2661" s="115">
        <v>4149</v>
      </c>
      <c r="O2661" s="115">
        <v>4058.3</v>
      </c>
      <c r="P2661" s="115">
        <v>4149</v>
      </c>
      <c r="Q2661" s="115">
        <v>4119.3999999999996</v>
      </c>
      <c r="R2661">
        <v>20091</v>
      </c>
    </row>
    <row r="2662" spans="1:18" x14ac:dyDescent="0.25">
      <c r="A2662" s="169">
        <v>45923</v>
      </c>
      <c r="B2662" s="115">
        <v>4136.2</v>
      </c>
      <c r="C2662" s="115">
        <v>4112.05</v>
      </c>
      <c r="D2662" s="115">
        <v>4057.35</v>
      </c>
      <c r="E2662" s="115">
        <v>4121.05</v>
      </c>
      <c r="F2662" s="115">
        <v>4112.05</v>
      </c>
      <c r="G2662">
        <v>1490</v>
      </c>
      <c r="H2662" s="115"/>
      <c r="I2662" s="115"/>
      <c r="L2662" s="169">
        <v>45924</v>
      </c>
      <c r="M2662" s="115">
        <v>4085.6</v>
      </c>
      <c r="N2662" s="115">
        <v>4120.6000000000004</v>
      </c>
      <c r="O2662" s="115">
        <v>4078</v>
      </c>
      <c r="P2662" s="115">
        <v>4100</v>
      </c>
      <c r="Q2662" s="115">
        <v>4085.6</v>
      </c>
      <c r="R2662">
        <v>12448</v>
      </c>
    </row>
    <row r="2663" spans="1:18" x14ac:dyDescent="0.25">
      <c r="A2663" s="169">
        <v>45924</v>
      </c>
      <c r="B2663" s="115">
        <v>4118</v>
      </c>
      <c r="C2663" s="115">
        <v>4085.05</v>
      </c>
      <c r="D2663" s="115">
        <v>4070.15</v>
      </c>
      <c r="E2663" s="115">
        <v>4070.15</v>
      </c>
      <c r="F2663" s="115">
        <v>4085.05</v>
      </c>
      <c r="G2663">
        <v>25516</v>
      </c>
      <c r="H2663" s="115"/>
      <c r="I2663" s="115"/>
      <c r="L2663" s="169">
        <v>45925</v>
      </c>
      <c r="M2663" s="115">
        <v>4100</v>
      </c>
      <c r="N2663" s="115">
        <v>4160.8</v>
      </c>
      <c r="O2663" s="115">
        <v>4066.1</v>
      </c>
      <c r="P2663" s="115">
        <v>4085.6</v>
      </c>
      <c r="Q2663" s="115">
        <v>4100</v>
      </c>
      <c r="R2663">
        <v>17697</v>
      </c>
    </row>
    <row r="2664" spans="1:18" x14ac:dyDescent="0.25">
      <c r="A2664" s="169">
        <v>45925</v>
      </c>
      <c r="B2664" s="115">
        <v>4151.1000000000004</v>
      </c>
      <c r="C2664" s="115">
        <v>4105.5</v>
      </c>
      <c r="D2664" s="115">
        <v>4077</v>
      </c>
      <c r="E2664" s="115">
        <v>4084.45</v>
      </c>
      <c r="F2664" s="115">
        <v>4105.5</v>
      </c>
      <c r="G2664">
        <v>1011</v>
      </c>
      <c r="H2664" s="115"/>
      <c r="I2664" s="115"/>
      <c r="L2664" s="169">
        <v>45926</v>
      </c>
      <c r="M2664" s="115">
        <v>3992</v>
      </c>
      <c r="N2664" s="115">
        <v>4088</v>
      </c>
      <c r="O2664" s="115">
        <v>3977.9</v>
      </c>
      <c r="P2664" s="115">
        <v>4066</v>
      </c>
      <c r="Q2664" s="115">
        <v>3992</v>
      </c>
      <c r="R2664">
        <v>24421</v>
      </c>
    </row>
    <row r="2665" spans="1:18" x14ac:dyDescent="0.25">
      <c r="A2665" s="169">
        <v>45926</v>
      </c>
      <c r="B2665" s="115">
        <v>4086.55</v>
      </c>
      <c r="C2665" s="115">
        <v>3994.1</v>
      </c>
      <c r="D2665" s="115">
        <v>3984</v>
      </c>
      <c r="E2665" s="115">
        <v>4071.5</v>
      </c>
      <c r="F2665" s="115">
        <v>3994.1</v>
      </c>
      <c r="G2665">
        <v>2585</v>
      </c>
      <c r="H2665" s="115"/>
      <c r="I2665" s="115"/>
      <c r="L2665" s="169">
        <v>45929</v>
      </c>
      <c r="M2665" s="115">
        <v>4141.1000000000004</v>
      </c>
      <c r="N2665" s="115">
        <v>4280</v>
      </c>
      <c r="O2665" s="115">
        <v>3957.1</v>
      </c>
      <c r="P2665" s="115">
        <v>3992.1</v>
      </c>
      <c r="Q2665" s="115">
        <v>4141.1000000000004</v>
      </c>
      <c r="R2665">
        <v>99635</v>
      </c>
    </row>
    <row r="2666" spans="1:18" x14ac:dyDescent="0.25">
      <c r="A2666" s="169">
        <v>45929</v>
      </c>
      <c r="B2666" s="115">
        <v>4259.05</v>
      </c>
      <c r="C2666" s="115">
        <v>4153.6000000000004</v>
      </c>
      <c r="D2666" s="115">
        <v>3957.65</v>
      </c>
      <c r="E2666" s="115">
        <v>3992</v>
      </c>
      <c r="F2666" s="115">
        <v>4153.6000000000004</v>
      </c>
      <c r="G2666">
        <v>3234</v>
      </c>
      <c r="H2666" s="115"/>
      <c r="I2666" s="115"/>
      <c r="L2666" s="169">
        <v>45930</v>
      </c>
      <c r="M2666" s="115">
        <v>4208.8</v>
      </c>
      <c r="N2666" s="115">
        <v>4270.3</v>
      </c>
      <c r="O2666" s="115">
        <v>4012</v>
      </c>
      <c r="P2666" s="115">
        <v>4174.2</v>
      </c>
      <c r="Q2666" s="115">
        <v>4208.8</v>
      </c>
      <c r="R2666">
        <v>153456</v>
      </c>
    </row>
    <row r="2667" spans="1:18" x14ac:dyDescent="0.25">
      <c r="A2667" s="169">
        <v>45930</v>
      </c>
      <c r="B2667" s="115">
        <v>4268.5</v>
      </c>
      <c r="C2667" s="115">
        <v>4210.25</v>
      </c>
      <c r="D2667" s="115">
        <v>4010.05</v>
      </c>
      <c r="E2667" s="115">
        <v>4150</v>
      </c>
      <c r="F2667" s="115">
        <v>4210.25</v>
      </c>
      <c r="G2667">
        <v>3758</v>
      </c>
      <c r="H2667" s="115"/>
      <c r="I2667" s="115"/>
      <c r="L2667" s="169">
        <v>45931</v>
      </c>
      <c r="M2667" s="115">
        <v>4182.5</v>
      </c>
      <c r="N2667" s="115">
        <v>4199.1000000000004</v>
      </c>
      <c r="O2667" s="115">
        <v>4127.1000000000004</v>
      </c>
      <c r="P2667" s="115">
        <v>4148.6000000000004</v>
      </c>
      <c r="Q2667" s="115">
        <v>4182.5</v>
      </c>
      <c r="R2667">
        <v>50385</v>
      </c>
    </row>
    <row r="2668" spans="1:18" x14ac:dyDescent="0.25">
      <c r="A2668" s="169">
        <v>45931</v>
      </c>
      <c r="B2668" s="115">
        <v>4209.5</v>
      </c>
      <c r="C2668" s="115">
        <v>4180.8999999999996</v>
      </c>
      <c r="D2668" s="115">
        <v>4124.05</v>
      </c>
      <c r="E2668" s="115">
        <v>4209.5</v>
      </c>
      <c r="F2668" s="115">
        <v>4180.8999999999996</v>
      </c>
      <c r="G2668">
        <v>1626</v>
      </c>
      <c r="H2668" s="115"/>
      <c r="I2668" s="115"/>
      <c r="L2668" s="169">
        <v>45933</v>
      </c>
      <c r="M2668" s="115">
        <v>4286.2</v>
      </c>
      <c r="N2668" s="115">
        <v>4302</v>
      </c>
      <c r="O2668" s="115">
        <v>4142.2</v>
      </c>
      <c r="P2668" s="115">
        <v>4142.2</v>
      </c>
      <c r="Q2668" s="115">
        <v>4286.2</v>
      </c>
      <c r="R2668">
        <v>145678</v>
      </c>
    </row>
    <row r="2669" spans="1:18" x14ac:dyDescent="0.25">
      <c r="A2669" s="169">
        <v>45933</v>
      </c>
      <c r="B2669" s="115">
        <v>4300</v>
      </c>
      <c r="C2669" s="115">
        <v>4287.05</v>
      </c>
      <c r="D2669" s="115">
        <v>4152.6499999999996</v>
      </c>
      <c r="E2669" s="115">
        <v>4180.95</v>
      </c>
      <c r="F2669" s="115">
        <v>4287.05</v>
      </c>
      <c r="G2669">
        <v>2876</v>
      </c>
      <c r="H2669" s="115"/>
      <c r="I2669" s="115"/>
      <c r="L2669" s="169">
        <v>45936</v>
      </c>
      <c r="M2669" s="115">
        <v>4214.8</v>
      </c>
      <c r="N2669" s="115">
        <v>4275</v>
      </c>
      <c r="O2669" s="115">
        <v>4175</v>
      </c>
      <c r="P2669" s="115">
        <v>4275</v>
      </c>
      <c r="Q2669" s="115">
        <v>4214.8</v>
      </c>
      <c r="R2669">
        <v>121522</v>
      </c>
    </row>
    <row r="2670" spans="1:18" x14ac:dyDescent="0.25">
      <c r="A2670" s="169">
        <v>45936</v>
      </c>
      <c r="B2670" s="115">
        <v>4246.1000000000004</v>
      </c>
      <c r="C2670" s="115">
        <v>4215.3</v>
      </c>
      <c r="D2670" s="115">
        <v>4175</v>
      </c>
      <c r="E2670" s="115">
        <v>4200.5</v>
      </c>
      <c r="F2670" s="115">
        <v>4215.3</v>
      </c>
      <c r="G2670">
        <v>3236</v>
      </c>
      <c r="H2670" s="115"/>
      <c r="I2670" s="115"/>
      <c r="L2670" s="169">
        <v>45937</v>
      </c>
      <c r="M2670" s="115">
        <v>4284.5</v>
      </c>
      <c r="N2670" s="115">
        <v>4392</v>
      </c>
      <c r="O2670" s="115">
        <v>4225.8999999999996</v>
      </c>
      <c r="P2670" s="115">
        <v>4249.8999999999996</v>
      </c>
      <c r="Q2670" s="115">
        <v>4284.5</v>
      </c>
      <c r="R2670">
        <v>172889</v>
      </c>
    </row>
    <row r="2671" spans="1:18" x14ac:dyDescent="0.25">
      <c r="A2671" s="169">
        <v>45937</v>
      </c>
      <c r="B2671" s="115">
        <v>4392.8500000000004</v>
      </c>
      <c r="C2671" s="115">
        <v>4285</v>
      </c>
      <c r="D2671" s="115">
        <v>4226.1499999999996</v>
      </c>
      <c r="E2671" s="115">
        <v>4240</v>
      </c>
      <c r="F2671" s="115">
        <v>4285</v>
      </c>
      <c r="G2671">
        <v>11889</v>
      </c>
      <c r="H2671" s="115"/>
      <c r="I2671" s="115"/>
      <c r="L2671" s="169">
        <v>45938</v>
      </c>
      <c r="M2671" s="115">
        <v>4225.5</v>
      </c>
      <c r="N2671" s="115">
        <v>4299.8999999999996</v>
      </c>
      <c r="O2671" s="115">
        <v>4194.3</v>
      </c>
      <c r="P2671" s="115">
        <v>4299.8999999999996</v>
      </c>
      <c r="Q2671" s="115">
        <v>4225.5</v>
      </c>
      <c r="R2671">
        <v>43061</v>
      </c>
    </row>
    <row r="2672" spans="1:18" x14ac:dyDescent="0.25">
      <c r="A2672" s="169">
        <v>45938</v>
      </c>
      <c r="B2672" s="115">
        <v>4294</v>
      </c>
      <c r="C2672" s="115">
        <v>4222.8</v>
      </c>
      <c r="D2672" s="115">
        <v>4195</v>
      </c>
      <c r="E2672" s="115">
        <v>4290</v>
      </c>
      <c r="F2672" s="115">
        <v>4222.8</v>
      </c>
      <c r="G2672">
        <v>3535</v>
      </c>
      <c r="H2672" s="115"/>
      <c r="I2672" s="115"/>
      <c r="L2672" s="169">
        <v>45939</v>
      </c>
      <c r="M2672" s="115">
        <v>4177.3999999999996</v>
      </c>
      <c r="N2672" s="115">
        <v>4256.3999999999996</v>
      </c>
      <c r="O2672" s="115">
        <v>4165.1000000000004</v>
      </c>
      <c r="P2672" s="115">
        <v>4229.8</v>
      </c>
      <c r="Q2672" s="115">
        <v>4177.3999999999996</v>
      </c>
      <c r="R2672">
        <v>52151</v>
      </c>
    </row>
    <row r="2673" spans="1:18" x14ac:dyDescent="0.25">
      <c r="A2673" s="169">
        <v>45939</v>
      </c>
      <c r="B2673" s="115">
        <v>4255.1000000000004</v>
      </c>
      <c r="C2673" s="115">
        <v>4177.3</v>
      </c>
      <c r="D2673" s="115">
        <v>4167</v>
      </c>
      <c r="E2673" s="115">
        <v>4220.7</v>
      </c>
      <c r="F2673" s="115">
        <v>4177.3</v>
      </c>
      <c r="G2673">
        <v>1167</v>
      </c>
      <c r="H2673" s="115"/>
      <c r="I2673" s="115"/>
      <c r="L2673" s="169">
        <v>45940</v>
      </c>
      <c r="M2673" s="115">
        <v>4115.6000000000004</v>
      </c>
      <c r="N2673" s="115">
        <v>4222</v>
      </c>
      <c r="O2673" s="115">
        <v>4067.3</v>
      </c>
      <c r="P2673" s="115">
        <v>4185</v>
      </c>
      <c r="Q2673" s="115">
        <v>4115.6000000000004</v>
      </c>
      <c r="R2673">
        <v>56523</v>
      </c>
    </row>
    <row r="2674" spans="1:18" x14ac:dyDescent="0.25">
      <c r="A2674" s="169">
        <v>45940</v>
      </c>
      <c r="B2674" s="115">
        <v>4279.8999999999996</v>
      </c>
      <c r="C2674" s="115">
        <v>4101.3500000000004</v>
      </c>
      <c r="D2674" s="115">
        <v>4069.5</v>
      </c>
      <c r="E2674" s="115">
        <v>4279.8999999999996</v>
      </c>
      <c r="F2674" s="115">
        <v>4101.3500000000004</v>
      </c>
      <c r="G2674">
        <v>2920</v>
      </c>
      <c r="H2674" s="115"/>
      <c r="I2674" s="115"/>
      <c r="L2674" s="169">
        <v>45943</v>
      </c>
      <c r="M2674" s="115">
        <v>4020</v>
      </c>
      <c r="N2674" s="115">
        <v>4127.2</v>
      </c>
      <c r="O2674" s="115">
        <v>4015.6</v>
      </c>
      <c r="P2674" s="115">
        <v>4127.2</v>
      </c>
      <c r="Q2674" s="115">
        <v>4020</v>
      </c>
      <c r="R2674">
        <v>27995</v>
      </c>
    </row>
    <row r="2675" spans="1:18" x14ac:dyDescent="0.25">
      <c r="A2675" s="169">
        <v>45943</v>
      </c>
      <c r="B2675" s="115">
        <v>4199.95</v>
      </c>
      <c r="C2675" s="115">
        <v>4020.75</v>
      </c>
      <c r="D2675" s="115">
        <v>4015.5</v>
      </c>
      <c r="E2675" s="115">
        <v>4199.95</v>
      </c>
      <c r="F2675" s="115">
        <v>4020.75</v>
      </c>
      <c r="G2675">
        <v>1957</v>
      </c>
      <c r="H2675" s="115"/>
      <c r="I2675" s="115"/>
      <c r="L2675" s="169">
        <v>45944</v>
      </c>
      <c r="M2675" s="115">
        <v>3962.6</v>
      </c>
      <c r="N2675" s="115">
        <v>4039.6</v>
      </c>
      <c r="O2675" s="115">
        <v>3900</v>
      </c>
      <c r="P2675" s="115">
        <v>4018.1</v>
      </c>
      <c r="Q2675" s="115">
        <v>3962.6</v>
      </c>
      <c r="R2675">
        <v>59886</v>
      </c>
    </row>
    <row r="2676" spans="1:18" x14ac:dyDescent="0.25">
      <c r="A2676" s="169">
        <v>45944</v>
      </c>
      <c r="B2676" s="115">
        <v>4037.95</v>
      </c>
      <c r="C2676" s="115">
        <v>3962.25</v>
      </c>
      <c r="D2676" s="115">
        <v>3904</v>
      </c>
      <c r="E2676" s="115">
        <v>4011.05</v>
      </c>
      <c r="F2676" s="115">
        <v>3962.25</v>
      </c>
      <c r="G2676">
        <v>4316</v>
      </c>
      <c r="H2676" s="115"/>
      <c r="I2676" s="115"/>
      <c r="L2676" s="169">
        <v>45945</v>
      </c>
      <c r="M2676" s="115">
        <v>3978.6</v>
      </c>
      <c r="N2676" s="115">
        <v>4000</v>
      </c>
      <c r="O2676" s="115">
        <v>3953.6</v>
      </c>
      <c r="P2676" s="115">
        <v>3962.6</v>
      </c>
      <c r="Q2676" s="115">
        <v>3978.6</v>
      </c>
      <c r="R2676">
        <v>22127</v>
      </c>
    </row>
    <row r="2677" spans="1:18" x14ac:dyDescent="0.25">
      <c r="A2677" s="169">
        <v>45945</v>
      </c>
      <c r="B2677" s="115">
        <v>4001.35</v>
      </c>
      <c r="C2677" s="115">
        <v>3976.45</v>
      </c>
      <c r="D2677" s="115">
        <v>3941.05</v>
      </c>
      <c r="E2677" s="115">
        <v>3941.05</v>
      </c>
      <c r="F2677" s="115">
        <v>3976.45</v>
      </c>
      <c r="G2677">
        <v>1415</v>
      </c>
      <c r="H2677" s="115"/>
      <c r="I2677" s="115"/>
      <c r="L2677" s="169">
        <v>45946</v>
      </c>
      <c r="M2677" s="115">
        <v>3932</v>
      </c>
      <c r="N2677" s="115">
        <v>4011.9</v>
      </c>
      <c r="O2677" s="115">
        <v>3924.2</v>
      </c>
      <c r="P2677" s="115">
        <v>3951.5</v>
      </c>
      <c r="Q2677" s="115">
        <v>3932</v>
      </c>
      <c r="R2677">
        <v>21496</v>
      </c>
    </row>
    <row r="2678" spans="1:18" x14ac:dyDescent="0.25">
      <c r="A2678" s="169">
        <v>45946</v>
      </c>
      <c r="B2678" s="115">
        <v>4089.95</v>
      </c>
      <c r="C2678" s="115">
        <v>3932.05</v>
      </c>
      <c r="D2678" s="115">
        <v>3925.5</v>
      </c>
      <c r="E2678" s="115">
        <v>4089.95</v>
      </c>
      <c r="F2678" s="115">
        <v>3932.05</v>
      </c>
      <c r="G2678">
        <v>1006</v>
      </c>
      <c r="H2678" s="115"/>
      <c r="I2678" s="115"/>
      <c r="L2678" s="169">
        <v>45947</v>
      </c>
      <c r="M2678" s="115">
        <v>3877.5</v>
      </c>
      <c r="N2678" s="115">
        <v>3963.6</v>
      </c>
      <c r="O2678" s="115">
        <v>3849</v>
      </c>
      <c r="P2678" s="115">
        <v>3950</v>
      </c>
      <c r="Q2678" s="115">
        <v>3877.5</v>
      </c>
      <c r="R2678">
        <v>37809</v>
      </c>
    </row>
    <row r="2679" spans="1:18" x14ac:dyDescent="0.25">
      <c r="A2679" s="169">
        <v>45947</v>
      </c>
      <c r="B2679" s="115">
        <v>3960.9</v>
      </c>
      <c r="C2679" s="115">
        <v>3873.1</v>
      </c>
      <c r="D2679" s="115">
        <v>3852.5</v>
      </c>
      <c r="E2679" s="115">
        <v>3926.25</v>
      </c>
      <c r="F2679" s="115">
        <v>3873.1</v>
      </c>
      <c r="G2679">
        <v>3000</v>
      </c>
      <c r="H2679" s="115"/>
      <c r="I2679" s="115"/>
      <c r="L2679" s="169">
        <v>45950</v>
      </c>
      <c r="M2679" s="115">
        <v>3860.1</v>
      </c>
      <c r="N2679" s="115">
        <v>3924</v>
      </c>
      <c r="O2679" s="115">
        <v>3850</v>
      </c>
      <c r="P2679" s="115">
        <v>3881.2</v>
      </c>
      <c r="Q2679" s="115">
        <v>3860.1</v>
      </c>
      <c r="R2679">
        <v>29669</v>
      </c>
    </row>
    <row r="2680" spans="1:18" x14ac:dyDescent="0.25">
      <c r="A2680" s="169">
        <v>45950</v>
      </c>
      <c r="B2680" s="115">
        <v>3921.95</v>
      </c>
      <c r="C2680" s="115">
        <v>3865.05</v>
      </c>
      <c r="D2680" s="115">
        <v>3849.9</v>
      </c>
      <c r="E2680" s="115">
        <v>3877.1</v>
      </c>
      <c r="F2680" s="115">
        <v>3865.05</v>
      </c>
      <c r="G2680">
        <v>1903</v>
      </c>
      <c r="H2680" s="115"/>
      <c r="I2680" s="115"/>
      <c r="L2680" s="169">
        <v>45951</v>
      </c>
      <c r="M2680" s="115">
        <v>3927.9</v>
      </c>
      <c r="N2680" s="115">
        <v>3949</v>
      </c>
      <c r="O2680" s="115">
        <v>3875</v>
      </c>
      <c r="P2680" s="115">
        <v>3893</v>
      </c>
      <c r="Q2680" s="115">
        <v>3927.9</v>
      </c>
      <c r="R2680">
        <v>4568</v>
      </c>
    </row>
    <row r="2681" spans="1:18" x14ac:dyDescent="0.25">
      <c r="A2681" s="169">
        <v>45951</v>
      </c>
      <c r="B2681" s="115">
        <v>3949.65</v>
      </c>
      <c r="C2681" s="115">
        <v>3920.35</v>
      </c>
      <c r="D2681" s="115">
        <v>3865.1</v>
      </c>
      <c r="E2681" s="115">
        <v>3865.1</v>
      </c>
      <c r="F2681" s="115">
        <v>3920.35</v>
      </c>
      <c r="G2681">
        <v>497</v>
      </c>
      <c r="H2681" s="115"/>
      <c r="I2681" s="115"/>
      <c r="L2681" s="169">
        <v>45953</v>
      </c>
      <c r="M2681" s="115">
        <v>3907</v>
      </c>
      <c r="N2681" s="115">
        <v>3989.9</v>
      </c>
      <c r="O2681" s="115">
        <v>3891.9</v>
      </c>
      <c r="P2681" s="115">
        <v>3989.9</v>
      </c>
      <c r="Q2681" s="115">
        <v>3907</v>
      </c>
      <c r="R2681">
        <v>20034</v>
      </c>
    </row>
    <row r="2682" spans="1:18" x14ac:dyDescent="0.25">
      <c r="A2682" s="169">
        <v>45953</v>
      </c>
      <c r="B2682" s="115">
        <v>3979.25</v>
      </c>
      <c r="C2682" s="115">
        <v>3908.45</v>
      </c>
      <c r="D2682" s="115">
        <v>3892.2</v>
      </c>
      <c r="E2682" s="115">
        <v>3940.5</v>
      </c>
      <c r="F2682" s="115">
        <v>3908.45</v>
      </c>
      <c r="G2682">
        <v>1044</v>
      </c>
      <c r="H2682" s="115"/>
      <c r="I2682" s="115"/>
      <c r="L2682" s="169">
        <v>45954</v>
      </c>
      <c r="M2682" s="115">
        <v>3910.9</v>
      </c>
      <c r="N2682" s="115">
        <v>3932.5</v>
      </c>
      <c r="O2682" s="115">
        <v>3880</v>
      </c>
      <c r="P2682" s="115">
        <v>3932.5</v>
      </c>
      <c r="Q2682" s="115">
        <v>3910.9</v>
      </c>
      <c r="R2682">
        <v>13802</v>
      </c>
    </row>
    <row r="2683" spans="1:18" x14ac:dyDescent="0.25">
      <c r="A2683" s="169">
        <v>45954</v>
      </c>
      <c r="B2683" s="115">
        <v>3930.95</v>
      </c>
      <c r="C2683" s="115">
        <v>3908.9</v>
      </c>
      <c r="D2683" s="115">
        <v>3879.05</v>
      </c>
      <c r="E2683" s="115">
        <v>3900.1</v>
      </c>
      <c r="F2683" s="115">
        <v>3908.9</v>
      </c>
      <c r="G2683">
        <v>1259</v>
      </c>
      <c r="H2683" s="115"/>
      <c r="I2683" s="115"/>
      <c r="L2683" s="169">
        <v>45957</v>
      </c>
      <c r="M2683" s="115">
        <v>3928.3</v>
      </c>
      <c r="N2683" s="115">
        <v>3957.8</v>
      </c>
      <c r="O2683" s="115">
        <v>3894.1</v>
      </c>
      <c r="P2683" s="115">
        <v>3924</v>
      </c>
      <c r="Q2683" s="115">
        <v>3928.3</v>
      </c>
      <c r="R2683">
        <v>14153</v>
      </c>
    </row>
    <row r="2684" spans="1:18" x14ac:dyDescent="0.25">
      <c r="A2684" s="169">
        <v>45957</v>
      </c>
      <c r="B2684" s="115">
        <v>3982.95</v>
      </c>
      <c r="C2684" s="115">
        <v>3929.45</v>
      </c>
      <c r="D2684" s="115">
        <v>3894.15</v>
      </c>
      <c r="E2684" s="115">
        <v>3982.95</v>
      </c>
      <c r="F2684" s="115">
        <v>3929.45</v>
      </c>
      <c r="G2684">
        <v>907</v>
      </c>
      <c r="H2684" s="115"/>
      <c r="I2684" s="115"/>
      <c r="L2684" s="169">
        <v>45958</v>
      </c>
      <c r="M2684" s="115">
        <v>3871.8</v>
      </c>
      <c r="N2684" s="115">
        <v>3965</v>
      </c>
      <c r="O2684" s="115">
        <v>3860</v>
      </c>
      <c r="P2684" s="115">
        <v>3930</v>
      </c>
      <c r="Q2684" s="115">
        <v>3871.8</v>
      </c>
      <c r="R2684">
        <v>37519</v>
      </c>
    </row>
    <row r="2685" spans="1:18" x14ac:dyDescent="0.25">
      <c r="A2685" s="169">
        <v>45958</v>
      </c>
      <c r="B2685" s="115">
        <v>3960.05</v>
      </c>
      <c r="C2685" s="115">
        <v>3870.8</v>
      </c>
      <c r="D2685" s="115">
        <v>3860</v>
      </c>
      <c r="E2685" s="115">
        <v>3933.3</v>
      </c>
      <c r="F2685" s="115">
        <v>3870.8</v>
      </c>
      <c r="G2685">
        <v>70136</v>
      </c>
      <c r="H2685" s="115"/>
      <c r="I2685" s="115"/>
      <c r="L2685" s="169">
        <v>45959</v>
      </c>
      <c r="M2685" s="115">
        <v>3947.4</v>
      </c>
      <c r="N2685" s="115">
        <v>3955</v>
      </c>
      <c r="O2685" s="115">
        <v>3842.3</v>
      </c>
      <c r="P2685" s="115">
        <v>3898</v>
      </c>
      <c r="Q2685" s="115">
        <v>3947.4</v>
      </c>
      <c r="R2685">
        <v>31301</v>
      </c>
    </row>
    <row r="2686" spans="1:18" x14ac:dyDescent="0.25">
      <c r="A2686" s="169">
        <v>45959</v>
      </c>
      <c r="B2686" s="115">
        <v>3953.85</v>
      </c>
      <c r="C2686" s="115">
        <v>3942</v>
      </c>
      <c r="D2686" s="115">
        <v>3839.3</v>
      </c>
      <c r="E2686" s="115">
        <v>3871.85</v>
      </c>
      <c r="F2686" s="115">
        <v>3942</v>
      </c>
      <c r="G2686">
        <v>1398</v>
      </c>
      <c r="H2686" s="115"/>
      <c r="I2686" s="115"/>
      <c r="L2686" s="169">
        <v>45960</v>
      </c>
      <c r="M2686" s="115">
        <v>3929.5</v>
      </c>
      <c r="N2686" s="115">
        <v>3950</v>
      </c>
      <c r="O2686" s="115">
        <v>3893.7</v>
      </c>
      <c r="P2686" s="115">
        <v>3947.4</v>
      </c>
      <c r="Q2686" s="115">
        <v>3929.5</v>
      </c>
      <c r="R2686">
        <v>39273</v>
      </c>
    </row>
    <row r="2687" spans="1:18" x14ac:dyDescent="0.25">
      <c r="A2687" s="169">
        <v>45960</v>
      </c>
      <c r="B2687" s="115">
        <v>3999.95</v>
      </c>
      <c r="C2687" s="115">
        <v>3926.55</v>
      </c>
      <c r="D2687" s="115">
        <v>3894.6</v>
      </c>
      <c r="E2687" s="115">
        <v>3999.95</v>
      </c>
      <c r="F2687" s="115">
        <v>3926.55</v>
      </c>
      <c r="G2687">
        <v>1106</v>
      </c>
      <c r="H2687" s="115"/>
      <c r="I2687" s="115"/>
      <c r="L2687" s="169">
        <v>45961</v>
      </c>
      <c r="M2687" s="115">
        <v>4021.4</v>
      </c>
      <c r="N2687" s="115">
        <v>4034</v>
      </c>
      <c r="O2687" s="115">
        <v>3923.8</v>
      </c>
      <c r="P2687" s="115">
        <v>3937.5</v>
      </c>
      <c r="Q2687" s="115">
        <v>4021.4</v>
      </c>
      <c r="R2687">
        <v>72341</v>
      </c>
    </row>
    <row r="2688" spans="1:18" x14ac:dyDescent="0.25">
      <c r="A2688" s="169">
        <v>45961</v>
      </c>
      <c r="B2688" s="115">
        <v>4030.55</v>
      </c>
      <c r="C2688" s="115">
        <v>4017.1</v>
      </c>
      <c r="D2688" s="115">
        <v>3926.55</v>
      </c>
      <c r="E2688" s="115">
        <v>3937</v>
      </c>
      <c r="F2688" s="115">
        <v>4017.1</v>
      </c>
      <c r="G2688">
        <v>1530</v>
      </c>
      <c r="H2688" s="115"/>
      <c r="I2688" s="115"/>
      <c r="L2688" s="169">
        <v>45964</v>
      </c>
      <c r="M2688" s="115">
        <v>4278.7</v>
      </c>
      <c r="N2688" s="115">
        <v>4390</v>
      </c>
      <c r="O2688" s="115">
        <v>4050</v>
      </c>
      <c r="P2688" s="115">
        <v>4162</v>
      </c>
      <c r="Q2688" s="115">
        <v>4278.7</v>
      </c>
      <c r="R2688">
        <v>704761</v>
      </c>
    </row>
    <row r="2689" spans="1:18" x14ac:dyDescent="0.25">
      <c r="A2689" s="169">
        <v>45964</v>
      </c>
      <c r="B2689" s="115">
        <v>4389.25</v>
      </c>
      <c r="C2689" s="115">
        <v>4277.75</v>
      </c>
      <c r="D2689" s="115">
        <v>4070</v>
      </c>
      <c r="E2689" s="115">
        <v>4163.1000000000004</v>
      </c>
      <c r="F2689" s="115">
        <v>4277.75</v>
      </c>
      <c r="G2689">
        <v>31521</v>
      </c>
      <c r="H2689" s="115"/>
      <c r="I2689" s="115"/>
      <c r="L2689" s="169">
        <v>45965</v>
      </c>
      <c r="M2689" s="115">
        <v>4137.8</v>
      </c>
      <c r="N2689" s="115">
        <v>4269.8999999999996</v>
      </c>
      <c r="O2689" s="115">
        <v>4102</v>
      </c>
      <c r="P2689" s="115">
        <v>4225</v>
      </c>
      <c r="Q2689" s="115">
        <v>4137.8</v>
      </c>
      <c r="R2689">
        <v>267156</v>
      </c>
    </row>
    <row r="2690" spans="1:18" x14ac:dyDescent="0.25">
      <c r="A2690" s="169">
        <v>45965</v>
      </c>
      <c r="B2690" s="115">
        <v>4269</v>
      </c>
      <c r="C2690" s="115">
        <v>4140.8500000000004</v>
      </c>
      <c r="D2690" s="115">
        <v>4105</v>
      </c>
      <c r="E2690" s="115">
        <v>4234.3500000000004</v>
      </c>
      <c r="F2690" s="115">
        <v>4140.8500000000004</v>
      </c>
      <c r="G2690">
        <v>7105</v>
      </c>
      <c r="H2690" s="115"/>
      <c r="I2690" s="115"/>
      <c r="L2690" s="169">
        <v>45967</v>
      </c>
      <c r="M2690" s="115">
        <v>4122</v>
      </c>
      <c r="N2690" s="115">
        <v>4196.3</v>
      </c>
      <c r="O2690" s="115">
        <v>4102.5</v>
      </c>
      <c r="P2690" s="115">
        <v>4150.8999999999996</v>
      </c>
      <c r="Q2690" s="115">
        <v>4122</v>
      </c>
      <c r="R2690">
        <v>122113</v>
      </c>
    </row>
    <row r="2691" spans="1:18" x14ac:dyDescent="0.25">
      <c r="A2691" s="169">
        <v>45967</v>
      </c>
      <c r="B2691" s="115">
        <v>4194.95</v>
      </c>
      <c r="C2691" s="115">
        <v>4119.1499999999996</v>
      </c>
      <c r="D2691" s="115">
        <v>4101.6000000000004</v>
      </c>
      <c r="E2691" s="115">
        <v>4141.8500000000004</v>
      </c>
      <c r="F2691" s="115">
        <v>4119.1499999999996</v>
      </c>
      <c r="G2691">
        <v>4165</v>
      </c>
      <c r="H2691" s="115"/>
      <c r="I2691" s="115"/>
      <c r="L2691" s="169">
        <v>45968</v>
      </c>
      <c r="M2691" s="115">
        <v>4078.4</v>
      </c>
      <c r="N2691" s="115">
        <v>4128</v>
      </c>
      <c r="O2691" s="115">
        <v>4051</v>
      </c>
      <c r="P2691" s="115">
        <v>4122</v>
      </c>
      <c r="Q2691" s="115">
        <v>4078.4</v>
      </c>
      <c r="R2691">
        <v>41197</v>
      </c>
    </row>
    <row r="2692" spans="1:18" x14ac:dyDescent="0.25">
      <c r="A2692" s="169">
        <v>45968</v>
      </c>
      <c r="B2692" s="115">
        <v>4123.8500000000004</v>
      </c>
      <c r="C2692" s="115">
        <v>4090.6</v>
      </c>
      <c r="D2692" s="115">
        <v>4055</v>
      </c>
      <c r="E2692" s="115">
        <v>4056.6</v>
      </c>
      <c r="F2692" s="115">
        <v>4090.6</v>
      </c>
      <c r="G2692">
        <v>1416</v>
      </c>
      <c r="H2692" s="115"/>
      <c r="I2692" s="115"/>
      <c r="L2692" s="169">
        <v>45971</v>
      </c>
      <c r="M2692" s="115">
        <v>4106.3999999999996</v>
      </c>
      <c r="N2692" s="115">
        <v>4163.8999999999996</v>
      </c>
      <c r="O2692" s="115">
        <v>4075</v>
      </c>
      <c r="P2692" s="115">
        <v>4106.5</v>
      </c>
      <c r="Q2692" s="115">
        <v>4106.3999999999996</v>
      </c>
      <c r="R2692">
        <v>57376</v>
      </c>
    </row>
    <row r="2693" spans="1:18" x14ac:dyDescent="0.25">
      <c r="A2693" s="169">
        <v>45971</v>
      </c>
      <c r="B2693" s="115">
        <v>4158.95</v>
      </c>
      <c r="C2693" s="115">
        <v>4108.3</v>
      </c>
      <c r="D2693" s="115">
        <v>4075.9</v>
      </c>
      <c r="E2693" s="115">
        <v>4090.95</v>
      </c>
      <c r="F2693" s="115">
        <v>4108.3</v>
      </c>
      <c r="G2693">
        <v>17877</v>
      </c>
      <c r="H2693" s="115"/>
      <c r="I2693" s="115"/>
      <c r="L2693" s="169">
        <v>45972</v>
      </c>
      <c r="M2693" s="115">
        <v>4073.8</v>
      </c>
      <c r="N2693" s="115">
        <v>4133</v>
      </c>
      <c r="O2693" s="115">
        <v>4063</v>
      </c>
      <c r="P2693" s="115">
        <v>4124.5</v>
      </c>
      <c r="Q2693" s="115">
        <v>4073.8</v>
      </c>
      <c r="R2693">
        <v>20012</v>
      </c>
    </row>
    <row r="2694" spans="1:18" x14ac:dyDescent="0.25">
      <c r="A2694" s="169">
        <v>45972</v>
      </c>
      <c r="B2694" s="115">
        <v>4120</v>
      </c>
      <c r="C2694" s="115">
        <v>4075.25</v>
      </c>
      <c r="D2694" s="115">
        <v>4066.95</v>
      </c>
      <c r="E2694" s="115">
        <v>4104.2</v>
      </c>
      <c r="F2694" s="115">
        <v>4075.25</v>
      </c>
      <c r="G2694">
        <v>1583</v>
      </c>
      <c r="H2694" s="115"/>
      <c r="I2694" s="115"/>
      <c r="L2694" s="169">
        <v>45973</v>
      </c>
      <c r="M2694" s="115">
        <v>4165.5</v>
      </c>
      <c r="N2694" s="115">
        <v>4217.8</v>
      </c>
      <c r="O2694" s="115">
        <v>4076</v>
      </c>
      <c r="P2694" s="115">
        <v>4093</v>
      </c>
      <c r="Q2694" s="115">
        <v>4165.5</v>
      </c>
      <c r="R2694">
        <v>95818</v>
      </c>
    </row>
    <row r="2695" spans="1:18" x14ac:dyDescent="0.25">
      <c r="A2695" s="169">
        <v>45973</v>
      </c>
      <c r="B2695" s="115">
        <v>4217.95</v>
      </c>
      <c r="C2695" s="115">
        <v>4164.8999999999996</v>
      </c>
      <c r="D2695" s="115">
        <v>4072.9</v>
      </c>
      <c r="E2695" s="115">
        <v>4073</v>
      </c>
      <c r="F2695" s="115">
        <v>4164.8999999999996</v>
      </c>
      <c r="G2695">
        <v>36604</v>
      </c>
      <c r="H2695" s="115"/>
      <c r="I2695" s="115"/>
      <c r="L2695" s="169">
        <v>45974</v>
      </c>
      <c r="M2695" s="115">
        <v>4133.1000000000004</v>
      </c>
      <c r="N2695" s="115">
        <v>4187</v>
      </c>
      <c r="O2695" s="115">
        <v>4100</v>
      </c>
      <c r="P2695" s="115">
        <v>4165.5</v>
      </c>
      <c r="Q2695" s="115">
        <v>4133.1000000000004</v>
      </c>
      <c r="R2695">
        <v>25169</v>
      </c>
    </row>
    <row r="2696" spans="1:18" x14ac:dyDescent="0.25">
      <c r="A2696" s="169">
        <v>45974</v>
      </c>
      <c r="B2696" s="115">
        <v>4182.3999999999996</v>
      </c>
      <c r="C2696" s="115">
        <v>4131.75</v>
      </c>
      <c r="D2696" s="115">
        <v>4105.8</v>
      </c>
      <c r="E2696" s="115">
        <v>4164.8999999999996</v>
      </c>
      <c r="F2696" s="115">
        <v>4131.75</v>
      </c>
      <c r="G2696">
        <v>1447</v>
      </c>
      <c r="H2696" s="115"/>
      <c r="I2696" s="115"/>
      <c r="L2696" s="169">
        <v>45975</v>
      </c>
      <c r="M2696" s="115">
        <v>4086.1</v>
      </c>
      <c r="N2696" s="115">
        <v>4131.7</v>
      </c>
      <c r="O2696" s="115">
        <v>4055.6</v>
      </c>
      <c r="P2696" s="115">
        <v>4110</v>
      </c>
      <c r="Q2696" s="115">
        <v>4086.1</v>
      </c>
      <c r="R2696">
        <v>29206</v>
      </c>
    </row>
    <row r="2697" spans="1:18" x14ac:dyDescent="0.25">
      <c r="A2697" s="169">
        <v>45975</v>
      </c>
      <c r="B2697" s="115">
        <v>4120.25</v>
      </c>
      <c r="C2697" s="115">
        <v>4080.75</v>
      </c>
      <c r="D2697" s="115">
        <v>4057.25</v>
      </c>
      <c r="E2697" s="115">
        <v>4109.8</v>
      </c>
      <c r="F2697" s="115">
        <v>4080.75</v>
      </c>
      <c r="G2697">
        <v>874</v>
      </c>
      <c r="H2697" s="115"/>
      <c r="I2697" s="115"/>
      <c r="L2697" s="169">
        <v>45978</v>
      </c>
      <c r="M2697" s="115">
        <v>4163.2</v>
      </c>
      <c r="N2697" s="115">
        <v>4197</v>
      </c>
      <c r="O2697" s="115">
        <v>4086.1</v>
      </c>
      <c r="P2697" s="115">
        <v>4086.1</v>
      </c>
      <c r="Q2697" s="115">
        <v>4163.2</v>
      </c>
      <c r="R2697">
        <v>37444</v>
      </c>
    </row>
    <row r="2698" spans="1:18" x14ac:dyDescent="0.25">
      <c r="A2698" s="169">
        <v>45978</v>
      </c>
      <c r="B2698" s="115">
        <v>4194.95</v>
      </c>
      <c r="C2698" s="115">
        <v>4162.25</v>
      </c>
      <c r="D2698" s="115">
        <v>4124.05</v>
      </c>
      <c r="E2698" s="115">
        <v>4126.1499999999996</v>
      </c>
      <c r="F2698" s="115">
        <v>4162.25</v>
      </c>
      <c r="G2698">
        <v>2460</v>
      </c>
      <c r="H2698" s="115"/>
      <c r="I2698" s="115"/>
      <c r="L2698" s="169">
        <v>45979</v>
      </c>
      <c r="M2698" s="115">
        <v>4140.5</v>
      </c>
      <c r="N2698" s="115">
        <v>4183.8999999999996</v>
      </c>
      <c r="O2698" s="115">
        <v>4089</v>
      </c>
      <c r="P2698" s="115">
        <v>4165</v>
      </c>
      <c r="Q2698" s="115">
        <v>4140.5</v>
      </c>
      <c r="R2698">
        <v>31703</v>
      </c>
    </row>
    <row r="2699" spans="1:18" x14ac:dyDescent="0.25">
      <c r="A2699" s="169">
        <v>45979</v>
      </c>
      <c r="B2699" s="115">
        <v>4177</v>
      </c>
      <c r="C2699" s="115">
        <v>4141</v>
      </c>
      <c r="D2699" s="115">
        <v>4093.8</v>
      </c>
      <c r="E2699" s="115">
        <v>4177</v>
      </c>
      <c r="F2699" s="115">
        <v>4141</v>
      </c>
      <c r="G2699">
        <v>6654</v>
      </c>
      <c r="H2699" s="115"/>
      <c r="I2699" s="115"/>
      <c r="L2699" s="169">
        <v>45980</v>
      </c>
      <c r="M2699" s="115">
        <v>4108.8</v>
      </c>
      <c r="N2699" s="115">
        <v>4190.2</v>
      </c>
      <c r="O2699" s="115">
        <v>4097.3999999999996</v>
      </c>
      <c r="P2699" s="115">
        <v>4141</v>
      </c>
      <c r="Q2699" s="115">
        <v>4108.8</v>
      </c>
      <c r="R2699">
        <v>59726</v>
      </c>
    </row>
    <row r="2700" spans="1:18" x14ac:dyDescent="0.25">
      <c r="A2700" s="169">
        <v>45980</v>
      </c>
      <c r="B2700" s="115">
        <v>4186.6499999999996</v>
      </c>
      <c r="C2700" s="115">
        <v>4108.75</v>
      </c>
      <c r="D2700" s="115">
        <v>4094.35</v>
      </c>
      <c r="E2700" s="115">
        <v>4125.8500000000004</v>
      </c>
      <c r="F2700" s="115">
        <v>4108.75</v>
      </c>
      <c r="G2700">
        <v>1640</v>
      </c>
      <c r="H2700" s="115"/>
      <c r="I2700" s="115"/>
      <c r="L2700" s="169">
        <v>45981</v>
      </c>
      <c r="M2700" s="115">
        <v>4054.5</v>
      </c>
      <c r="N2700" s="115">
        <v>4109</v>
      </c>
      <c r="O2700" s="115">
        <v>4012</v>
      </c>
      <c r="P2700" s="115">
        <v>4100</v>
      </c>
      <c r="Q2700" s="115">
        <v>4054.5</v>
      </c>
      <c r="R2700">
        <v>70175</v>
      </c>
    </row>
    <row r="2701" spans="1:18" x14ac:dyDescent="0.25">
      <c r="A2701" s="169">
        <v>45981</v>
      </c>
      <c r="B2701" s="115">
        <v>4100.3500000000004</v>
      </c>
      <c r="C2701" s="115">
        <v>4053.1</v>
      </c>
      <c r="D2701" s="115">
        <v>4024.45</v>
      </c>
      <c r="E2701" s="115">
        <v>4093</v>
      </c>
      <c r="F2701" s="115">
        <v>4053.1</v>
      </c>
      <c r="G2701">
        <v>1193</v>
      </c>
      <c r="H2701" s="115"/>
      <c r="I2701" s="115"/>
      <c r="L2701" s="169">
        <v>45982</v>
      </c>
      <c r="M2701" s="115">
        <v>3970.3</v>
      </c>
      <c r="N2701" s="115">
        <v>4063.1</v>
      </c>
      <c r="O2701" s="115">
        <v>3956.4</v>
      </c>
      <c r="P2701" s="115">
        <v>4054</v>
      </c>
      <c r="Q2701" s="115">
        <v>3970.3</v>
      </c>
      <c r="R2701">
        <v>48546</v>
      </c>
    </row>
    <row r="2702" spans="1:18" x14ac:dyDescent="0.25">
      <c r="A2702" s="169">
        <v>45982</v>
      </c>
      <c r="B2702" s="115">
        <v>4053.25</v>
      </c>
      <c r="C2702" s="115">
        <v>3973.35</v>
      </c>
      <c r="D2702" s="115">
        <v>3959.15</v>
      </c>
      <c r="E2702" s="115">
        <v>4053.25</v>
      </c>
      <c r="F2702" s="115">
        <v>3973.35</v>
      </c>
      <c r="G2702">
        <v>758</v>
      </c>
      <c r="H2702" s="115"/>
      <c r="I2702" s="115"/>
      <c r="L2702" s="169">
        <v>45985</v>
      </c>
      <c r="M2702" s="115">
        <v>3974.4</v>
      </c>
      <c r="N2702" s="115">
        <v>3996.3</v>
      </c>
      <c r="O2702" s="115">
        <v>3951</v>
      </c>
      <c r="P2702" s="115">
        <v>3996.3</v>
      </c>
      <c r="Q2702" s="115">
        <v>3974.4</v>
      </c>
      <c r="R2702">
        <v>49903</v>
      </c>
    </row>
    <row r="2703" spans="1:18" x14ac:dyDescent="0.25">
      <c r="A2703" s="169">
        <v>45985</v>
      </c>
      <c r="B2703" s="115">
        <v>3990.7</v>
      </c>
      <c r="C2703" s="115">
        <v>3973.4</v>
      </c>
      <c r="D2703" s="115">
        <v>3952.25</v>
      </c>
      <c r="E2703" s="115">
        <v>3976.6</v>
      </c>
      <c r="F2703" s="115">
        <v>3973.4</v>
      </c>
      <c r="G2703">
        <v>3224</v>
      </c>
      <c r="H2703" s="115"/>
      <c r="I2703" s="115"/>
      <c r="L2703" s="169">
        <v>45986</v>
      </c>
      <c r="M2703" s="115">
        <v>3917.3</v>
      </c>
      <c r="N2703" s="115">
        <v>3991.9</v>
      </c>
      <c r="O2703" s="115">
        <v>3893</v>
      </c>
      <c r="P2703" s="115">
        <v>3968.2</v>
      </c>
      <c r="Q2703" s="115">
        <v>3917.3</v>
      </c>
      <c r="R2703">
        <v>52427</v>
      </c>
    </row>
    <row r="2704" spans="1:18" x14ac:dyDescent="0.25">
      <c r="A2704" s="169">
        <v>45986</v>
      </c>
      <c r="B2704" s="115">
        <v>3981.45</v>
      </c>
      <c r="C2704" s="115">
        <v>3921.75</v>
      </c>
      <c r="D2704" s="115">
        <v>3898.7</v>
      </c>
      <c r="E2704" s="115">
        <v>3973.35</v>
      </c>
      <c r="F2704" s="115">
        <v>3921.75</v>
      </c>
      <c r="G2704">
        <v>1394</v>
      </c>
      <c r="H2704" s="115"/>
      <c r="I2704" s="115"/>
      <c r="L2704" s="169">
        <v>45987</v>
      </c>
      <c r="M2704" s="115">
        <v>3899</v>
      </c>
      <c r="N2704" s="115">
        <v>3939</v>
      </c>
      <c r="O2704" s="115">
        <v>3877.2</v>
      </c>
      <c r="P2704" s="115">
        <v>3939</v>
      </c>
      <c r="Q2704" s="115">
        <v>3899</v>
      </c>
      <c r="R2704">
        <v>107897</v>
      </c>
    </row>
    <row r="2705" spans="1:18" x14ac:dyDescent="0.25">
      <c r="A2705" s="169">
        <v>45987</v>
      </c>
      <c r="B2705" s="115">
        <v>3926.9</v>
      </c>
      <c r="C2705" s="115">
        <v>3900.65</v>
      </c>
      <c r="D2705" s="115">
        <v>3874.35</v>
      </c>
      <c r="E2705" s="115">
        <v>3925.35</v>
      </c>
      <c r="F2705" s="115">
        <v>3900.65</v>
      </c>
      <c r="G2705">
        <v>2127</v>
      </c>
      <c r="H2705" s="115"/>
      <c r="I2705" s="115"/>
      <c r="L2705" s="169">
        <v>45988</v>
      </c>
      <c r="M2705" s="115">
        <v>3856.8</v>
      </c>
      <c r="N2705" s="115">
        <v>3919</v>
      </c>
      <c r="O2705" s="115">
        <v>3816</v>
      </c>
      <c r="P2705" s="115">
        <v>3919</v>
      </c>
      <c r="Q2705" s="115">
        <v>3856.8</v>
      </c>
      <c r="R2705">
        <v>84609</v>
      </c>
    </row>
    <row r="2706" spans="1:18" x14ac:dyDescent="0.25">
      <c r="A2706" s="169">
        <v>45988</v>
      </c>
      <c r="B2706" s="115">
        <v>3905.7</v>
      </c>
      <c r="C2706" s="115">
        <v>3855.05</v>
      </c>
      <c r="D2706" s="115">
        <v>3820</v>
      </c>
      <c r="E2706" s="115">
        <v>3900.65</v>
      </c>
      <c r="F2706" s="115">
        <v>3855.05</v>
      </c>
      <c r="G2706">
        <v>3524</v>
      </c>
      <c r="H2706" s="115"/>
      <c r="I2706" s="115"/>
      <c r="L2706" s="169">
        <v>45989</v>
      </c>
      <c r="M2706" s="115">
        <v>3899.4</v>
      </c>
      <c r="N2706" s="115">
        <v>3927.6</v>
      </c>
      <c r="O2706" s="115">
        <v>3822.6</v>
      </c>
      <c r="P2706" s="115">
        <v>3866.4</v>
      </c>
      <c r="Q2706" s="115">
        <v>3899.4</v>
      </c>
      <c r="R2706">
        <v>90374</v>
      </c>
    </row>
    <row r="2707" spans="1:18" x14ac:dyDescent="0.25">
      <c r="A2707" s="169">
        <v>45989</v>
      </c>
      <c r="B2707" s="115">
        <v>3925</v>
      </c>
      <c r="C2707" s="115">
        <v>3899.6</v>
      </c>
      <c r="D2707" s="115">
        <v>3822.1</v>
      </c>
      <c r="E2707" s="115">
        <v>3890</v>
      </c>
      <c r="F2707" s="115">
        <v>3899.6</v>
      </c>
      <c r="G2707">
        <v>4378</v>
      </c>
      <c r="H2707" s="115"/>
      <c r="I2707" s="115"/>
      <c r="L2707" s="169">
        <v>45992</v>
      </c>
      <c r="M2707" s="115">
        <v>3907.8</v>
      </c>
      <c r="N2707" s="115">
        <v>3936</v>
      </c>
      <c r="O2707" s="115">
        <v>3885</v>
      </c>
      <c r="P2707" s="115">
        <v>3936</v>
      </c>
      <c r="Q2707" s="115">
        <v>3907.8</v>
      </c>
      <c r="R2707">
        <v>71866</v>
      </c>
    </row>
    <row r="2708" spans="1:18" x14ac:dyDescent="0.25">
      <c r="A2708" s="169">
        <v>45992</v>
      </c>
      <c r="B2708" s="115">
        <v>3950</v>
      </c>
      <c r="C2708" s="115">
        <v>3905.4</v>
      </c>
      <c r="D2708" s="115">
        <v>3889.4</v>
      </c>
      <c r="E2708" s="115">
        <v>3920</v>
      </c>
      <c r="F2708" s="115">
        <v>3905.4</v>
      </c>
      <c r="G2708">
        <v>2807</v>
      </c>
      <c r="H2708" s="115"/>
      <c r="I2708" s="115"/>
      <c r="L2708" s="169">
        <v>45993</v>
      </c>
      <c r="M2708" s="115">
        <v>3888.2</v>
      </c>
      <c r="N2708" s="115">
        <v>3970</v>
      </c>
      <c r="O2708" s="115">
        <v>3861.5</v>
      </c>
      <c r="P2708" s="115">
        <v>3911.7</v>
      </c>
      <c r="Q2708" s="115">
        <v>3888.2</v>
      </c>
      <c r="R2708">
        <v>42675</v>
      </c>
    </row>
    <row r="2709" spans="1:18" x14ac:dyDescent="0.25">
      <c r="A2709" s="169">
        <v>45993</v>
      </c>
      <c r="B2709">
        <v>3966.85</v>
      </c>
      <c r="C2709">
        <v>3890.8</v>
      </c>
      <c r="D2709">
        <v>3876.35</v>
      </c>
      <c r="E2709">
        <v>3909.25</v>
      </c>
      <c r="F2709">
        <v>3890.8</v>
      </c>
      <c r="G2709">
        <v>30691</v>
      </c>
      <c r="H2709" s="115"/>
      <c r="I2709" s="115"/>
      <c r="L2709" s="169">
        <v>45994</v>
      </c>
      <c r="M2709" s="115">
        <v>3885.1</v>
      </c>
      <c r="N2709" s="115">
        <v>3925</v>
      </c>
      <c r="O2709" s="115">
        <v>3873</v>
      </c>
      <c r="P2709" s="115">
        <v>3888.2</v>
      </c>
      <c r="Q2709" s="115">
        <v>3885.1</v>
      </c>
      <c r="R2709">
        <v>45664</v>
      </c>
    </row>
    <row r="2710" spans="1:18" x14ac:dyDescent="0.25">
      <c r="A2710" s="169">
        <v>45994</v>
      </c>
      <c r="B2710">
        <v>3927.25</v>
      </c>
      <c r="C2710">
        <v>3891.5</v>
      </c>
      <c r="D2710">
        <v>3874.4</v>
      </c>
      <c r="E2710">
        <v>3890.8</v>
      </c>
      <c r="F2710">
        <v>3891.5</v>
      </c>
      <c r="G2710">
        <v>1369</v>
      </c>
      <c r="H2710" s="115"/>
      <c r="I2710" s="115"/>
      <c r="L2710" s="169">
        <v>45995</v>
      </c>
      <c r="M2710" s="115">
        <v>3889.8</v>
      </c>
      <c r="N2710" s="115">
        <v>3929</v>
      </c>
      <c r="O2710" s="115">
        <v>3873</v>
      </c>
      <c r="P2710" s="115">
        <v>3873</v>
      </c>
      <c r="Q2710" s="115">
        <v>3889.8</v>
      </c>
      <c r="R2710">
        <v>51613</v>
      </c>
    </row>
    <row r="2711" spans="1:18" x14ac:dyDescent="0.25">
      <c r="A2711" s="169">
        <v>45995</v>
      </c>
      <c r="B2711">
        <v>3965</v>
      </c>
      <c r="C2711">
        <v>3888</v>
      </c>
      <c r="D2711">
        <v>3877.15</v>
      </c>
      <c r="E2711">
        <v>3965</v>
      </c>
      <c r="F2711">
        <v>3888</v>
      </c>
      <c r="G2711">
        <v>52043</v>
      </c>
      <c r="H2711" s="115"/>
      <c r="I2711" s="115"/>
      <c r="L2711" s="169">
        <v>45996</v>
      </c>
      <c r="M2711" s="115">
        <v>3928.2</v>
      </c>
      <c r="N2711" s="115">
        <v>3945.3</v>
      </c>
      <c r="O2711" s="115">
        <v>3874</v>
      </c>
      <c r="P2711" s="115">
        <v>3889.8</v>
      </c>
      <c r="Q2711" s="115">
        <v>3928.2</v>
      </c>
      <c r="R2711">
        <v>51724</v>
      </c>
    </row>
    <row r="2712" spans="1:18" x14ac:dyDescent="0.25">
      <c r="A2712" s="169">
        <v>45996</v>
      </c>
      <c r="B2712">
        <v>3939.95</v>
      </c>
      <c r="C2712">
        <v>3928.8</v>
      </c>
      <c r="D2712">
        <v>3875</v>
      </c>
      <c r="E2712">
        <v>3888</v>
      </c>
      <c r="F2712">
        <v>3928.8</v>
      </c>
      <c r="G2712">
        <v>10387</v>
      </c>
      <c r="H2712" s="115"/>
      <c r="I2712" s="115"/>
      <c r="L2712" s="169">
        <v>45999</v>
      </c>
      <c r="M2712" s="115">
        <v>3793.3</v>
      </c>
      <c r="N2712" s="115">
        <v>3930</v>
      </c>
      <c r="O2712" s="115">
        <v>3772.1</v>
      </c>
      <c r="P2712" s="115">
        <v>3921.3</v>
      </c>
      <c r="Q2712" s="115">
        <v>3793.3</v>
      </c>
      <c r="R2712">
        <v>155627</v>
      </c>
    </row>
    <row r="2713" spans="1:18" x14ac:dyDescent="0.25">
      <c r="A2713" s="169">
        <v>45999</v>
      </c>
      <c r="B2713">
        <v>3928.25</v>
      </c>
      <c r="C2713">
        <v>3791.35</v>
      </c>
      <c r="D2713">
        <v>3773.05</v>
      </c>
      <c r="E2713">
        <v>3928.25</v>
      </c>
      <c r="F2713">
        <v>3791.35</v>
      </c>
      <c r="G2713">
        <v>3946</v>
      </c>
      <c r="H2713" s="115"/>
      <c r="I2713" s="115"/>
      <c r="L2713" s="169">
        <v>46000</v>
      </c>
      <c r="M2713" s="115">
        <v>3863.6</v>
      </c>
      <c r="N2713" s="115">
        <v>3925</v>
      </c>
      <c r="O2713" s="115">
        <v>3759.8</v>
      </c>
      <c r="P2713" s="115">
        <v>3800.1</v>
      </c>
      <c r="Q2713" s="115">
        <v>3863.6</v>
      </c>
      <c r="R2713">
        <v>122674</v>
      </c>
    </row>
    <row r="2714" spans="1:18" x14ac:dyDescent="0.25">
      <c r="A2714" s="169">
        <v>46000</v>
      </c>
      <c r="B2714">
        <v>3920.05</v>
      </c>
      <c r="C2714">
        <v>3864.5</v>
      </c>
      <c r="D2714">
        <v>3763.3</v>
      </c>
      <c r="E2714">
        <v>3792.1</v>
      </c>
      <c r="F2714">
        <v>3864.5</v>
      </c>
      <c r="G2714">
        <v>3630</v>
      </c>
      <c r="H2714" s="115"/>
      <c r="I2714" s="115"/>
      <c r="L2714" s="169">
        <v>46001</v>
      </c>
      <c r="M2714" s="115">
        <v>3861.3</v>
      </c>
      <c r="N2714" s="115">
        <v>3879.5</v>
      </c>
      <c r="O2714" s="115">
        <v>3825</v>
      </c>
      <c r="P2714" s="115">
        <v>3860</v>
      </c>
      <c r="Q2714" s="115">
        <v>3861.3</v>
      </c>
      <c r="R2714">
        <v>42355</v>
      </c>
    </row>
    <row r="2715" spans="1:18" x14ac:dyDescent="0.25">
      <c r="A2715" s="169">
        <v>46001</v>
      </c>
      <c r="B2715">
        <v>3872.1</v>
      </c>
      <c r="C2715">
        <v>3863.9</v>
      </c>
      <c r="D2715">
        <v>3833.8</v>
      </c>
      <c r="E2715">
        <v>3852.55</v>
      </c>
      <c r="F2715">
        <v>3863.9</v>
      </c>
      <c r="G2715">
        <v>896</v>
      </c>
      <c r="H2715" s="115"/>
      <c r="I2715" s="115"/>
      <c r="L2715" s="169">
        <v>46002</v>
      </c>
      <c r="M2715" s="115">
        <v>3846.5</v>
      </c>
      <c r="N2715" s="115">
        <v>3861.3</v>
      </c>
      <c r="O2715" s="115">
        <v>3822</v>
      </c>
      <c r="P2715" s="115">
        <v>3861</v>
      </c>
      <c r="Q2715" s="115">
        <v>3846.5</v>
      </c>
      <c r="R2715">
        <v>15411</v>
      </c>
    </row>
    <row r="2716" spans="1:18" x14ac:dyDescent="0.25">
      <c r="A2716" s="169">
        <v>46002</v>
      </c>
      <c r="B2716">
        <v>3859</v>
      </c>
      <c r="C2716">
        <v>3852.65</v>
      </c>
      <c r="D2716">
        <v>3823.85</v>
      </c>
      <c r="E2716">
        <v>3831.85</v>
      </c>
      <c r="F2716">
        <v>3852.65</v>
      </c>
      <c r="G2716">
        <v>705</v>
      </c>
      <c r="H2716" s="115"/>
      <c r="I2716" s="115"/>
      <c r="L2716" s="169">
        <v>46003</v>
      </c>
      <c r="M2716" s="115">
        <v>3831.3</v>
      </c>
      <c r="N2716" s="115">
        <v>3861.9</v>
      </c>
      <c r="O2716" s="115">
        <v>3806.1</v>
      </c>
      <c r="P2716" s="115">
        <v>3849.9</v>
      </c>
      <c r="Q2716" s="115">
        <v>3831.3</v>
      </c>
      <c r="R2716">
        <v>46521</v>
      </c>
    </row>
    <row r="2717" spans="1:18" x14ac:dyDescent="0.25">
      <c r="A2717" s="169">
        <v>46003</v>
      </c>
      <c r="B2717">
        <v>3859.45</v>
      </c>
      <c r="C2717">
        <v>3826</v>
      </c>
      <c r="D2717">
        <v>3794.45</v>
      </c>
      <c r="E2717">
        <v>3815.4</v>
      </c>
      <c r="F2717">
        <v>3826</v>
      </c>
      <c r="G2717">
        <v>2096</v>
      </c>
      <c r="H2717" s="115"/>
      <c r="I2717" s="115"/>
      <c r="L2717" s="169">
        <v>46006</v>
      </c>
      <c r="M2717" s="115">
        <v>3839.1</v>
      </c>
      <c r="N2717" s="115">
        <v>3868.5</v>
      </c>
      <c r="O2717" s="115">
        <v>3794.8</v>
      </c>
      <c r="P2717" s="115">
        <v>3822</v>
      </c>
      <c r="Q2717" s="115">
        <v>3839.1</v>
      </c>
      <c r="R2717">
        <v>45786</v>
      </c>
    </row>
    <row r="2718" spans="1:18" x14ac:dyDescent="0.25">
      <c r="A2718" s="169">
        <v>46006</v>
      </c>
      <c r="B2718">
        <v>3868.9</v>
      </c>
      <c r="C2718">
        <v>3841.95</v>
      </c>
      <c r="D2718">
        <v>3792.05</v>
      </c>
      <c r="E2718">
        <v>3838.6</v>
      </c>
      <c r="F2718">
        <v>3841.95</v>
      </c>
      <c r="G2718">
        <v>1034</v>
      </c>
      <c r="H2718" s="115"/>
      <c r="I2718" s="115"/>
      <c r="L2718" s="169">
        <v>46007</v>
      </c>
      <c r="M2718" s="115">
        <v>3839.3</v>
      </c>
      <c r="N2718" s="115">
        <v>3876.9</v>
      </c>
      <c r="O2718" s="115">
        <v>3827.3</v>
      </c>
      <c r="P2718" s="115">
        <v>3845</v>
      </c>
      <c r="Q2718" s="115">
        <v>3839.3</v>
      </c>
      <c r="R2718">
        <v>32368</v>
      </c>
    </row>
    <row r="2719" spans="1:18" x14ac:dyDescent="0.25">
      <c r="A2719" s="169">
        <v>46007</v>
      </c>
      <c r="B2719">
        <v>3875.95</v>
      </c>
      <c r="C2719">
        <v>3842.65</v>
      </c>
      <c r="D2719">
        <v>3829</v>
      </c>
      <c r="E2719">
        <v>3841.95</v>
      </c>
      <c r="F2719">
        <v>3842.65</v>
      </c>
      <c r="G2719">
        <v>1141</v>
      </c>
      <c r="H2719" s="115"/>
      <c r="I2719" s="115"/>
      <c r="L2719" s="169">
        <v>46008</v>
      </c>
      <c r="M2719" s="115">
        <v>3781.6</v>
      </c>
      <c r="N2719" s="115">
        <v>3861.9</v>
      </c>
      <c r="O2719" s="115">
        <v>3770</v>
      </c>
      <c r="P2719" s="115">
        <v>3852</v>
      </c>
      <c r="Q2719" s="115">
        <v>3781.6</v>
      </c>
      <c r="R2719">
        <v>26242</v>
      </c>
    </row>
    <row r="2720" spans="1:18" x14ac:dyDescent="0.25">
      <c r="A2720" s="169">
        <v>46008</v>
      </c>
      <c r="B2720">
        <v>3859.45</v>
      </c>
      <c r="C2720">
        <v>3782.6</v>
      </c>
      <c r="D2720">
        <v>3773.25</v>
      </c>
      <c r="E2720">
        <v>3842.5</v>
      </c>
      <c r="F2720">
        <v>3782.6</v>
      </c>
      <c r="G2720">
        <v>1236</v>
      </c>
      <c r="H2720" s="115"/>
      <c r="I2720" s="115"/>
      <c r="L2720" s="169">
        <v>46009</v>
      </c>
      <c r="M2720" s="115">
        <v>3793.3</v>
      </c>
      <c r="N2720" s="115">
        <v>3824</v>
      </c>
      <c r="O2720" s="115">
        <v>3704</v>
      </c>
      <c r="P2720" s="115">
        <v>3782.2</v>
      </c>
      <c r="Q2720" s="115">
        <v>3793.3</v>
      </c>
      <c r="R2720">
        <v>36783</v>
      </c>
    </row>
    <row r="2721" spans="1:18" x14ac:dyDescent="0.25">
      <c r="A2721" s="169">
        <v>46009</v>
      </c>
      <c r="B2721">
        <v>3822.1</v>
      </c>
      <c r="C2721">
        <v>3798</v>
      </c>
      <c r="D2721">
        <v>3703.05</v>
      </c>
      <c r="E2721">
        <v>3782.6</v>
      </c>
      <c r="F2721">
        <v>3798</v>
      </c>
      <c r="G2721">
        <v>1562</v>
      </c>
      <c r="H2721" s="115"/>
      <c r="I2721" s="115"/>
      <c r="L2721" s="169">
        <v>46010</v>
      </c>
      <c r="M2721" s="115">
        <v>3839.8</v>
      </c>
      <c r="N2721" s="115">
        <v>3870</v>
      </c>
      <c r="O2721" s="115">
        <v>3778</v>
      </c>
      <c r="P2721" s="115">
        <v>3794.6</v>
      </c>
      <c r="Q2721" s="115">
        <v>3839.8</v>
      </c>
      <c r="R2721">
        <v>39558</v>
      </c>
    </row>
    <row r="2722" spans="1:18" x14ac:dyDescent="0.25">
      <c r="A2722" s="169">
        <v>46010</v>
      </c>
      <c r="B2722">
        <v>3860</v>
      </c>
      <c r="C2722">
        <v>3839.9</v>
      </c>
      <c r="D2722">
        <v>3782.3</v>
      </c>
      <c r="E2722">
        <v>3797.95</v>
      </c>
      <c r="F2722">
        <v>3839.9</v>
      </c>
      <c r="G2722">
        <v>1173</v>
      </c>
      <c r="H2722" s="115"/>
      <c r="I2722" s="115"/>
      <c r="L2722" s="169">
        <v>46013</v>
      </c>
      <c r="M2722" s="115">
        <v>3901.9</v>
      </c>
      <c r="N2722" s="115">
        <v>3926.9</v>
      </c>
      <c r="O2722" s="115">
        <v>3809</v>
      </c>
      <c r="P2722" s="115">
        <v>3844.5</v>
      </c>
      <c r="Q2722" s="115">
        <v>3901.9</v>
      </c>
      <c r="R2722">
        <v>76934</v>
      </c>
    </row>
    <row r="2723" spans="1:18" x14ac:dyDescent="0.25">
      <c r="A2723" s="169">
        <v>46013</v>
      </c>
      <c r="B2723">
        <v>3925</v>
      </c>
      <c r="C2723">
        <v>3905.7</v>
      </c>
      <c r="D2723">
        <v>3809.2</v>
      </c>
      <c r="E2723">
        <v>3840.5</v>
      </c>
      <c r="F2723">
        <v>3905.7</v>
      </c>
      <c r="G2723">
        <v>3435</v>
      </c>
      <c r="H2723" s="115"/>
      <c r="I2723" s="115"/>
      <c r="L2723" s="169">
        <v>46014</v>
      </c>
      <c r="M2723" s="115">
        <v>3795.9</v>
      </c>
      <c r="N2723" s="115">
        <v>3896</v>
      </c>
      <c r="O2723" s="115">
        <v>3780</v>
      </c>
      <c r="P2723" s="115">
        <v>3889.1</v>
      </c>
      <c r="Q2723" s="115">
        <v>3795.9</v>
      </c>
      <c r="R2723">
        <v>63556</v>
      </c>
    </row>
    <row r="2724" spans="1:18" x14ac:dyDescent="0.25">
      <c r="A2724" s="169">
        <v>46014</v>
      </c>
      <c r="B2724">
        <v>3924.95</v>
      </c>
      <c r="C2724">
        <v>3796.3</v>
      </c>
      <c r="D2724">
        <v>3780.2</v>
      </c>
      <c r="E2724">
        <v>3924.95</v>
      </c>
      <c r="F2724">
        <v>3796.3</v>
      </c>
      <c r="G2724">
        <v>1836</v>
      </c>
      <c r="H2724" s="115"/>
      <c r="I2724" s="115"/>
      <c r="L2724" s="169">
        <v>46015</v>
      </c>
      <c r="M2724" s="115">
        <v>3777.6</v>
      </c>
      <c r="N2724" s="115">
        <v>3826.7</v>
      </c>
      <c r="O2724" s="115">
        <v>3753.6</v>
      </c>
      <c r="P2724" s="115">
        <v>3785</v>
      </c>
      <c r="Q2724" s="115">
        <v>3777.6</v>
      </c>
      <c r="R2724">
        <v>22930</v>
      </c>
    </row>
    <row r="2725" spans="1:18" x14ac:dyDescent="0.25">
      <c r="A2725" s="169">
        <v>46015</v>
      </c>
      <c r="B2725">
        <v>3826.65</v>
      </c>
      <c r="C2725">
        <v>3775.6</v>
      </c>
      <c r="D2725">
        <v>3755</v>
      </c>
      <c r="E2725">
        <v>3789.8</v>
      </c>
      <c r="F2725">
        <v>3775.6</v>
      </c>
      <c r="G2725">
        <v>1135</v>
      </c>
      <c r="H2725" s="115"/>
      <c r="I2725" s="115"/>
      <c r="L2725" s="169">
        <v>46017</v>
      </c>
      <c r="M2725" s="115">
        <v>3803.8</v>
      </c>
      <c r="N2725" s="115">
        <v>3816.8</v>
      </c>
      <c r="O2725" s="115">
        <v>3757.5</v>
      </c>
      <c r="P2725" s="115">
        <v>3757.6</v>
      </c>
      <c r="Q2725" s="115">
        <v>3803.8</v>
      </c>
      <c r="R2725">
        <v>42354</v>
      </c>
    </row>
    <row r="2726" spans="1:18" x14ac:dyDescent="0.25">
      <c r="A2726" s="169">
        <v>46017</v>
      </c>
      <c r="B2726">
        <v>3817.95</v>
      </c>
      <c r="C2726">
        <v>3807</v>
      </c>
      <c r="D2726">
        <v>3761.3</v>
      </c>
      <c r="E2726">
        <v>3775.05</v>
      </c>
      <c r="F2726">
        <v>3807</v>
      </c>
      <c r="G2726">
        <v>396</v>
      </c>
      <c r="H2726" s="115"/>
      <c r="I2726" s="115"/>
      <c r="L2726" s="169">
        <v>46020</v>
      </c>
      <c r="M2726" s="115">
        <v>3817.2</v>
      </c>
      <c r="N2726" s="115">
        <v>3839</v>
      </c>
      <c r="O2726" s="115">
        <v>3760</v>
      </c>
      <c r="P2726" s="115">
        <v>3802</v>
      </c>
      <c r="Q2726" s="115">
        <v>3817.2</v>
      </c>
      <c r="R2726">
        <v>38320</v>
      </c>
    </row>
    <row r="2727" spans="1:18" x14ac:dyDescent="0.25">
      <c r="A2727" s="169">
        <v>46020</v>
      </c>
      <c r="B2727">
        <v>3836.85</v>
      </c>
      <c r="C2727">
        <v>3813.35</v>
      </c>
      <c r="D2727">
        <v>3780</v>
      </c>
      <c r="E2727">
        <v>3782</v>
      </c>
      <c r="F2727">
        <v>3813.35</v>
      </c>
      <c r="G2727">
        <v>3736</v>
      </c>
      <c r="H2727" s="115"/>
      <c r="I2727" s="115"/>
      <c r="L2727" s="169">
        <v>46021</v>
      </c>
      <c r="M2727" s="115">
        <v>3823.6</v>
      </c>
      <c r="N2727" s="115">
        <v>3841.8</v>
      </c>
      <c r="O2727" s="115">
        <v>3796.1</v>
      </c>
      <c r="P2727" s="115">
        <v>3800</v>
      </c>
      <c r="Q2727" s="115">
        <v>3823.6</v>
      </c>
      <c r="R2727">
        <v>60701</v>
      </c>
    </row>
    <row r="2728" spans="1:18" x14ac:dyDescent="0.25">
      <c r="A2728" s="169">
        <v>46021</v>
      </c>
      <c r="B2728">
        <v>3836.65</v>
      </c>
      <c r="C2728">
        <v>3820.55</v>
      </c>
      <c r="D2728">
        <v>3795.8</v>
      </c>
      <c r="E2728">
        <v>3813.35</v>
      </c>
      <c r="F2728">
        <v>3820.55</v>
      </c>
      <c r="G2728">
        <v>717</v>
      </c>
      <c r="H2728" s="115"/>
      <c r="I2728" s="115"/>
      <c r="L2728" s="169">
        <v>46022</v>
      </c>
      <c r="M2728" s="115">
        <v>3879</v>
      </c>
      <c r="N2728" s="115">
        <v>3914.9</v>
      </c>
      <c r="O2728" s="115">
        <v>3808.2</v>
      </c>
      <c r="P2728" s="115">
        <v>3839</v>
      </c>
      <c r="Q2728" s="115">
        <v>3879</v>
      </c>
      <c r="R2728">
        <v>63317</v>
      </c>
    </row>
    <row r="2729" spans="1:18" x14ac:dyDescent="0.25">
      <c r="A2729" s="169">
        <v>46022</v>
      </c>
      <c r="B2729">
        <v>3907.35</v>
      </c>
      <c r="C2729">
        <v>3885.25</v>
      </c>
      <c r="D2729">
        <v>3852.2</v>
      </c>
      <c r="E2729">
        <v>3867</v>
      </c>
      <c r="F2729">
        <v>3885.25</v>
      </c>
      <c r="G2729">
        <v>639</v>
      </c>
      <c r="H2729" s="115"/>
      <c r="I2729" s="115"/>
      <c r="L2729" s="169">
        <v>46023</v>
      </c>
      <c r="M2729" s="115">
        <v>3870.9</v>
      </c>
      <c r="N2729" s="115">
        <v>3914.2</v>
      </c>
      <c r="O2729" s="115">
        <v>3861.2</v>
      </c>
      <c r="P2729" s="115">
        <v>3879</v>
      </c>
      <c r="Q2729" s="115">
        <v>3870.9</v>
      </c>
      <c r="R2729">
        <v>12234</v>
      </c>
    </row>
    <row r="2730" spans="1:18" x14ac:dyDescent="0.25">
      <c r="A2730" s="169">
        <v>46023</v>
      </c>
      <c r="B2730">
        <v>3910</v>
      </c>
      <c r="C2730">
        <v>3862.3</v>
      </c>
      <c r="D2730">
        <v>3833.65</v>
      </c>
      <c r="E2730">
        <v>3833.65</v>
      </c>
      <c r="F2730">
        <v>3862.3</v>
      </c>
      <c r="G2730">
        <v>625</v>
      </c>
      <c r="H2730" s="115"/>
      <c r="I2730" s="115"/>
      <c r="L2730" s="169">
        <v>46024</v>
      </c>
      <c r="M2730" s="115">
        <v>3874.3</v>
      </c>
      <c r="N2730" s="115">
        <v>3889.9</v>
      </c>
      <c r="O2730" s="115">
        <v>3838.6</v>
      </c>
      <c r="P2730" s="115">
        <v>3870</v>
      </c>
      <c r="Q2730" s="115">
        <v>3874.3</v>
      </c>
      <c r="R2730">
        <v>28300</v>
      </c>
    </row>
    <row r="2731" spans="1:18" x14ac:dyDescent="0.25">
      <c r="A2731" s="169">
        <v>46024</v>
      </c>
      <c r="B2731">
        <v>3888.3</v>
      </c>
      <c r="C2731">
        <v>3872.85</v>
      </c>
      <c r="D2731">
        <v>3844.45</v>
      </c>
      <c r="E2731">
        <v>3844.45</v>
      </c>
      <c r="F2731">
        <v>3872.85</v>
      </c>
      <c r="G2731">
        <v>324</v>
      </c>
      <c r="H2731" s="115"/>
      <c r="I2731" s="115"/>
      <c r="L2731" s="169">
        <v>46027</v>
      </c>
      <c r="M2731" s="115">
        <v>3821.7</v>
      </c>
      <c r="N2731" s="115">
        <v>3877.7</v>
      </c>
      <c r="O2731" s="115">
        <v>3803.2</v>
      </c>
      <c r="P2731" s="115">
        <v>3851</v>
      </c>
      <c r="Q2731" s="115">
        <v>3821.7</v>
      </c>
      <c r="R2731">
        <v>43746</v>
      </c>
    </row>
    <row r="2732" spans="1:18" x14ac:dyDescent="0.25">
      <c r="A2732" s="169">
        <v>46027</v>
      </c>
      <c r="B2732">
        <v>3874.1</v>
      </c>
      <c r="C2732">
        <v>3818.7</v>
      </c>
      <c r="D2732">
        <v>3806.9</v>
      </c>
      <c r="E2732">
        <v>3858.95</v>
      </c>
      <c r="F2732">
        <v>3818.7</v>
      </c>
      <c r="G2732">
        <v>17358</v>
      </c>
      <c r="H2732" s="115"/>
      <c r="I2732" s="115"/>
      <c r="L2732" s="169">
        <v>46028</v>
      </c>
      <c r="M2732" s="115">
        <v>3786.1</v>
      </c>
      <c r="N2732" s="115">
        <v>3825.7</v>
      </c>
      <c r="O2732" s="115">
        <v>3750.5</v>
      </c>
      <c r="P2732" s="115">
        <v>3818.4</v>
      </c>
      <c r="Q2732" s="115">
        <v>3786.1</v>
      </c>
      <c r="R2732">
        <v>64995</v>
      </c>
    </row>
    <row r="2733" spans="1:18" x14ac:dyDescent="0.25">
      <c r="A2733" s="169">
        <v>46028</v>
      </c>
      <c r="B2733">
        <v>3821.7</v>
      </c>
      <c r="C2733">
        <v>3780.2</v>
      </c>
      <c r="D2733">
        <v>3751</v>
      </c>
      <c r="E2733">
        <v>3776.35</v>
      </c>
      <c r="F2733">
        <v>3780.2</v>
      </c>
      <c r="G2733">
        <v>7824</v>
      </c>
      <c r="H2733" s="115"/>
      <c r="I2733" s="115"/>
      <c r="L2733" s="169">
        <v>46029</v>
      </c>
      <c r="M2733" s="115">
        <v>3800.2</v>
      </c>
      <c r="N2733" s="115">
        <v>3823</v>
      </c>
      <c r="O2733" s="115">
        <v>3766.3</v>
      </c>
      <c r="P2733" s="115">
        <v>3786.1</v>
      </c>
      <c r="Q2733" s="115">
        <v>3800.2</v>
      </c>
      <c r="R2733">
        <v>185689</v>
      </c>
    </row>
    <row r="2734" spans="1:18" x14ac:dyDescent="0.25">
      <c r="A2734" s="169">
        <v>46029</v>
      </c>
      <c r="B2734">
        <v>3821.5</v>
      </c>
      <c r="C2734">
        <v>3798.85</v>
      </c>
      <c r="D2734">
        <v>3768</v>
      </c>
      <c r="E2734">
        <v>3784.1</v>
      </c>
      <c r="F2734">
        <v>3798.85</v>
      </c>
      <c r="G2734">
        <v>2135</v>
      </c>
      <c r="H2734" s="115"/>
      <c r="I2734" s="115"/>
      <c r="L2734" s="169">
        <v>46030</v>
      </c>
      <c r="M2734" s="115">
        <v>3851</v>
      </c>
      <c r="N2734" s="115">
        <v>3908</v>
      </c>
      <c r="O2734" s="115">
        <v>3769.2</v>
      </c>
      <c r="P2734" s="115">
        <v>3818</v>
      </c>
      <c r="Q2734" s="115">
        <v>3851</v>
      </c>
      <c r="R2734">
        <v>66317</v>
      </c>
    </row>
    <row r="2735" spans="1:18" x14ac:dyDescent="0.25">
      <c r="A2735" s="169">
        <v>46030</v>
      </c>
      <c r="B2735">
        <v>3900.85</v>
      </c>
      <c r="C2735">
        <v>3853</v>
      </c>
      <c r="D2735">
        <v>3776.1</v>
      </c>
      <c r="E2735">
        <v>3803.6</v>
      </c>
      <c r="F2735">
        <v>3853</v>
      </c>
      <c r="G2735">
        <v>1591</v>
      </c>
      <c r="H2735" s="115"/>
      <c r="I2735" s="115"/>
      <c r="L2735" s="169">
        <v>46031</v>
      </c>
      <c r="M2735" s="115">
        <v>3765.4</v>
      </c>
      <c r="N2735" s="115">
        <v>3925</v>
      </c>
      <c r="O2735" s="115">
        <v>3660</v>
      </c>
      <c r="P2735" s="115">
        <v>3822</v>
      </c>
      <c r="Q2735" s="115">
        <v>3765.4</v>
      </c>
      <c r="R2735">
        <v>51968</v>
      </c>
    </row>
    <row r="2736" spans="1:18" x14ac:dyDescent="0.25">
      <c r="A2736" s="169">
        <v>46031</v>
      </c>
      <c r="B2736">
        <v>3854.65</v>
      </c>
      <c r="C2736">
        <v>3761.35</v>
      </c>
      <c r="D2736">
        <v>3674.5</v>
      </c>
      <c r="E2736">
        <v>3854.65</v>
      </c>
      <c r="F2736">
        <v>3761.35</v>
      </c>
      <c r="G2736">
        <v>2431</v>
      </c>
      <c r="H2736" s="115"/>
      <c r="I2736" s="115"/>
      <c r="L2736" s="169">
        <v>46034</v>
      </c>
      <c r="M2736" s="115">
        <v>3768.9</v>
      </c>
      <c r="N2736" s="115">
        <v>3818.7</v>
      </c>
      <c r="O2736" s="115">
        <v>3653.5</v>
      </c>
      <c r="P2736" s="115">
        <v>3731.5</v>
      </c>
      <c r="Q2736" s="115">
        <v>3768.9</v>
      </c>
      <c r="R2736">
        <v>49827</v>
      </c>
    </row>
    <row r="2737" spans="1:18" x14ac:dyDescent="0.25">
      <c r="A2737" s="169">
        <v>46034</v>
      </c>
      <c r="B2737">
        <v>3822.1</v>
      </c>
      <c r="C2737">
        <v>3765.7</v>
      </c>
      <c r="D2737">
        <v>3656.7</v>
      </c>
      <c r="E2737">
        <v>3759.15</v>
      </c>
      <c r="F2737">
        <v>3765.7</v>
      </c>
      <c r="G2737">
        <v>2432</v>
      </c>
      <c r="H2737" s="115"/>
      <c r="I2737" s="115"/>
      <c r="L2737" s="169">
        <v>46035</v>
      </c>
      <c r="M2737" s="115">
        <v>3789.5</v>
      </c>
      <c r="N2737" s="115">
        <v>3811.7</v>
      </c>
      <c r="O2737" s="115">
        <v>3720.7</v>
      </c>
      <c r="P2737" s="115">
        <v>3793.4</v>
      </c>
      <c r="Q2737" s="115">
        <v>3789.5</v>
      </c>
      <c r="R2737">
        <v>60607</v>
      </c>
    </row>
    <row r="2738" spans="1:18" x14ac:dyDescent="0.25">
      <c r="A2738" s="169">
        <v>46035</v>
      </c>
      <c r="B2738">
        <v>3810.1</v>
      </c>
      <c r="C2738">
        <v>3791.85</v>
      </c>
      <c r="D2738">
        <v>3725</v>
      </c>
      <c r="E2738">
        <v>3760.05</v>
      </c>
      <c r="F2738">
        <v>3791.85</v>
      </c>
      <c r="G2738">
        <v>1676</v>
      </c>
      <c r="H2738" s="115"/>
      <c r="I2738" s="115"/>
      <c r="L2738" s="169">
        <v>46036</v>
      </c>
      <c r="M2738" s="115">
        <v>3813.2</v>
      </c>
      <c r="N2738" s="115">
        <v>3828.9</v>
      </c>
      <c r="O2738" s="115">
        <v>3762.3</v>
      </c>
      <c r="P2738" s="115">
        <v>3768.9</v>
      </c>
      <c r="Q2738" s="115">
        <v>3813.2</v>
      </c>
      <c r="R2738">
        <v>54640</v>
      </c>
    </row>
    <row r="2739" spans="1:18" x14ac:dyDescent="0.25">
      <c r="A2739" s="169">
        <v>46036</v>
      </c>
      <c r="B2739">
        <v>3831</v>
      </c>
      <c r="C2739">
        <v>3807.25</v>
      </c>
      <c r="D2739">
        <v>3769.55</v>
      </c>
      <c r="E2739">
        <v>3790.4</v>
      </c>
      <c r="F2739">
        <v>3807.25</v>
      </c>
      <c r="G2739">
        <v>2134</v>
      </c>
      <c r="H2739" s="115"/>
      <c r="I2739" s="115"/>
      <c r="L2739" s="169">
        <v>46038</v>
      </c>
      <c r="M2739" s="115">
        <v>3835.6</v>
      </c>
      <c r="N2739" s="115">
        <v>3842.1</v>
      </c>
      <c r="O2739" s="115">
        <v>3769.8</v>
      </c>
      <c r="P2739" s="115">
        <v>3790</v>
      </c>
      <c r="Q2739" s="115">
        <v>3835.6</v>
      </c>
      <c r="R2739">
        <v>34103</v>
      </c>
    </row>
    <row r="2740" spans="1:18" x14ac:dyDescent="0.25">
      <c r="A2740" s="169">
        <v>46038</v>
      </c>
      <c r="B2740">
        <v>3841.2</v>
      </c>
      <c r="C2740">
        <v>3834</v>
      </c>
      <c r="D2740">
        <v>3771.3</v>
      </c>
      <c r="E2740">
        <v>3810.55</v>
      </c>
      <c r="F2740">
        <v>3834</v>
      </c>
      <c r="G2740">
        <v>3136</v>
      </c>
      <c r="H2740" s="115"/>
      <c r="I2740" s="115"/>
      <c r="L2740" s="169">
        <v>46041</v>
      </c>
      <c r="M2740" s="115">
        <v>3771.6</v>
      </c>
      <c r="N2740" s="115">
        <v>3818.7</v>
      </c>
      <c r="O2740" s="115">
        <v>3752.5</v>
      </c>
      <c r="P2740" s="115">
        <v>3810</v>
      </c>
      <c r="Q2740" s="115">
        <v>3771.6</v>
      </c>
      <c r="R2740">
        <v>34201</v>
      </c>
    </row>
    <row r="2741" spans="1:18" x14ac:dyDescent="0.25">
      <c r="A2741" s="169">
        <v>46041</v>
      </c>
      <c r="B2741">
        <v>3817</v>
      </c>
      <c r="C2741">
        <v>3776.65</v>
      </c>
      <c r="D2741">
        <v>3752.4</v>
      </c>
      <c r="E2741">
        <v>3752.6</v>
      </c>
      <c r="F2741">
        <v>3776.65</v>
      </c>
      <c r="G2741">
        <v>1213</v>
      </c>
      <c r="H2741" s="115"/>
      <c r="I2741" s="115"/>
      <c r="L2741" s="169">
        <v>46042</v>
      </c>
      <c r="M2741" s="115">
        <v>3615.9</v>
      </c>
      <c r="N2741" s="115">
        <v>3754.3</v>
      </c>
      <c r="O2741" s="115">
        <v>3560</v>
      </c>
      <c r="P2741" s="115">
        <v>3754.3</v>
      </c>
      <c r="Q2741" s="115">
        <v>3615.9</v>
      </c>
      <c r="R2741">
        <v>47783</v>
      </c>
    </row>
    <row r="2742" spans="1:18" x14ac:dyDescent="0.25">
      <c r="A2742" s="169">
        <v>46042</v>
      </c>
      <c r="B2742">
        <v>3750.05</v>
      </c>
      <c r="C2742">
        <v>3612.25</v>
      </c>
      <c r="D2742">
        <v>3585.6</v>
      </c>
      <c r="E2742">
        <v>3750.05</v>
      </c>
      <c r="F2742">
        <v>3612.25</v>
      </c>
      <c r="G2742">
        <v>2412</v>
      </c>
      <c r="H2742" s="115"/>
      <c r="I2742" s="115"/>
      <c r="L2742" s="169">
        <v>46043</v>
      </c>
      <c r="M2742" s="115">
        <v>3563.3</v>
      </c>
      <c r="N2742" s="115">
        <v>3614.7</v>
      </c>
      <c r="O2742" s="115">
        <v>3520</v>
      </c>
      <c r="P2742" s="115">
        <v>3613</v>
      </c>
      <c r="Q2742" s="115">
        <v>3563.3</v>
      </c>
      <c r="R2742">
        <v>41927</v>
      </c>
    </row>
    <row r="2743" spans="1:18" x14ac:dyDescent="0.25">
      <c r="A2743" s="169">
        <v>46043</v>
      </c>
      <c r="B2743">
        <v>3614</v>
      </c>
      <c r="C2743">
        <v>3563.45</v>
      </c>
      <c r="D2743">
        <v>3530</v>
      </c>
      <c r="E2743">
        <v>3575.95</v>
      </c>
      <c r="F2743">
        <v>3563.45</v>
      </c>
      <c r="G2743">
        <v>1198</v>
      </c>
      <c r="H2743" s="115"/>
      <c r="I2743" s="115"/>
      <c r="L2743" s="169">
        <v>46044</v>
      </c>
      <c r="M2743" s="115">
        <v>3565.7</v>
      </c>
      <c r="N2743" s="115">
        <v>3609.3</v>
      </c>
      <c r="O2743" s="115">
        <v>3518.4</v>
      </c>
      <c r="P2743" s="115">
        <v>3592.5</v>
      </c>
      <c r="Q2743" s="115">
        <v>3565.7</v>
      </c>
      <c r="R2743">
        <v>38465</v>
      </c>
    </row>
    <row r="2744" spans="1:18" x14ac:dyDescent="0.25">
      <c r="A2744" s="169">
        <v>46044</v>
      </c>
      <c r="B2744">
        <v>3700</v>
      </c>
      <c r="C2744">
        <v>3571.6</v>
      </c>
      <c r="D2744">
        <v>3519</v>
      </c>
      <c r="E2744">
        <v>3700</v>
      </c>
      <c r="F2744">
        <v>3571.6</v>
      </c>
      <c r="G2744">
        <v>1191</v>
      </c>
      <c r="H2744" s="115"/>
      <c r="I2744" s="115"/>
      <c r="L2744" s="169">
        <v>46045</v>
      </c>
      <c r="M2744" s="115">
        <v>3616.4</v>
      </c>
      <c r="N2744" s="115">
        <v>3629</v>
      </c>
      <c r="O2744" s="115">
        <v>3524.9</v>
      </c>
      <c r="P2744" s="115">
        <v>3552</v>
      </c>
      <c r="Q2744" s="115">
        <v>3616.4</v>
      </c>
      <c r="R2744">
        <v>56939</v>
      </c>
    </row>
    <row r="2745" spans="1:18" x14ac:dyDescent="0.25">
      <c r="A2745" s="169">
        <v>46045</v>
      </c>
      <c r="B2745">
        <v>3625.5</v>
      </c>
      <c r="C2745">
        <v>3617.6</v>
      </c>
      <c r="D2745">
        <v>3522.1</v>
      </c>
      <c r="E2745">
        <v>3554.4</v>
      </c>
      <c r="F2745">
        <v>3617.6</v>
      </c>
      <c r="G2745">
        <v>2413</v>
      </c>
      <c r="H2745" s="115"/>
      <c r="I2745" s="115"/>
      <c r="L2745" s="169">
        <v>46049</v>
      </c>
      <c r="M2745" s="115">
        <v>3637.1</v>
      </c>
      <c r="N2745" s="115">
        <v>3665</v>
      </c>
      <c r="O2745" s="115">
        <v>3548.7</v>
      </c>
      <c r="P2745" s="115">
        <v>3630</v>
      </c>
      <c r="Q2745" s="115">
        <v>3637.1</v>
      </c>
      <c r="R2745">
        <v>32929</v>
      </c>
    </row>
    <row r="2746" spans="1:18" x14ac:dyDescent="0.25">
      <c r="A2746" s="169">
        <v>46049</v>
      </c>
      <c r="B2746">
        <v>3659.7</v>
      </c>
      <c r="C2746">
        <v>3634.95</v>
      </c>
      <c r="D2746">
        <v>3550</v>
      </c>
      <c r="E2746">
        <v>3607.75</v>
      </c>
      <c r="F2746">
        <v>3634.95</v>
      </c>
      <c r="G2746">
        <v>1502</v>
      </c>
      <c r="H2746" s="115"/>
      <c r="I2746" s="115"/>
      <c r="L2746" s="169">
        <v>46050</v>
      </c>
      <c r="M2746" s="115">
        <v>3640.4</v>
      </c>
      <c r="N2746" s="115">
        <v>3665</v>
      </c>
      <c r="O2746" s="115">
        <v>3595.7</v>
      </c>
      <c r="P2746" s="115">
        <v>3629.9</v>
      </c>
      <c r="Q2746" s="115">
        <v>3640.4</v>
      </c>
      <c r="R2746">
        <v>31019</v>
      </c>
    </row>
    <row r="2747" spans="1:18" x14ac:dyDescent="0.25">
      <c r="A2747" s="169">
        <v>46050</v>
      </c>
      <c r="B2747">
        <v>3653.8</v>
      </c>
      <c r="C2747">
        <v>3638.9</v>
      </c>
      <c r="D2747">
        <v>3592.1</v>
      </c>
      <c r="E2747">
        <v>3625.05</v>
      </c>
      <c r="F2747">
        <v>3638.9</v>
      </c>
      <c r="G2747">
        <v>629</v>
      </c>
      <c r="H2747" s="115"/>
      <c r="I2747" s="115"/>
      <c r="L2747" s="169">
        <v>46051</v>
      </c>
      <c r="M2747" s="115">
        <v>3611.2</v>
      </c>
      <c r="N2747" s="115">
        <v>3675</v>
      </c>
      <c r="O2747" s="115">
        <v>3554.4</v>
      </c>
      <c r="P2747" s="115">
        <v>3635</v>
      </c>
      <c r="Q2747" s="115">
        <v>3611.2</v>
      </c>
      <c r="R2747">
        <v>48307</v>
      </c>
    </row>
    <row r="2748" spans="1:18" x14ac:dyDescent="0.25">
      <c r="A2748" s="169">
        <v>46051</v>
      </c>
      <c r="B2748">
        <v>3681.3</v>
      </c>
      <c r="C2748">
        <v>3617.45</v>
      </c>
      <c r="D2748">
        <v>3555</v>
      </c>
      <c r="E2748">
        <v>3611.1</v>
      </c>
      <c r="F2748">
        <v>3617.45</v>
      </c>
      <c r="G2748">
        <v>898</v>
      </c>
      <c r="H2748" s="115"/>
      <c r="I2748" s="115"/>
      <c r="L2748" s="169">
        <v>46052</v>
      </c>
      <c r="M2748" s="115">
        <v>3622.1</v>
      </c>
      <c r="N2748" s="115">
        <v>3680</v>
      </c>
      <c r="O2748" s="115">
        <v>3562.2</v>
      </c>
      <c r="P2748" s="115">
        <v>3625</v>
      </c>
      <c r="Q2748" s="115">
        <v>3622.1</v>
      </c>
      <c r="R2748">
        <v>119564</v>
      </c>
    </row>
    <row r="2749" spans="1:18" x14ac:dyDescent="0.25">
      <c r="A2749" s="169">
        <v>46052</v>
      </c>
      <c r="B2749">
        <v>3679</v>
      </c>
      <c r="C2749">
        <v>3625.55</v>
      </c>
      <c r="D2749">
        <v>3568</v>
      </c>
      <c r="E2749">
        <v>3617.45</v>
      </c>
      <c r="F2749">
        <v>3625.55</v>
      </c>
      <c r="G2749">
        <v>2806</v>
      </c>
      <c r="H2749" s="115"/>
      <c r="I2749" s="115"/>
      <c r="L2749" s="169">
        <v>46054</v>
      </c>
      <c r="M2749" s="115">
        <v>3599.6</v>
      </c>
      <c r="N2749" s="115">
        <v>3622.1</v>
      </c>
      <c r="O2749" s="115">
        <v>3535</v>
      </c>
      <c r="P2749" s="115">
        <v>3622.1</v>
      </c>
      <c r="Q2749" s="115">
        <v>3599.6</v>
      </c>
      <c r="R2749">
        <v>18817</v>
      </c>
    </row>
    <row r="2750" spans="1:18" x14ac:dyDescent="0.25">
      <c r="A2750" s="169">
        <v>46054</v>
      </c>
      <c r="B2750">
        <v>3625</v>
      </c>
      <c r="C2750">
        <v>3593.45</v>
      </c>
      <c r="D2750">
        <v>3535.5</v>
      </c>
      <c r="E2750">
        <v>3625</v>
      </c>
      <c r="F2750">
        <v>3593.45</v>
      </c>
      <c r="G2750">
        <v>1588</v>
      </c>
      <c r="H2750" s="115"/>
      <c r="I2750" s="115"/>
      <c r="L2750" s="169">
        <v>46055</v>
      </c>
      <c r="M2750" s="115">
        <v>3659.9</v>
      </c>
      <c r="N2750" s="115">
        <v>3700</v>
      </c>
      <c r="O2750" s="115">
        <v>3550</v>
      </c>
      <c r="P2750" s="115">
        <v>3578</v>
      </c>
      <c r="Q2750" s="115">
        <v>3659.9</v>
      </c>
      <c r="R2750">
        <v>51688</v>
      </c>
    </row>
    <row r="2751" spans="1:18" x14ac:dyDescent="0.25">
      <c r="A2751" s="169">
        <v>46055</v>
      </c>
      <c r="B2751">
        <v>3698.4</v>
      </c>
      <c r="C2751">
        <v>3680.5</v>
      </c>
      <c r="D2751">
        <v>3556.3</v>
      </c>
      <c r="E2751">
        <v>3593.45</v>
      </c>
      <c r="F2751">
        <v>3680.5</v>
      </c>
      <c r="G2751">
        <v>1691</v>
      </c>
      <c r="H2751" s="115"/>
      <c r="I2751" s="115"/>
      <c r="L2751" s="169">
        <v>46056</v>
      </c>
      <c r="M2751" s="115">
        <v>3880.6</v>
      </c>
      <c r="N2751" s="115">
        <v>3900.1</v>
      </c>
      <c r="O2751" s="115">
        <v>3700.6</v>
      </c>
      <c r="P2751" s="115">
        <v>3743.6</v>
      </c>
      <c r="Q2751" s="115">
        <v>3880.6</v>
      </c>
      <c r="R2751">
        <v>73476</v>
      </c>
    </row>
    <row r="2752" spans="1:18" x14ac:dyDescent="0.25">
      <c r="A2752" s="169">
        <v>46056</v>
      </c>
      <c r="B2752">
        <v>3898.25</v>
      </c>
      <c r="C2752">
        <v>3878.85</v>
      </c>
      <c r="D2752">
        <v>3693.95</v>
      </c>
      <c r="E2752">
        <v>3693.95</v>
      </c>
      <c r="F2752">
        <v>3878.85</v>
      </c>
      <c r="G2752">
        <v>4763</v>
      </c>
      <c r="H2752" s="115"/>
      <c r="I2752" s="115"/>
      <c r="L2752" s="169">
        <v>46057</v>
      </c>
      <c r="M2752" s="115">
        <v>3843.6</v>
      </c>
      <c r="N2752" s="115">
        <v>3937.6</v>
      </c>
      <c r="O2752" s="115">
        <v>3782</v>
      </c>
      <c r="P2752" s="115">
        <v>3890</v>
      </c>
      <c r="Q2752" s="115">
        <v>3843.6</v>
      </c>
      <c r="R2752">
        <v>79662</v>
      </c>
    </row>
    <row r="2753" spans="1:18" x14ac:dyDescent="0.25">
      <c r="A2753" s="169">
        <v>46057</v>
      </c>
      <c r="B2753">
        <v>3928.4</v>
      </c>
      <c r="C2753">
        <v>3831.95</v>
      </c>
      <c r="D2753">
        <v>3785</v>
      </c>
      <c r="E2753">
        <v>3850</v>
      </c>
      <c r="F2753">
        <v>3831.95</v>
      </c>
      <c r="G2753">
        <v>2004</v>
      </c>
      <c r="H2753" s="115"/>
      <c r="I2753" s="115"/>
      <c r="L2753" s="169">
        <v>46058</v>
      </c>
      <c r="M2753" s="115">
        <v>3814.2</v>
      </c>
      <c r="N2753" s="115">
        <v>3864.5</v>
      </c>
      <c r="O2753" s="115">
        <v>3720</v>
      </c>
      <c r="P2753" s="115">
        <v>3860.3</v>
      </c>
      <c r="Q2753" s="115">
        <v>3814.2</v>
      </c>
      <c r="R2753">
        <v>57927</v>
      </c>
    </row>
    <row r="2754" spans="1:18" x14ac:dyDescent="0.25">
      <c r="A2754" s="169">
        <v>46058</v>
      </c>
      <c r="B2754">
        <v>3847.75</v>
      </c>
      <c r="C2754">
        <v>3815.15</v>
      </c>
      <c r="D2754">
        <v>3722</v>
      </c>
      <c r="E2754">
        <v>3821.65</v>
      </c>
      <c r="F2754">
        <v>3815.15</v>
      </c>
      <c r="G2754">
        <v>851</v>
      </c>
      <c r="H2754" s="115"/>
      <c r="I2754" s="115"/>
      <c r="L2754" s="169">
        <v>46059</v>
      </c>
      <c r="M2754" s="115">
        <v>3814.3</v>
      </c>
      <c r="N2754" s="115">
        <v>3851.7</v>
      </c>
      <c r="O2754" s="115">
        <v>3760</v>
      </c>
      <c r="P2754" s="115">
        <v>3790</v>
      </c>
      <c r="Q2754" s="115">
        <v>3814.3</v>
      </c>
      <c r="R2754">
        <v>43913</v>
      </c>
    </row>
    <row r="2755" spans="1:18" x14ac:dyDescent="0.25">
      <c r="A2755" s="169">
        <v>46059</v>
      </c>
      <c r="B2755">
        <v>3850</v>
      </c>
      <c r="C2755">
        <v>3817.15</v>
      </c>
      <c r="D2755">
        <v>3764.2</v>
      </c>
      <c r="E2755">
        <v>3778.05</v>
      </c>
      <c r="F2755">
        <v>3817.15</v>
      </c>
      <c r="G2755">
        <v>1725</v>
      </c>
      <c r="H2755" s="115"/>
      <c r="I2755" s="115"/>
      <c r="L2755" s="169">
        <v>46062</v>
      </c>
      <c r="M2755" s="115">
        <v>3988.9</v>
      </c>
      <c r="N2755" s="115">
        <v>4071.3</v>
      </c>
      <c r="O2755" s="115">
        <v>3833.5</v>
      </c>
      <c r="P2755" s="115">
        <v>3886</v>
      </c>
      <c r="Q2755" s="115">
        <v>3988.9</v>
      </c>
      <c r="R2755">
        <v>57354</v>
      </c>
    </row>
    <row r="2756" spans="1:18" x14ac:dyDescent="0.25">
      <c r="A2756" s="169">
        <v>46062</v>
      </c>
      <c r="B2756">
        <v>4054.55</v>
      </c>
      <c r="C2756">
        <v>3996.25</v>
      </c>
      <c r="D2756">
        <v>3842.15</v>
      </c>
      <c r="E2756">
        <v>3890</v>
      </c>
      <c r="F2756">
        <v>3996.25</v>
      </c>
      <c r="G2756">
        <v>2957</v>
      </c>
      <c r="H2756" s="115"/>
      <c r="I2756" s="115"/>
      <c r="L2756" s="169">
        <v>46063</v>
      </c>
      <c r="M2756" s="115">
        <v>3961.4</v>
      </c>
      <c r="N2756" s="115">
        <v>4016.2</v>
      </c>
      <c r="O2756" s="115">
        <v>3921.9</v>
      </c>
      <c r="P2756" s="115">
        <v>3994.9</v>
      </c>
      <c r="Q2756" s="115">
        <v>3961.4</v>
      </c>
      <c r="R2756">
        <v>35705</v>
      </c>
    </row>
    <row r="2757" spans="1:18" x14ac:dyDescent="0.25">
      <c r="A2757" s="169">
        <v>46063</v>
      </c>
      <c r="B2757">
        <v>4016.9</v>
      </c>
      <c r="C2757">
        <v>3959.85</v>
      </c>
      <c r="D2757">
        <v>3921.5</v>
      </c>
      <c r="E2757">
        <v>3982.55</v>
      </c>
      <c r="F2757">
        <v>3959.85</v>
      </c>
      <c r="G2757">
        <v>1718</v>
      </c>
      <c r="H2757" s="115"/>
      <c r="I2757" s="115"/>
      <c r="L2757" s="169">
        <v>46064</v>
      </c>
      <c r="M2757" s="115">
        <v>3814.4</v>
      </c>
      <c r="N2757" s="115">
        <v>3944.2</v>
      </c>
      <c r="O2757" s="115">
        <v>3785</v>
      </c>
      <c r="P2757" s="115">
        <v>3940.2</v>
      </c>
      <c r="Q2757" s="115">
        <v>3814.4</v>
      </c>
      <c r="R2757">
        <v>61515</v>
      </c>
    </row>
    <row r="2758" spans="1:18" x14ac:dyDescent="0.25">
      <c r="A2758" s="169">
        <v>46064</v>
      </c>
      <c r="B2758">
        <v>3959.15</v>
      </c>
      <c r="C2758">
        <v>3811.65</v>
      </c>
      <c r="D2758">
        <v>3786</v>
      </c>
      <c r="E2758">
        <v>3959.15</v>
      </c>
      <c r="F2758">
        <v>3811.65</v>
      </c>
      <c r="G2758">
        <v>1589</v>
      </c>
      <c r="H2758" s="115"/>
      <c r="I2758" s="115"/>
      <c r="L2758" s="169">
        <v>46065</v>
      </c>
      <c r="M2758" s="115">
        <v>3806</v>
      </c>
      <c r="N2758" s="115">
        <v>3870.6</v>
      </c>
      <c r="O2758" s="115">
        <v>3775</v>
      </c>
      <c r="P2758" s="115">
        <v>3838.5</v>
      </c>
      <c r="Q2758" s="115">
        <v>3806</v>
      </c>
      <c r="R2758">
        <v>36889</v>
      </c>
    </row>
    <row r="2759" spans="1:18" x14ac:dyDescent="0.25">
      <c r="A2759" s="169">
        <v>46065</v>
      </c>
      <c r="B2759">
        <v>3868.35</v>
      </c>
      <c r="C2759">
        <v>3808.25</v>
      </c>
      <c r="D2759">
        <v>3779</v>
      </c>
      <c r="E2759">
        <v>3811.75</v>
      </c>
      <c r="F2759">
        <v>3808.25</v>
      </c>
      <c r="G2759">
        <v>1882</v>
      </c>
      <c r="H2759" s="115"/>
      <c r="I2759" s="115"/>
      <c r="L2759" s="169">
        <v>46066</v>
      </c>
      <c r="M2759" s="115">
        <v>3772.1</v>
      </c>
      <c r="N2759" s="115">
        <v>3806.6</v>
      </c>
      <c r="O2759" s="115">
        <v>3700.5</v>
      </c>
      <c r="P2759" s="115">
        <v>3806</v>
      </c>
      <c r="Q2759" s="115">
        <v>3772.1</v>
      </c>
      <c r="R2759">
        <v>60376</v>
      </c>
    </row>
    <row r="2760" spans="1:18" x14ac:dyDescent="0.25">
      <c r="A2760" s="169">
        <v>46066</v>
      </c>
      <c r="B2760">
        <v>3806</v>
      </c>
      <c r="C2760">
        <v>3768.35</v>
      </c>
      <c r="D2760">
        <v>3705.25</v>
      </c>
      <c r="E2760">
        <v>3806</v>
      </c>
      <c r="F2760">
        <v>3768.35</v>
      </c>
      <c r="G2760">
        <v>8425</v>
      </c>
      <c r="H2760" s="115"/>
      <c r="I2760" s="115"/>
      <c r="L2760" s="169">
        <v>46069</v>
      </c>
      <c r="M2760" s="115">
        <v>3797.2</v>
      </c>
      <c r="N2760" s="115">
        <v>3835.6</v>
      </c>
      <c r="O2760" s="115">
        <v>3740</v>
      </c>
      <c r="P2760" s="115">
        <v>3799.6</v>
      </c>
      <c r="Q2760" s="115">
        <v>3797.2</v>
      </c>
      <c r="R2760">
        <v>23583</v>
      </c>
    </row>
    <row r="2761" spans="1:18" x14ac:dyDescent="0.25">
      <c r="A2761" s="169">
        <v>46069</v>
      </c>
      <c r="B2761">
        <v>3833.7</v>
      </c>
      <c r="C2761">
        <v>3800.65</v>
      </c>
      <c r="D2761">
        <v>3732.1</v>
      </c>
      <c r="E2761">
        <v>3732.1</v>
      </c>
      <c r="F2761">
        <v>3800.65</v>
      </c>
      <c r="G2761">
        <v>1533</v>
      </c>
      <c r="H2761" s="115"/>
      <c r="I2761" s="115"/>
      <c r="L2761" s="169">
        <v>46070</v>
      </c>
      <c r="M2761" s="115">
        <v>3783.6</v>
      </c>
      <c r="N2761" s="115">
        <v>3823.5</v>
      </c>
      <c r="O2761" s="115">
        <v>3752</v>
      </c>
      <c r="P2761" s="115">
        <v>3785</v>
      </c>
      <c r="Q2761" s="115">
        <v>3783.6</v>
      </c>
      <c r="R2761">
        <v>16253</v>
      </c>
    </row>
    <row r="2762" spans="1:18" x14ac:dyDescent="0.25">
      <c r="A2762" s="169">
        <v>46070</v>
      </c>
      <c r="B2762">
        <v>3821.95</v>
      </c>
      <c r="C2762">
        <v>3784.15</v>
      </c>
      <c r="D2762">
        <v>3760</v>
      </c>
      <c r="E2762">
        <v>3799.95</v>
      </c>
      <c r="F2762">
        <v>3784.15</v>
      </c>
      <c r="G2762">
        <v>585</v>
      </c>
      <c r="H2762" s="115"/>
      <c r="I2762" s="115"/>
      <c r="L2762" s="169">
        <v>46071</v>
      </c>
      <c r="M2762" s="115">
        <v>3886</v>
      </c>
      <c r="N2762" s="115">
        <v>3903.2</v>
      </c>
      <c r="O2762" s="115">
        <v>3733.8</v>
      </c>
      <c r="P2762" s="115">
        <v>3785</v>
      </c>
      <c r="Q2762" s="115">
        <v>3886</v>
      </c>
      <c r="R2762">
        <v>42372</v>
      </c>
    </row>
    <row r="2763" spans="1:18" x14ac:dyDescent="0.25">
      <c r="A2763" s="169">
        <v>46071</v>
      </c>
      <c r="B2763">
        <v>3898</v>
      </c>
      <c r="C2763">
        <v>3884.55</v>
      </c>
      <c r="D2763">
        <v>3735</v>
      </c>
      <c r="E2763">
        <v>3765.85</v>
      </c>
      <c r="F2763">
        <v>3884.55</v>
      </c>
      <c r="G2763">
        <v>2504</v>
      </c>
      <c r="H2763" s="115"/>
      <c r="I2763" s="115"/>
      <c r="L2763" s="169">
        <v>46072</v>
      </c>
      <c r="M2763" s="115">
        <v>3838.2</v>
      </c>
      <c r="N2763" s="115">
        <v>3915</v>
      </c>
      <c r="O2763" s="115">
        <v>3815</v>
      </c>
      <c r="P2763" s="115">
        <v>3905.3</v>
      </c>
      <c r="Q2763" s="115">
        <v>3838.2</v>
      </c>
      <c r="R2763">
        <v>25263</v>
      </c>
    </row>
    <row r="2764" spans="1:18" x14ac:dyDescent="0.25">
      <c r="A2764" s="169">
        <v>46072</v>
      </c>
      <c r="B2764">
        <v>3898.4</v>
      </c>
      <c r="C2764">
        <v>3844.45</v>
      </c>
      <c r="D2764">
        <v>3815</v>
      </c>
      <c r="E2764">
        <v>3898.4</v>
      </c>
      <c r="F2764">
        <v>3844.45</v>
      </c>
      <c r="G2764">
        <v>2163</v>
      </c>
      <c r="H2764" s="115"/>
      <c r="I2764" s="115"/>
      <c r="L2764" s="169">
        <v>46073</v>
      </c>
      <c r="M2764" s="115">
        <v>3888.9</v>
      </c>
      <c r="N2764" s="115">
        <v>3951.2</v>
      </c>
      <c r="O2764" s="115">
        <v>3803.9</v>
      </c>
      <c r="P2764" s="115">
        <v>3838</v>
      </c>
      <c r="Q2764" s="115">
        <v>3888.9</v>
      </c>
      <c r="R2764">
        <v>53377</v>
      </c>
    </row>
    <row r="2765" spans="1:18" x14ac:dyDescent="0.25">
      <c r="A2765" s="169">
        <v>46073</v>
      </c>
      <c r="B2765">
        <v>3948</v>
      </c>
      <c r="C2765">
        <v>3890.4</v>
      </c>
      <c r="D2765">
        <v>3816</v>
      </c>
      <c r="E2765">
        <v>3816</v>
      </c>
      <c r="F2765">
        <v>3890.4</v>
      </c>
      <c r="G2765">
        <v>4347</v>
      </c>
      <c r="H2765" s="115"/>
      <c r="I2765" s="115"/>
      <c r="L2765" s="169">
        <v>46076</v>
      </c>
      <c r="M2765" s="115">
        <v>3950.2</v>
      </c>
      <c r="N2765" s="115">
        <v>4005</v>
      </c>
      <c r="O2765" s="115">
        <v>3901.9</v>
      </c>
      <c r="P2765" s="115">
        <v>3901.9</v>
      </c>
      <c r="Q2765" s="115">
        <v>3950.2</v>
      </c>
      <c r="R2765">
        <v>116886</v>
      </c>
    </row>
    <row r="2766" spans="1:18" x14ac:dyDescent="0.25">
      <c r="A2766" s="169">
        <v>46076</v>
      </c>
      <c r="B2766">
        <v>4006</v>
      </c>
      <c r="C2766">
        <v>3949.6</v>
      </c>
      <c r="D2766">
        <v>3891.55</v>
      </c>
      <c r="E2766">
        <v>3891.55</v>
      </c>
      <c r="F2766">
        <v>3949.6</v>
      </c>
      <c r="G2766">
        <v>7664</v>
      </c>
      <c r="H2766" s="115"/>
      <c r="I2766" s="115"/>
      <c r="L2766" s="169">
        <v>46077</v>
      </c>
      <c r="M2766" s="115">
        <v>4084.8</v>
      </c>
      <c r="N2766" s="115">
        <v>4118</v>
      </c>
      <c r="O2766" s="115">
        <v>3947.4</v>
      </c>
      <c r="P2766" s="115">
        <v>3964.9</v>
      </c>
      <c r="Q2766" s="115">
        <v>4084.8</v>
      </c>
      <c r="R2766">
        <v>276595</v>
      </c>
    </row>
    <row r="2767" spans="1:18" x14ac:dyDescent="0.25">
      <c r="A2767" s="169">
        <v>46077</v>
      </c>
      <c r="B2767">
        <v>4115.2</v>
      </c>
      <c r="C2767">
        <v>4082.55</v>
      </c>
      <c r="D2767">
        <v>3942.95</v>
      </c>
      <c r="E2767">
        <v>3960.15</v>
      </c>
      <c r="F2767">
        <v>4082.55</v>
      </c>
      <c r="G2767">
        <v>10232</v>
      </c>
      <c r="H2767" s="115"/>
      <c r="I2767" s="115"/>
      <c r="L2767" s="169">
        <v>46078</v>
      </c>
      <c r="M2767" s="115">
        <v>4264.3999999999996</v>
      </c>
      <c r="N2767" s="115">
        <v>4334.7</v>
      </c>
      <c r="O2767" s="115">
        <v>4131.2</v>
      </c>
      <c r="P2767" s="115">
        <v>4275</v>
      </c>
      <c r="Q2767" s="115">
        <v>4264.3999999999996</v>
      </c>
      <c r="R2767">
        <v>1238284</v>
      </c>
    </row>
    <row r="2768" spans="1:18" x14ac:dyDescent="0.25">
      <c r="A2768" s="169">
        <v>46078</v>
      </c>
      <c r="B2768">
        <v>4332</v>
      </c>
      <c r="C2768">
        <v>4266.3999999999996</v>
      </c>
      <c r="D2768">
        <v>4135.3</v>
      </c>
      <c r="E2768">
        <v>4260.1499999999996</v>
      </c>
      <c r="F2768">
        <v>4266.3999999999996</v>
      </c>
      <c r="G2768">
        <v>61053</v>
      </c>
      <c r="H2768" s="115"/>
      <c r="I2768" s="115"/>
      <c r="L2768" s="169">
        <v>46079</v>
      </c>
      <c r="M2768" s="115">
        <v>4346.7</v>
      </c>
      <c r="N2768" s="115">
        <v>4399.1000000000004</v>
      </c>
      <c r="O2768" s="115">
        <v>4300.2</v>
      </c>
      <c r="P2768" s="115">
        <v>4300.2</v>
      </c>
      <c r="Q2768" s="115">
        <v>4346.7</v>
      </c>
      <c r="R2768">
        <v>311910</v>
      </c>
    </row>
    <row r="2769" spans="1:18" x14ac:dyDescent="0.25">
      <c r="A2769" s="169">
        <v>46079</v>
      </c>
      <c r="B2769">
        <v>4408.8</v>
      </c>
      <c r="C2769">
        <v>4346.1499999999996</v>
      </c>
      <c r="D2769">
        <v>4285.2</v>
      </c>
      <c r="E2769">
        <v>4285.2</v>
      </c>
      <c r="F2769">
        <v>4346.1499999999996</v>
      </c>
      <c r="G2769">
        <v>16970</v>
      </c>
      <c r="H2769" s="115"/>
      <c r="I2769" s="115"/>
      <c r="L2769" s="169">
        <v>46080</v>
      </c>
      <c r="M2769" s="115">
        <v>4357.2</v>
      </c>
      <c r="N2769" s="115">
        <v>4443.8</v>
      </c>
      <c r="O2769" s="115">
        <v>4284</v>
      </c>
      <c r="P2769" s="115">
        <v>4345</v>
      </c>
      <c r="Q2769" s="115">
        <v>4357.2</v>
      </c>
      <c r="R2769">
        <v>195685</v>
      </c>
    </row>
    <row r="2770" spans="1:18" x14ac:dyDescent="0.25">
      <c r="A2770" s="169">
        <v>46080</v>
      </c>
      <c r="B2770">
        <v>4438.6499999999996</v>
      </c>
      <c r="C2770">
        <v>4361.3500000000004</v>
      </c>
      <c r="D2770">
        <v>4280.75</v>
      </c>
      <c r="E2770">
        <v>4346.2</v>
      </c>
      <c r="F2770">
        <v>4361.3500000000004</v>
      </c>
      <c r="G2770">
        <v>6362</v>
      </c>
      <c r="H2770" s="115"/>
      <c r="I2770" s="115"/>
      <c r="L2770" s="169">
        <v>46083</v>
      </c>
      <c r="M2770" s="115">
        <v>4305.7</v>
      </c>
      <c r="N2770" s="115">
        <v>4349</v>
      </c>
      <c r="O2770" s="115">
        <v>4113.5</v>
      </c>
      <c r="P2770" s="115">
        <v>4170</v>
      </c>
      <c r="Q2770" s="115">
        <v>4305.7</v>
      </c>
      <c r="R2770">
        <v>132427</v>
      </c>
    </row>
    <row r="2771" spans="1:18" x14ac:dyDescent="0.25">
      <c r="A2771" s="169">
        <v>46083</v>
      </c>
      <c r="B2771">
        <v>4344.8999999999996</v>
      </c>
      <c r="C2771">
        <v>4308.3999999999996</v>
      </c>
      <c r="D2771">
        <v>4101.45</v>
      </c>
      <c r="E2771">
        <v>4101.45</v>
      </c>
      <c r="F2771">
        <v>4308.3999999999996</v>
      </c>
      <c r="G2771">
        <v>10865</v>
      </c>
      <c r="H2771" s="115"/>
      <c r="I2771" s="115"/>
      <c r="L2771" s="169">
        <v>46085</v>
      </c>
      <c r="M2771" s="115">
        <v>4134.3</v>
      </c>
      <c r="N2771" s="115">
        <v>4285</v>
      </c>
      <c r="O2771" s="115">
        <v>4080</v>
      </c>
      <c r="P2771" s="115">
        <v>4285</v>
      </c>
      <c r="Q2771" s="115">
        <v>4134.3</v>
      </c>
      <c r="R2771">
        <v>133978</v>
      </c>
    </row>
    <row r="2772" spans="1:18" x14ac:dyDescent="0.25">
      <c r="A2772" s="169">
        <v>46085</v>
      </c>
      <c r="B2772">
        <v>4256.95</v>
      </c>
      <c r="C2772">
        <v>4135.6000000000004</v>
      </c>
      <c r="D2772">
        <v>4081.1</v>
      </c>
      <c r="E2772">
        <v>4250.6499999999996</v>
      </c>
      <c r="F2772">
        <v>4135.6000000000004</v>
      </c>
      <c r="G2772">
        <v>7787</v>
      </c>
      <c r="H2772" s="115"/>
      <c r="I2772" s="115"/>
      <c r="L2772" s="169">
        <v>46086</v>
      </c>
      <c r="M2772" s="115">
        <v>4288.8999999999996</v>
      </c>
      <c r="N2772" s="115">
        <v>4333.3</v>
      </c>
      <c r="O2772" s="115">
        <v>4158</v>
      </c>
      <c r="P2772" s="115">
        <v>4158</v>
      </c>
      <c r="Q2772" s="115">
        <v>4288.8999999999996</v>
      </c>
      <c r="R2772">
        <v>70689</v>
      </c>
    </row>
    <row r="2773" spans="1:18" x14ac:dyDescent="0.25">
      <c r="A2773" s="169">
        <v>46086</v>
      </c>
      <c r="B2773">
        <v>4329</v>
      </c>
      <c r="C2773">
        <v>4289.25</v>
      </c>
      <c r="D2773">
        <v>4155</v>
      </c>
      <c r="E2773">
        <v>4155</v>
      </c>
      <c r="F2773">
        <v>4289.25</v>
      </c>
      <c r="G2773">
        <v>4095</v>
      </c>
      <c r="H2773" s="115"/>
      <c r="I2773" s="115"/>
      <c r="L2773" s="169">
        <v>46087</v>
      </c>
      <c r="M2773" s="115">
        <v>4325.8</v>
      </c>
      <c r="N2773" s="115">
        <v>4467.7</v>
      </c>
      <c r="O2773" s="115">
        <v>4267.7</v>
      </c>
      <c r="P2773" s="115">
        <v>4296</v>
      </c>
      <c r="Q2773" s="115">
        <v>4325.8</v>
      </c>
      <c r="R2773">
        <v>144244</v>
      </c>
    </row>
    <row r="2774" spans="1:18" x14ac:dyDescent="0.25">
      <c r="A2774" s="169">
        <v>46087</v>
      </c>
      <c r="B2774">
        <v>4465</v>
      </c>
      <c r="C2774">
        <v>4323.6000000000004</v>
      </c>
      <c r="D2774">
        <v>4271</v>
      </c>
      <c r="E2774">
        <v>4288</v>
      </c>
      <c r="F2774">
        <v>4323.6000000000004</v>
      </c>
      <c r="G2774">
        <v>6008</v>
      </c>
      <c r="H2774" s="115"/>
      <c r="I2774" s="115"/>
      <c r="L2774" s="169">
        <v>46090</v>
      </c>
      <c r="M2774" s="115">
        <v>4172.6000000000004</v>
      </c>
      <c r="N2774" s="115">
        <v>4274</v>
      </c>
      <c r="O2774" s="115">
        <v>4119</v>
      </c>
      <c r="P2774" s="115">
        <v>4274</v>
      </c>
      <c r="Q2774" s="115">
        <v>4172.6000000000004</v>
      </c>
      <c r="R2774">
        <v>79491</v>
      </c>
    </row>
    <row r="2775" spans="1:18" x14ac:dyDescent="0.25">
      <c r="A2775" s="169">
        <v>46090</v>
      </c>
      <c r="B2775">
        <v>4250.3500000000004</v>
      </c>
      <c r="C2775">
        <v>4184.95</v>
      </c>
      <c r="D2775">
        <v>4130.1000000000004</v>
      </c>
      <c r="E2775">
        <v>4250.3500000000004</v>
      </c>
      <c r="F2775">
        <v>4184.95</v>
      </c>
      <c r="G2775">
        <v>2089</v>
      </c>
      <c r="H2775" s="115"/>
      <c r="I2775" s="115"/>
      <c r="L2775" s="169">
        <v>46091</v>
      </c>
      <c r="M2775" s="115">
        <v>4164.3999999999996</v>
      </c>
      <c r="N2775" s="115">
        <v>4264</v>
      </c>
      <c r="O2775" s="115">
        <v>4150</v>
      </c>
      <c r="P2775" s="115">
        <v>4213.2</v>
      </c>
      <c r="Q2775" s="115">
        <v>4164.3999999999996</v>
      </c>
      <c r="R2775">
        <v>46811</v>
      </c>
    </row>
    <row r="2776" spans="1:18" x14ac:dyDescent="0.25">
      <c r="A2776" s="169">
        <v>46091</v>
      </c>
      <c r="B2776">
        <v>4259.5</v>
      </c>
      <c r="C2776">
        <v>4164.45</v>
      </c>
      <c r="D2776">
        <v>4150</v>
      </c>
      <c r="E2776">
        <v>4220</v>
      </c>
      <c r="F2776">
        <v>4164.45</v>
      </c>
      <c r="G2776">
        <v>3987</v>
      </c>
      <c r="H2776" s="115"/>
      <c r="I2776" s="115"/>
      <c r="L2776" s="169">
        <v>46092</v>
      </c>
      <c r="M2776" s="115">
        <v>4050.4</v>
      </c>
      <c r="N2776" s="115">
        <v>4202.8</v>
      </c>
      <c r="O2776" s="115">
        <v>4025</v>
      </c>
      <c r="P2776" s="115">
        <v>4164.3999999999996</v>
      </c>
      <c r="Q2776" s="115">
        <v>4050.4</v>
      </c>
      <c r="R2776">
        <v>106688</v>
      </c>
    </row>
    <row r="2777" spans="1:18" x14ac:dyDescent="0.25">
      <c r="A2777" s="169">
        <v>46092</v>
      </c>
      <c r="B2777">
        <v>4194.7</v>
      </c>
      <c r="C2777">
        <v>4045.95</v>
      </c>
      <c r="D2777">
        <v>4025</v>
      </c>
      <c r="E2777">
        <v>4164.5</v>
      </c>
      <c r="F2777">
        <v>4045.95</v>
      </c>
      <c r="G2777">
        <v>3476</v>
      </c>
      <c r="H2777" s="115"/>
      <c r="I2777" s="115"/>
      <c r="L2777" s="169">
        <v>46093</v>
      </c>
      <c r="M2777" s="115">
        <v>3988.6</v>
      </c>
      <c r="N2777" s="115">
        <v>4050.4</v>
      </c>
      <c r="O2777" s="115">
        <v>3974.3</v>
      </c>
      <c r="P2777" s="115">
        <v>4050.4</v>
      </c>
      <c r="Q2777" s="115">
        <v>3988.6</v>
      </c>
      <c r="R2777">
        <v>41368</v>
      </c>
    </row>
    <row r="2778" spans="1:18" x14ac:dyDescent="0.25">
      <c r="A2778" s="169">
        <v>46093</v>
      </c>
      <c r="B2778">
        <v>4031.35</v>
      </c>
      <c r="C2778">
        <v>3984.35</v>
      </c>
      <c r="D2778">
        <v>3971</v>
      </c>
      <c r="E2778">
        <v>3980.05</v>
      </c>
      <c r="F2778">
        <v>3984.35</v>
      </c>
      <c r="G2778">
        <v>2088</v>
      </c>
      <c r="H2778" s="115"/>
      <c r="I2778" s="115"/>
      <c r="L2778" s="169">
        <v>46094</v>
      </c>
      <c r="M2778" s="115">
        <v>3830.6</v>
      </c>
      <c r="N2778" s="115">
        <v>3988.6</v>
      </c>
      <c r="O2778" s="115">
        <v>3806.2</v>
      </c>
      <c r="P2778" s="115">
        <v>3988.6</v>
      </c>
      <c r="Q2778" s="115">
        <v>3830.6</v>
      </c>
      <c r="R2778">
        <v>76889</v>
      </c>
    </row>
    <row r="2779" spans="1:18" x14ac:dyDescent="0.25">
      <c r="A2779" s="169">
        <v>46094</v>
      </c>
      <c r="B2779">
        <v>4058.55</v>
      </c>
      <c r="C2779">
        <v>3833.3</v>
      </c>
      <c r="D2779">
        <v>3815.75</v>
      </c>
      <c r="E2779">
        <v>4058.55</v>
      </c>
      <c r="F2779">
        <v>3833.3</v>
      </c>
      <c r="G2779">
        <v>2611</v>
      </c>
      <c r="H2779" s="115"/>
      <c r="I2779" s="115"/>
      <c r="L2779" s="169">
        <v>46097</v>
      </c>
      <c r="M2779" s="115">
        <v>3773.9</v>
      </c>
      <c r="N2779" s="115">
        <v>3860</v>
      </c>
      <c r="O2779" s="115">
        <v>3749.4</v>
      </c>
      <c r="P2779" s="115">
        <v>3820.5</v>
      </c>
      <c r="Q2779" s="115">
        <v>3773.9</v>
      </c>
      <c r="R2779">
        <v>116603</v>
      </c>
    </row>
    <row r="2780" spans="1:18" x14ac:dyDescent="0.25">
      <c r="A2780" s="169">
        <v>46097</v>
      </c>
      <c r="B2780">
        <v>3862.25</v>
      </c>
      <c r="C2780">
        <v>3775.4</v>
      </c>
      <c r="D2780">
        <v>3750</v>
      </c>
      <c r="E2780">
        <v>3770.05</v>
      </c>
      <c r="F2780">
        <v>3775.4</v>
      </c>
      <c r="G2780">
        <v>3919</v>
      </c>
      <c r="H2780" s="115"/>
      <c r="I2780" s="115"/>
      <c r="L2780" s="169">
        <v>46098</v>
      </c>
      <c r="M2780" s="115">
        <v>3914.3</v>
      </c>
      <c r="N2780" s="115">
        <v>3950</v>
      </c>
      <c r="O2780" s="115">
        <v>3764.7</v>
      </c>
      <c r="P2780" s="115">
        <v>3798</v>
      </c>
      <c r="Q2780" s="115">
        <v>3914.3</v>
      </c>
      <c r="R2780">
        <v>72743</v>
      </c>
    </row>
    <row r="2781" spans="1:18" x14ac:dyDescent="0.25">
      <c r="A2781" s="169">
        <v>46098</v>
      </c>
      <c r="B2781">
        <v>3944</v>
      </c>
      <c r="C2781">
        <v>3918.1</v>
      </c>
      <c r="D2781">
        <v>3775.2</v>
      </c>
      <c r="E2781">
        <v>3800</v>
      </c>
      <c r="F2781">
        <v>3918.1</v>
      </c>
      <c r="G2781">
        <v>57948</v>
      </c>
      <c r="H2781" s="115"/>
      <c r="I2781" s="115"/>
      <c r="L2781" s="169">
        <v>46099</v>
      </c>
      <c r="M2781" s="115">
        <v>4053.8</v>
      </c>
      <c r="N2781" s="115">
        <v>4080</v>
      </c>
      <c r="O2781" s="115">
        <v>3906.9</v>
      </c>
      <c r="P2781" s="115">
        <v>3917</v>
      </c>
      <c r="Q2781" s="115">
        <v>4053.8</v>
      </c>
      <c r="R2781">
        <v>101481</v>
      </c>
    </row>
    <row r="2782" spans="1:18" x14ac:dyDescent="0.25">
      <c r="A2782" s="169">
        <v>46099</v>
      </c>
      <c r="B2782">
        <v>4100</v>
      </c>
      <c r="C2782">
        <v>4051.85</v>
      </c>
      <c r="D2782">
        <v>3905</v>
      </c>
      <c r="E2782">
        <v>3918.1</v>
      </c>
      <c r="F2782">
        <v>4051.85</v>
      </c>
      <c r="G2782">
        <v>38187</v>
      </c>
      <c r="H2782" s="115"/>
      <c r="I2782" s="115"/>
      <c r="L2782" s="169">
        <v>46100</v>
      </c>
      <c r="M2782" s="115">
        <v>3959</v>
      </c>
      <c r="N2782" s="115">
        <v>4034.8</v>
      </c>
      <c r="O2782" s="115">
        <v>3910.5</v>
      </c>
      <c r="P2782" s="115">
        <v>3996</v>
      </c>
      <c r="Q2782" s="115">
        <v>3959</v>
      </c>
      <c r="R2782">
        <v>75429</v>
      </c>
    </row>
    <row r="2783" spans="1:18" x14ac:dyDescent="0.25">
      <c r="A2783" s="169">
        <v>46100</v>
      </c>
      <c r="B2783">
        <v>4029.1</v>
      </c>
      <c r="C2783">
        <v>3956.35</v>
      </c>
      <c r="D2783">
        <v>3931.5</v>
      </c>
      <c r="E2783">
        <v>3980.05</v>
      </c>
      <c r="F2783">
        <v>3956.35</v>
      </c>
      <c r="G2783">
        <v>2911</v>
      </c>
      <c r="H2783" s="115"/>
      <c r="I2783" s="115"/>
      <c r="L2783" s="169">
        <v>46101</v>
      </c>
      <c r="M2783" s="115">
        <v>4186.5</v>
      </c>
      <c r="N2783" s="115">
        <v>4240</v>
      </c>
      <c r="O2783" s="115">
        <v>3966</v>
      </c>
      <c r="P2783" s="115">
        <v>3966</v>
      </c>
      <c r="Q2783" s="115">
        <v>4186.5</v>
      </c>
      <c r="R2783">
        <v>213502</v>
      </c>
    </row>
    <row r="2784" spans="1:18" x14ac:dyDescent="0.25">
      <c r="A2784" s="169">
        <v>46101</v>
      </c>
      <c r="B2784">
        <v>4237.1000000000004</v>
      </c>
      <c r="C2784">
        <v>4180.3999999999996</v>
      </c>
      <c r="D2784">
        <v>3996.7</v>
      </c>
      <c r="E2784">
        <v>4035.5</v>
      </c>
      <c r="F2784">
        <v>4180.3999999999996</v>
      </c>
      <c r="G2784">
        <v>44536</v>
      </c>
      <c r="H2784" s="115"/>
      <c r="I2784" s="115"/>
      <c r="L2784" s="169">
        <v>46104</v>
      </c>
      <c r="M2784" s="115">
        <v>3951.6</v>
      </c>
      <c r="N2784" s="115">
        <v>4155</v>
      </c>
      <c r="O2784" s="115">
        <v>3922</v>
      </c>
      <c r="P2784" s="115">
        <v>4155</v>
      </c>
      <c r="Q2784" s="115">
        <v>3951.6</v>
      </c>
      <c r="R2784">
        <v>63480</v>
      </c>
    </row>
    <row r="2785" spans="1:18" x14ac:dyDescent="0.25">
      <c r="A2785" s="169">
        <v>46104</v>
      </c>
      <c r="B2785">
        <v>4178.7</v>
      </c>
      <c r="C2785">
        <v>3957.35</v>
      </c>
      <c r="D2785">
        <v>3917.5</v>
      </c>
      <c r="E2785">
        <v>4178.7</v>
      </c>
      <c r="F2785">
        <v>3957.35</v>
      </c>
      <c r="G2785">
        <v>5472</v>
      </c>
      <c r="H2785" s="115"/>
      <c r="I2785" s="115"/>
      <c r="L2785" s="169">
        <v>46105</v>
      </c>
      <c r="M2785" s="115">
        <v>3978.9</v>
      </c>
      <c r="N2785" s="115">
        <v>4059.9</v>
      </c>
      <c r="O2785" s="115">
        <v>3874.5</v>
      </c>
      <c r="P2785" s="115">
        <v>4059.9</v>
      </c>
      <c r="Q2785" s="115">
        <v>3978.9</v>
      </c>
      <c r="R2785">
        <v>70033</v>
      </c>
    </row>
    <row r="2786" spans="1:18" x14ac:dyDescent="0.25">
      <c r="A2786" s="169">
        <v>46105</v>
      </c>
      <c r="B2786">
        <v>4036.15</v>
      </c>
      <c r="C2786">
        <v>3977.1</v>
      </c>
      <c r="D2786">
        <v>3872.6</v>
      </c>
      <c r="E2786">
        <v>3990.45</v>
      </c>
      <c r="F2786">
        <v>3977.1</v>
      </c>
      <c r="G2786">
        <v>9913</v>
      </c>
      <c r="H2786" s="115"/>
      <c r="I2786" s="115"/>
      <c r="L2786" s="169">
        <v>46106</v>
      </c>
      <c r="M2786" s="115">
        <v>4063.1</v>
      </c>
      <c r="N2786" s="115">
        <v>4098</v>
      </c>
      <c r="O2786" s="115">
        <v>4000</v>
      </c>
      <c r="P2786" s="115">
        <v>4011.5</v>
      </c>
      <c r="Q2786" s="115">
        <v>4063.1</v>
      </c>
      <c r="R2786">
        <v>59643</v>
      </c>
    </row>
    <row r="2787" spans="1:18" x14ac:dyDescent="0.25">
      <c r="A2787" s="169">
        <v>46106</v>
      </c>
      <c r="B2787">
        <v>4096.1000000000004</v>
      </c>
      <c r="C2787">
        <v>4064</v>
      </c>
      <c r="D2787">
        <v>4024.5</v>
      </c>
      <c r="E2787">
        <v>4033.3</v>
      </c>
      <c r="F2787">
        <v>4064</v>
      </c>
      <c r="G2787">
        <v>40691</v>
      </c>
      <c r="H2787" s="115"/>
      <c r="I2787" s="115"/>
      <c r="L2787" s="169">
        <v>46108</v>
      </c>
      <c r="M2787" s="115">
        <v>3985.1</v>
      </c>
      <c r="N2787" s="115">
        <v>4038.8</v>
      </c>
      <c r="O2787" s="115">
        <v>3956.3</v>
      </c>
      <c r="P2787" s="115">
        <v>4030</v>
      </c>
      <c r="Q2787" s="115">
        <v>3985.1</v>
      </c>
      <c r="R2787">
        <v>63802</v>
      </c>
    </row>
    <row r="2788" spans="1:18" x14ac:dyDescent="0.25">
      <c r="A2788" s="169">
        <v>46108</v>
      </c>
      <c r="B2788">
        <v>4035.25</v>
      </c>
      <c r="C2788">
        <v>3985.4</v>
      </c>
      <c r="D2788">
        <v>3954.75</v>
      </c>
      <c r="E2788">
        <v>4028.05</v>
      </c>
      <c r="F2788">
        <v>3985.4</v>
      </c>
      <c r="G2788">
        <v>38226</v>
      </c>
      <c r="H2788" s="115"/>
      <c r="I2788" s="115"/>
      <c r="L2788" s="169">
        <v>46111</v>
      </c>
      <c r="M2788" s="115">
        <v>3844.8</v>
      </c>
      <c r="N2788" s="115">
        <v>3944.1</v>
      </c>
      <c r="O2788" s="115">
        <v>3810.5</v>
      </c>
      <c r="P2788" s="115">
        <v>3901</v>
      </c>
      <c r="Q2788" s="115">
        <v>3844.8</v>
      </c>
      <c r="R2788">
        <v>93036</v>
      </c>
    </row>
    <row r="2789" spans="1:18" x14ac:dyDescent="0.25">
      <c r="A2789" s="169">
        <v>46111</v>
      </c>
      <c r="B2789">
        <v>3923.6</v>
      </c>
      <c r="C2789">
        <v>3844.7</v>
      </c>
      <c r="D2789">
        <v>3812</v>
      </c>
      <c r="E2789">
        <v>3875.75</v>
      </c>
      <c r="F2789">
        <v>3844.7</v>
      </c>
      <c r="G2789">
        <v>38004</v>
      </c>
      <c r="H2789" s="115"/>
      <c r="I2789" s="115"/>
      <c r="L2789" s="169">
        <v>46113</v>
      </c>
      <c r="M2789" s="115">
        <v>3870.6</v>
      </c>
      <c r="N2789" s="115">
        <v>3996.9</v>
      </c>
      <c r="O2789" s="115">
        <v>3852.4</v>
      </c>
      <c r="P2789" s="115">
        <v>3890</v>
      </c>
      <c r="Q2789" s="115">
        <v>3870.6</v>
      </c>
      <c r="R2789">
        <v>70468</v>
      </c>
    </row>
    <row r="2790" spans="1:18" x14ac:dyDescent="0.25">
      <c r="A2790" s="169">
        <v>46113</v>
      </c>
      <c r="B2790">
        <v>3993.2</v>
      </c>
      <c r="C2790">
        <v>3868.7</v>
      </c>
      <c r="D2790">
        <v>3854.45</v>
      </c>
      <c r="E2790">
        <v>3900</v>
      </c>
      <c r="F2790">
        <v>3868.7</v>
      </c>
      <c r="G2790">
        <v>106497</v>
      </c>
      <c r="H2790" s="115"/>
      <c r="I2790" s="115"/>
      <c r="L2790" s="169">
        <v>46114</v>
      </c>
      <c r="M2790" s="115">
        <v>3764.4</v>
      </c>
      <c r="N2790" s="115">
        <v>3851.2</v>
      </c>
      <c r="O2790" s="115">
        <v>3707</v>
      </c>
      <c r="P2790" s="115">
        <v>3800</v>
      </c>
      <c r="Q2790" s="115">
        <v>3764.4</v>
      </c>
      <c r="R2790">
        <v>89461</v>
      </c>
    </row>
    <row r="2791" spans="1:18" x14ac:dyDescent="0.25">
      <c r="A2791" s="169">
        <v>46114</v>
      </c>
      <c r="B2791">
        <v>3852</v>
      </c>
      <c r="C2791">
        <v>3765.05</v>
      </c>
      <c r="D2791">
        <v>3707</v>
      </c>
      <c r="E2791">
        <v>3852</v>
      </c>
      <c r="F2791">
        <v>3765.05</v>
      </c>
      <c r="G2791">
        <v>7107</v>
      </c>
      <c r="H2791" s="115"/>
      <c r="I2791" s="115"/>
      <c r="L2791" s="169">
        <v>46118</v>
      </c>
      <c r="M2791" s="115">
        <v>3782.7</v>
      </c>
      <c r="N2791" s="115">
        <v>3804.8</v>
      </c>
      <c r="O2791" s="115">
        <v>3715</v>
      </c>
      <c r="P2791" s="115">
        <v>3764.2</v>
      </c>
      <c r="Q2791" s="115">
        <v>3782.7</v>
      </c>
      <c r="R2791">
        <v>68166</v>
      </c>
    </row>
    <row r="2792" spans="1:18" x14ac:dyDescent="0.25">
      <c r="A2792" s="169">
        <v>46118</v>
      </c>
      <c r="B2792">
        <v>3801.7</v>
      </c>
      <c r="C2792">
        <v>3776.95</v>
      </c>
      <c r="D2792">
        <v>3719</v>
      </c>
      <c r="E2792">
        <v>3760.2</v>
      </c>
      <c r="F2792">
        <v>3776.95</v>
      </c>
      <c r="G2792">
        <v>4699</v>
      </c>
      <c r="H2792" s="115"/>
      <c r="I2792" s="115"/>
      <c r="L2792" s="169">
        <v>46119</v>
      </c>
      <c r="M2792" s="115">
        <v>3706.4</v>
      </c>
      <c r="N2792" s="115">
        <v>3794.9</v>
      </c>
      <c r="O2792" s="115">
        <v>3690.8</v>
      </c>
      <c r="P2792" s="115">
        <v>3790</v>
      </c>
      <c r="Q2792" s="115">
        <v>3706.4</v>
      </c>
      <c r="R2792">
        <v>90816</v>
      </c>
    </row>
    <row r="2793" spans="1:18" x14ac:dyDescent="0.25">
      <c r="A2793" s="169">
        <v>46119</v>
      </c>
      <c r="B2793">
        <v>3761.15</v>
      </c>
      <c r="C2793">
        <v>3707.4</v>
      </c>
      <c r="D2793">
        <v>3686</v>
      </c>
      <c r="E2793">
        <v>3757.55</v>
      </c>
      <c r="F2793">
        <v>3707.4</v>
      </c>
      <c r="G2793">
        <v>2780</v>
      </c>
      <c r="H2793" s="115"/>
      <c r="I2793" s="115"/>
      <c r="L2793" s="169">
        <v>46120</v>
      </c>
      <c r="M2793" s="115">
        <v>3884.7</v>
      </c>
      <c r="N2793" s="115">
        <v>3990</v>
      </c>
      <c r="O2793" s="115">
        <v>3753.9</v>
      </c>
      <c r="P2793" s="115">
        <v>3804.9</v>
      </c>
      <c r="Q2793" s="115">
        <v>3884.7</v>
      </c>
      <c r="R2793">
        <v>155420</v>
      </c>
    </row>
    <row r="2794" spans="1:18" x14ac:dyDescent="0.25">
      <c r="A2794" s="169">
        <v>46120</v>
      </c>
      <c r="B2794">
        <v>3991</v>
      </c>
      <c r="C2794">
        <v>3883.6</v>
      </c>
      <c r="D2794">
        <v>3753.9</v>
      </c>
      <c r="E2794">
        <v>3760.55</v>
      </c>
      <c r="F2794">
        <v>3883.6</v>
      </c>
      <c r="G2794">
        <v>12066</v>
      </c>
      <c r="H2794" s="115"/>
      <c r="I2794" s="115"/>
      <c r="L2794" s="169">
        <v>46121</v>
      </c>
      <c r="M2794" s="115">
        <v>3846.1</v>
      </c>
      <c r="N2794" s="115">
        <v>3912.8</v>
      </c>
      <c r="O2794" s="115">
        <v>3835.8</v>
      </c>
      <c r="P2794" s="115">
        <v>3900</v>
      </c>
      <c r="Q2794" s="115">
        <v>3846.1</v>
      </c>
      <c r="R2794">
        <v>236450</v>
      </c>
    </row>
    <row r="2795" spans="1:18" x14ac:dyDescent="0.25">
      <c r="A2795" s="169">
        <v>46121</v>
      </c>
      <c r="B2795">
        <v>3915.1</v>
      </c>
      <c r="C2795">
        <v>3844.7</v>
      </c>
      <c r="D2795">
        <v>3836</v>
      </c>
      <c r="E2795">
        <v>3890</v>
      </c>
      <c r="F2795">
        <v>3844.7</v>
      </c>
      <c r="G2795">
        <v>37318</v>
      </c>
      <c r="H2795" s="115"/>
      <c r="I2795" s="115"/>
      <c r="L2795" s="169">
        <v>46122</v>
      </c>
      <c r="M2795" s="115">
        <v>3905.5</v>
      </c>
      <c r="N2795" s="115">
        <v>3948.1</v>
      </c>
      <c r="O2795" s="115">
        <v>3850</v>
      </c>
      <c r="P2795" s="115">
        <v>3900</v>
      </c>
      <c r="Q2795" s="115">
        <v>3905.5</v>
      </c>
      <c r="R2795">
        <v>154179</v>
      </c>
    </row>
    <row r="2796" spans="1:18" x14ac:dyDescent="0.25">
      <c r="A2796" s="169">
        <v>46122</v>
      </c>
      <c r="B2796">
        <v>3937.3</v>
      </c>
      <c r="C2796">
        <v>3906.65</v>
      </c>
      <c r="D2796">
        <v>3850.5</v>
      </c>
      <c r="E2796">
        <v>3890</v>
      </c>
      <c r="F2796">
        <v>3906.65</v>
      </c>
      <c r="G2796">
        <v>10604</v>
      </c>
      <c r="H2796" s="115"/>
      <c r="I2796" s="115"/>
      <c r="L2796" s="169">
        <v>46125</v>
      </c>
      <c r="M2796" s="115">
        <v>3877.5</v>
      </c>
      <c r="N2796" s="115">
        <v>3903.6</v>
      </c>
      <c r="O2796" s="115">
        <v>3793.6</v>
      </c>
      <c r="P2796" s="115">
        <v>3850</v>
      </c>
      <c r="Q2796" s="115">
        <v>3877.5</v>
      </c>
      <c r="R2796">
        <v>111890</v>
      </c>
    </row>
    <row r="2797" spans="1:18" x14ac:dyDescent="0.25">
      <c r="A2797" s="169">
        <v>46125</v>
      </c>
      <c r="B2797">
        <v>3902.1</v>
      </c>
      <c r="C2797">
        <v>3876.8</v>
      </c>
      <c r="D2797">
        <v>3790</v>
      </c>
      <c r="E2797">
        <v>3840</v>
      </c>
      <c r="F2797">
        <v>3876.8</v>
      </c>
      <c r="G2797">
        <v>2506</v>
      </c>
      <c r="H2797" s="115"/>
      <c r="I2797" s="115"/>
      <c r="L2797" s="169">
        <v>46127</v>
      </c>
      <c r="M2797" s="115">
        <v>3942.8</v>
      </c>
      <c r="N2797" s="115">
        <v>4014.6</v>
      </c>
      <c r="O2797" s="115">
        <v>3901</v>
      </c>
      <c r="P2797" s="115">
        <v>3901</v>
      </c>
      <c r="Q2797" s="115">
        <v>3942.8</v>
      </c>
      <c r="R2797">
        <v>107773</v>
      </c>
    </row>
    <row r="2798" spans="1:18" x14ac:dyDescent="0.25">
      <c r="A2798" s="169">
        <v>46127</v>
      </c>
      <c r="B2798">
        <v>4011.2</v>
      </c>
      <c r="C2798">
        <v>3942.1</v>
      </c>
      <c r="D2798">
        <v>3890</v>
      </c>
      <c r="E2798">
        <v>3890</v>
      </c>
      <c r="F2798">
        <v>3942.1</v>
      </c>
      <c r="G2798">
        <v>79525</v>
      </c>
      <c r="H2798" s="115"/>
      <c r="I2798" s="115"/>
      <c r="L2798" s="169">
        <v>46128</v>
      </c>
      <c r="M2798" s="115">
        <v>3966.1</v>
      </c>
      <c r="N2798" s="115">
        <v>4040</v>
      </c>
      <c r="O2798" s="115">
        <v>3913.5</v>
      </c>
      <c r="P2798" s="115">
        <v>3999.9</v>
      </c>
      <c r="Q2798" s="115">
        <v>3966.1</v>
      </c>
      <c r="R2798">
        <v>108328</v>
      </c>
    </row>
    <row r="2799" spans="1:18" x14ac:dyDescent="0.25">
      <c r="A2799" s="169">
        <v>46128</v>
      </c>
      <c r="B2799">
        <v>4038.3</v>
      </c>
      <c r="C2799">
        <v>3962.6</v>
      </c>
      <c r="D2799">
        <v>3913</v>
      </c>
      <c r="E2799">
        <v>4000.5</v>
      </c>
      <c r="F2799">
        <v>3962.6</v>
      </c>
      <c r="G2799">
        <v>2180</v>
      </c>
      <c r="H2799" s="115"/>
      <c r="I2799" s="115"/>
      <c r="L2799" s="169">
        <v>46129</v>
      </c>
      <c r="M2799" s="115">
        <v>4002.5</v>
      </c>
      <c r="N2799" s="115">
        <v>4019.7</v>
      </c>
      <c r="O2799" s="115">
        <v>3926.8</v>
      </c>
      <c r="P2799" s="115">
        <v>3952.6</v>
      </c>
      <c r="Q2799" s="115">
        <v>4002.5</v>
      </c>
      <c r="R2799">
        <v>64361</v>
      </c>
    </row>
    <row r="2800" spans="1:18" x14ac:dyDescent="0.25">
      <c r="A2800" s="169">
        <v>46129</v>
      </c>
      <c r="B2800">
        <v>4023</v>
      </c>
      <c r="C2800">
        <v>4000.7</v>
      </c>
      <c r="D2800">
        <v>3927.6</v>
      </c>
      <c r="E2800">
        <v>4017.25</v>
      </c>
      <c r="F2800">
        <v>4000.7</v>
      </c>
      <c r="G2800">
        <v>1550</v>
      </c>
      <c r="H2800" s="115"/>
      <c r="I2800" s="115"/>
      <c r="L2800" s="169">
        <v>46132</v>
      </c>
      <c r="M2800" s="115">
        <v>4086.7</v>
      </c>
      <c r="N2800" s="115">
        <v>4113.3999999999996</v>
      </c>
      <c r="O2800" s="115">
        <v>3954.5</v>
      </c>
      <c r="P2800" s="115">
        <v>4000</v>
      </c>
      <c r="Q2800" s="115">
        <v>4086.7</v>
      </c>
      <c r="R2800">
        <v>113304</v>
      </c>
    </row>
    <row r="2801" spans="1:18" x14ac:dyDescent="0.25">
      <c r="A2801" s="169">
        <v>46132</v>
      </c>
      <c r="B2801">
        <v>4110</v>
      </c>
      <c r="C2801">
        <v>4085.85</v>
      </c>
      <c r="D2801">
        <v>3959</v>
      </c>
      <c r="E2801">
        <v>4002</v>
      </c>
      <c r="F2801">
        <v>4085.85</v>
      </c>
      <c r="G2801">
        <v>1825</v>
      </c>
      <c r="H2801" s="115"/>
      <c r="I2801" s="115"/>
      <c r="L2801" s="169">
        <v>46133</v>
      </c>
      <c r="M2801" s="115">
        <v>4172.8999999999996</v>
      </c>
      <c r="N2801" s="115">
        <v>4185</v>
      </c>
      <c r="O2801" s="115">
        <v>4050.6</v>
      </c>
      <c r="P2801" s="115">
        <v>4108</v>
      </c>
      <c r="Q2801" s="115">
        <v>4172.8999999999996</v>
      </c>
      <c r="R2801">
        <v>75663</v>
      </c>
    </row>
    <row r="2802" spans="1:18" x14ac:dyDescent="0.25">
      <c r="A2802" s="169">
        <v>46133</v>
      </c>
      <c r="B2802">
        <v>4186</v>
      </c>
      <c r="C2802">
        <v>4176</v>
      </c>
      <c r="D2802">
        <v>4048.45</v>
      </c>
      <c r="E2802">
        <v>4133.95</v>
      </c>
      <c r="F2802">
        <v>4176</v>
      </c>
      <c r="G2802">
        <v>25289</v>
      </c>
      <c r="H2802" s="115"/>
      <c r="I2802" s="115"/>
      <c r="L2802" s="169">
        <v>46134</v>
      </c>
      <c r="M2802" s="115">
        <v>4288.8</v>
      </c>
      <c r="N2802" s="115">
        <v>4312.8999999999996</v>
      </c>
      <c r="O2802" s="115">
        <v>4152</v>
      </c>
      <c r="P2802" s="115">
        <v>4164.8</v>
      </c>
      <c r="Q2802" s="115">
        <v>4288.8</v>
      </c>
      <c r="R2802">
        <v>139173</v>
      </c>
    </row>
    <row r="2803" spans="1:18" x14ac:dyDescent="0.25">
      <c r="A2803" s="169">
        <v>46134</v>
      </c>
      <c r="B2803">
        <v>4310</v>
      </c>
      <c r="C2803">
        <v>4289.6000000000004</v>
      </c>
      <c r="D2803">
        <v>4141.8</v>
      </c>
      <c r="E2803">
        <v>4141.8</v>
      </c>
      <c r="F2803">
        <v>4289.6000000000004</v>
      </c>
      <c r="G2803">
        <v>7024</v>
      </c>
      <c r="H2803" s="115"/>
      <c r="I2803" s="115"/>
      <c r="L2803" s="169">
        <v>46135</v>
      </c>
      <c r="M2803" s="115">
        <v>4220.1000000000004</v>
      </c>
      <c r="N2803" s="115">
        <v>4351</v>
      </c>
      <c r="O2803" s="115">
        <v>4172.3</v>
      </c>
      <c r="P2803" s="115">
        <v>4274.8</v>
      </c>
      <c r="Q2803" s="115">
        <v>4220.1000000000004</v>
      </c>
      <c r="R2803">
        <v>120501</v>
      </c>
    </row>
    <row r="2804" spans="1:18" x14ac:dyDescent="0.25">
      <c r="A2804" s="169">
        <v>46135</v>
      </c>
      <c r="B2804">
        <v>4349</v>
      </c>
      <c r="C2804">
        <v>4216.05</v>
      </c>
      <c r="D2804">
        <v>4175.05</v>
      </c>
      <c r="E2804">
        <v>4280.25</v>
      </c>
      <c r="F2804">
        <v>4216.05</v>
      </c>
      <c r="G2804">
        <v>8130</v>
      </c>
      <c r="H2804" s="115"/>
      <c r="I2804" s="115"/>
      <c r="L2804" s="169">
        <v>46136</v>
      </c>
      <c r="M2804" s="115">
        <v>4286.6000000000004</v>
      </c>
      <c r="N2804" s="115">
        <v>4337.8999999999996</v>
      </c>
      <c r="O2804" s="115">
        <v>4225</v>
      </c>
      <c r="P2804" s="115">
        <v>4248</v>
      </c>
      <c r="Q2804" s="115">
        <v>4286.6000000000004</v>
      </c>
      <c r="R2804">
        <v>175146</v>
      </c>
    </row>
    <row r="2805" spans="1:18" x14ac:dyDescent="0.25">
      <c r="A2805" s="169">
        <v>46136</v>
      </c>
      <c r="B2805">
        <v>4340</v>
      </c>
      <c r="C2805">
        <v>4291.45</v>
      </c>
      <c r="D2805">
        <v>4224.8</v>
      </c>
      <c r="E2805">
        <v>4273.45</v>
      </c>
      <c r="F2805">
        <v>4291.45</v>
      </c>
      <c r="G2805">
        <v>5589</v>
      </c>
      <c r="H2805" s="115"/>
      <c r="I2805" s="115"/>
      <c r="L2805" s="169">
        <v>46139</v>
      </c>
      <c r="M2805" s="115">
        <v>4355</v>
      </c>
      <c r="N2805" s="115">
        <v>4445</v>
      </c>
      <c r="O2805" s="115">
        <v>4287.3</v>
      </c>
      <c r="P2805" s="115">
        <v>4350</v>
      </c>
      <c r="Q2805" s="115">
        <v>4355</v>
      </c>
      <c r="R2805">
        <v>129291</v>
      </c>
    </row>
    <row r="2806" spans="1:18" x14ac:dyDescent="0.25">
      <c r="A2806" s="169">
        <v>46139</v>
      </c>
      <c r="B2806">
        <v>4444.3999999999996</v>
      </c>
      <c r="C2806">
        <v>4353.1499999999996</v>
      </c>
      <c r="D2806">
        <v>4287</v>
      </c>
      <c r="E2806">
        <v>4369.6499999999996</v>
      </c>
      <c r="F2806">
        <v>4353.1499999999996</v>
      </c>
      <c r="G2806">
        <v>39155</v>
      </c>
      <c r="H2806" s="115"/>
      <c r="I2806" s="115"/>
      <c r="L2806" s="169">
        <v>46140</v>
      </c>
      <c r="M2806" s="115">
        <v>4283.3</v>
      </c>
      <c r="N2806" s="115">
        <v>4391.1000000000004</v>
      </c>
      <c r="O2806" s="115">
        <v>4265</v>
      </c>
      <c r="P2806" s="115">
        <v>4376.7</v>
      </c>
      <c r="Q2806" s="115">
        <v>4283.3</v>
      </c>
      <c r="R2806">
        <v>119331</v>
      </c>
    </row>
    <row r="2807" spans="1:18" x14ac:dyDescent="0.25">
      <c r="A2807" s="169">
        <v>46140</v>
      </c>
      <c r="B2807">
        <v>4389.6499999999996</v>
      </c>
      <c r="C2807">
        <v>4282.1000000000004</v>
      </c>
      <c r="D2807">
        <v>4266</v>
      </c>
      <c r="E2807">
        <v>4389.6000000000004</v>
      </c>
      <c r="F2807">
        <v>4282.1000000000004</v>
      </c>
      <c r="G2807">
        <v>8528</v>
      </c>
      <c r="H2807" s="115"/>
      <c r="I2807" s="115"/>
      <c r="L2807" s="169">
        <v>46141</v>
      </c>
      <c r="M2807" s="115">
        <v>4326.8</v>
      </c>
      <c r="N2807" s="115">
        <v>4350.1000000000004</v>
      </c>
      <c r="O2807" s="115">
        <v>4291.3999999999996</v>
      </c>
      <c r="P2807" s="115">
        <v>4302</v>
      </c>
      <c r="Q2807" s="115">
        <v>4326.8</v>
      </c>
      <c r="R2807">
        <v>77178</v>
      </c>
    </row>
    <row r="2808" spans="1:18" x14ac:dyDescent="0.25">
      <c r="A2808" s="169">
        <v>46141</v>
      </c>
      <c r="B2808">
        <v>4350</v>
      </c>
      <c r="C2808">
        <v>4328.6499999999996</v>
      </c>
      <c r="D2808">
        <v>4294.25</v>
      </c>
      <c r="E2808">
        <v>4330.55</v>
      </c>
      <c r="F2808">
        <v>4328.6499999999996</v>
      </c>
      <c r="G2808">
        <v>2216</v>
      </c>
      <c r="H2808" s="115"/>
      <c r="I2808" s="115"/>
      <c r="L2808" s="169">
        <v>46142</v>
      </c>
      <c r="M2808" s="115">
        <v>4124.8</v>
      </c>
      <c r="N2808" s="115">
        <v>4233.6000000000004</v>
      </c>
      <c r="O2808" s="115">
        <v>4035.4</v>
      </c>
      <c r="P2808" s="115">
        <v>4188.1000000000004</v>
      </c>
      <c r="Q2808" s="115">
        <v>4124.8</v>
      </c>
      <c r="R2808">
        <v>286808</v>
      </c>
    </row>
    <row r="2809" spans="1:18" x14ac:dyDescent="0.25">
      <c r="A2809" s="169">
        <v>46142</v>
      </c>
      <c r="B2809">
        <v>4286.95</v>
      </c>
      <c r="C2809">
        <v>4123.3999999999996</v>
      </c>
      <c r="D2809">
        <v>4040</v>
      </c>
      <c r="E2809">
        <v>4286.95</v>
      </c>
      <c r="F2809">
        <v>4123.3999999999996</v>
      </c>
      <c r="G2809">
        <v>30575</v>
      </c>
      <c r="H2809" s="115"/>
      <c r="I2809" s="115"/>
      <c r="L2809" s="169">
        <v>46146</v>
      </c>
      <c r="M2809" s="115">
        <v>4174.2</v>
      </c>
      <c r="N2809" s="115">
        <v>4247.8</v>
      </c>
      <c r="O2809" s="115">
        <v>4078.7</v>
      </c>
      <c r="P2809" s="115">
        <v>4192.2</v>
      </c>
      <c r="Q2809" s="115">
        <v>4174.2</v>
      </c>
      <c r="R2809">
        <v>180204</v>
      </c>
    </row>
    <row r="2810" spans="1:18" x14ac:dyDescent="0.25">
      <c r="A2810" s="169">
        <v>46146</v>
      </c>
      <c r="B2810">
        <v>4223</v>
      </c>
      <c r="C2810">
        <v>4175.45</v>
      </c>
      <c r="D2810">
        <v>4078.9</v>
      </c>
      <c r="E2810">
        <v>4223</v>
      </c>
      <c r="F2810">
        <v>4175.45</v>
      </c>
      <c r="G2810">
        <v>5935</v>
      </c>
      <c r="H2810" s="115"/>
      <c r="I2810" s="115"/>
      <c r="L2810" s="169">
        <v>46147</v>
      </c>
      <c r="M2810" s="115">
        <v>4141.3</v>
      </c>
      <c r="N2810" s="115">
        <v>4176.5</v>
      </c>
      <c r="O2810" s="115">
        <v>4098.3999999999996</v>
      </c>
      <c r="P2810" s="115">
        <v>4142.6000000000004</v>
      </c>
      <c r="Q2810" s="115">
        <v>4141.3</v>
      </c>
      <c r="R2810">
        <v>103140</v>
      </c>
    </row>
    <row r="2811" spans="1:18" x14ac:dyDescent="0.25">
      <c r="A2811" s="169">
        <v>46147</v>
      </c>
      <c r="B2811">
        <v>4176.55</v>
      </c>
      <c r="C2811">
        <v>4142.8</v>
      </c>
      <c r="D2811">
        <v>4083.5</v>
      </c>
      <c r="E2811">
        <v>4083.5</v>
      </c>
      <c r="F2811">
        <v>4142.8</v>
      </c>
      <c r="G2811">
        <v>6345</v>
      </c>
      <c r="H2811" s="115"/>
      <c r="I2811" s="115"/>
      <c r="L2811" s="169">
        <v>46148</v>
      </c>
      <c r="M2811" s="115">
        <v>4193.6000000000004</v>
      </c>
      <c r="N2811" s="115">
        <v>4205</v>
      </c>
      <c r="O2811" s="115">
        <v>4117.3</v>
      </c>
      <c r="P2811" s="115">
        <v>4159</v>
      </c>
      <c r="Q2811" s="115">
        <v>4193.6000000000004</v>
      </c>
      <c r="R2811">
        <v>97763</v>
      </c>
    </row>
    <row r="2812" spans="1:18" x14ac:dyDescent="0.25">
      <c r="A2812" s="169">
        <v>46148</v>
      </c>
      <c r="B2812">
        <v>4204.1499999999996</v>
      </c>
      <c r="C2812">
        <v>4193.8</v>
      </c>
      <c r="D2812">
        <v>4116.8999999999996</v>
      </c>
      <c r="E2812">
        <v>4143.2</v>
      </c>
      <c r="F2812">
        <v>4193.8</v>
      </c>
      <c r="G2812">
        <v>4240</v>
      </c>
      <c r="H2812" s="115"/>
      <c r="I2812" s="115"/>
      <c r="L2812" s="169">
        <v>46149</v>
      </c>
      <c r="M2812" s="115">
        <v>4247.3</v>
      </c>
      <c r="N2812" s="115">
        <v>4297</v>
      </c>
      <c r="O2812" s="115">
        <v>4175</v>
      </c>
      <c r="P2812" s="115">
        <v>4202.7</v>
      </c>
      <c r="Q2812" s="115">
        <v>4247.3</v>
      </c>
      <c r="R2812">
        <v>121556</v>
      </c>
    </row>
    <row r="2813" spans="1:18" x14ac:dyDescent="0.25">
      <c r="A2813" s="169">
        <v>46149</v>
      </c>
      <c r="B2813">
        <v>4292.25</v>
      </c>
      <c r="C2813">
        <v>4252.6499999999996</v>
      </c>
      <c r="D2813">
        <v>4185.5</v>
      </c>
      <c r="E2813">
        <v>4185.55</v>
      </c>
      <c r="F2813">
        <v>4252.6499999999996</v>
      </c>
      <c r="G2813">
        <v>6173</v>
      </c>
      <c r="H2813" s="115"/>
      <c r="I2813" s="115"/>
      <c r="L2813" s="169">
        <v>46150</v>
      </c>
      <c r="M2813" s="115">
        <v>4247.8999999999996</v>
      </c>
      <c r="N2813" s="115">
        <v>4260</v>
      </c>
      <c r="O2813" s="115">
        <v>4180.7</v>
      </c>
      <c r="P2813" s="115">
        <v>4240.1000000000004</v>
      </c>
      <c r="Q2813" s="115">
        <v>4247.8999999999996</v>
      </c>
      <c r="R2813">
        <v>73577</v>
      </c>
    </row>
    <row r="2814" spans="1:18" x14ac:dyDescent="0.25">
      <c r="A2814" s="169">
        <v>46150</v>
      </c>
      <c r="B2814">
        <v>4260.05</v>
      </c>
      <c r="C2814">
        <v>4247.2</v>
      </c>
      <c r="D2814">
        <v>4181</v>
      </c>
      <c r="E2814">
        <v>4252.7</v>
      </c>
      <c r="F2814">
        <v>4247.2</v>
      </c>
      <c r="G2814">
        <v>3107</v>
      </c>
      <c r="H2814" s="115"/>
      <c r="I2814" s="115"/>
      <c r="L2814" s="169">
        <v>46153</v>
      </c>
      <c r="M2814" s="115">
        <v>4211.6000000000004</v>
      </c>
      <c r="N2814" s="115">
        <v>4264.8999999999996</v>
      </c>
      <c r="O2814" s="115">
        <v>4180.8999999999996</v>
      </c>
      <c r="P2814" s="115">
        <v>4249</v>
      </c>
      <c r="Q2814" s="115">
        <v>4211.6000000000004</v>
      </c>
      <c r="R2814">
        <v>48212</v>
      </c>
    </row>
    <row r="2815" spans="1:18" x14ac:dyDescent="0.25">
      <c r="A2815" s="169">
        <v>46153</v>
      </c>
      <c r="B2815">
        <v>4255</v>
      </c>
      <c r="C2815">
        <v>4203.75</v>
      </c>
      <c r="D2815">
        <v>4185</v>
      </c>
      <c r="E2815">
        <v>4224.6000000000004</v>
      </c>
      <c r="F2815">
        <v>4203.75</v>
      </c>
      <c r="G2815">
        <v>3991</v>
      </c>
      <c r="H2815" s="115"/>
      <c r="I2815" s="115"/>
      <c r="L2815" s="169">
        <v>46154</v>
      </c>
      <c r="M2815" s="115">
        <v>4082.3</v>
      </c>
      <c r="N2815" s="115">
        <v>4215.1000000000004</v>
      </c>
      <c r="O2815" s="115">
        <v>4052</v>
      </c>
      <c r="P2815" s="115">
        <v>4181</v>
      </c>
      <c r="Q2815" s="115">
        <v>4082.3</v>
      </c>
      <c r="R2815">
        <v>58680</v>
      </c>
    </row>
    <row r="2816" spans="1:18" x14ac:dyDescent="0.25">
      <c r="A2816" s="169">
        <v>46154</v>
      </c>
      <c r="B2816">
        <v>4214.05</v>
      </c>
      <c r="C2816">
        <v>4080.65</v>
      </c>
      <c r="D2816">
        <v>4055.1</v>
      </c>
      <c r="E2816">
        <v>4190.05</v>
      </c>
      <c r="F2816">
        <v>4080.65</v>
      </c>
      <c r="G2816">
        <v>1928</v>
      </c>
      <c r="H2816" s="115"/>
      <c r="I2816" s="115"/>
      <c r="L2816" s="169">
        <v>46155</v>
      </c>
      <c r="M2816" s="115">
        <v>4110.3999999999996</v>
      </c>
      <c r="N2816" s="115">
        <v>4138</v>
      </c>
      <c r="O2816" s="115">
        <v>4016.2</v>
      </c>
      <c r="P2816" s="115">
        <v>4089.9</v>
      </c>
      <c r="Q2816" s="115">
        <v>4110.3999999999996</v>
      </c>
      <c r="R2816">
        <v>60369</v>
      </c>
    </row>
    <row r="2817" spans="1:18" x14ac:dyDescent="0.25">
      <c r="A2817" s="169">
        <v>46155</v>
      </c>
      <c r="B2817">
        <v>4129.8500000000004</v>
      </c>
      <c r="C2817">
        <v>4106.1000000000004</v>
      </c>
      <c r="D2817">
        <v>4017.05</v>
      </c>
      <c r="E2817">
        <v>4023.85</v>
      </c>
      <c r="F2817">
        <v>4106.1000000000004</v>
      </c>
      <c r="G2817">
        <v>1564</v>
      </c>
      <c r="H2817" s="115"/>
      <c r="I2817" s="115"/>
      <c r="L2817" s="169">
        <v>46156</v>
      </c>
      <c r="M2817" s="115">
        <v>4042</v>
      </c>
      <c r="N2817" s="115">
        <v>4180</v>
      </c>
      <c r="O2817" s="115">
        <v>4024</v>
      </c>
      <c r="P2817" s="115">
        <v>4162.6000000000004</v>
      </c>
      <c r="Q2817" s="115">
        <v>4042</v>
      </c>
      <c r="R2817">
        <v>58543</v>
      </c>
    </row>
    <row r="2818" spans="1:18" x14ac:dyDescent="0.25">
      <c r="A2818" s="169">
        <v>46156</v>
      </c>
      <c r="B2818">
        <v>4173.2</v>
      </c>
      <c r="C2818">
        <v>4041.75</v>
      </c>
      <c r="D2818">
        <v>4024.65</v>
      </c>
      <c r="E2818">
        <v>4140.25</v>
      </c>
      <c r="F2818">
        <v>4041.75</v>
      </c>
      <c r="G2818">
        <v>67258</v>
      </c>
      <c r="H2818" s="115"/>
      <c r="I2818" s="115"/>
      <c r="L2818" s="169">
        <v>46157</v>
      </c>
      <c r="M2818" s="115">
        <v>4029.6</v>
      </c>
      <c r="N2818" s="115">
        <v>4100</v>
      </c>
      <c r="O2818" s="115">
        <v>4009.5</v>
      </c>
      <c r="P2818" s="115">
        <v>4062</v>
      </c>
      <c r="Q2818" s="115">
        <v>4029.6</v>
      </c>
      <c r="R2818">
        <v>31242</v>
      </c>
    </row>
    <row r="2819" spans="1:18" x14ac:dyDescent="0.25">
      <c r="A2819" s="169">
        <v>46157</v>
      </c>
      <c r="B2819">
        <v>4099.1000000000004</v>
      </c>
      <c r="C2819">
        <v>4028.5</v>
      </c>
      <c r="D2819">
        <v>4014.6</v>
      </c>
      <c r="E2819">
        <v>4044.1</v>
      </c>
      <c r="F2819">
        <v>4028.5</v>
      </c>
      <c r="G2819">
        <v>1296</v>
      </c>
      <c r="H2819" s="115"/>
      <c r="I2819" s="115"/>
      <c r="L2819" s="169">
        <v>46160</v>
      </c>
      <c r="M2819" s="115">
        <v>3974.2</v>
      </c>
      <c r="N2819" s="115">
        <v>4000</v>
      </c>
      <c r="O2819" s="115">
        <v>3886.6</v>
      </c>
      <c r="P2819" s="115">
        <v>3996</v>
      </c>
      <c r="Q2819" s="115">
        <v>3974.2</v>
      </c>
      <c r="R2819">
        <v>69970</v>
      </c>
    </row>
    <row r="2820" spans="1:18" x14ac:dyDescent="0.25">
      <c r="A2820" s="169">
        <v>46160</v>
      </c>
      <c r="B2820">
        <v>4012.1</v>
      </c>
      <c r="C2820">
        <v>3980.45</v>
      </c>
      <c r="D2820">
        <v>3888.1</v>
      </c>
      <c r="E2820">
        <v>4012.1</v>
      </c>
      <c r="F2820">
        <v>3980.45</v>
      </c>
      <c r="G2820">
        <v>1409</v>
      </c>
      <c r="H2820" s="115"/>
      <c r="I2820" s="115"/>
      <c r="L2820" s="169">
        <v>46161</v>
      </c>
      <c r="M2820" s="115">
        <v>3987.8</v>
      </c>
      <c r="N2820" s="115">
        <v>4060</v>
      </c>
      <c r="O2820" s="115">
        <v>3961.5</v>
      </c>
      <c r="P2820" s="115">
        <v>3976.2</v>
      </c>
      <c r="Q2820" s="115">
        <v>3987.8</v>
      </c>
      <c r="R2820">
        <v>70990</v>
      </c>
    </row>
    <row r="2821" spans="1:18" x14ac:dyDescent="0.25">
      <c r="A2821" s="169">
        <v>46161</v>
      </c>
      <c r="B2821">
        <v>4055.7</v>
      </c>
      <c r="C2821">
        <v>3992.3</v>
      </c>
      <c r="D2821">
        <v>3964</v>
      </c>
      <c r="E2821">
        <v>3969.45</v>
      </c>
      <c r="F2821">
        <v>3992.3</v>
      </c>
      <c r="G2821">
        <v>31746</v>
      </c>
      <c r="H2821" s="115"/>
      <c r="I2821" s="115"/>
      <c r="L2821" s="169">
        <v>46162</v>
      </c>
      <c r="M2821" s="115">
        <v>4014.9</v>
      </c>
      <c r="N2821" s="115">
        <v>4044</v>
      </c>
      <c r="O2821" s="115">
        <v>3920.5</v>
      </c>
      <c r="P2821" s="115">
        <v>3966.6</v>
      </c>
      <c r="Q2821" s="115">
        <v>4014.9</v>
      </c>
      <c r="R2821">
        <v>26992</v>
      </c>
    </row>
    <row r="2822" spans="1:18" x14ac:dyDescent="0.25">
      <c r="A2822" s="169">
        <v>46162</v>
      </c>
      <c r="B2822">
        <v>4039.5</v>
      </c>
      <c r="C2822">
        <v>4002.45</v>
      </c>
      <c r="D2822">
        <v>3924.95</v>
      </c>
      <c r="E2822">
        <v>3948.05</v>
      </c>
      <c r="F2822">
        <v>4002.45</v>
      </c>
      <c r="G2822">
        <v>3563</v>
      </c>
      <c r="H2822" s="115"/>
      <c r="I2822" s="115"/>
      <c r="L2822" s="169">
        <v>46163</v>
      </c>
      <c r="M2822" s="115">
        <v>4088.9</v>
      </c>
      <c r="N2822" s="115">
        <v>4144.8999999999996</v>
      </c>
      <c r="O2822" s="115">
        <v>4046</v>
      </c>
      <c r="P2822" s="115">
        <v>4046</v>
      </c>
      <c r="Q2822" s="115">
        <v>4088.9</v>
      </c>
      <c r="R2822">
        <v>56408</v>
      </c>
    </row>
    <row r="2823" spans="1:18" x14ac:dyDescent="0.25">
      <c r="A2823" s="169">
        <v>46163</v>
      </c>
      <c r="B2823">
        <v>4144</v>
      </c>
      <c r="C2823">
        <v>4091.45</v>
      </c>
      <c r="D2823">
        <v>4050</v>
      </c>
      <c r="E2823">
        <v>4050.05</v>
      </c>
      <c r="F2823">
        <v>4091.45</v>
      </c>
      <c r="G2823">
        <v>2149</v>
      </c>
      <c r="H2823" s="115"/>
      <c r="I2823" s="115"/>
      <c r="L2823" s="169">
        <v>46164</v>
      </c>
      <c r="M2823" s="115">
        <v>4072.1</v>
      </c>
      <c r="N2823" s="115">
        <v>4115</v>
      </c>
      <c r="O2823" s="115">
        <v>4036.4</v>
      </c>
      <c r="P2823" s="115">
        <v>4100.8</v>
      </c>
      <c r="Q2823" s="115">
        <v>4072.1</v>
      </c>
      <c r="R2823">
        <v>23499</v>
      </c>
    </row>
    <row r="2824" spans="1:18" x14ac:dyDescent="0.25">
      <c r="A2824" s="169">
        <v>46164</v>
      </c>
      <c r="B2824">
        <v>4113.7</v>
      </c>
      <c r="C2824">
        <v>4072.4</v>
      </c>
      <c r="D2824">
        <v>4036.05</v>
      </c>
      <c r="E2824">
        <v>4076.05</v>
      </c>
      <c r="F2824">
        <v>4072.4</v>
      </c>
      <c r="G2824">
        <v>839</v>
      </c>
      <c r="H2824" s="115"/>
      <c r="I2824" s="115"/>
      <c r="L2824" s="169">
        <v>46167</v>
      </c>
      <c r="M2824" s="115">
        <v>4102.7</v>
      </c>
      <c r="N2824" s="115">
        <v>4135.6000000000004</v>
      </c>
      <c r="O2824" s="115">
        <v>4066.6</v>
      </c>
      <c r="P2824" s="115">
        <v>4100</v>
      </c>
      <c r="Q2824" s="115">
        <v>4102.7</v>
      </c>
      <c r="R2824">
        <v>32247</v>
      </c>
    </row>
    <row r="2825" spans="1:18" x14ac:dyDescent="0.25">
      <c r="A2825" s="169">
        <v>46167</v>
      </c>
      <c r="B2825">
        <v>4126.95</v>
      </c>
      <c r="C2825">
        <v>4099.25</v>
      </c>
      <c r="D2825">
        <v>4067.25</v>
      </c>
      <c r="E2825">
        <v>4089.3</v>
      </c>
      <c r="F2825">
        <v>4099.25</v>
      </c>
      <c r="G2825">
        <v>25438</v>
      </c>
      <c r="H2825" s="115"/>
      <c r="I2825" s="115"/>
      <c r="L2825" s="169">
        <v>46168</v>
      </c>
      <c r="M2825" s="115">
        <v>4196.1000000000004</v>
      </c>
      <c r="N2825" s="115">
        <v>4249</v>
      </c>
      <c r="O2825" s="115">
        <v>4102.7</v>
      </c>
      <c r="P2825" s="115">
        <v>4102.7</v>
      </c>
      <c r="Q2825" s="115">
        <v>4196.1000000000004</v>
      </c>
      <c r="R2825">
        <v>205458</v>
      </c>
    </row>
    <row r="2826" spans="1:18" x14ac:dyDescent="0.25">
      <c r="A2826" s="169">
        <v>46168</v>
      </c>
      <c r="B2826">
        <v>4250.05</v>
      </c>
      <c r="C2826">
        <v>4190.25</v>
      </c>
      <c r="D2826">
        <v>4087.3</v>
      </c>
      <c r="E2826">
        <v>4087.3</v>
      </c>
      <c r="F2826">
        <v>4190.25</v>
      </c>
      <c r="G2826">
        <v>10741</v>
      </c>
      <c r="H2826" s="115"/>
      <c r="I2826" s="115"/>
      <c r="L2826" s="169">
        <v>46169</v>
      </c>
      <c r="M2826" s="115">
        <v>4157.7</v>
      </c>
      <c r="N2826" s="115">
        <v>4246.5</v>
      </c>
      <c r="O2826" s="115">
        <v>4131.3</v>
      </c>
      <c r="P2826" s="115">
        <v>4210</v>
      </c>
      <c r="Q2826" s="115">
        <v>4157.7</v>
      </c>
      <c r="R2826">
        <v>25652</v>
      </c>
    </row>
    <row r="2827" spans="1:18" x14ac:dyDescent="0.25">
      <c r="A2827" s="169">
        <v>46169</v>
      </c>
      <c r="B2827">
        <v>4245</v>
      </c>
      <c r="C2827">
        <v>4154.25</v>
      </c>
      <c r="D2827">
        <v>4128.75</v>
      </c>
      <c r="E2827">
        <v>4238.3500000000004</v>
      </c>
      <c r="F2827">
        <v>4154.25</v>
      </c>
      <c r="G2827">
        <v>857</v>
      </c>
      <c r="H2827" s="115"/>
      <c r="I2827" s="115"/>
      <c r="L2827" s="169">
        <v>46171</v>
      </c>
      <c r="M2827" s="115">
        <v>4128.7</v>
      </c>
      <c r="N2827" s="115">
        <v>4160</v>
      </c>
      <c r="O2827" s="115">
        <v>4064</v>
      </c>
      <c r="P2827" s="115">
        <v>4149.3999999999996</v>
      </c>
      <c r="Q2827" s="115">
        <v>4128.7</v>
      </c>
      <c r="R2827">
        <v>91309</v>
      </c>
    </row>
    <row r="2828" spans="1:18" x14ac:dyDescent="0.25">
      <c r="A2828" s="169">
        <v>46171</v>
      </c>
      <c r="B2828">
        <v>4154.25</v>
      </c>
      <c r="C2828">
        <v>4131.7</v>
      </c>
      <c r="D2828">
        <v>4067.9</v>
      </c>
      <c r="E2828">
        <v>4154.25</v>
      </c>
      <c r="F2828">
        <v>4131.7</v>
      </c>
      <c r="G2828">
        <v>3018</v>
      </c>
      <c r="H2828" s="115"/>
      <c r="I2828" s="115"/>
      <c r="L2828" s="169">
        <v>46174</v>
      </c>
      <c r="M2828" s="115">
        <v>4079.8</v>
      </c>
      <c r="N2828" s="115">
        <v>4152</v>
      </c>
      <c r="O2828" s="115">
        <v>4052</v>
      </c>
      <c r="P2828" s="115">
        <v>4136.5</v>
      </c>
      <c r="Q2828" s="115">
        <v>4079.8</v>
      </c>
      <c r="R2828">
        <v>55761</v>
      </c>
    </row>
    <row r="2829" spans="1:18" x14ac:dyDescent="0.25">
      <c r="A2829" s="169">
        <v>46174</v>
      </c>
      <c r="B2829">
        <v>4151.25</v>
      </c>
      <c r="C2829">
        <v>4079.9</v>
      </c>
      <c r="D2829">
        <v>4051</v>
      </c>
      <c r="E2829">
        <v>4100.3500000000004</v>
      </c>
      <c r="F2829">
        <v>4079.9</v>
      </c>
      <c r="G2829">
        <v>8356</v>
      </c>
      <c r="H2829" s="115"/>
      <c r="I2829" s="115"/>
      <c r="L2829" s="169">
        <v>46175</v>
      </c>
      <c r="M2829" s="115">
        <v>4071.6</v>
      </c>
      <c r="N2829" s="115">
        <v>4092.1</v>
      </c>
      <c r="O2829" s="115">
        <v>4027</v>
      </c>
      <c r="P2829" s="115">
        <v>4070.3</v>
      </c>
      <c r="Q2829" s="115">
        <v>4071.6</v>
      </c>
      <c r="R2829">
        <v>43045</v>
      </c>
    </row>
    <row r="2830" spans="1:18" x14ac:dyDescent="0.25">
      <c r="A2830" s="169">
        <v>46175</v>
      </c>
      <c r="B2830">
        <v>4093.35</v>
      </c>
      <c r="C2830">
        <v>4068.65</v>
      </c>
      <c r="D2830">
        <v>4029.05</v>
      </c>
      <c r="E2830">
        <v>4065.05</v>
      </c>
      <c r="F2830">
        <v>4068.65</v>
      </c>
      <c r="G2830">
        <v>1514</v>
      </c>
      <c r="H2830" s="115"/>
      <c r="I2830" s="115"/>
      <c r="L2830" s="169">
        <v>46176</v>
      </c>
      <c r="M2830" s="115">
        <v>4049.9</v>
      </c>
      <c r="N2830" s="115">
        <v>4118.3</v>
      </c>
      <c r="O2830" s="115">
        <v>4002</v>
      </c>
      <c r="P2830" s="115">
        <v>4072</v>
      </c>
      <c r="Q2830" s="115">
        <v>4049.9</v>
      </c>
      <c r="R2830">
        <v>310410</v>
      </c>
    </row>
    <row r="2831" spans="1:18" x14ac:dyDescent="0.25">
      <c r="A2831" s="169">
        <v>46176</v>
      </c>
      <c r="B2831">
        <v>4117.8500000000004</v>
      </c>
      <c r="C2831">
        <v>4051</v>
      </c>
      <c r="D2831">
        <v>4006</v>
      </c>
      <c r="E2831">
        <v>4074.25</v>
      </c>
      <c r="F2831">
        <v>4051</v>
      </c>
      <c r="G2831">
        <v>5917</v>
      </c>
      <c r="H2831" s="115"/>
      <c r="I2831" s="115"/>
      <c r="L2831" s="169">
        <v>46177</v>
      </c>
      <c r="M2831" s="115">
        <v>3997.4</v>
      </c>
      <c r="N2831" s="115">
        <v>4039.9</v>
      </c>
      <c r="O2831" s="115">
        <v>3962.5</v>
      </c>
      <c r="P2831" s="115">
        <v>4030</v>
      </c>
      <c r="Q2831" s="115">
        <v>3997.4</v>
      </c>
      <c r="R2831">
        <v>63119</v>
      </c>
    </row>
    <row r="2832" spans="1:18" x14ac:dyDescent="0.25">
      <c r="A2832" s="169">
        <v>46177</v>
      </c>
      <c r="B2832">
        <v>4033.5</v>
      </c>
      <c r="C2832">
        <v>3996.4</v>
      </c>
      <c r="D2832">
        <v>3960</v>
      </c>
      <c r="E2832">
        <v>4012.1</v>
      </c>
      <c r="F2832">
        <v>3996.4</v>
      </c>
      <c r="G2832">
        <v>2529</v>
      </c>
      <c r="H2832" s="115"/>
      <c r="I2832" s="115"/>
      <c r="L2832" s="169">
        <v>46178</v>
      </c>
      <c r="M2832" s="115">
        <v>4035.3</v>
      </c>
      <c r="N2832" s="115">
        <v>4085</v>
      </c>
      <c r="O2832" s="115">
        <v>4004.7</v>
      </c>
      <c r="P2832" s="115">
        <v>4033</v>
      </c>
      <c r="Q2832" s="115">
        <v>4035.3</v>
      </c>
      <c r="R2832">
        <v>81172</v>
      </c>
    </row>
    <row r="2833" spans="1:18" x14ac:dyDescent="0.25">
      <c r="A2833" s="169">
        <v>46178</v>
      </c>
      <c r="B2833">
        <v>4084.8</v>
      </c>
      <c r="C2833">
        <v>4040.8</v>
      </c>
      <c r="D2833">
        <v>4022.35</v>
      </c>
      <c r="E2833">
        <v>4049.9</v>
      </c>
      <c r="F2833">
        <v>4040.8</v>
      </c>
      <c r="G2833">
        <v>25781</v>
      </c>
      <c r="H2833" s="115"/>
      <c r="I2833" s="115"/>
      <c r="L2833" s="169">
        <v>46181</v>
      </c>
      <c r="M2833" s="115">
        <v>4006.2</v>
      </c>
      <c r="N2833" s="115">
        <v>4062.8</v>
      </c>
      <c r="O2833" s="115">
        <v>3955</v>
      </c>
      <c r="P2833" s="115">
        <v>4007.5</v>
      </c>
      <c r="Q2833" s="115">
        <v>4006.2</v>
      </c>
      <c r="R2833">
        <v>36812</v>
      </c>
    </row>
    <row r="2834" spans="1:18" x14ac:dyDescent="0.25">
      <c r="A2834" s="169">
        <v>46181</v>
      </c>
      <c r="B2834">
        <v>4047.8</v>
      </c>
      <c r="C2834">
        <v>4011.2</v>
      </c>
      <c r="D2834">
        <v>3954.4</v>
      </c>
      <c r="E2834">
        <v>3995.25</v>
      </c>
      <c r="F2834">
        <v>4011.2</v>
      </c>
      <c r="G2834">
        <v>2010</v>
      </c>
      <c r="H2834" s="115"/>
      <c r="I2834" s="115"/>
      <c r="L2834" s="169">
        <v>46182</v>
      </c>
      <c r="M2834" s="115">
        <v>4081</v>
      </c>
      <c r="N2834" s="115">
        <v>4144.8999999999996</v>
      </c>
      <c r="O2834" s="115">
        <v>3994.1</v>
      </c>
      <c r="P2834" s="115">
        <v>4036</v>
      </c>
      <c r="Q2834" s="115">
        <v>4081</v>
      </c>
      <c r="R2834">
        <v>41013</v>
      </c>
    </row>
    <row r="2835" spans="1:18" x14ac:dyDescent="0.25">
      <c r="A2835" s="169">
        <v>46182</v>
      </c>
      <c r="B2835">
        <v>4145</v>
      </c>
      <c r="C2835">
        <v>4082.35</v>
      </c>
      <c r="D2835">
        <v>4002.05</v>
      </c>
      <c r="E2835">
        <v>4011.25</v>
      </c>
      <c r="F2835">
        <v>4082.35</v>
      </c>
      <c r="G2835">
        <v>2919</v>
      </c>
      <c r="H2835" s="115"/>
      <c r="I2835" s="115"/>
      <c r="L2835" s="169">
        <v>46183</v>
      </c>
      <c r="M2835" s="115">
        <v>4009.9</v>
      </c>
      <c r="N2835" s="115">
        <v>4078.4</v>
      </c>
      <c r="O2835" s="115">
        <v>3990</v>
      </c>
      <c r="P2835" s="115">
        <v>4072</v>
      </c>
      <c r="Q2835" s="115">
        <v>4009.9</v>
      </c>
      <c r="R2835">
        <v>20613</v>
      </c>
    </row>
    <row r="2836" spans="1:18" x14ac:dyDescent="0.25">
      <c r="A2836" s="169">
        <v>46183</v>
      </c>
      <c r="B2836">
        <v>4071.65</v>
      </c>
      <c r="C2836">
        <v>4010.45</v>
      </c>
      <c r="D2836">
        <v>3990</v>
      </c>
      <c r="E2836">
        <v>4054.5</v>
      </c>
      <c r="F2836">
        <v>4010.45</v>
      </c>
      <c r="G2836">
        <v>1506</v>
      </c>
      <c r="H2836" s="115"/>
      <c r="I2836" s="115"/>
      <c r="L2836" s="169">
        <v>46184</v>
      </c>
      <c r="M2836" s="115">
        <v>3860.2</v>
      </c>
      <c r="N2836" s="115">
        <v>4013.8</v>
      </c>
      <c r="O2836" s="115">
        <v>3811.1</v>
      </c>
      <c r="P2836" s="115">
        <v>3965</v>
      </c>
      <c r="Q2836" s="115">
        <v>3860.2</v>
      </c>
      <c r="R2836">
        <v>37718</v>
      </c>
    </row>
    <row r="2837" spans="1:18" x14ac:dyDescent="0.25">
      <c r="A2837" s="169">
        <v>46184</v>
      </c>
      <c r="B2837">
        <v>3967.7</v>
      </c>
      <c r="C2837">
        <v>3866.05</v>
      </c>
      <c r="D2837">
        <v>3838</v>
      </c>
      <c r="E2837">
        <v>3951</v>
      </c>
      <c r="F2837">
        <v>3866.05</v>
      </c>
      <c r="G2837">
        <v>2915</v>
      </c>
      <c r="H2837" s="115"/>
      <c r="I2837" s="115"/>
      <c r="L2837" s="169">
        <v>46185</v>
      </c>
      <c r="M2837" s="115">
        <v>4055.7</v>
      </c>
      <c r="N2837" s="115">
        <v>4064</v>
      </c>
      <c r="O2837" s="115">
        <v>3865</v>
      </c>
      <c r="P2837" s="115">
        <v>3899.8</v>
      </c>
      <c r="Q2837" s="115">
        <v>4055.7</v>
      </c>
      <c r="R2837">
        <v>61087</v>
      </c>
    </row>
    <row r="2838" spans="1:18" x14ac:dyDescent="0.25">
      <c r="A2838" s="169">
        <v>46185</v>
      </c>
      <c r="B2838">
        <v>4063.4</v>
      </c>
      <c r="C2838">
        <v>4050</v>
      </c>
      <c r="D2838">
        <v>3874.3</v>
      </c>
      <c r="E2838">
        <v>3946.45</v>
      </c>
      <c r="F2838">
        <v>4050</v>
      </c>
      <c r="G2838">
        <v>4063</v>
      </c>
      <c r="H2838" s="115"/>
      <c r="I2838" s="115"/>
      <c r="L2838" s="169">
        <v>46188</v>
      </c>
      <c r="M2838" s="115">
        <v>4041.2</v>
      </c>
      <c r="N2838" s="115">
        <v>4131</v>
      </c>
      <c r="O2838" s="115">
        <v>4025</v>
      </c>
      <c r="P2838" s="115">
        <v>4102.6000000000004</v>
      </c>
      <c r="Q2838" s="115">
        <v>4041.2</v>
      </c>
      <c r="R2838">
        <v>61045</v>
      </c>
    </row>
    <row r="2839" spans="1:18" x14ac:dyDescent="0.25">
      <c r="A2839" s="169">
        <v>46188</v>
      </c>
      <c r="B2839">
        <v>4189.3500000000004</v>
      </c>
      <c r="C2839">
        <v>4035.25</v>
      </c>
      <c r="D2839">
        <v>4022.75</v>
      </c>
      <c r="E2839">
        <v>4189.3500000000004</v>
      </c>
      <c r="F2839">
        <v>4035.25</v>
      </c>
      <c r="G2839">
        <v>2641</v>
      </c>
      <c r="H2839" s="115"/>
      <c r="I2839" s="115"/>
      <c r="L2839" s="169">
        <v>46189</v>
      </c>
      <c r="M2839" s="115">
        <v>4163</v>
      </c>
      <c r="N2839" s="115">
        <v>4210</v>
      </c>
      <c r="O2839" s="115">
        <v>4026.6</v>
      </c>
      <c r="P2839" s="115">
        <v>4035</v>
      </c>
      <c r="Q2839" s="115">
        <v>4163</v>
      </c>
      <c r="R2839">
        <v>105447</v>
      </c>
    </row>
    <row r="2840" spans="1:18" x14ac:dyDescent="0.25">
      <c r="A2840" s="169">
        <v>46189</v>
      </c>
      <c r="B2840">
        <v>4207.2</v>
      </c>
      <c r="C2840">
        <v>4165.75</v>
      </c>
      <c r="D2840">
        <v>4035.5</v>
      </c>
      <c r="E2840">
        <v>4050</v>
      </c>
      <c r="F2840">
        <v>4165.75</v>
      </c>
      <c r="G2840">
        <v>2656</v>
      </c>
      <c r="H2840" s="115"/>
      <c r="I2840" s="115"/>
      <c r="L2840" s="169">
        <v>46190</v>
      </c>
      <c r="M2840" s="115">
        <v>4197.1000000000004</v>
      </c>
      <c r="N2840" s="115">
        <v>4252</v>
      </c>
      <c r="O2840" s="115">
        <v>4135.8999999999996</v>
      </c>
      <c r="P2840" s="115">
        <v>4188</v>
      </c>
      <c r="Q2840" s="115">
        <v>4197.1000000000004</v>
      </c>
      <c r="R2840">
        <v>38058</v>
      </c>
    </row>
    <row r="2841" spans="1:18" x14ac:dyDescent="0.25">
      <c r="A2841" s="169">
        <v>46190</v>
      </c>
      <c r="B2841">
        <v>4250</v>
      </c>
      <c r="C2841">
        <v>4193.8</v>
      </c>
      <c r="D2841">
        <v>4133.55</v>
      </c>
      <c r="E2841">
        <v>4217.75</v>
      </c>
      <c r="F2841">
        <v>4193.8</v>
      </c>
      <c r="G2841">
        <v>1631</v>
      </c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2026-06-17T16:25:10Z</dcterms:modified>
  <cp:category/>
  <cp:contentStatus/>
</cp:coreProperties>
</file>